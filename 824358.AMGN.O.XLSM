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drawing+xml" PartName="/xl/drawings/drawing1.xml"/>
  <Override ContentType="application/vnd.openxmlformats-officedocument.spreadsheetml.externalLink+xml" PartName="/xl/externalLinks/externalLink1.xml"/>
  <Override ContentType="application/vnd.openxmlformats-officedocument.spreadsheetml.externalLink+xml" PartName="/xl/externalLinks/externalLink10.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spreadsheetml.externalLink+xml" PartName="/xl/externalLinks/externalLink7.xml"/>
  <Override ContentType="application/vnd.openxmlformats-officedocument.spreadsheetml.externalLink+xml" PartName="/xl/externalLinks/externalLink8.xml"/>
  <Override ContentType="application/vnd.openxmlformats-officedocument.spreadsheetml.externalLink+xml" PartName="/xl/externalLinks/externalLink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bookViews>
    <workbookView xWindow="9585" yWindow="45" windowWidth="9630" windowHeight="11745" tabRatio="896"/>
  </bookViews>
  <sheets>
    <sheet name="ImportantDisclosures" sheetId="75" r:id="rId1"/>
    <sheet name="DCF" sheetId="23" r:id="rId2"/>
    <sheet name="MW-Cache" sheetId="29" state="veryHidden" r:id="rId3"/>
    <sheet name="IS" sheetId="3" r:id="rId4"/>
    <sheet name="REVS" sheetId="2" r:id="rId5"/>
    <sheet name="BS" sheetId="18" r:id="rId6"/>
    <sheet name="CF" sheetId="16" r:id="rId7"/>
    <sheet name="IMS Model Summary" sheetId="67" r:id="rId8"/>
    <sheet name="Pipeline" sheetId="32" r:id="rId9"/>
    <sheet name="Debt" sheetId="19" r:id="rId10"/>
    <sheet name="Vectibix" sheetId="15" r:id="rId11"/>
    <sheet name="Kyprolis" sheetId="25" r:id="rId12"/>
    <sheet name="AMG334" sheetId="61" r:id="rId13"/>
    <sheet name="Onyx Products (exKyprolis)" sheetId="22" r:id="rId14"/>
    <sheet name="IndexInformation" sheetId="76" r:id="rId15"/>
    <sheet name="ModPubIndex" sheetId="77" r:id="rId16"/>
  </sheets>
  <externalReferences>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s>
  <definedNames>
    <definedName name="__a1" hidden="1">{"comp1",#N/A,FALSE,"COMPS";"footnotes",#N/A,FALSE,"COMPS"}</definedName>
    <definedName name="__aa1" hidden="1">{#N/A,#N/A,TRUE,"Pro Forma";#N/A,#N/A,TRUE,"PF_Bal";#N/A,#N/A,TRUE,"PF_INC";#N/A,#N/A,TRUE,"CBE";#N/A,#N/A,TRUE,"SWK"}</definedName>
    <definedName name="__ab1" hidden="1">{"comp1",#N/A,FALSE,"COMPS";"footnotes",#N/A,FALSE,"COMPS"}</definedName>
    <definedName name="__ae1" hidden="1">{#N/A,#N/A,FALSE,"Calc";#N/A,#N/A,FALSE,"Sensitivity";#N/A,#N/A,FALSE,"LT Earn.Dil.";#N/A,#N/A,FALSE,"Dil. AVP"}</definedName>
    <definedName name="__am1" hidden="1">{#N/A,#N/A,TRUE,"Pro Forma";#N/A,#N/A,TRUE,"PF_Bal";#N/A,#N/A,TRUE,"PF_INC";#N/A,#N/A,TRUE,"CBE";#N/A,#N/A,TRUE,"SWK"}</definedName>
    <definedName name="__as1" hidden="1">{"comp1",#N/A,FALSE,"COMPS";"footnotes",#N/A,FALSE,"COMPS"}</definedName>
    <definedName name="__f1" hidden="1">{"assumption cash",#N/A,TRUE,"Merger";"has gets cash",#N/A,TRUE,"Merger";"accretion dilution",#N/A,TRUE,"Merger";"comparison credit stats",#N/A,TRUE,"Merger";"pf credit stats",#N/A,TRUE,"Merger";"pf sheets",#N/A,TRUE,"Merger"}</definedName>
    <definedName name="__FDS_HYPERLINK_TOGGLE_STATE__" hidden="1">"ON"</definedName>
    <definedName name="__FDS_UNIQUE_RANGE_ID_GENERATOR_COUNTER" hidden="1">1</definedName>
    <definedName name="__ik1" hidden="1">{"casespecific",#N/A,FALSE,"Assumptions"}</definedName>
    <definedName name="_1__FDSAUDITLINK__" hidden="1">{"fdsup://directions/FAT Viewer?action=UPDATE&amp;creator=factset&amp;DYN_ARGS=TRUE&amp;DOC_NAME=FAT:FQL_AUDITING_CLIENT_TEMPLATE.FAT&amp;display_string=Audit&amp;VAR:KEY=FUDMZMZIRG&amp;VAR:QUERY=RkZfRUJJVERBX0lCKEFOTiwyMDA4KQ==&amp;WINDOW=FIRST_POPUP&amp;HEIGHT=450&amp;WIDTH=450&amp;START_MAXIMI","ZED=FALSE&amp;VAR:CALENDAR=FIVEDAY&amp;VAR:SYMBOL=PFE&amp;VAR:INDEX=0"}</definedName>
    <definedName name="_10__FDSAUDITLINK__"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00__FDSAUDITLINK__" hidden="1">{"fdsup://directions/FAT Viewer?action=UPDATE&amp;creator=factset&amp;DYN_ARGS=TRUE&amp;DOC_NAME=FAT:FQL_AUDITING_CLIENT_TEMPLATE.FAT&amp;display_string=Audit&amp;VAR:KEY=PSDGZOPMZI&amp;VAR:QUERY=RkZfREVCVChRVFIsMCk=&amp;WINDOW=FIRST_POPUP&amp;HEIGHT=450&amp;WIDTH=450&amp;START_MAXIMIZED=FALSE&amp;VA","R:CALENDAR=FIVEDAY&amp;VAR:SYMBOL=ALXN&amp;VAR:INDEX=0"}</definedName>
    <definedName name="_101__FDSAUDITLINK__" hidden="1">{"fdsup://Directions/FactSet Auditing Viewer?action=AUDIT_VALUE&amp;DB=129&amp;ID1=03116210&amp;VALUEID=02001&amp;SDATE=201102&amp;PERIODTYPE=QTR_STD&amp;SCFT=3&amp;window=popup_no_bar&amp;width=385&amp;height=120&amp;START_MAXIMIZED=FALSE&amp;creator=factset&amp;display_string=Audit"}</definedName>
    <definedName name="_102__FDSAUDITLINK__" hidden="1">{"fdsup://directions/FAT Viewer?action=UPDATE&amp;creator=factset&amp;DYN_ARGS=TRUE&amp;DOC_NAME=FAT:FQL_AUDITING_CLIENT_TEMPLATE.FAT&amp;display_string=Audit&amp;VAR:KEY=VSXYLYBGBQ&amp;VAR:QUERY=RkZfREVCVChRVFIsMCk=&amp;WINDOW=FIRST_POPUP&amp;HEIGHT=450&amp;WIDTH=450&amp;START_MAXIMIZED=FALSE&amp;VA","R:CALENDAR=FIVEDAY&amp;VAR:SYMBOL=AMGN&amp;VAR:INDEX=0"}</definedName>
    <definedName name="_103__FDSAUDITLINK__" hidden="1">{"fdsup://Directions/FactSet Auditing Viewer?action=AUDIT_VALUE&amp;DB=129&amp;ID1=09062X10&amp;VALUEID=02001&amp;SDATE=201102&amp;PERIODTYPE=QTR_STD&amp;SCFT=3&amp;window=popup_no_bar&amp;width=385&amp;height=120&amp;START_MAXIMIZED=FALSE&amp;creator=factset&amp;display_string=Audit"}</definedName>
    <definedName name="_104__FDSAUDITLINK__" hidden="1">{"fdsup://directions/FAT Viewer?action=UPDATE&amp;creator=factset&amp;DYN_ARGS=TRUE&amp;DOC_NAME=FAT:FQL_AUDITING_CLIENT_TEMPLATE.FAT&amp;display_string=Audit&amp;VAR:KEY=VMDCDAZUDU&amp;VAR:QUERY=RkZfREVCVChRVFIsMCk=&amp;WINDOW=FIRST_POPUP&amp;HEIGHT=450&amp;WIDTH=450&amp;START_MAXIMIZED=FALSE&amp;VA","R:CALENDAR=FIVEDAY&amp;VAR:SYMBOL=BIIB&amp;VAR:INDEX=0"}</definedName>
    <definedName name="_105__FDSAUDITLINK__" hidden="1">{"fdsup://Directions/FactSet Auditing Viewer?action=AUDIT_VALUE&amp;DB=129&amp;ID1=15102010&amp;VALUEID=02001&amp;SDATE=201102&amp;PERIODTYPE=QTR_STD&amp;SCFT=3&amp;window=popup_no_bar&amp;width=385&amp;height=120&amp;START_MAXIMIZED=FALSE&amp;creator=factset&amp;display_string=Audit"}</definedName>
    <definedName name="_106__FDSAUDITLINK__" hidden="1">{"fdsup://directions/FAT Viewer?action=UPDATE&amp;creator=factset&amp;DYN_ARGS=TRUE&amp;DOC_NAME=FAT:FQL_AUDITING_CLIENT_TEMPLATE.FAT&amp;display_string=Audit&amp;VAR:KEY=PAZYDCHIJW&amp;VAR:QUERY=RkZfREVCVChRVFIsMCk=&amp;WINDOW=FIRST_POPUP&amp;HEIGHT=450&amp;WIDTH=450&amp;START_MAXIMIZED=FALSE&amp;VA","R:CALENDAR=FIVEDAY&amp;VAR:SYMBOL=CELG&amp;VAR:INDEX=0"}</definedName>
    <definedName name="_107__FDSAUDITLINK__" hidden="1">{"fdsup://Directions/FactSet Auditing Viewer?action=AUDIT_VALUE&amp;DB=129&amp;ID1=37555810&amp;VALUEID=02001&amp;SDATE=201102&amp;PERIODTYPE=QTR_STD&amp;SCFT=3&amp;window=popup_no_bar&amp;width=385&amp;height=120&amp;START_MAXIMIZED=FALSE&amp;creator=factset&amp;display_string=Audit"}</definedName>
    <definedName name="_108__FDSAUDITLINK__" hidden="1">{"fdsup://directions/FAT Viewer?action=UPDATE&amp;creator=factset&amp;DYN_ARGS=TRUE&amp;DOC_NAME=FAT:FQL_AUDITING_CLIENT_TEMPLATE.FAT&amp;display_string=Audit&amp;VAR:KEY=JEFCXSDILQ&amp;VAR:QUERY=RkZfREVCVChRVFIsMCk=&amp;WINDOW=FIRST_POPUP&amp;HEIGHT=450&amp;WIDTH=450&amp;START_MAXIMIZED=FALSE&amp;VA","R:CALENDAR=FIVEDAY&amp;VAR:SYMBOL=GILD&amp;VAR:INDEX=0"}</definedName>
    <definedName name="_109__FDSAUDITLINK__" hidden="1">{"fdsup://Directions/FactSet Auditing Viewer?action=AUDIT_VALUE&amp;DB=129&amp;ID1=01849010&amp;VALUEID=02001&amp;SDATE=201102&amp;PERIODTYPE=QTR_STD&amp;SCFT=3&amp;window=popup_no_bar&amp;width=385&amp;height=120&amp;START_MAXIMIZED=FALSE&amp;creator=factset&amp;display_string=Audit"}</definedName>
    <definedName name="_11__FDSAUDITLINK__"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10__FDSAUDITLINK__" hidden="1">{"fdsup://directions/FAT Viewer?action=UPDATE&amp;creator=factset&amp;DYN_ARGS=TRUE&amp;DOC_NAME=FAT:FQL_AUDITING_CLIENT_TEMPLATE.FAT&amp;display_string=Audit&amp;VAR:KEY=VUZWFCLEDW&amp;VAR:QUERY=RkZfREVCVChRVFIsMCk=&amp;WINDOW=FIRST_POPUP&amp;HEIGHT=450&amp;WIDTH=450&amp;START_MAXIMIZED=FALSE&amp;VA","R:CALENDAR=FIVEDAY&amp;VAR:SYMBOL=AGN&amp;VAR:INDEX=0"}</definedName>
    <definedName name="_111__FDSAUDITLINK__" hidden="1">{"fdsup://Directions/FactSet Auditing Viewer?action=AUDIT_VALUE&amp;DB=129&amp;ID1=15670810&amp;VALUEID=02001&amp;SDATE=201102&amp;PERIODTYPE=QTR_STD&amp;SCFT=3&amp;window=popup_no_bar&amp;width=385&amp;height=120&amp;START_MAXIMIZED=FALSE&amp;creator=factset&amp;display_string=Audit"}</definedName>
    <definedName name="_112__FDSAUDITLINK__" hidden="1">{"fdsup://directions/FAT Viewer?action=UPDATE&amp;creator=factset&amp;DYN_ARGS=TRUE&amp;DOC_NAME=FAT:FQL_AUDITING_CLIENT_TEMPLATE.FAT&amp;display_string=Audit&amp;VAR:KEY=BCLCTSFIVE&amp;VAR:QUERY=RkZfREVCVChRVFIsMCk=&amp;WINDOW=FIRST_POPUP&amp;HEIGHT=450&amp;WIDTH=450&amp;START_MAXIMIZED=FALSE&amp;VA","R:CALENDAR=FIVEDAY&amp;VAR:SYMBOL=CEPH&amp;VAR:INDEX=0"}</definedName>
    <definedName name="_113__FDSAUDITLINK__" hidden="1">{"fdsup://Directions/FactSet Auditing Viewer?action=AUDIT_VALUE&amp;DB=129&amp;ID1=29264F20&amp;VALUEID=02001&amp;SDATE=201102&amp;PERIODTYPE=QTR_STD&amp;SCFT=3&amp;window=popup_no_bar&amp;width=385&amp;height=120&amp;START_MAXIMIZED=FALSE&amp;creator=factset&amp;display_string=Audit"}</definedName>
    <definedName name="_114__FDSAUDITLINK__" hidden="1">{"fdsup://directions/FAT Viewer?action=UPDATE&amp;creator=factset&amp;DYN_ARGS=TRUE&amp;DOC_NAME=FAT:FQL_AUDITING_CLIENT_TEMPLATE.FAT&amp;display_string=Audit&amp;VAR:KEY=VIDYPCHCVC&amp;VAR:QUERY=RkZfREVCVChRVFIsMCk=&amp;WINDOW=FIRST_POPUP&amp;HEIGHT=450&amp;WIDTH=450&amp;START_MAXIMIZED=FALSE&amp;VA","R:CALENDAR=FIVEDAY&amp;VAR:SYMBOL=ENDP&amp;VAR:INDEX=0"}</definedName>
    <definedName name="_115__FDSAUDITLINK__" hidden="1">{"fdsup://Directions/FactSet Auditing Viewer?action=AUDIT_VALUE&amp;DB=129&amp;ID1=34583810&amp;VALUEID=02001&amp;SDATE=201101&amp;PERIODTYPE=QTR_STD&amp;SCFT=3&amp;window=popup_no_bar&amp;width=385&amp;height=120&amp;START_MAXIMIZED=FALSE&amp;creator=factset&amp;display_string=Audit"}</definedName>
    <definedName name="_116__FDSAUDITLINK__" hidden="1">{"fdsup://directions/FAT Viewer?action=UPDATE&amp;creator=factset&amp;DYN_ARGS=TRUE&amp;DOC_NAME=FAT:FQL_AUDITING_CLIENT_TEMPLATE.FAT&amp;display_string=Audit&amp;VAR:KEY=VSVENCJCNO&amp;VAR:QUERY=RkZfREVCVChRVFIsMCk=&amp;WINDOW=FIRST_POPUP&amp;HEIGHT=450&amp;WIDTH=450&amp;START_MAXIMIZED=FALSE&amp;VA","R:CALENDAR=FIVEDAY&amp;VAR:SYMBOL=FRX&amp;VAR:INDEX=0"}</definedName>
    <definedName name="_117__FDSAUDITLINK__" hidden="1">{"fdsup://Directions/FactSet Auditing Viewer?action=AUDIT_VALUE&amp;DB=129&amp;ID1=47214710&amp;VALUEID=02001&amp;SDATE=201102&amp;PERIODTYPE=QTR_STD&amp;SCFT=3&amp;window=popup_no_bar&amp;width=385&amp;height=120&amp;START_MAXIMIZED=FALSE&amp;creator=factset&amp;display_string=Audit"}</definedName>
    <definedName name="_118__FDSAUDITLINK__" hidden="1">{"fdsup://directions/FAT Viewer?action=UPDATE&amp;creator=factset&amp;DYN_ARGS=TRUE&amp;DOC_NAME=FAT:FQL_AUDITING_CLIENT_TEMPLATE.FAT&amp;display_string=Audit&amp;VAR:KEY=FUTILMFCBM&amp;VAR:QUERY=RkZfREVCVChRVFIsMCk=&amp;WINDOW=FIRST_POPUP&amp;HEIGHT=450&amp;WIDTH=450&amp;START_MAXIMIZED=FALSE&amp;VA","R:CALENDAR=FIVEDAY&amp;VAR:SYMBOL=JAZZ&amp;VAR:INDEX=0"}</definedName>
    <definedName name="_119__FDSAUDITLINK__" hidden="1">{"fdsup://Directions/FactSet Auditing Viewer?action=AUDIT_VALUE&amp;DB=129&amp;ID1=58469030&amp;VALUEID=02001&amp;SDATE=201102&amp;PERIODTYPE=QTR_STD&amp;SCFT=3&amp;window=popup_no_bar&amp;width=385&amp;height=120&amp;START_MAXIMIZED=FALSE&amp;creator=factset&amp;display_string=Audit"}</definedName>
    <definedName name="_12__FDSAUDITLINK__" hidden="1">{"fdsup://directions/FAT%20Viewer?VAR:PED=20071231&amp;VAR:PERIOD=FIXED&amp;VAR:V=10.315862&amp;VAR:AUDIT_ID=00000117&amp;VAR:DATE=20100309&amp;action=UPDATE&amp;creator=factset&amp;DOC_NAME=FAT:FMA_audit_DETAIL.fat&amp;DISPLAY_STRING=Display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20__FDSAUDITLINK__" hidden="1">{"fdsup://directions/FAT Viewer?action=UPDATE&amp;creator=factset&amp;DYN_ARGS=TRUE&amp;DOC_NAME=FAT:FQL_AUDITING_CLIENT_TEMPLATE.FAT&amp;display_string=Audit&amp;VAR:KEY=FGNOVMBIZI&amp;VAR:QUERY=RkZfREVCVChRVFIsMCk=&amp;WINDOW=FIRST_POPUP&amp;HEIGHT=450&amp;WIDTH=450&amp;START_MAXIMIZED=FALSE&amp;VA","R:CALENDAR=FIVEDAY&amp;VAR:SYMBOL=MRX&amp;VAR:INDEX=0"}</definedName>
    <definedName name="_121__FDSAUDITLINK__" hidden="1">{"fdsup://Directions/FactSet Auditing Viewer?action=AUDIT_VALUE&amp;DB=129&amp;ID1=79543510&amp;VALUEID=02001&amp;SDATE=201102&amp;PERIODTYPE=QTR_STD&amp;SCFT=3&amp;window=popup_no_bar&amp;width=385&amp;height=120&amp;START_MAXIMIZED=FALSE&amp;creator=factset&amp;display_string=Audit"}</definedName>
    <definedName name="_122__FDSAUDITLINK__" hidden="1">{"fdsup://directions/FAT Viewer?action=UPDATE&amp;creator=factset&amp;DYN_ARGS=TRUE&amp;DOC_NAME=FAT:FQL_AUDITING_CLIENT_TEMPLATE.FAT&amp;display_string=Audit&amp;VAR:KEY=ZUTEFOPYRO&amp;VAR:QUERY=RkZfREVCVChRVFIsMCk=&amp;WINDOW=FIRST_POPUP&amp;HEIGHT=450&amp;WIDTH=450&amp;START_MAXIMIZED=FALSE&amp;VA","R:CALENDAR=FIVEDAY&amp;VAR:SYMBOL=SLXP&amp;VAR:INDEX=0"}</definedName>
    <definedName name="_123__FDSAUDITLINK__" hidden="1">{"fdsup://directions/FAT Viewer?action=UPDATE&amp;creator=factset&amp;DYN_ARGS=TRUE&amp;DOC_NAME=FAT:FQL_AUDITING_CLIENT_TEMPLATE.FAT&amp;display_string=Audit&amp;VAR:KEY=PYDEHOFGDK&amp;VAR:QUERY=RkZfREVCVChRVFIsMCk=&amp;WINDOW=FIRST_POPUP&amp;HEIGHT=450&amp;WIDTH=450&amp;START_MAXIMIZED=FALSE&amp;VA","R:CALENDAR=FIVEDAY&amp;VAR:SYMBOL=VRX&amp;VAR:INDEX=0"}</definedName>
    <definedName name="_124__FDSAUDITLINK__" hidden="1">{"fdsup://Directions/FactSet Auditing Viewer?action=AUDIT_VALUE&amp;DB=129&amp;ID1=92824110&amp;VALUEID=02001&amp;SDATE=201102&amp;PERIODTYPE=QTR_STD&amp;SCFT=3&amp;window=popup_no_bar&amp;width=385&amp;height=120&amp;START_MAXIMIZED=FALSE&amp;creator=factset&amp;display_string=Audit"}</definedName>
    <definedName name="_125__FDSAUDITLINK__" hidden="1">{"fdsup://directions/FAT Viewer?action=UPDATE&amp;creator=factset&amp;DYN_ARGS=TRUE&amp;DOC_NAME=FAT:FQL_AUDITING_CLIENT_TEMPLATE.FAT&amp;display_string=Audit&amp;VAR:KEY=VYLUTCPEFG&amp;VAR:QUERY=RkZfREVCVChRVFIsMCk=&amp;WINDOW=FIRST_POPUP&amp;HEIGHT=450&amp;WIDTH=450&amp;START_MAXIMIZED=FALSE&amp;VA","R:CALENDAR=FIVEDAY&amp;VAR:SYMBOL=VPHM&amp;VAR:INDEX=0"}</definedName>
    <definedName name="_126__FDSAUDITLINK__" hidden="1">{"fdsup://Directions/FactSet Auditing Viewer?action=AUDIT_VALUE&amp;DB=129&amp;ID1=G9436810&amp;VALUEID=02001&amp;SDATE=201102&amp;PERIODTYPE=QTR_STD&amp;SCFT=3&amp;window=popup_no_bar&amp;width=385&amp;height=120&amp;START_MAXIMIZED=FALSE&amp;creator=factset&amp;display_string=Audit"}</definedName>
    <definedName name="_127__FDSAUDITLINK__" hidden="1">{"fdsup://directions/FAT Viewer?action=UPDATE&amp;creator=factset&amp;DYN_ARGS=TRUE&amp;DOC_NAME=FAT:FQL_AUDITING_CLIENT_TEMPLATE.FAT&amp;display_string=Audit&amp;VAR:KEY=VOFGXWTOLW&amp;VAR:QUERY=RkZfREVCVChRVFIsMCk=&amp;WINDOW=FIRST_POPUP&amp;HEIGHT=450&amp;WIDTH=450&amp;START_MAXIMIZED=FALSE&amp;VA","R:CALENDAR=FIVEDAY&amp;VAR:SYMBOL=WCRX&amp;VAR:INDEX=0"}</definedName>
    <definedName name="_128__FDSAUDITLINK__" hidden="1">{"fdsup://Directions/FactSet Auditing Viewer?action=AUDIT_VALUE&amp;DB=129&amp;ID1=42840B10&amp;VALUEID=02001&amp;SDATE=201004&amp;PERIODTYPE=QTR_STD&amp;SCFT=3&amp;window=popup_no_bar&amp;width=385&amp;height=120&amp;START_MAXIMIZED=FALSE&amp;creator=factset&amp;display_string=Audit"}</definedName>
    <definedName name="_129__FDSAUDITLINK__" hidden="1">{"fdsup://directions/FAT Viewer?action=UPDATE&amp;creator=factset&amp;DYN_ARGS=TRUE&amp;DOC_NAME=FAT:FQL_AUDITING_CLIENT_TEMPLATE.FAT&amp;display_string=Audit&amp;VAR:KEY=HQPMJKLSBE&amp;VAR:QUERY=RkZfREVCVChRVFIsMCk=&amp;WINDOW=FIRST_POPUP&amp;HEIGHT=450&amp;WIDTH=450&amp;START_MAXIMIZED=FALSE&amp;VA","R:CALENDAR=FIVEDAY&amp;VAR:SYMBOL=HITK&amp;VAR:INDEX=0"}</definedName>
    <definedName name="_13__FDSAUDITLINK__" hidden="1">{"fdsup://directions/FAT%20Viewer?VAR:PED=20071231&amp;VAR:PERIOD=FIXED&amp;VAR:V=5.958505&amp;VAR:AUDIT_ID=71692910&amp;VAR:DATE=20100322&amp;action=UPDATE&amp;creator=factset&amp;DOC_NAME=FAT:FMA_audit_DETAIL.fat&amp;DISPLAY_STRING=Display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30__FDSAUDITLINK__" hidden="1">{"fdsup://Directions/FactSet Auditing Viewer?action=AUDIT_VALUE&amp;DB=129&amp;ID1=44106010&amp;VALUEID=02001&amp;SDATE=201102&amp;PERIODTYPE=QTR_STD&amp;SCFT=3&amp;window=popup_no_bar&amp;width=385&amp;height=120&amp;START_MAXIMIZED=FALSE&amp;creator=factset&amp;display_string=Audit"}</definedName>
    <definedName name="_131__FDSAUDITLINK__" hidden="1">{"fdsup://directions/FAT Viewer?action=UPDATE&amp;creator=factset&amp;DYN_ARGS=TRUE&amp;DOC_NAME=FAT:FQL_AUDITING_CLIENT_TEMPLATE.FAT&amp;display_string=Audit&amp;VAR:KEY=JOVQVKXOTE&amp;VAR:QUERY=RkZfREVCVChRVFIsMCk=&amp;WINDOW=FIRST_POPUP&amp;HEIGHT=450&amp;WIDTH=450&amp;START_MAXIMIZED=FALSE&amp;VA","R:CALENDAR=FIVEDAY&amp;VAR:SYMBOL=HSP&amp;VAR:INDEX=0"}</definedName>
    <definedName name="_132__FDSAUDITLINK__" hidden="1">{"fdsup://Directions/FactSet Auditing Viewer?action=AUDIT_VALUE&amp;DB=129&amp;ID1=45256B10&amp;VALUEID=02001&amp;SDATE=201102&amp;PERIODTYPE=QTR_STD&amp;SCFT=3&amp;window=popup_no_bar&amp;width=385&amp;height=120&amp;START_MAXIMIZED=FALSE&amp;creator=factset&amp;display_string=Audit"}</definedName>
    <definedName name="_133__FDSAUDITLINK__" hidden="1">{"fdsup://directions/FAT Viewer?action=UPDATE&amp;creator=factset&amp;DYN_ARGS=TRUE&amp;DOC_NAME=FAT:FQL_AUDITING_CLIENT_TEMPLATE.FAT&amp;display_string=Audit&amp;VAR:KEY=HUNQXUHUPG&amp;VAR:QUERY=RkZfREVCVChRVFIsMCk=&amp;WINDOW=FIRST_POPUP&amp;HEIGHT=450&amp;WIDTH=450&amp;START_MAXIMIZED=FALSE&amp;VA","R:CALENDAR=FIVEDAY&amp;VAR:SYMBOL=IPXL&amp;VAR:INDEX=0"}</definedName>
    <definedName name="_134__FDSAUDITLINK__" hidden="1">{"fdsup://Directions/FactSet Auditing Viewer?action=AUDIT_VALUE&amp;DB=129&amp;ID1=62853010&amp;VALUEID=02001&amp;SDATE=201102&amp;PERIODTYPE=QTR_STD&amp;SCFT=3&amp;window=popup_no_bar&amp;width=385&amp;height=120&amp;START_MAXIMIZED=FALSE&amp;creator=factset&amp;display_string=Audit"}</definedName>
    <definedName name="_135__FDSAUDITLINK__" hidden="1">{"fdsup://directions/FAT Viewer?action=UPDATE&amp;creator=factset&amp;DYN_ARGS=TRUE&amp;DOC_NAME=FAT:FQL_AUDITING_CLIENT_TEMPLATE.FAT&amp;display_string=Audit&amp;VAR:KEY=LGRYPMTCTO&amp;VAR:QUERY=RkZfREVCVChRVFIsMCk=&amp;WINDOW=FIRST_POPUP&amp;HEIGHT=450&amp;WIDTH=450&amp;START_MAXIMIZED=FALSE&amp;VA","R:CALENDAR=FIVEDAY&amp;VAR:SYMBOL=MYL&amp;VAR:INDEX=0"}</definedName>
    <definedName name="_136__FDSAUDITLINK__" hidden="1">{"fdsup://Directions/FactSet Auditing Viewer?action=AUDIT_VALUE&amp;DB=129&amp;ID1=71429010&amp;VALUEID=02001&amp;SDATE=201104&amp;PERIODTYPE=QTR_STD&amp;SCFT=3&amp;window=popup_no_bar&amp;width=385&amp;height=120&amp;START_MAXIMIZED=FALSE&amp;creator=factset&amp;display_string=Audit"}</definedName>
    <definedName name="_137__FDSAUDITLINK__" hidden="1">{"fdsup://directions/FAT Viewer?action=UPDATE&amp;creator=factset&amp;DYN_ARGS=TRUE&amp;DOC_NAME=FAT:FQL_AUDITING_CLIENT_TEMPLATE.FAT&amp;display_string=Audit&amp;VAR:KEY=LMPYFOLSXK&amp;VAR:QUERY=RkZfREVCVChRVFIsMCk=&amp;WINDOW=FIRST_POPUP&amp;HEIGHT=450&amp;WIDTH=450&amp;START_MAXIMIZED=FALSE&amp;VA","R:CALENDAR=FIVEDAY&amp;VAR:SYMBOL=PRGO&amp;VAR:INDEX=0"}</definedName>
    <definedName name="_138__FDSAUDITLINK__" hidden="1">{"fdsup://Directions/FactSet Auditing Viewer?action=AUDIT_VALUE&amp;DB=129&amp;ID1=69888P10&amp;VALUEID=02001&amp;SDATE=201102&amp;PERIODTYPE=QTR_STD&amp;SCFT=3&amp;window=popup_no_bar&amp;width=385&amp;height=120&amp;START_MAXIMIZED=FALSE&amp;creator=factset&amp;display_string=Audit"}</definedName>
    <definedName name="_139__FDSAUDITLINK__" hidden="1">{"fdsup://directions/FAT Viewer?action=UPDATE&amp;creator=factset&amp;DYN_ARGS=TRUE&amp;DOC_NAME=FAT:FQL_AUDITING_CLIENT_TEMPLATE.FAT&amp;display_string=Audit&amp;VAR:KEY=ZSVYTCNSBU&amp;VAR:QUERY=RkZfREVCVChRVFIsMCk=&amp;WINDOW=FIRST_POPUP&amp;HEIGHT=450&amp;WIDTH=450&amp;START_MAXIMIZED=FALSE&amp;VA","R:CALENDAR=FIVEDAY&amp;VAR:SYMBOL=PRX&amp;VAR:INDEX=0"}</definedName>
    <definedName name="_14__FDSAUDITLINK__" hidden="1">{"fdsup://directions/FAT%20Viewer?VAR:PED=20071231&amp;VAR:PERIOD=FIXED&amp;VAR:V=10.299100&amp;VAR:AUDIT_ID=00000117&amp;VAR:DATE=20100322&amp;action=UPDATE&amp;creator=factset&amp;DOC_NAME=FAT:FMA_audit_DETAIL.fat&amp;DISPLAY_STRING=Display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40__FDSAUDITLINK__" hidden="1">{"fdsup://Directions/FactSet Auditing Viewer?action=AUDIT_VALUE&amp;DB=129&amp;ID1=78669210&amp;VALUEID=02001&amp;SDATE=201102&amp;PERIODTYPE=QTR_STD&amp;SCFT=3&amp;window=popup_no_bar&amp;width=385&amp;height=120&amp;START_MAXIMIZED=FALSE&amp;creator=factset&amp;display_string=Audit"}</definedName>
    <definedName name="_141__FDSAUDITLINK__" hidden="1">{"fdsup://directions/FAT Viewer?action=UPDATE&amp;creator=factset&amp;DYN_ARGS=TRUE&amp;DOC_NAME=FAT:FQL_AUDITING_CLIENT_TEMPLATE.FAT&amp;display_string=Audit&amp;VAR:KEY=FGXQXCPORU&amp;VAR:QUERY=RkZfREVCVChRVFIsMCk=&amp;WINDOW=FIRST_POPUP&amp;HEIGHT=450&amp;WIDTH=450&amp;START_MAXIMIZED=FALSE&amp;VA","R:CALENDAR=FIVEDAY&amp;VAR:SYMBOL=SGNT&amp;VAR:INDEX=0"}</definedName>
    <definedName name="_142__FDSAUDITLINK__" hidden="1">{"fdsup://directions/FAT Viewer?action=UPDATE&amp;creator=factset&amp;DYN_ARGS=TRUE&amp;DOC_NAME=FAT:FQL_AUDITING_CLIENT_TEMPLATE.FAT&amp;display_string=Audit&amp;VAR:KEY=POJIJMTWHO&amp;VAR:QUERY=RkZfREVCVChRVFIsMCk=&amp;WINDOW=FIRST_POPUP&amp;HEIGHT=450&amp;WIDTH=450&amp;START_MAXIMIZED=FALSE&amp;VA","R:CALENDAR=FIVEDAY&amp;VAR:SYMBOL=TEVA&amp;VAR:INDEX=0"}</definedName>
    <definedName name="_143__FDSAUDITLINK__" hidden="1">{"fdsup://Directions/FactSet Auditing Viewer?action=AUDIT_VALUE&amp;DB=129&amp;ID1=94268310&amp;VALUEID=02001&amp;SDATE=201102&amp;PERIODTYPE=QTR_STD&amp;SCFT=3&amp;window=popup_no_bar&amp;width=385&amp;height=120&amp;START_MAXIMIZED=FALSE&amp;creator=factset&amp;display_string=Audit"}</definedName>
    <definedName name="_144__FDSAUDITLINK__" hidden="1">{"fdsup://directions/FAT Viewer?action=UPDATE&amp;creator=factset&amp;DYN_ARGS=TRUE&amp;DOC_NAME=FAT:FQL_AUDITING_CLIENT_TEMPLATE.FAT&amp;display_string=Audit&amp;VAR:KEY=ZIBYFOFQBU&amp;VAR:QUERY=RkZfREVCVChRVFIsMCk=&amp;WINDOW=FIRST_POPUP&amp;HEIGHT=450&amp;WIDTH=450&amp;START_MAXIMIZED=FALSE&amp;VA","R:CALENDAR=FIVEDAY&amp;VAR:SYMBOL=WPI&amp;VAR:INDEX=0"}</definedName>
    <definedName name="_145__FDSAUDITLINK__" hidden="1">{"fdsup://directions/FAT Viewer?action=UPDATE&amp;creator=factset&amp;DYN_ARGS=TRUE&amp;DOC_NAME=FAT:FQL_AUDITING_CLIENT_TEMPLATE.FAT&amp;display_string=Audit&amp;VAR:KEY=ZYZQZMRURU&amp;VAR:QUERY=RkZfREVCVChRVFIsMCk=&amp;WINDOW=FIRST_POPUP&amp;HEIGHT=450&amp;WIDTH=450&amp;START_MAXIMIZED=FALSE&amp;VA","R:CALENDAR=FIVEDAY&amp;VAR:SYMBOL=SP50&amp;VAR:INDEX=0"}</definedName>
    <definedName name="_146__FDSAUDITLINK__" hidden="1">{"fdsup://directions/FAT Viewer?action=UPDATE&amp;creator=factset&amp;DYN_ARGS=TRUE&amp;DOC_NAME=FAT:FQL_AUDITING_CLIENT_TEMPLATE.FAT&amp;display_string=Audit&amp;VAR:KEY=ZWXQZQFWZW&amp;VAR:QUERY=RkZfREVCVChRVFIsMCk=&amp;WINDOW=FIRST_POPUP&amp;HEIGHT=450&amp;WIDTH=450&amp;START_MAXIMIZED=FALSE&amp;VA","R:CALENDAR=FIVEDAY&amp;VAR:SYMBOL=SP565&amp;VAR:INDEX=0"}</definedName>
    <definedName name="_147__FDSAUDITLINK__" hidden="1">{"fdsup://directions/FAT Viewer?action=UPDATE&amp;creator=factset&amp;DYN_ARGS=TRUE&amp;DOC_NAME=FAT:FQL_AUDITING_CLIENT_TEMPLATE.FAT&amp;display_string=Audit&amp;VAR:KEY=DSDATGHMDG&amp;VAR:QUERY=RkZfREVCVChRVFIsMCk=&amp;WINDOW=FIRST_POPUP&amp;HEIGHT=450&amp;WIDTH=450&amp;START_MAXIMIZED=FALSE&amp;VA","R:CALENDAR=FIVEDAY&amp;VAR:SYMBOL=DRG&amp;VAR:INDEX=0"}</definedName>
    <definedName name="_15__FDSAUDITLINK__" hidden="1">{"fdsup://directions/FAT%20Viewer?VAR:PED=20071231&amp;VAR:PERIOD=FIXED&amp;VAR:V=5.913890&amp;VAR:AUDIT_ID=71692910&amp;VAR:DATE=20100409&amp;action=UPDATE&amp;creator=factset&amp;DOC_NAME=FAT:FMA_audit_DETAIL.fat&amp;DISPLAY_STRING=Display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6__FDSAUDITLINK__" hidden="1">{"fdsup://directions/FAT%20Viewer?VAR:PED=20071231&amp;VAR:PERIOD=FIXED&amp;VAR:V=10.288388&amp;VAR:AUDIT_ID=00000117&amp;VAR:DATE=20100409&amp;action=UPDATE&amp;creator=factset&amp;DOC_NAME=FAT:FMA_audit_DETAIL.fat&amp;DISPLAY_STRING=Display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7__FDSAUDITLINK__" hidden="1">{"fdsup://directions/FAT Viewer?action=UPDATE&amp;creator=factset&amp;DYN_ARGS=TRUE&amp;DOC_NAME=FAT:FQL_AUDITING_CLIENT_TEMPLATE.FAT&amp;display_string=Audit&amp;VAR:KEY=UFWJGFSHUJ&amp;VAR:QUERY=RkZfRUJJVERBX0lCKCdBTk4nLDIwMDYp&amp;WINDOW=FIRST_POPUP&amp;HEIGHT=450&amp;WIDTH=450&amp;START_MAXIMI","ZED=FALSE&amp;VAR:CALENDAR=FIVEDAY&amp;VAR:SYMBOL=PFE&amp;VAR:INDEX=0"}</definedName>
    <definedName name="_18__FDSAUDITLINK__" hidden="1">{"fdsup://directions/FAT%20Viewer?VAR:PED=20071231&amp;VAR:PERIOD=FIXED&amp;VAR:V=10.293473&amp;VAR:AUDIT_ID=00000117&amp;VAR:DATE=20100419&amp;action=UPDATE&amp;creator=factset&amp;DOC_NAME=FAT:FMA_audit_DETAIL.fat&amp;DISPLAY_STRING=Display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9__FDSAUDITLINK__" hidden="1">{"fdsup://directions/FAT%20Viewer?VAR:PED=20071231&amp;VAR:PERIOD=FIXED&amp;VAR:V=5.937205&amp;VAR:AUDIT_ID=71692910&amp;VAR:DATE=20100419&amp;action=UPDATE&amp;creator=factset&amp;DOC_NAME=FAT:FMA_audit_DETAIL.fat&amp;DISPLAY_STRING=Display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__FDSAUDITLINK__" hidden="1">{"fdsup://directions/FAT Viewer?action=UPDATE&amp;creator=factset&amp;DYN_ARGS=TRUE&amp;DOC_NAME=FAT:FQL_AUDITING_CLIENT_TEMPLATE.FAT&amp;display_string=Audit&amp;VAR:KEY=ZMPOLWNEPK&amp;VAR:QUERY=RkZfRUJJVERBX0lCKEFOTiwyMDA3KQ==&amp;WINDOW=FIRST_POPUP&amp;HEIGHT=450&amp;WIDTH=450&amp;START_MAXIMI","ZED=FALSE&amp;VAR:CALENDAR=FIVEDAY&amp;VAR:SYMBOL=PFE&amp;VAR:INDEX=0"}</definedName>
    <definedName name="_20__FDSAUDITLINK__" hidden="1">{"fdsup://directions/FAT%20Viewer?VAR:PED=20071231&amp;VAR:PERIOD=FIXED&amp;VAR:V=10.293473&amp;VAR:AUDIT_ID=00000117&amp;VAR:DATE=20100419&amp;action=UPDATE&amp;creator=factset&amp;DOC_NAME=FAT:FMA_audit_DETAIL.fat&amp;DISPLAY_STRING=Display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1__FDSAUDITLINK__" hidden="1">{"fdsup://directions/FAT%20Viewer?VAR:PED=20071231&amp;VAR:PERIOD=FIXED&amp;VAR:V=5.940494&amp;VAR:PCT=N&amp;VAR:AUDIT_ID=71692910&amp;VAR:DATE=20100616&amp;action=UPDATE&amp;creator=factset&amp;DOC_NAME=FAT:FMA_audit_DETAIL.fat&amp;DISPLAY_STRING=Display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2__FDSAUDITLINK__" hidden="1">{"fdsup://directions/FAT%20Viewer?VAR:PED=20071231&amp;VAR:PERIOD=FIXED&amp;VAR:V=10.501677&amp;VAR:PCT=N&amp;VAR:AUDIT_ID=00000117&amp;VAR:DATE=20100616&amp;action=UPDATE&amp;creator=factset&amp;DOC_NAME=FAT:FMA_audit_DETAIL.fat&amp;DISPLAY_STRING=Display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3__FDSAUDITLINK__" hidden="1">{"fdsup://directions/FAT%20Viewer?VAR:PED=20071231&amp;VAR:PERIOD=FIXED&amp;VAR:V=6.031065&amp;VAR:PCT=N&amp;VAR:AUDIT_ID=71692910&amp;VAR:DATE=20100706&amp;action=UPDATE&amp;creator=factset&amp;DOC_NAME=FAT:FMA_audit_DETAIL.fat&amp;DISPLAY_STRING=Display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4__FDSAUDITLINK__" hidden="1">{"fdsup://directions/FAT%20Viewer?VAR:PED=20071231&amp;VAR:PERIOD=FIXED&amp;VAR:V=10.466925&amp;VAR:PCT=N&amp;VAR:AUDIT_ID=00000117&amp;VAR:DATE=20100706&amp;action=UPDATE&amp;creator=factset&amp;DOC_NAME=FAT:FMA_audit_DETAIL.fat&amp;DISPLAY_STRING=Display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5__FDSAUDITLINK__" hidden="1">{"fdsup://directions/FAT%20Viewer?VAR:PED=20071231&amp;VAR:PERIOD=FIXED&amp;VAR:V=5.602277&amp;VAR:PCT=N&amp;VAR:AUDIT_ID=71692910&amp;VAR:DATE=20100804&amp;action=UPDATE&amp;creator=factset&amp;DOC_NAME=FAT:FMA_audit_DETAIL.fat&amp;DISPLAY_STRING=Display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6__FDSAUDITLINK__" hidden="1">{"fdsup://directions/FAT%20Viewer?VAR:PED=20071231&amp;VAR:PERIOD=FIXED&amp;VAR:V=10.555395&amp;VAR:PCT=N&amp;VAR:AUDIT_ID=00000117&amp;VAR:DATE=20100804&amp;action=UPDATE&amp;creator=factset&amp;DOC_NAME=FAT:FMA_audit_DETAIL.fat&amp;DISPLAY_STRING=Display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7__FDSAUDITLINK__" hidden="1">{"fdsup://directions/FAT%20Viewer?VAR:PED=20071231&amp;VAR:PERIOD=FIXED&amp;VAR:V=5.617591&amp;VAR:PCT=N&amp;VAR:AUDIT_ID=71692910&amp;VAR:DATE=20100817&amp;action=UPDATE&amp;creator=factset&amp;DOC_NAME=FAT:FMA_audit_DETAIL.fat&amp;DISPLAY_STRING=Display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8__FDSAUDITLINK__" hidden="1">{"fdsup://directions/FAT%20Viewer?VAR:PED=20071231&amp;VAR:PERIOD=FIXED&amp;VAR:V=10.494746&amp;VAR:PCT=N&amp;VAR:AUDIT_ID=00000117&amp;VAR:DATE=20100817&amp;action=UPDATE&amp;creator=factset&amp;DOC_NAME=FAT:FMA_audit_DETAIL.fat&amp;DISPLAY_STRING=Display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9__FDSAUDITLINK__" hidden="1">{"fdsup://directions/FAT Viewer?action=UPDATE&amp;creator=factset&amp;DYN_ARGS=TRUE&amp;DOC_NAME=FAT:FQL_AUDITING_CLIENT_TEMPLATE.FAT&amp;display_string=Audit&amp;VAR:KEY=PUPARQXUXG&amp;VAR:QUERY=RkZfUEFZX09VVF9SQVRJTyhBTk4sTk9XKQ==&amp;WINDOW=FIRST_POPUP&amp;HEIGHT=450&amp;WIDTH=450&amp;START_MA","XIMIZED=FALSE&amp;VAR:CALENDAR=FIVEDAY&amp;VAR:SYMBOL=AMGN&amp;VAR:INDEX=0"}</definedName>
    <definedName name="_3__FDSAUDITLINK__" hidden="1">{"fdsup://directions/FAT Viewer?action=UPDATE&amp;creator=factset&amp;DYN_ARGS=TRUE&amp;DOC_NAME=FAT:FQL_AUDITING_CLIENT_TEMPLATE.FAT&amp;display_string=Audit&amp;VAR:KEY=JELGTKDCPC&amp;VAR:QUERY=RkZfRUJJVERBX0lCKEFOTiwyMDA2KQ==&amp;WINDOW=FIRST_POPUP&amp;HEIGHT=450&amp;WIDTH=450&amp;START_MAXIMI","ZED=FALSE&amp;VAR:CALENDAR=FIVEDAY&amp;VAR:SYMBOL=PFE&amp;VAR:INDEX=0"}</definedName>
    <definedName name="_30__FDSAUDITLINK__" hidden="1">{"fdsup://directions/FAT Viewer?action=UPDATE&amp;creator=factset&amp;DYN_ARGS=TRUE&amp;DOC_NAME=FAT:FQL_AUDITING_CLIENT_TEMPLATE.FAT&amp;display_string=Audit&amp;VAR:KEY=NOBIVMNGPE&amp;VAR:QUERY=RkZfUEFZX09VVF9SQVRJTyhBTk4sTk9XKQ==&amp;WINDOW=FIRST_POPUP&amp;HEIGHT=450&amp;WIDTH=450&amp;START_MA","XIMIZED=FALSE&amp;VAR:CALENDAR=FIVEDAY&amp;VAR:SYMBOL=ALXN&amp;VAR:INDEX=0"}</definedName>
    <definedName name="_38__FDSAUDITLINK__" hidden="1">{"fdsup://directions/FAT Viewer?action=UPDATE&amp;creator=factset&amp;DYN_ARGS=TRUE&amp;DOC_NAME=FAT:FQL_AUDITING_CLIENT_TEMPLATE.FAT&amp;display_string=Audit&amp;VAR:KEY=NQHQDUZKFC&amp;VAR:QUERY=RkZfUEFZX09VVF9SQVRJTyhBTk4sTk9XKQ==&amp;WINDOW=FIRST_POPUP&amp;HEIGHT=450&amp;WIDTH=450&amp;START_MA","XIMIZED=FALSE&amp;VAR:CALENDAR=FIVEDAY&amp;VAR:SYMBOL=BAYRY&amp;VAR:INDEX=0"}</definedName>
    <definedName name="_39__FDSAUDITLINK__" hidden="1">{"fdsup://directions/FAT Viewer?action=UPDATE&amp;creator=factset&amp;DYN_ARGS=TRUE&amp;DOC_NAME=FAT:FQL_AUDITING_CLIENT_TEMPLATE.FAT&amp;display_string=Audit&amp;VAR:KEY=LOPGHWHAPU&amp;VAR:QUERY=RkZfUEFZX09VVF9SQVRJTyhBTk4sTk9XKQ==&amp;WINDOW=FIRST_POPUP&amp;HEIGHT=450&amp;WIDTH=450&amp;START_MA","XIMIZED=FALSE&amp;VAR:CALENDAR=FIVEDAY&amp;VAR:SYMBOL=AZN&amp;VAR:INDEX=0"}</definedName>
    <definedName name="_4__FDSAUDITLINK__" hidden="1">{"fdsup://directions/FAT Viewer?action=UPDATE&amp;creator=factset&amp;DYN_ARGS=TRUE&amp;DOC_NAME=FAT:FQL_AUDITING_CLIENT_TEMPLATE.FAT&amp;display_string=Audit&amp;VAR:KEY=NEPKPEBABG&amp;VAR:QUERY=RkZfRUJJVERBX0lCKEFOTiwyMDA4KQ==&amp;WINDOW=FIRST_POPUP&amp;HEIGHT=450&amp;WIDTH=450&amp;START_MAXIMI","ZED=FALSE&amp;VAR:CALENDAR=FIVEDAY&amp;VAR:SYMBOL=PFE&amp;VAR:INDEX=0"}</definedName>
    <definedName name="_40__FDSAUDITLINK__" hidden="1">{"fdsup://directions/FAT Viewer?action=UPDATE&amp;creator=factset&amp;DYN_ARGS=TRUE&amp;DOC_NAME=FAT:FQL_AUDITING_CLIENT_TEMPLATE.FAT&amp;display_string=Audit&amp;VAR:KEY=ZCLCRSDAPS&amp;VAR:QUERY=RkZfUEFZX09VVF9SQVRJTyhBTk4sTk9XKQ==&amp;WINDOW=FIRST_POPUP&amp;HEIGHT=450&amp;WIDTH=450&amp;START_MA","XIMIZED=FALSE&amp;VAR:CALENDAR=FIVEDAY&amp;VAR:SYMBOL=PFE&amp;VAR:INDEX=0"}</definedName>
    <definedName name="_41__FDSAUDITLINK__" hidden="1">{"fdsup://directions/FAT Viewer?action=UPDATE&amp;creator=factset&amp;DYN_ARGS=TRUE&amp;DOC_NAME=FAT:FQL_AUDITING_CLIENT_TEMPLATE.FAT&amp;display_string=Audit&amp;VAR:KEY=BYLCVWFIZG&amp;VAR:QUERY=RkZfUEFZX09VVF9SQVRJTyhBTk4sTk9XKQ==&amp;WINDOW=FIRST_POPUP&amp;HEIGHT=450&amp;WIDTH=450&amp;START_MA","XIMIZED=FALSE&amp;VAR:CALENDAR=FIVEDAY&amp;VAR:SYMBOL=MRK&amp;VAR:INDEX=0"}</definedName>
    <definedName name="_42__FDSAUDITLINK__" hidden="1">{"fdsup://directions/FAT Viewer?action=UPDATE&amp;creator=factset&amp;DYN_ARGS=TRUE&amp;DOC_NAME=FAT:FQL_AUDITING_CLIENT_TEMPLATE.FAT&amp;display_string=Audit&amp;VAR:KEY=ZIRGRQDQTW&amp;VAR:QUERY=RkZfUEFZX09VVF9SQVRJTyhBTk4sTk9XKQ==&amp;WINDOW=FIRST_POPUP&amp;HEIGHT=450&amp;WIDTH=450&amp;START_MA","XIMIZED=FALSE&amp;VAR:CALENDAR=FIVEDAY&amp;VAR:SYMBOL=LLY&amp;VAR:INDEX=0"}</definedName>
    <definedName name="_43__FDSAUDITLINK__" hidden="1">{"fdsup://directions/FAT Viewer?action=UPDATE&amp;creator=factset&amp;DYN_ARGS=TRUE&amp;DOC_NAME=FAT:FQL_AUDITING_CLIENT_TEMPLATE.FAT&amp;display_string=Audit&amp;VAR:KEY=NEPKPEBABG&amp;VAR:QUERY=RkZfUEFZX09VVF9SQVRJTyhBTk4sTk9XKQ==&amp;WINDOW=FIRST_POPUP&amp;HEIGHT=450&amp;WIDTH=450&amp;START_MA","XIMIZED=FALSE&amp;VAR:CALENDAR=FIVEDAY&amp;VAR:SYMBOL=JNJ&amp;VAR:INDEX=0"}</definedName>
    <definedName name="_44__FDSAUDITLINK__" hidden="1">{"fdsup://directions/FAT Viewer?action=UPDATE&amp;creator=factset&amp;DYN_ARGS=TRUE&amp;DOC_NAME=FAT:FQL_AUDITING_CLIENT_TEMPLATE.FAT&amp;display_string=Audit&amp;VAR:KEY=DCPCRGJOXS&amp;VAR:QUERY=RkZfUEFZX09VVF9SQVRJTyhBTk4sTk9XKQ==&amp;WINDOW=FIRST_POPUP&amp;HEIGHT=450&amp;WIDTH=450&amp;START_MA","XIMIZED=FALSE&amp;VAR:CALENDAR=FIVEDAY&amp;VAR:SYMBOL=BMY&amp;VAR:INDEX=0"}</definedName>
    <definedName name="_45__FDSAUDITLINK__" hidden="1">{"fdsup://directions/FAT Viewer?action=UPDATE&amp;creator=factset&amp;DYN_ARGS=TRUE&amp;DOC_NAME=FAT:FQL_AUDITING_CLIENT_TEMPLATE.FAT&amp;display_string=Audit&amp;VAR:KEY=ZYZAZOHSNG&amp;VAR:QUERY=RkZfUEFZX09VVF9SQVRJTyhBTk4sTk9XKQ==&amp;WINDOW=FIRST_POPUP&amp;HEIGHT=450&amp;WIDTH=450&amp;START_MA","XIMIZED=FALSE&amp;VAR:CALENDAR=FIVEDAY&amp;VAR:SYMBOL=ABT&amp;VAR:INDEX=0"}</definedName>
    <definedName name="_46__FDSAUDITLINK__" hidden="1">{"fdsup://directions/FAT Viewer?action=UPDATE&amp;creator=factset&amp;DYN_ARGS=TRUE&amp;DOC_NAME=FAT:FQL_AUDITING_CLIENT_TEMPLATE.FAT&amp;display_string=Audit&amp;VAR:KEY=BCPWDIXCDW&amp;VAR:QUERY=RkZfSU5WRVNUX0xUKFFUUiwwKQ==&amp;WINDOW=FIRST_POPUP&amp;HEIGHT=450&amp;WIDTH=450&amp;START_MAXIMIZED=","FALSE&amp;VAR:CALENDAR=FIVEDAY&amp;VAR:SYMBOL=DRG&amp;VAR:INDEX=0"}</definedName>
    <definedName name="_47__FDSAUDITLINK__" hidden="1">{"fdsup://directions/FAT Viewer?action=UPDATE&amp;creator=factset&amp;DYN_ARGS=TRUE&amp;DOC_NAME=FAT:FQL_AUDITING_CLIENT_TEMPLATE.FAT&amp;display_string=Audit&amp;VAR:KEY=TEDYJYHWRU&amp;VAR:QUERY=RkZfSU5WRVNUX0xUKFFUUiwwKQ==&amp;WINDOW=FIRST_POPUP&amp;HEIGHT=450&amp;WIDTH=450&amp;START_MAXIMIZED=","FALSE&amp;VAR:CALENDAR=FIVEDAY&amp;VAR:SYMBOL=SP565&amp;VAR:INDEX=0"}</definedName>
    <definedName name="_48__FDSAUDITLINK__" hidden="1">{"fdsup://directions/FAT Viewer?action=UPDATE&amp;creator=factset&amp;DYN_ARGS=TRUE&amp;DOC_NAME=FAT:FQL_AUDITING_CLIENT_TEMPLATE.FAT&amp;display_string=Audit&amp;VAR:KEY=DSLAREBAXY&amp;VAR:QUERY=RkZfSU5WRVNUX0xUKFFUUiwwKQ==&amp;WINDOW=FIRST_POPUP&amp;HEIGHT=450&amp;WIDTH=450&amp;START_MAXIMIZED=","FALSE&amp;VAR:CALENDAR=FIVEDAY&amp;VAR:SYMBOL=SP50&amp;VAR:INDEX=0"}</definedName>
    <definedName name="_49__FDSAUDITLINK__" hidden="1">{"fdsup://directions/FAT Viewer?action=UPDATE&amp;creator=factset&amp;DYN_ARGS=TRUE&amp;DOC_NAME=FAT:FQL_AUDITING_CLIENT_TEMPLATE.FAT&amp;display_string=Audit&amp;VAR:KEY=BCRAPSHKZU&amp;VAR:QUERY=RkZfSU5WRVNUX0xUKFFUUiwwKQ==&amp;WINDOW=FIRST_POPUP&amp;HEIGHT=450&amp;WIDTH=450&amp;START_MAXIMIZED=","FALSE&amp;VAR:CALENDAR=FIVEDAY&amp;VAR:SYMBOL=WPI&amp;VAR:INDEX=0"}</definedName>
    <definedName name="_5__FDSAUDITLINK__" hidden="1">{"fdsup://directions/FAT Viewer?action=UPDATE&amp;creator=factset&amp;DYN_ARGS=TRUE&amp;DOC_NAME=FAT:FQL_AUDITING_CLIENT_TEMPLATE.FAT&amp;display_string=Audit&amp;VAR:KEY=DCPCRGJOXS&amp;VAR:QUERY=RkZfRUJJVERBX0lCKEFOTiwyMDA3KQ==&amp;WINDOW=FIRST_POPUP&amp;HEIGHT=450&amp;WIDTH=450&amp;START_MAXIMI","ZED=FALSE&amp;VAR:CALENDAR=FIVEDAY&amp;VAR:SYMBOL=PFE&amp;VAR:INDEX=0"}</definedName>
    <definedName name="_50__FDSAUDITLINK__" hidden="1">{"fdsup://directions/FAT Viewer?action=UPDATE&amp;creator=factset&amp;DYN_ARGS=TRUE&amp;DOC_NAME=FAT:FQL_AUDITING_CLIENT_TEMPLATE.FAT&amp;display_string=Audit&amp;VAR:KEY=DKBYXGNAJE&amp;VAR:QUERY=RkZfSU5WRVNUX0xUKFFUUiwwKQ==&amp;WINDOW=FIRST_POPUP&amp;HEIGHT=450&amp;WIDTH=450&amp;START_MAXIMIZED=","FALSE&amp;VAR:CALENDAR=FIVEDAY&amp;VAR:SYMBOL=TEVA&amp;VAR:INDEX=0"}</definedName>
    <definedName name="_51__FDSAUDITLINK__" hidden="1">{"fdsup://directions/FAT Viewer?action=UPDATE&amp;creator=factset&amp;DYN_ARGS=TRUE&amp;DOC_NAME=FAT:FQL_AUDITING_CLIENT_TEMPLATE.FAT&amp;display_string=Audit&amp;VAR:KEY=BSRGLGNQFU&amp;VAR:QUERY=RkZfSU5WRVNUX0xUKFFUUiwwKQ==&amp;WINDOW=FIRST_POPUP&amp;HEIGHT=450&amp;WIDTH=450&amp;START_MAXIMIZED=","FALSE&amp;VAR:CALENDAR=FIVEDAY&amp;VAR:SYMBOL=SGNT&amp;VAR:INDEX=0"}</definedName>
    <definedName name="_52__FDSAUDITLINK__" hidden="1">{"fdsup://directions/FAT Viewer?action=UPDATE&amp;creator=factset&amp;DYN_ARGS=TRUE&amp;DOC_NAME=FAT:FQL_AUDITING_CLIENT_TEMPLATE.FAT&amp;display_string=Audit&amp;VAR:KEY=JYNYLSNKZK&amp;VAR:QUERY=RkZfSU5WRVNUX0xUKFFUUiwwKQ==&amp;WINDOW=FIRST_POPUP&amp;HEIGHT=450&amp;WIDTH=450&amp;START_MAXIMIZED=","FALSE&amp;VAR:CALENDAR=FIVEDAY&amp;VAR:SYMBOL=PRX&amp;VAR:INDEX=0"}</definedName>
    <definedName name="_53__FDSAUDITLINK__" hidden="1">{"fdsup://directions/FAT Viewer?action=UPDATE&amp;creator=factset&amp;DYN_ARGS=TRUE&amp;DOC_NAME=FAT:FQL_AUDITING_CLIENT_TEMPLATE.FAT&amp;display_string=Audit&amp;VAR:KEY=VORGDSBSHE&amp;VAR:QUERY=RkZfSU5WRVNUX0xUKFFUUiwwKQ==&amp;WINDOW=FIRST_POPUP&amp;HEIGHT=450&amp;WIDTH=450&amp;START_MAXIMIZED=","FALSE&amp;VAR:CALENDAR=FIVEDAY&amp;VAR:SYMBOL=PRGO&amp;VAR:INDEX=0"}</definedName>
    <definedName name="_54__FDSAUDITLINK__" hidden="1">{"fdsup://directions/FAT Viewer?action=UPDATE&amp;creator=factset&amp;DYN_ARGS=TRUE&amp;DOC_NAME=FAT:FQL_AUDITING_CLIENT_TEMPLATE.FAT&amp;display_string=Audit&amp;VAR:KEY=NWLCFEHKDW&amp;VAR:QUERY=RkZfSU5WRVNUX0xUKFFUUiwwKQ==&amp;WINDOW=FIRST_POPUP&amp;HEIGHT=450&amp;WIDTH=450&amp;START_MAXIMIZED=","FALSE&amp;VAR:CALENDAR=FIVEDAY&amp;VAR:SYMBOL=MYL&amp;VAR:INDEX=0"}</definedName>
    <definedName name="_55__FDSAUDITLINK__" hidden="1">{"fdsup://directions/FAT Viewer?action=UPDATE&amp;creator=factset&amp;DYN_ARGS=TRUE&amp;DOC_NAME=FAT:FQL_AUDITING_CLIENT_TEMPLATE.FAT&amp;display_string=Audit&amp;VAR:KEY=VOTWJIPIRG&amp;VAR:QUERY=RkZfSU5WRVNUX0xUKFFUUiwwKQ==&amp;WINDOW=FIRST_POPUP&amp;HEIGHT=450&amp;WIDTH=450&amp;START_MAXIMIZED=","FALSE&amp;VAR:CALENDAR=FIVEDAY&amp;VAR:SYMBOL=IPXL&amp;VAR:INDEX=0"}</definedName>
    <definedName name="_56__FDSAUDITLINK__" hidden="1">{"fdsup://directions/FAT Viewer?action=UPDATE&amp;creator=factset&amp;DYN_ARGS=TRUE&amp;DOC_NAME=FAT:FQL_AUDITING_CLIENT_TEMPLATE.FAT&amp;display_string=Audit&amp;VAR:KEY=HYXOPWBMVW&amp;VAR:QUERY=RkZfSU5WRVNUX0xUKFFUUiwwKQ==&amp;WINDOW=FIRST_POPUP&amp;HEIGHT=450&amp;WIDTH=450&amp;START_MAXIMIZED=","FALSE&amp;VAR:CALENDAR=FIVEDAY&amp;VAR:SYMBOL=HSP&amp;VAR:INDEX=0"}</definedName>
    <definedName name="_57__FDSAUDITLINK__" hidden="1">{"fdsup://directions/FAT Viewer?action=UPDATE&amp;creator=factset&amp;DYN_ARGS=TRUE&amp;DOC_NAME=FAT:FQL_AUDITING_CLIENT_TEMPLATE.FAT&amp;display_string=Audit&amp;VAR:KEY=JGLIBUVSXS&amp;VAR:QUERY=RkZfSU5WRVNUX0xUKFFUUiwwKQ==&amp;WINDOW=FIRST_POPUP&amp;HEIGHT=450&amp;WIDTH=450&amp;START_MAXIMIZED=","FALSE&amp;VAR:CALENDAR=FIVEDAY&amp;VAR:SYMBOL=HITK&amp;VAR:INDEX=0"}</definedName>
    <definedName name="_58__FDSAUDITLINK__" hidden="1">{"fdsup://directions/FAT Viewer?action=UPDATE&amp;creator=factset&amp;DYN_ARGS=TRUE&amp;DOC_NAME=FAT:FQL_AUDITING_CLIENT_TEMPLATE.FAT&amp;display_string=Audit&amp;VAR:KEY=LIZAJWFUFG&amp;VAR:QUERY=RkZfSU5WRVNUX0xUKFFUUiwwKQ==&amp;WINDOW=FIRST_POPUP&amp;HEIGHT=450&amp;WIDTH=450&amp;START_MAXIMIZED=","FALSE&amp;VAR:CALENDAR=FIVEDAY&amp;VAR:SYMBOL=WCRX&amp;VAR:INDEX=0"}</definedName>
    <definedName name="_59__FDSAUDITLINK__" hidden="1">{"fdsup://directions/FAT Viewer?action=UPDATE&amp;creator=factset&amp;DYN_ARGS=TRUE&amp;DOC_NAME=FAT:FQL_AUDITING_CLIENT_TEMPLATE.FAT&amp;display_string=Audit&amp;VAR:KEY=ZAPCZANCVI&amp;VAR:QUERY=RkZfSU5WRVNUX0xUKFFUUiwwKQ==&amp;WINDOW=FIRST_POPUP&amp;HEIGHT=450&amp;WIDTH=450&amp;START_MAXIMIZED=","FALSE&amp;VAR:CALENDAR=FIVEDAY&amp;VAR:SYMBOL=VPHM&amp;VAR:INDEX=0"}</definedName>
    <definedName name="_6__FDSAUDITLINK__" hidden="1">{"fdsup://directions/FAT Viewer?action=UPDATE&amp;creator=factset&amp;DYN_ARGS=TRUE&amp;DOC_NAME=FAT:FQL_AUDITING_CLIENT_TEMPLATE.FAT&amp;display_string=Audit&amp;VAR:KEY=ZYZAZOHSNG&amp;VAR:QUERY=RkZfRUJJVERBX0lCKEFOTiwyMDA2KQ==&amp;WINDOW=FIRST_POPUP&amp;HEIGHT=450&amp;WIDTH=450&amp;START_MAXIMI","ZED=FALSE&amp;VAR:CALENDAR=FIVEDAY&amp;VAR:SYMBOL=PFE&amp;VAR:INDEX=0"}</definedName>
    <definedName name="_60__FDSAUDITLINK__" hidden="1">{"fdsup://directions/FAT Viewer?action=UPDATE&amp;creator=factset&amp;DYN_ARGS=TRUE&amp;DOC_NAME=FAT:FQL_AUDITING_CLIENT_TEMPLATE.FAT&amp;display_string=Audit&amp;VAR:KEY=DMPWPUVYLW&amp;VAR:QUERY=RkZfSU5WRVNUX0xUKFFUUiwwKQ==&amp;WINDOW=FIRST_POPUP&amp;HEIGHT=450&amp;WIDTH=450&amp;START_MAXIMIZED=","FALSE&amp;VAR:CALENDAR=FIVEDAY&amp;VAR:SYMBOL=VRX&amp;VAR:INDEX=0"}</definedName>
    <definedName name="_61__FDSAUDITLINK__" hidden="1">{"fdsup://directions/FAT Viewer?action=UPDATE&amp;creator=factset&amp;DYN_ARGS=TRUE&amp;DOC_NAME=FAT:FQL_AUDITING_CLIENT_TEMPLATE.FAT&amp;display_string=Audit&amp;VAR:KEY=ZWLERMTOXY&amp;VAR:QUERY=RkZfSU5WRVNUX0xUKFFUUiwwKQ==&amp;WINDOW=FIRST_POPUP&amp;HEIGHT=450&amp;WIDTH=450&amp;START_MAXIMIZED=","FALSE&amp;VAR:CALENDAR=FIVEDAY&amp;VAR:SYMBOL=SLXP&amp;VAR:INDEX=0"}</definedName>
    <definedName name="_62__FDSAUDITLINK__" hidden="1">{"fdsup://directions/FAT Viewer?action=UPDATE&amp;creator=factset&amp;DYN_ARGS=TRUE&amp;DOC_NAME=FAT:FQL_AUDITING_CLIENT_TEMPLATE.FAT&amp;display_string=Audit&amp;VAR:KEY=TEVCJYNIRA&amp;VAR:QUERY=RkZfSU5WRVNUX0xUKFFUUiwwKQ==&amp;WINDOW=FIRST_POPUP&amp;HEIGHT=450&amp;WIDTH=450&amp;START_MAXIMIZED=","FALSE&amp;VAR:CALENDAR=FIVEDAY&amp;VAR:SYMBOL=MRX&amp;VAR:INDEX=0"}</definedName>
    <definedName name="_63__FDSAUDITLINK__" hidden="1">{"fdsup://directions/FAT Viewer?action=UPDATE&amp;creator=factset&amp;DYN_ARGS=TRUE&amp;DOC_NAME=FAT:FQL_AUDITING_CLIENT_TEMPLATE.FAT&amp;display_string=Audit&amp;VAR:KEY=PQXQHMJAJK&amp;VAR:QUERY=RkZfSU5WRVNUX0xUKFFUUiwwKQ==&amp;WINDOW=FIRST_POPUP&amp;HEIGHT=450&amp;WIDTH=450&amp;START_MAXIMIZED=","FALSE&amp;VAR:CALENDAR=FIVEDAY&amp;VAR:SYMBOL=JAZZ&amp;VAR:INDEX=0"}</definedName>
    <definedName name="_64__FDSAUDITLINK__" hidden="1">{"fdsup://directions/FAT Viewer?action=UPDATE&amp;creator=factset&amp;DYN_ARGS=TRUE&amp;DOC_NAME=FAT:FQL_AUDITING_CLIENT_TEMPLATE.FAT&amp;display_string=Audit&amp;VAR:KEY=HORKLYBSXK&amp;VAR:QUERY=RkZfSU5WRVNUX0xUKFFUUiwwKQ==&amp;WINDOW=FIRST_POPUP&amp;HEIGHT=450&amp;WIDTH=450&amp;START_MAXIMIZED=","FALSE&amp;VAR:CALENDAR=FIVEDAY&amp;VAR:SYMBOL=FRX&amp;VAR:INDEX=0"}</definedName>
    <definedName name="_65__FDSAUDITLINK__" hidden="1">{"fdsup://directions/FAT Viewer?action=UPDATE&amp;creator=factset&amp;DYN_ARGS=TRUE&amp;DOC_NAME=FAT:FQL_AUDITING_CLIENT_TEMPLATE.FAT&amp;display_string=Audit&amp;VAR:KEY=DITIHIDQBQ&amp;VAR:QUERY=RkZfSU5WRVNUX0xUKFFUUiwwKQ==&amp;WINDOW=FIRST_POPUP&amp;HEIGHT=450&amp;WIDTH=450&amp;START_MAXIMIZED=","FALSE&amp;VAR:CALENDAR=FIVEDAY&amp;VAR:SYMBOL=ENDP&amp;VAR:INDEX=0"}</definedName>
    <definedName name="_66__FDSAUDITLINK__" hidden="1">{"fdsup://directions/FAT Viewer?action=UPDATE&amp;creator=factset&amp;DYN_ARGS=TRUE&amp;DOC_NAME=FAT:FQL_AUDITING_CLIENT_TEMPLATE.FAT&amp;display_string=Audit&amp;VAR:KEY=RKVMRORARM&amp;VAR:QUERY=RkZfSU5WRVNUX0xUKFFUUiwwKQ==&amp;WINDOW=FIRST_POPUP&amp;HEIGHT=450&amp;WIDTH=450&amp;START_MAXIMIZED=","FALSE&amp;VAR:CALENDAR=FIVEDAY&amp;VAR:SYMBOL=CEPH&amp;VAR:INDEX=0"}</definedName>
    <definedName name="_67__FDSAUDITLINK__" hidden="1">{"fdsup://directions/FAT Viewer?action=UPDATE&amp;creator=factset&amp;DYN_ARGS=TRUE&amp;DOC_NAME=FAT:FQL_AUDITING_CLIENT_TEMPLATE.FAT&amp;display_string=Audit&amp;VAR:KEY=XILINMFINW&amp;VAR:QUERY=RkZfSU5WRVNUX0xUKFFUUiwwKQ==&amp;WINDOW=FIRST_POPUP&amp;HEIGHT=450&amp;WIDTH=450&amp;START_MAXIMIZED=","FALSE&amp;VAR:CALENDAR=FIVEDAY&amp;VAR:SYMBOL=AGN&amp;VAR:INDEX=0"}</definedName>
    <definedName name="_68__FDSAUDITLINK__" hidden="1">{"fdsup://directions/FAT Viewer?action=UPDATE&amp;creator=factset&amp;DYN_ARGS=TRUE&amp;DOC_NAME=FAT:FQL_AUDITING_CLIENT_TEMPLATE.FAT&amp;display_string=Audit&amp;VAR:KEY=NAHOLSNWDY&amp;VAR:QUERY=RkZfSU5WRVNUX0xUKFFUUiwwKQ==&amp;WINDOW=FIRST_POPUP&amp;HEIGHT=450&amp;WIDTH=450&amp;START_MAXIMIZED=","FALSE&amp;VAR:CALENDAR=FIVEDAY&amp;VAR:SYMBOL=GILD&amp;VAR:INDEX=0"}</definedName>
    <definedName name="_69__FDSAUDITLINK__" hidden="1">{"fdsup://directions/FAT Viewer?action=UPDATE&amp;creator=factset&amp;DYN_ARGS=TRUE&amp;DOC_NAME=FAT:FQL_AUDITING_CLIENT_TEMPLATE.FAT&amp;display_string=Audit&amp;VAR:KEY=XYVWDOTINK&amp;VAR:QUERY=RkZfSU5WRVNUX0xUKFFUUiwwKQ==&amp;WINDOW=FIRST_POPUP&amp;HEIGHT=450&amp;WIDTH=450&amp;START_MAXIMIZED=","FALSE&amp;VAR:CALENDAR=FIVEDAY&amp;VAR:SYMBOL=CELG&amp;VAR:INDEX=0"}</definedName>
    <definedName name="_7__FDSAUDITLINK__"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70__FDSAUDITLINK__" hidden="1">{"fdsup://directions/FAT Viewer?action=UPDATE&amp;creator=factset&amp;DYN_ARGS=TRUE&amp;DOC_NAME=FAT:FQL_AUDITING_CLIENT_TEMPLATE.FAT&amp;display_string=Audit&amp;VAR:KEY=VGXUNQXELC&amp;VAR:QUERY=RkZfSU5WRVNUX0xUKFFUUiwwKQ==&amp;WINDOW=FIRST_POPUP&amp;HEIGHT=450&amp;WIDTH=450&amp;START_MAXIMIZED=","FALSE&amp;VAR:CALENDAR=FIVEDAY&amp;VAR:SYMBOL=BIIB&amp;VAR:INDEX=0"}</definedName>
    <definedName name="_71__FDSAUDITLINK__" hidden="1">{"fdsup://directions/FAT Viewer?action=UPDATE&amp;creator=factset&amp;DYN_ARGS=TRUE&amp;DOC_NAME=FAT:FQL_AUDITING_CLIENT_TEMPLATE.FAT&amp;display_string=Audit&amp;VAR:KEY=ZWDUTWDEPG&amp;VAR:QUERY=RkZfSU5WRVNUX0xUKFFUUiwwKQ==&amp;WINDOW=FIRST_POPUP&amp;HEIGHT=450&amp;WIDTH=450&amp;START_MAXIMIZED=","FALSE&amp;VAR:CALENDAR=FIVEDAY&amp;VAR:SYMBOL=AMGN&amp;VAR:INDEX=0"}</definedName>
    <definedName name="_72__FDSAUDITLINK__" hidden="1">{"fdsup://directions/FAT Viewer?action=UPDATE&amp;creator=factset&amp;DYN_ARGS=TRUE&amp;DOC_NAME=FAT:FQL_AUDITING_CLIENT_TEMPLATE.FAT&amp;display_string=Audit&amp;VAR:KEY=LOPUXAFKXA&amp;VAR:QUERY=RkZfSU5WRVNUX0xUKFFUUiwwKQ==&amp;WINDOW=FIRST_POPUP&amp;HEIGHT=450&amp;WIDTH=450&amp;START_MAXIMIZED=","FALSE&amp;VAR:CALENDAR=FIVEDAY&amp;VAR:SYMBOL=ALXN&amp;VAR:INDEX=0"}</definedName>
    <definedName name="_73__FDSAUDITLINK__" hidden="1">{"fdsup://directions/FAT Viewer?action=UPDATE&amp;creator=factset&amp;DYN_ARGS=TRUE&amp;DOC_NAME=FAT:FQL_AUDITING_CLIENT_TEMPLATE.FAT&amp;display_string=Audit&amp;VAR:KEY=ZSHOZIHUTA&amp;VAR:QUERY=RkZfSU5WRVNUX0xUKFFUUiwwKQ==&amp;WINDOW=FIRST_POPUP&amp;HEIGHT=450&amp;WIDTH=450&amp;START_MAXIMIZED=","FALSE&amp;VAR:CALENDAR=FIVEDAY&amp;VAR:SYMBOL=435209&amp;VAR:INDEX=0"}</definedName>
    <definedName name="_74__FDSAUDITLINK__" hidden="1">{"fdsup://directions/FAT Viewer?action=UPDATE&amp;creator=factset&amp;DYN_ARGS=TRUE&amp;DOC_NAME=FAT:FQL_AUDITING_CLIENT_TEMPLATE.FAT&amp;display_string=Audit&amp;VAR:KEY=VQFEJCHUXU&amp;VAR:QUERY=RkZfREVCVChRVFIsMCk=&amp;WINDOW=FIRST_POPUP&amp;HEIGHT=450&amp;WIDTH=450&amp;START_MAXIMIZED=FALSE&amp;VA","R:CALENDAR=FIVEDAY&amp;VAR:SYMBOL=435209&amp;VAR:INDEX=0"}</definedName>
    <definedName name="_75__FDSAUDITLINK__" hidden="1">{"fdsup://directions/FAT Viewer?action=UPDATE&amp;creator=factset&amp;DYN_ARGS=TRUE&amp;DOC_NAME=FAT:FQL_AUDITING_CLIENT_TEMPLATE.FAT&amp;display_string=Audit&amp;VAR:KEY=LCJMPUTERA&amp;VAR:QUERY=RkZfSU5WRVNUX0xUKFFUUiwwKQ==&amp;WINDOW=FIRST_POPUP&amp;HEIGHT=450&amp;WIDTH=450&amp;START_MAXIMIZED=","FALSE&amp;VAR:CALENDAR=FIVEDAY&amp;VAR:SYMBOL=PFE&amp;VAR:INDEX=0"}</definedName>
    <definedName name="_76__FDSAUDITLINK__" hidden="1">{"fdsup://directions/FAT Viewer?action=UPDATE&amp;creator=factset&amp;DYN_ARGS=TRUE&amp;DOC_NAME=FAT:FQL_AUDITING_CLIENT_TEMPLATE.FAT&amp;display_string=Audit&amp;VAR:KEY=HYLCZGJGBW&amp;VAR:QUERY=RkZfSU5WRVNUX0xUKFFUUiwwKQ==&amp;WINDOW=FIRST_POPUP&amp;HEIGHT=450&amp;WIDTH=450&amp;START_MAXIMIZED=","FALSE&amp;VAR:CALENDAR=FIVEDAY&amp;VAR:SYMBOL=MRK&amp;VAR:INDEX=0"}</definedName>
    <definedName name="_77__FDSAUDITLINK__" hidden="1">{"fdsup://directions/FAT Viewer?action=UPDATE&amp;creator=factset&amp;DYN_ARGS=TRUE&amp;DOC_NAME=FAT:FQL_AUDITING_CLIENT_TEMPLATE.FAT&amp;display_string=Audit&amp;VAR:KEY=DERQHCPOHU&amp;VAR:QUERY=RkZfSU5WRVNUX0xUKFFUUiwwKQ==&amp;WINDOW=FIRST_POPUP&amp;HEIGHT=450&amp;WIDTH=450&amp;START_MAXIMIZED=","FALSE&amp;VAR:CALENDAR=FIVEDAY&amp;VAR:SYMBOL=LLY&amp;VAR:INDEX=0"}</definedName>
    <definedName name="_78__FDSAUDITLINK__" hidden="1">{"fdsup://directions/FAT Viewer?action=UPDATE&amp;creator=factset&amp;DYN_ARGS=TRUE&amp;DOC_NAME=FAT:FQL_AUDITING_CLIENT_TEMPLATE.FAT&amp;display_string=Audit&amp;VAR:KEY=FGNKPMPQZY&amp;VAR:QUERY=RkZfSU5WRVNUX0xUKFFUUiwwKQ==&amp;WINDOW=FIRST_POPUP&amp;HEIGHT=450&amp;WIDTH=450&amp;START_MAXIMIZED=","FALSE&amp;VAR:CALENDAR=FIVEDAY&amp;VAR:SYMBOL=JNJ&amp;VAR:INDEX=0"}</definedName>
    <definedName name="_79__FDSAUDITLINK__" hidden="1">{"fdsup://directions/FAT Viewer?action=UPDATE&amp;creator=factset&amp;DYN_ARGS=TRUE&amp;DOC_NAME=FAT:FQL_AUDITING_CLIENT_TEMPLATE.FAT&amp;display_string=Audit&amp;VAR:KEY=LYXSRCBOHA&amp;VAR:QUERY=RkZfSU5WRVNUX0xUKFFUUiwwKQ==&amp;WINDOW=FIRST_POPUP&amp;HEIGHT=450&amp;WIDTH=450&amp;START_MAXIMIZED=","FALSE&amp;VAR:CALENDAR=FIVEDAY&amp;VAR:SYMBOL=BMY&amp;VAR:INDEX=0"}</definedName>
    <definedName name="_8__FDSAUDITLINK__"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80__FDSAUDITLINK__" hidden="1">{"fdsup://directions/FAT Viewer?action=UPDATE&amp;creator=factset&amp;DYN_ARGS=TRUE&amp;DOC_NAME=FAT:FQL_AUDITING_CLIENT_TEMPLATE.FAT&amp;display_string=Audit&amp;VAR:KEY=ZOVAZMHKPC&amp;VAR:QUERY=RkZfSU5WRVNUX0xUKFFUUiwwKQ==&amp;WINDOW=FIRST_POPUP&amp;HEIGHT=450&amp;WIDTH=450&amp;START_MAXIMIZED=","FALSE&amp;VAR:CALENDAR=FIVEDAY&amp;VAR:SYMBOL=ABT&amp;VAR:INDEX=0"}</definedName>
    <definedName name="_81__FDSAUDITLINK__" hidden="1">{"fdsup://directions/FAT Viewer?action=UPDATE&amp;creator=factset&amp;DYN_ARGS=TRUE&amp;DOC_NAME=FAT:FQL_AUDITING_CLIENT_TEMPLATE.FAT&amp;display_string=Audit&amp;VAR:KEY=JSLSBKVYHS&amp;VAR:QUERY=RkZfSU5WRVNUX0xUKFFUUiwwKQ==&amp;WINDOW=FIRST_POPUP&amp;HEIGHT=450&amp;WIDTH=450&amp;START_MAXIMIZED=","FALSE&amp;VAR:CALENDAR=FIVEDAY&amp;VAR:SYMBOL=AZN&amp;VAR:INDEX=0"}</definedName>
    <definedName name="_82__FDSAUDITLINK__" hidden="1">{"fdsup://directions/FAT Viewer?action=UPDATE&amp;creator=factset&amp;DYN_ARGS=TRUE&amp;DOC_NAME=FAT:FQL_AUDITING_CLIENT_TEMPLATE.FAT&amp;display_string=Audit&amp;VAR:KEY=HAHKXMLERQ&amp;VAR:QUERY=RkZfSU5WRVNUX0xUKFFUUiwwKQ==&amp;WINDOW=FIRST_POPUP&amp;HEIGHT=450&amp;WIDTH=450&amp;START_MAXIMIZED=","FALSE&amp;VAR:CALENDAR=FIVEDAY&amp;VAR:SYMBOL=NVS&amp;VAR:INDEX=0"}</definedName>
    <definedName name="_83__FDSAUDITLINK__" hidden="1">{"fdsup://directions/FAT Viewer?action=UPDATE&amp;creator=factset&amp;DYN_ARGS=TRUE&amp;DOC_NAME=FAT:FQL_AUDITING_CLIENT_TEMPLATE.FAT&amp;display_string=Audit&amp;VAR:KEY=ZGBABKVOBO&amp;VAR:QUERY=RkZfSU5WRVNUX0xUKFFUUiwwKQ==&amp;WINDOW=FIRST_POPUP&amp;HEIGHT=450&amp;WIDTH=450&amp;START_MAXIMIZED=","FALSE&amp;VAR:CALENDAR=FIVEDAY&amp;VAR:SYMBOL=SHPGY&amp;VAR:INDEX=0"}</definedName>
    <definedName name="_84__FDSAUDITLINK__" hidden="1">{"fdsup://Directions/FactSet Auditing Viewer?action=AUDIT_VALUE&amp;DB=129&amp;ID1=00282410&amp;VALUEID=02001&amp;SDATE=201102&amp;PERIODTYPE=QTR_STD&amp;SCFT=3&amp;window=popup_no_bar&amp;width=385&amp;height=120&amp;START_MAXIMIZED=FALSE&amp;creator=factset&amp;display_string=Audit"}</definedName>
    <definedName name="_85__FDSAUDITLINK__" hidden="1">{"fdsup://directions/FAT Viewer?action=UPDATE&amp;creator=factset&amp;DYN_ARGS=TRUE&amp;DOC_NAME=FAT:FQL_AUDITING_CLIENT_TEMPLATE.FAT&amp;display_string=Audit&amp;VAR:KEY=FQVITULUDU&amp;VAR:QUERY=RkZfREVCVChRVFIsMCk=&amp;WINDOW=FIRST_POPUP&amp;HEIGHT=450&amp;WIDTH=450&amp;START_MAXIMIZED=FALSE&amp;VA","R:CALENDAR=FIVEDAY&amp;VAR:SYMBOL=ABT&amp;VAR:INDEX=0"}</definedName>
    <definedName name="_86__FDSAUDITLINK__" hidden="1">{"fdsup://Directions/FactSet Auditing Viewer?action=AUDIT_VALUE&amp;DB=129&amp;ID1=11012210&amp;VALUEID=02001&amp;SDATE=201102&amp;PERIODTYPE=QTR_STD&amp;SCFT=3&amp;window=popup_no_bar&amp;width=385&amp;height=120&amp;START_MAXIMIZED=FALSE&amp;creator=factset&amp;display_string=Audit"}</definedName>
    <definedName name="_87__FDSAUDITLINK__" hidden="1">{"fdsup://directions/FAT Viewer?action=UPDATE&amp;creator=factset&amp;DYN_ARGS=TRUE&amp;DOC_NAME=FAT:FQL_AUDITING_CLIENT_TEMPLATE.FAT&amp;display_string=Audit&amp;VAR:KEY=DKTMXEVMHY&amp;VAR:QUERY=RkZfREVCVChRVFIsMCk=&amp;WINDOW=FIRST_POPUP&amp;HEIGHT=450&amp;WIDTH=450&amp;START_MAXIMIZED=FALSE&amp;VA","R:CALENDAR=FIVEDAY&amp;VAR:SYMBOL=BMY&amp;VAR:INDEX=0"}</definedName>
    <definedName name="_88__FDSAUDITLINK__" hidden="1">{"fdsup://Directions/FactSet Auditing Viewer?action=AUDIT_VALUE&amp;DB=129&amp;ID1=47816010&amp;VALUEID=02001&amp;SDATE=201102&amp;PERIODTYPE=QTR_STD&amp;SCFT=3&amp;window=popup_no_bar&amp;width=385&amp;height=120&amp;START_MAXIMIZED=FALSE&amp;creator=factset&amp;display_string=Audit"}</definedName>
    <definedName name="_89__FDSAUDITLINK__" hidden="1">{"fdsup://directions/FAT Viewer?action=UPDATE&amp;creator=factset&amp;DYN_ARGS=TRUE&amp;DOC_NAME=FAT:FQL_AUDITING_CLIENT_TEMPLATE.FAT&amp;display_string=Audit&amp;VAR:KEY=TCZQTEZSZW&amp;VAR:QUERY=RkZfREVCVChRVFIsMCk=&amp;WINDOW=FIRST_POPUP&amp;HEIGHT=450&amp;WIDTH=450&amp;START_MAXIMIZED=FALSE&amp;VA","R:CALENDAR=FIVEDAY&amp;VAR:SYMBOL=JNJ&amp;VAR:INDEX=0"}</definedName>
    <definedName name="_9__FDSAUDITLINK__"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90__FDSAUDITLINK__" hidden="1">{"fdsup://Directions/FactSet Auditing Viewer?action=AUDIT_VALUE&amp;DB=129&amp;ID1=53245710&amp;VALUEID=02001&amp;SDATE=201102&amp;PERIODTYPE=QTR_STD&amp;SCFT=3&amp;window=popup_no_bar&amp;width=385&amp;height=120&amp;START_MAXIMIZED=FALSE&amp;creator=factset&amp;display_string=Audit"}</definedName>
    <definedName name="_91__FDSAUDITLINK__" hidden="1">{"fdsup://directions/FAT Viewer?action=UPDATE&amp;creator=factset&amp;DYN_ARGS=TRUE&amp;DOC_NAME=FAT:FQL_AUDITING_CLIENT_TEMPLATE.FAT&amp;display_string=Audit&amp;VAR:KEY=XEBYRMFCTI&amp;VAR:QUERY=RkZfREVCVChRVFIsMCk=&amp;WINDOW=FIRST_POPUP&amp;HEIGHT=450&amp;WIDTH=450&amp;START_MAXIMIZED=FALSE&amp;VA","R:CALENDAR=FIVEDAY&amp;VAR:SYMBOL=LLY&amp;VAR:INDEX=0"}</definedName>
    <definedName name="_92__FDSAUDITLINK__" hidden="1">{"fdsup://Directions/FactSet Auditing Viewer?action=AUDIT_VALUE&amp;DB=129&amp;ID1=58933Y10&amp;VALUEID=02001&amp;SDATE=201102&amp;PERIODTYPE=QTR_STD&amp;SCFT=3&amp;window=popup_no_bar&amp;width=385&amp;height=120&amp;START_MAXIMIZED=FALSE&amp;creator=factset&amp;display_string=Audit"}</definedName>
    <definedName name="_93__FDSAUDITLINK__" hidden="1">{"fdsup://directions/FAT Viewer?action=UPDATE&amp;creator=factset&amp;DYN_ARGS=TRUE&amp;DOC_NAME=FAT:FQL_AUDITING_CLIENT_TEMPLATE.FAT&amp;display_string=Audit&amp;VAR:KEY=VSHAXOFKJC&amp;VAR:QUERY=RkZfREVCVChRVFIsMCk=&amp;WINDOW=FIRST_POPUP&amp;HEIGHT=450&amp;WIDTH=450&amp;START_MAXIMIZED=FALSE&amp;VA","R:CALENDAR=FIVEDAY&amp;VAR:SYMBOL=MRK&amp;VAR:INDEX=0"}</definedName>
    <definedName name="_94__FDSAUDITLINK__" hidden="1">{"fdsup://Directions/FactSet Auditing Viewer?action=AUDIT_VALUE&amp;DB=129&amp;ID1=71708110&amp;VALUEID=02001&amp;SDATE=201102&amp;PERIODTYPE=QTR_STD&amp;SCFT=3&amp;window=popup_no_bar&amp;width=385&amp;height=120&amp;START_MAXIMIZED=FALSE&amp;creator=factset&amp;display_string=Audit"}</definedName>
    <definedName name="_95__FDSAUDITLINK__" hidden="1">{"fdsup://directions/FAT Viewer?action=UPDATE&amp;creator=factset&amp;DYN_ARGS=TRUE&amp;DOC_NAME=FAT:FQL_AUDITING_CLIENT_TEMPLATE.FAT&amp;display_string=Audit&amp;VAR:KEY=DKFMPYNSHQ&amp;VAR:QUERY=RkZfREVCVChRVFIsMCk=&amp;WINDOW=FIRST_POPUP&amp;HEIGHT=450&amp;WIDTH=450&amp;START_MAXIMIZED=FALSE&amp;VA","R:CALENDAR=FIVEDAY&amp;VAR:SYMBOL=PFE&amp;VAR:INDEX=0"}</definedName>
    <definedName name="_96__FDSAUDITLINK__" hidden="1">{"fdsup://directions/FAT Viewer?action=UPDATE&amp;creator=factset&amp;DYN_ARGS=TRUE&amp;DOC_NAME=FAT:FQL_AUDITING_CLIENT_TEMPLATE.FAT&amp;display_string=Audit&amp;VAR:KEY=JWRODKFUNO&amp;VAR:QUERY=RkZfREVCVChRVFIsMCk=&amp;WINDOW=FIRST_POPUP&amp;HEIGHT=450&amp;WIDTH=450&amp;START_MAXIMIZED=FALSE&amp;VA","R:CALENDAR=FIVEDAY&amp;VAR:SYMBOL=AZN&amp;VAR:INDEX=0"}</definedName>
    <definedName name="_97__FDSAUDITLINK__" hidden="1">{"fdsup://directions/FAT Viewer?action=UPDATE&amp;creator=factset&amp;DYN_ARGS=TRUE&amp;DOC_NAME=FAT:FQL_AUDITING_CLIENT_TEMPLATE.FAT&amp;display_string=Audit&amp;VAR:KEY=DIZEHARWFQ&amp;VAR:QUERY=RkZfREVCVChRVFIsMCk=&amp;WINDOW=FIRST_POPUP&amp;HEIGHT=450&amp;WIDTH=450&amp;START_MAXIMIZED=FALSE&amp;VA","R:CALENDAR=FIVEDAY&amp;VAR:SYMBOL=NVS&amp;VAR:INDEX=0"}</definedName>
    <definedName name="_98__FDSAUDITLINK__" hidden="1">{"fdsup://directions/FAT Viewer?action=UPDATE&amp;creator=factset&amp;DYN_ARGS=TRUE&amp;DOC_NAME=FAT:FQL_AUDITING_CLIENT_TEMPLATE.FAT&amp;display_string=Audit&amp;VAR:KEY=VSPITILQPU&amp;VAR:QUERY=RkZfREVCVChRVFIsMCk=&amp;WINDOW=FIRST_POPUP&amp;HEIGHT=450&amp;WIDTH=450&amp;START_MAXIMIZED=FALSE&amp;VA","R:CALENDAR=FIVEDAY&amp;VAR:SYMBOL=SHPGY&amp;VAR:INDEX=0"}</definedName>
    <definedName name="_99__FDSAUDITLINK__" hidden="1">{"fdsup://Directions/FactSet Auditing Viewer?action=AUDIT_VALUE&amp;DB=129&amp;ID1=01535110&amp;VALUEID=02001&amp;SDATE=201102&amp;PERIODTYPE=QTR_STD&amp;SCFT=3&amp;window=popup_no_bar&amp;width=385&amp;height=120&amp;START_MAXIMIZED=FALSE&amp;creator=factset&amp;display_string=Audit"}</definedName>
    <definedName name="_bdm.02E29E7B1053433EA3CCCBE4E5141596.edm" hidden="1">[1]Sheet1!$A:$IV</definedName>
    <definedName name="_bdm.0465D0F8BD2C4E888AB9C11EA0CBE52C.edm" hidden="1">'[2]rev change analysis'!$A:$IV</definedName>
    <definedName name="_bdm.23CAB1676C0C411BB6D812CE5B582BC0.edm" hidden="1">'[2]MWA RR'!$A:$IV</definedName>
    <definedName name="_bdm.2DD2C96D34A94119897BA9F9064DA371.edm" hidden="1">'[3]rev change analysis'!$A:$IV</definedName>
    <definedName name="_bdm.31B38A4456914D13B036C519BB497D92.edm" hidden="1">'[4]rev change analysis'!$A:$IV</definedName>
    <definedName name="_bdm.384BFCED33ED4B149016C877E23F998D.edm" hidden="1">'[4]short IS'!$A:$IV</definedName>
    <definedName name="_bdm.42F67CCC3C1C45638B5EC98256E90947.edm" hidden="1">'[5]Good 12-00 (2)'!$A:$IV</definedName>
    <definedName name="_bdm.46D56600DB7840728F138544F8E425DB.edm" hidden="1">'[5]Good 11-36'!$A:$IV</definedName>
    <definedName name="_bdm.60A1016E4A5045B0B4BE42FB21AAF6D6.edm" hidden="1">'[5]Good 11-50'!$A:$IV</definedName>
    <definedName name="_bdm.7317521E367C4A50896524C70180A68C.edm" hidden="1">'[4]2015 rev change'!$A:$IV</definedName>
    <definedName name="_bdm.731BDA48F9E34C35A30B181461F49F5F.edm" hidden="1">'[6]Retail prices'!$A:$IV</definedName>
    <definedName name="_bdm.76074D17ADD044A287D271B1AAFC4036.edm" hidden="1">'[4]Product Mix 100%'!$A:$IV</definedName>
    <definedName name="_bdm.77192A69936D48368D0A13E908672759.edm" hidden="1">'[4]cost savings'!$A:$IV</definedName>
    <definedName name="_bdm.84F38A9759994A80A6CF34B5BBEB633C.edm" hidden="1">'[7]rev change analysis'!$A:$IV</definedName>
    <definedName name="_bdm.9301DDFC67D846248C16E96B86458D94.edm" hidden="1">'[2]rev contribution analysis'!$A:$IV</definedName>
    <definedName name="_bdm.C7C6FBA36F39444B8BCEC128D5B7F931.edm" hidden="1">'[5]Sheet3 (5)'!$A:$IV</definedName>
    <definedName name="_bdm.E2B991B7B5454C4CBE252B2B73D6513B.edm" hidden="1">[8]margins!$A:$IV</definedName>
    <definedName name="_bdm.F0D73515AC3D4919BC3602806970DE2D.edm" hidden="1">'[4]Per Pharma Traditional &amp; Biolog'!$A:$IV</definedName>
    <definedName name="_bdm.F503F160FFA641EDB1AD757205401861.edm" hidden="1">'[8]rev change analysis'!$A:$IV</definedName>
    <definedName name="_Key1" hidden="1">[9]単独!$U$1</definedName>
    <definedName name="_Order1" hidden="1">255</definedName>
    <definedName name="_Sort" hidden="1">[9]単独!$A$512:$AC$552</definedName>
    <definedName name="a" hidden="1">[9]ｾｸﾞﾒﾝﾄ!$E$165:$I$165</definedName>
    <definedName name="abc" localSheetId="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c" localSheetId="13"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c"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ctual" hidden="1">{#N/A,#N/A,TRUE,"Historicals";#N/A,#N/A,TRUE,"Charts";#N/A,#N/A,TRUE,"Forecasts"}</definedName>
    <definedName name="AdditionalInstructions">IndexInformation!$B$42</definedName>
    <definedName name="Address" localSheetId="0">ImportantDisclosures!$A$2:$A$2</definedName>
    <definedName name="ANA" localSheetId="15">ModPubIndex!$A$7</definedName>
    <definedName name="anscount" hidden="1">1</definedName>
    <definedName name="asd" localSheetId="1" hidden="1">{"QTR1",#N/A,FALSE,"WLA";"QTR2",#N/A,FALSE,"WLA";"QTRSALES1",#N/A,FALSE,"QTRSALES";"QTRSALES2",#N/A,FALSE,"QTRSALES";"QTRSALES3",#N/A,FALSE,"QTRSALES";"ANNSALES1",#N/A,FALSE,"ANNSALES";"ANNSALES2",#N/A,FALSE,"ANNSALES";"ANNSALES3",#N/A,FALSE,"ANNSALES";"SEGSMARGIN",#N/A,FALSE,"SEGS-MARGIN";"CASHFLOW",#N/A,FALSE,"CASHFLOW";"NEWPRODS",#N/A,FALSE,"NEWPRODS"}</definedName>
    <definedName name="asd" hidden="1">{"QTR1",#N/A,FALSE,"WLA";"QTR2",#N/A,FALSE,"WLA";"QTRSALES1",#N/A,FALSE,"QTRSALES";"QTRSALES2",#N/A,FALSE,"QTRSALES";"QTRSALES3",#N/A,FALSE,"QTRSALES";"ANNSALES1",#N/A,FALSE,"ANNSALES";"ANNSALES2",#N/A,FALSE,"ANNSALES";"ANNSALES3",#N/A,FALSE,"ANNSALES";"SEGSMARGIN",#N/A,FALSE,"SEGS-MARGIN";"CASHFLOW",#N/A,FALSE,"CASHFLOW";"NEWPRODS",#N/A,FALSE,"NEWPRODS"}</definedName>
    <definedName name="asda" hidden="1">{"fdsup://directions/FAT%20Viewer?VAR:PED=20071231&amp;VAR:PERIOD=FIXED&amp;VAR:V=5.898401&amp;VAR:AUDIT_ID=71692910&amp;VAR:DATE=20100305&amp;action=UPDATE&amp;creator=factset&amp;DOC_NAME=FAT:FMA_audit_DETAIL.fat&amp;DISPLAY_STRING=Display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Authors" localSheetId="0">ImportantDisclosures!$A$7</definedName>
    <definedName name="Authors" localSheetId="14">IndexInformation!$B$18</definedName>
    <definedName name="b" hidden="1">[9]ｾｸﾞﾒﾝﾄ!$E$167:$I$167</definedName>
    <definedName name="BRO" localSheetId="15">ModPubIndex!$A$1</definedName>
    <definedName name="cb_sChart10D6460A_opts" hidden="1">"1, 1, 1, False, 2, True, False, , 0, False, False, 1, 1"</definedName>
    <definedName name="cb_sChart10D65256_opts" hidden="1">"1, 1, 1, False, 2, True, False, , 0, False, False, 1, 1"</definedName>
    <definedName name="cb_sChart10D653EB_opts" hidden="1">"1, 1, 1, False, 2, True, False, , 0, False, False, 1, 1"</definedName>
    <definedName name="cb_sChart10D65893_opts" hidden="1">"1, 1, 1, False, 2, True, False, , 0, False, False, 1, 1"</definedName>
    <definedName name="cb_sChartEE4CE1B_opts" hidden="1">"1, 4, 1, False, 2, False, False, , 0, False, False, 1, 1"</definedName>
    <definedName name="cb_sChartEE4CF99_opts" hidden="1">"1, 1, 1, False, 2, False, False, , 0, False, False, 1, 1"</definedName>
    <definedName name="cb_sChartEE4DD06_opts" hidden="1">"1, 1, 1, False, 2, False, False, , 0, False, False, 1, 2"</definedName>
    <definedName name="cb_sChartEE4E93B_opts" hidden="1">"1, 1, 1, False, 2, False, False, , 0, False, False, 1, 1"</definedName>
    <definedName name="cb_sChartEE51E95_opts" hidden="1">"1, 1, 1, False, 2, False, False, , 0, False, False, 1, 1"</definedName>
    <definedName name="cb_sChartEED7645_opts" hidden="1">"1, 1, 1, False, 2, False, False, , 0, False, False, 1, 1"</definedName>
    <definedName name="cb_sChartEEDA195_opts" hidden="1">"1, 1, 1, False, 2, False, False, , 0, False, False, 1, 1"</definedName>
    <definedName name="cb_sChartEEDC338_opts" hidden="1">"1, 1, 1, False, 2, False, False, , 0, False, False, 1, 1"</definedName>
    <definedName name="cb_sChartEEDEDB8_opts" hidden="1">"1, 1, 1, False, 2, False, False, , 0, False, True, 1, 1"</definedName>
    <definedName name="cb_sChartEEDEE5A_opts" hidden="1">"1, 3, 1, False, 2, True, False, , 0, False, True, 1, 1"</definedName>
    <definedName name="cb_sChartEEDF178_opts" hidden="1">"1, 3, 1, False, 2, False, False, , 0, False, True, 1, 1"</definedName>
    <definedName name="cb_sChartF6A6B11_opts" hidden="1">"1, 1, 1, False, 2, True, False, , 0, False, False, 1, 1"</definedName>
    <definedName name="cb_sChartFD191DC_opts" hidden="1">"1, 3, 1, False, 2, True, False, , 0, False, True, 1, 1"</definedName>
    <definedName name="cb_sChartFD1A245_opts" hidden="1">"1, 3, 1, False, 2, True, False, , 0, False, True, 1, 1"</definedName>
    <definedName name="cb_sChartFD3F0E9_opts" hidden="1">"1, 3, 1, False, 2, True, False, , 0, False, False, 1, 1"</definedName>
    <definedName name="cb_sChartFD3F27E_opts" hidden="1">"1, 3, 1, False, 2, True, False, , 0, False, True, 1, 1"</definedName>
    <definedName name="cb_sChartFD58483_opts" hidden="1">"1, 1, 1, False, 2, True, False, , 0, False, False, 1, 1"</definedName>
    <definedName name="cb_sChartFD5C4CD_opts" hidden="1">"1, 1, 1, False, 2, True, False, , 0, False, False, 1, 1"</definedName>
    <definedName name="cb_sChartFD5D4CE_opts" hidden="1">"1, 1, 1, False, 2, True, False, , 0, False, False, 1, 1"</definedName>
    <definedName name="cb_sChartFD5DF34_opts" hidden="1">"1, 1, 1, False, 2, True, False, , 0, False, False, 1, 1"</definedName>
    <definedName name="cb_sChartFD5EFC0_opts" hidden="1">"1, 1, 1, False, 2, True, False, , 0, False, False, 1, 1"</definedName>
    <definedName name="cb_sChartFD5FDB9_opts" hidden="1">"1, 1, 1, False, 2, True, False, , 0, False, False, 1, 1"</definedName>
    <definedName name="cb_sChartFE54712_opts" hidden="1">"1, 3, 1, False, 2, True, False, , 0, False, True, 1, 1"</definedName>
    <definedName name="CopyrightStamp">ImportantDisclosures!$A$27</definedName>
    <definedName name="COU" localSheetId="15">ModPubIndex!$A$5</definedName>
    <definedName name="CQEnd" localSheetId="14">IndexInformation!$B$31</definedName>
    <definedName name="cu102.ShareScalingFactor" hidden="1">1000000</definedName>
    <definedName name="cu103.EmployeeScalingFactor" hidden="1">1000</definedName>
    <definedName name="cu107.DPSSymbol" hidden="1">"US$"</definedName>
    <definedName name="cu107.EPSSymbol" hidden="1">"US$"</definedName>
    <definedName name="cu71.ScalingFactor" hidden="1">1000000</definedName>
    <definedName name="cu71.ScalingFactor_1" hidden="1">1000</definedName>
    <definedName name="Currency" localSheetId="14">IndexInformation!$B$24</definedName>
    <definedName name="CurrentStockPrice" localSheetId="14">IndexInformation!$B$23</definedName>
    <definedName name="CurrQtrEPS" localSheetId="14">IndexInformation!$B$29</definedName>
    <definedName name="CurrYearEPS" localSheetId="14">IndexInformation!$B$11</definedName>
    <definedName name="CurrYearTotalRevenue" localSheetId="14">IndexInformation!$B$10</definedName>
    <definedName name="CurrYearTotalRevenueActual" localSheetId="14">IndexInformation!$B$32</definedName>
    <definedName name="CUSIP" localSheetId="14">IndexInformation!$B$20</definedName>
    <definedName name="CYEnd" localSheetId="14">IndexInformation!$B$30</definedName>
    <definedName name="Date" localSheetId="0">ImportantDisclosures!$A$8</definedName>
    <definedName name="Deleted" localSheetId="14">IndexInformation!$B$27</definedName>
    <definedName name="Description" localSheetId="14">IndexInformation!$B$7</definedName>
    <definedName name="Discipline" localSheetId="14">IndexInformation!$B$3</definedName>
    <definedName name="DISCIPLINE" localSheetId="15">ModPubIndex!$A$12</definedName>
    <definedName name="DisclosuresText">ImportantDisclosures!$A$22</definedName>
    <definedName name="Distribution" localSheetId="14">IndexInformation!$B$26</definedName>
    <definedName name="DistTable" localSheetId="0">ImportantDisclosures!#REF!</definedName>
    <definedName name="DistTablePreamble" localSheetId="0">ImportantDisclosures!#REF!</definedName>
    <definedName name="DOCDAT" localSheetId="15">ModPubIndex!$A$2</definedName>
    <definedName name="DOCTIME" localSheetId="15">ModPubIndex!$A$3</definedName>
    <definedName name="DocType" localSheetId="14">IndexInformation!$B$5</definedName>
    <definedName name="EMAIL_ALERT" localSheetId="15">ModPubIndex!$A$10</definedName>
    <definedName name="EmailAlert" localSheetId="14">IndexInformation!$B$28</definedName>
    <definedName name="ev.Calculation" hidden="1">-4135</definedName>
    <definedName name="ev.Initialized" hidden="1">FALSE</definedName>
    <definedName name="ｆ" hidden="1">"iQShowAnnual"</definedName>
    <definedName name="FiveYearGrowthRate" localSheetId="14">IndexInformation!$B$16</definedName>
    <definedName name="FollowingYearEPS" localSheetId="14">IndexInformation!$B$15</definedName>
    <definedName name="FollowingYearTotalRevenue" localSheetId="14">IndexInformation!$B$14</definedName>
    <definedName name="FollowingYearTotalRevenueActual" localSheetId="14">IndexInformation!$B$34</definedName>
    <definedName name="forecast" localSheetId="1" hidden="1">{"cover a","1q",FALSE,"Cover";"Op Earn Mgd Q1",#N/A,FALSE,"Op-Earn (Mng)";"Op Earn Rpt Q1",#N/A,FALSE,"Op-Earn (Rpt)";"Loans",#N/A,FALSE,"Loans";"Credit Costs",#N/A,FALSE,"CCosts";"Net Interest Margin",#N/A,FALSE,"Margin";"Nonint Income",#N/A,FALSE,"NonII";"Nonint Exp",#N/A,FALSE,"NonIE";"Valuation",#N/A,FALSE,"Valuation"}</definedName>
    <definedName name="forecast" hidden="1">{"cover a","1q",FALSE,"Cover";"Op Earn Mgd Q1",#N/A,FALSE,"Op-Earn (Mng)";"Op Earn Rpt Q1",#N/A,FALSE,"Op-Earn (Rpt)";"Loans",#N/A,FALSE,"Loans";"Credit Costs",#N/A,FALSE,"CCosts";"Net Interest Margin",#N/A,FALSE,"Margin";"Nonint Income",#N/A,FALSE,"NonII";"Nonint Exp",#N/A,FALSE,"NonIE";"Valuation",#N/A,FALSE,"Valuation"}</definedName>
    <definedName name="HL" localSheetId="15">ModPubIndex!$A$8</definedName>
    <definedName name="hn.ModelVersion" hidden="1">1</definedName>
    <definedName name="hn.NoUpload" hidden="1">0</definedName>
    <definedName name="Img_ML_7g5e5e2b" hidden="1">"IMG_12"</definedName>
    <definedName name="IND" localSheetId="15">ModPubIndex!$A$9</definedName>
    <definedName name="Industry" localSheetId="0">ImportantDisclosures!$A$12</definedName>
    <definedName name="IndustryId">IndexInformation!$B$40</definedName>
    <definedName name="IndustryRating" localSheetId="0">ImportantDisclosures!$A$13</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DIN" hidden="1">"AUTO"</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REUT" hidden="1">"c3630"</definedName>
    <definedName name="IQ_AVG_DAILY_VOL" hidden="1">"c65"</definedName>
    <definedName name="IQ_AVG_INDUSTRY_REC" hidden="1">"c4455"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OVER_SHARES" hidden="1">"c1349"</definedName>
    <definedName name="IQ_BV_SHARE" hidden="1">"c100"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"c1630"</definedName>
    <definedName name="IQ_CASH_CONVERSION" hidden="1">"c117"</definedName>
    <definedName name="IQ_CASH_DUE_BANKS" hidden="1">"c1351"</definedName>
    <definedName name="IQ_CASH_EQUIV" hidden="1">"c118"</definedName>
    <definedName name="IQ_CASH_FINAN" hidden="1">"c119"</definedName>
    <definedName name="IQ_CASH_FLOW_ACT_OR_EST" hidden="1">"c4154"</definedName>
    <definedName name="IQ_CASH_INTEREST" hidden="1">"c120"</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OSITS_INTEREST_SECURITIES" hidden="1">"c5509"</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"c2106"</definedName>
    <definedName name="IQ_DIV_RECORD_DATE" hidden="1">"c2105"</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Q_INC" hidden="1">"c3498"</definedName>
    <definedName name="IQ_EBIT_EQ_INC_EXCL_SBC" hidden="1">"c3502"</definedName>
    <definedName name="IQ_EBIT_EXCL_SBC" hidden="1">"c3082"</definedName>
    <definedName name="IQ_EBIT_GW_ACT_OR_EST" hidden="1">"c4306"</definedName>
    <definedName name="IQ_EBIT_INT" hidden="1">"c360"</definedName>
    <definedName name="IQ_EBIT_MARGIN" hidden="1">"c359"</definedName>
    <definedName name="IQ_EBIT_OVER_IE" hidden="1">"c1369"</definedName>
    <definedName name="IQ_EBIT_SBC_ACT_OR_EST" hidden="1">"c4316"</definedName>
    <definedName name="IQ_EBIT_SBC_GW_ACT_OR_EST" hidden="1">"c4320"</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ACT_OR_EST" hidden="1">"c2215"</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REUT" hidden="1">"c3640"</definedName>
    <definedName name="IQ_EBITDA_EXCL_SBC" hidden="1">"c3081"</definedName>
    <definedName name="IQ_EBITDA_HIGH_EST" hidden="1">"c370"</definedName>
    <definedName name="IQ_EBITDA_HIGH_EST_REUT" hidden="1">"c3642"</definedName>
    <definedName name="IQ_EBITDA_INT" hidden="1">"c373"</definedName>
    <definedName name="IQ_EBITDA_LOW_EST" hidden="1">"c371"</definedName>
    <definedName name="IQ_EBITDA_LOW_EST_REUT" hidden="1">"c3643"</definedName>
    <definedName name="IQ_EBITDA_MARGIN" hidden="1">"c372"</definedName>
    <definedName name="IQ_EBITDA_MEDIAN_EST" hidden="1">"c1663"</definedName>
    <definedName name="IQ_EBITDA_MEDIAN_EST_REUT" hidden="1">"c3641"</definedName>
    <definedName name="IQ_EBITDA_NUM_EST" hidden="1">"c374"</definedName>
    <definedName name="IQ_EBITDA_NUM_EST_REUT" hidden="1">"c3644"</definedName>
    <definedName name="IQ_EBITDA_OVER_TOTAL_IE" hidden="1">"c1371"</definedName>
    <definedName name="IQ_EBITDA_SBC_ACT_OR_EST" hidden="1">"c4337"</definedName>
    <definedName name="IQ_EBITDA_STDDEV_EST" hidden="1">"c375"</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SBC_ACT_OR_EST" hidden="1">"c4350"</definedName>
    <definedName name="IQ_EBT_SBC_GW_ACT_OR_EST" hidden="1">"c4354"</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EST_REUT" hidden="1">"c5453"</definedName>
    <definedName name="IQ_EPS_HIGH_EST" hidden="1">"c400"</definedName>
    <definedName name="IQ_EPS_HIGH_EST_REUT" hidden="1">"c5454"</definedName>
    <definedName name="IQ_EPS_LOW_EST" hidden="1">"c401"</definedName>
    <definedName name="IQ_EPS_LOW_EST_REUT" hidden="1">"c5455"</definedName>
    <definedName name="IQ_EPS_MEDIAN_EST" hidden="1">"c1661"</definedName>
    <definedName name="IQ_EPS_MEDIAN_EST_REUT" hidden="1">"c5456"</definedName>
    <definedName name="IQ_EPS_NORM" hidden="1">"c1902"</definedName>
    <definedName name="IQ_EPS_NUM_EST" hidden="1">"c402"</definedName>
    <definedName name="IQ_EPS_NUM_EST_REUT" hidden="1">"c5451"</definedName>
    <definedName name="IQ_EPS_SBC_ACT_OR_EST" hidden="1">"c4376"</definedName>
    <definedName name="IQ_EPS_SBC_GW_ACT_OR_EST" hidden="1">"c4380"</definedName>
    <definedName name="IQ_EPS_STDDEV_EST" hidden="1">"c403"</definedName>
    <definedName name="IQ_EPS_STDDEV_EST_REUT" hidden="1">"c5452"</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EPS" hidden="1">"c1648"</definedName>
    <definedName name="IQ_EST_CURRENCY" hidden="1">"c2140"</definedName>
    <definedName name="IQ_EST_CURRENCY_REUT" hidden="1">"c5437"</definedName>
    <definedName name="IQ_EST_DATE" hidden="1">"c1634"</definedName>
    <definedName name="IQ_EST_DATE_REUT" hidden="1">"c5438"</definedName>
    <definedName name="IQ_EST_EPS_DIFF" hidden="1">"c1864"</definedName>
    <definedName name="IQ_EST_EPS_GROWTH_1YR" hidden="1">"c1636"</definedName>
    <definedName name="IQ_EST_EPS_GROWTH_1YR_REUT" hidden="1">"c3646"</definedName>
    <definedName name="IQ_EST_EPS_GROWTH_5YR" hidden="1">"c1655"</definedName>
    <definedName name="IQ_EST_EPS_GROWTH_5YR_REUT" hidden="1">"c3633"</definedName>
    <definedName name="IQ_EST_EPS_GROWTH_Q_1YR" hidden="1">"c1641"</definedName>
    <definedName name="IQ_EST_EPS_GROWTH_Q_1YR_REUT" hidden="1">"c5410"</definedName>
    <definedName name="IQ_EST_VENDOR" hidden="1">"c5564"</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ADJ_ACT_OR_EST" hidden="1">"c4435"</definedName>
    <definedName name="IQ_FFO_PAYOUT_RATIO" hidden="1">"c3492"</definedName>
    <definedName name="IQ_FFO_SHARE_ACT_OR_EST" hidden="1">"c4446"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NOTES_PAY_TOTAL" hidden="1">"c5522"</definedName>
    <definedName name="IQ_FIN_DIV_REV" hidden="1">"c437"</definedName>
    <definedName name="IQ_FIN_DIV_ST_DEBT_TOTAL" hidden="1">"c5527"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_TARGET_PRICE_REUT" hidden="1">"c5317"</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NVEST_SECURITY_SUPPL" hidden="1">"c5511"</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_TARGET_PRICE" hidden="1">"c1652"</definedName>
    <definedName name="IQ_LOW_TARGET_PRICE_REUT" hidden="1">"c5318"</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DIAN_TARGET_PRICE" hidden="1">"c1650"</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M_ACCOUNT" hidden="1">"c743"</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BC_ACT_OR_EST" hidden="1">"c4474"</definedName>
    <definedName name="IQ_NI_SBC_GW_ACT_OR_EST" hidden="1">"c4478"</definedName>
    <definedName name="IQ_NI_SFAS" hidden="1">"c795"</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MORT" hidden="1">"c5563"</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"c2127"</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NORMALIZED" hidden="1">"c2207"</definedName>
    <definedName name="IQ_PE_RATIO" hidden="1">"c1610"</definedName>
    <definedName name="IQ_PEG_FWD" hidden="1">"c1863"</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ICE_OVER_BVPS" hidden="1">"c1412"</definedName>
    <definedName name="IQ_PRICE_OVER_LTM_EPS" hidden="1">"c1413"</definedName>
    <definedName name="IQ_PRICE_TARGET" hidden="1">"c82"</definedName>
    <definedName name="IQ_PRICE_TARGET_REUT" hidden="1">"c3631"</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CURRING_PROFIT_ACT_OR_EST" hidden="1">"c4507"</definedName>
    <definedName name="IQ_RECURRING_PROFIT_SHARE_ACT_OR_EST" hidden="1">"c4508"</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STDDEV_EST_REUT" hidden="1">"c3639"</definedName>
    <definedName name="IQ_REV_UTI" hidden="1">"c1125"</definedName>
    <definedName name="IQ_REVENUE" hidden="1">"c1422"</definedName>
    <definedName name="IQ_REVENUE_ACT_OR_EST" hidden="1">"c2214"</definedName>
    <definedName name="IQ_REVENUE_EST" hidden="1">"c1126"</definedName>
    <definedName name="IQ_REVENUE_EST_REUT" hidden="1">"c3634"</definedName>
    <definedName name="IQ_REVENUE_HIGH_EST" hidden="1">"c1127"</definedName>
    <definedName name="IQ_REVENUE_HIGH_EST_REUT" hidden="1">"c3636"</definedName>
    <definedName name="IQ_REVENUE_LOW_EST" hidden="1">"c1128"</definedName>
    <definedName name="IQ_REVENUE_LOW_EST_REUT" hidden="1">"c3637"</definedName>
    <definedName name="IQ_REVENUE_MEDIAN_EST" hidden="1">"c1662"</definedName>
    <definedName name="IQ_REVENUE_MEDIAN_EST_REUT" hidden="1">"c3635"</definedName>
    <definedName name="IQ_REVENUE_NUM_EST" hidden="1">"c1129"</definedName>
    <definedName name="IQ_REVENUE_NUM_EST_REUT" hidden="1">"c3638"</definedName>
    <definedName name="IQ_REVISION_DATE_" hidden="1">39489.6256597222</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NUM_REUT" hidden="1">"c5319"</definedName>
    <definedName name="IQ_TARGET_PRICE_STDDEV" hidden="1">"c1654"</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BITDA_FWD_REUT" hidden="1">"c4050"</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IGHTED_AVG_PRICE" hidden="1">"c1334"</definedName>
    <definedName name="IQ_WIP_INV" hidden="1">"c1335"</definedName>
    <definedName name="IQ_WORKING_CAP" hidden="1">"c3494"</definedName>
    <definedName name="IQ_WORKMEN_WRITTEN" hidden="1">"c1336"</definedName>
    <definedName name="IQ_XDIV_DATE" hidden="1">"c2104"</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W" hidden="1">"c2163"</definedName>
    <definedName name="IQ_YTW_DATE" hidden="1">"c2164"</definedName>
    <definedName name="IQ_YTW_DATE_TYPE" hidden="1">"c2165"</definedName>
    <definedName name="IQ_Z_SCORE" hidden="1">"c1339"</definedName>
    <definedName name="iQShowHideColumns" hidden="1">"iQShowAll"</definedName>
    <definedName name="KeepVersions" localSheetId="14">IndexInformation!$B$8</definedName>
    <definedName name="LanguageCode">IndexInformation!$B$38</definedName>
    <definedName name="LastCell" localSheetId="0">ImportantDisclosures!$A$22</definedName>
    <definedName name="limcount" hidden="1">1</definedName>
    <definedName name="Linking_10">IS!$B$1:$EA$98</definedName>
    <definedName name="Linking_38">IS!$B$1:$EA$89</definedName>
    <definedName name="Linking_39">IS!$B$2:$EA$88</definedName>
    <definedName name="Linking_4">IS!$B$1:$DB$88</definedName>
    <definedName name="Linking_40">CF!$B$1:$AN$50</definedName>
    <definedName name="Linking_41">IS!$B$1:$FA$88</definedName>
    <definedName name="Linking_5">DCF!$B$4:$T$22</definedName>
    <definedName name="Linking_6">IS!$B$1:$EA$88</definedName>
    <definedName name="Linking_7">REVS!$B$3:$EA$84</definedName>
    <definedName name="Linking_8">BS!$B$1:$AI$38</definedName>
    <definedName name="Linking_9">CF!$B$1:$AI$50</definedName>
    <definedName name="Linking_Range_1" localSheetId="12">'AMG334'!$U$33:$Y$33</definedName>
    <definedName name="Linking_Range_1">REVS!$AT$137:$DB$145</definedName>
    <definedName name="Linking_Range_11">IS!$B$1:$DB$108</definedName>
    <definedName name="Linking_Range_13">REVS!$B$3:$DB$84</definedName>
    <definedName name="Linking_Range_14">BS!$B$1:$AD$31</definedName>
    <definedName name="Linking_Range_15">CF!$B$1:$AD$50</definedName>
    <definedName name="Linking_Range_16">BS!$B$1:$AD$38</definedName>
    <definedName name="Linking_Range_17">DCF!$B$5:$T$9</definedName>
    <definedName name="Linking_Range_19">IS!$B$2:$DB$88</definedName>
    <definedName name="Linking_Range_2" localSheetId="12">'AMG334'!$B$2:$S$33</definedName>
    <definedName name="Linking_Range_4" localSheetId="12">'AMG334'!$B$2:$S$33</definedName>
    <definedName name="MacroVersion" localSheetId="14">IndexInformation!$B$1</definedName>
    <definedName name="ModelPrice" localSheetId="0">ImportantDisclosures!$A$14</definedName>
    <definedName name="Multiplier" localSheetId="14">IndexInformation!$B$35</definedName>
    <definedName name="NextYearEPS" localSheetId="14">IndexInformation!$B$13</definedName>
    <definedName name="NextYearTotalRevenue" localSheetId="14">IndexInformation!$B$12</definedName>
    <definedName name="NextYearTotalRevenueActual" localSheetId="14">IndexInformation!$B$33</definedName>
    <definedName name="ObjectType">IndexInformation!$B$37</definedName>
    <definedName name="PANA" localSheetId="15">ModPubIndex!$A$11</definedName>
    <definedName name="PathName" localSheetId="14">IndexInformation!$B$25</definedName>
    <definedName name="PRODUCT" localSheetId="15">ModPubIndex!$A$6</definedName>
    <definedName name="PSYM" localSheetId="15">ModPubIndex!$A$4</definedName>
    <definedName name="PublishDate" localSheetId="14">IndexInformation!$B$2</definedName>
    <definedName name="q" hidden="1">'[10]Qtr Sales'!$EM$2:$FJ$127</definedName>
    <definedName name="Rating" localSheetId="14">IndexInformation!$B$9</definedName>
    <definedName name="RatingsDefined" localSheetId="0">ImportantDisclosures!$A$21</definedName>
    <definedName name="RatingsDefs" localSheetId="0">ImportantDisclosures!#REF!</definedName>
    <definedName name="RegACDisclosure" localSheetId="0">ImportantDisclosures!#REF!</definedName>
    <definedName name="rep" localSheetId="1" hidden="1">{#N/A,#N/A,FALSE,"COVER";#N/A,#N/A,FALSE,"VALUATION";#N/A,#N/A,FALSE,"FORECAST";#N/A,#N/A,FALSE,"FY ANALYSIS ";#N/A,#N/A,FALSE," HY ANALYSIS"}</definedName>
    <definedName name="rep" hidden="1">{#N/A,#N/A,FALSE,"COVER";#N/A,#N/A,FALSE,"VALUATION";#N/A,#N/A,FALSE,"FORECAST";#N/A,#N/A,FALSE,"FY ANALYSIS ";#N/A,#N/A,FALSE," HY ANALYSIS"}</definedName>
    <definedName name="RepairedName0004" hidden="1">"iQShowAnnual"</definedName>
    <definedName name="RepairedName0035" hidden="1">"iQShowAnnual"</definedName>
    <definedName name="RepairedName0074" hidden="1">"iQShowAnnual"</definedName>
    <definedName name="RepairedName2249" hidden="1">"iQShowAnnual"</definedName>
    <definedName name="ResearchTopic" localSheetId="14">IndexInformation!$B$4</definedName>
    <definedName name="RIC" localSheetId="14">IndexInformation!$B$21</definedName>
    <definedName name="SECSettlement" localSheetId="0">ImportantDisclosures!#REF!</definedName>
    <definedName name="SEDOL" localSheetId="14">IndexInformation!$B$22</definedName>
    <definedName name="sencount" hidden="1">2</definedName>
    <definedName name="SourceDefined" localSheetId="0">ImportantDisclosures!$A$19</definedName>
    <definedName name="StockRating" localSheetId="0">ImportantDisclosures!$A$11</definedName>
    <definedName name="SubjectCode" localSheetId="14">IndexInformation!$B$6</definedName>
    <definedName name="SubmitterUserId">IndexInformation!$B$39</definedName>
    <definedName name="SUPPRESSED" localSheetId="15">ModPubIndex!$A$13</definedName>
    <definedName name="TargetPrice" localSheetId="0">ImportantDisclosures!$A$15</definedName>
    <definedName name="TemplateRegion">IndexInformation!$B$36</definedName>
    <definedName name="Ticker" localSheetId="0">ImportantDisclosures!$A$10</definedName>
    <definedName name="TickerRegion">IndexInformation!$B$41</definedName>
    <definedName name="Tickers" localSheetId="14">IndexInformation!$B$19</definedName>
    <definedName name="UpdateReason" localSheetId="14">IndexInformation!$B$17</definedName>
    <definedName name="USRegDisclosures" localSheetId="0">ImportantDisclosures!#REF!</definedName>
    <definedName name="v" hidden="1">[9]ｾｸﾞﾒﾝﾄ!$E$164:$I$164</definedName>
    <definedName name="w" hidden="1">[9]単独!$AR$14:$AR$18</definedName>
    <definedName name="wrn.2._.pagers." localSheetId="1" hidden="1">{"Cover",#N/A,FALSE,"Cover";"Summary",#N/A,FALSE,"Summarpage"}</definedName>
    <definedName name="wrn.2._.pagers." localSheetId="13" hidden="1">{"Cover",#N/A,FALSE,"Cover";"Summary",#N/A,FALSE,"Summarpage"}</definedName>
    <definedName name="wrn.2._.pagers." hidden="1">{"Cover",#N/A,FALSE,"Cover";"Summary",#N/A,FALSE,"Summarpage"}</definedName>
    <definedName name="wrn.AGN._.MODELS." localSheetId="1" hidden="1">{"QTRINC1",#N/A,FALSE,"QTRINC";"QTRINC2",#N/A,FALSE,"QTRINC";"QTRSALES",#N/A,FALSE,"QTRSALES";"ANNSALES",#N/A,FALSE,"ANNSALES";"CASHFLOW",#N/A,FALSE,"CASHFLOW"}</definedName>
    <definedName name="wrn.AGN._.MODELS." hidden="1">{"QTRINC1",#N/A,FALSE,"QTRINC";"QTRINC2",#N/A,FALSE,"QTRINC";"QTRSALES",#N/A,FALSE,"QTRSALES";"ANNSALES",#N/A,FALSE,"ANNSALES";"CASHFLOW",#N/A,FALSE,"CASHFLOW"}</definedName>
    <definedName name="wrn.AHP._.MODELS." localSheetId="1" hidden="1">{"QTRINC",#N/A,FALSE,"QTRINC";"MARGIN",#N/A,FALSE,"MARGIN";"CASHFLOW",#N/A,FALSE,"CASHFLOW"}</definedName>
    <definedName name="wrn.AHP._.MODELS." hidden="1">{"QTRINC",#N/A,FALSE,"QTRINC";"MARGIN",#N/A,FALSE,"MARGIN";"CASHFLOW",#N/A,FALSE,"CASHFLOW"}</definedName>
    <definedName name="wrn.allpages." localSheetId="1" hidden="1">{#N/A,#N/A,TRUE,"Historicals";#N/A,#N/A,TRUE,"Charts";#N/A,#N/A,TRUE,"Forecasts"}</definedName>
    <definedName name="wrn.allpages." localSheetId="13" hidden="1">{#N/A,#N/A,TRUE,"Historicals";#N/A,#N/A,TRUE,"Charts";#N/A,#N/A,TRUE,"Forecasts"}</definedName>
    <definedName name="wrn.allpages." hidden="1">{#N/A,#N/A,TRUE,"Historicals";#N/A,#N/A,TRUE,"Charts";#N/A,#N/A,TRUE,"Forecasts"}</definedName>
    <definedName name="wrn.Annual._.Operating._.Earnings." localSheetId="1" hidden="1">{"Annual 1996",#N/A,FALSE,"Ann-Op (Mng)";"Annual 1996",#N/A,FALSE,"Ann-Op (Rep)";"Operating Vs. Reported Earnings",#N/A,FALSE,"Rpt-Op Inc"}</definedName>
    <definedName name="wrn.Annual._.Operating._.Earnings." hidden="1">{"Annual 1996",#N/A,FALSE,"Ann-Op (Mng)";"Annual 1996",#N/A,FALSE,"Ann-Op (Rep)";"Operating Vs. Reported Earnings",#N/A,FALSE,"Rpt-Op Inc"}</definedName>
    <definedName name="wrn.Annual._.Operating._.Earnings1." localSheetId="1" hidden="1">{"Annual 1996",#N/A,FALSE,"Ann-Op (Mng)";"Annual 1996",#N/A,FALSE,"Ann-Op (Rep)";"Operating Vs. Reported Earnings",#N/A,FALSE,"Rpt-Op Inc"}</definedName>
    <definedName name="wrn.Annual._.Operating._.Earnings1." hidden="1">{"Annual 1996",#N/A,FALSE,"Ann-Op (Mng)";"Annual 1996",#N/A,FALSE,"Ann-Op (Rep)";"Operating Vs. Reported Earnings",#N/A,FALSE,"Rpt-Op Inc"}</definedName>
    <definedName name="wrn.Client._.cfbs." localSheetId="1" hidden="1">{"client cfbs",#N/A,FALSE,"Client"}</definedName>
    <definedName name="wrn.Client._.cfbs." hidden="1">{"client cfbs",#N/A,FALSE,"Client"}</definedName>
    <definedName name="wrn.Client._.is." localSheetId="1" hidden="1">{"Client is",#N/A,FALSE,"Client"}</definedName>
    <definedName name="wrn.Client._.is." hidden="1">{"Client is",#N/A,FALSE,"Client"}</definedName>
    <definedName name="wrn.Client._.stats." localSheetId="1" hidden="1">{"Client stats",#N/A,FALSE,"Client"}</definedName>
    <definedName name="wrn.Client._.stats." hidden="1">{"Client stats",#N/A,FALSE,"Client"}</definedName>
    <definedName name="wrn.Complete." localSheetId="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localSheetId="13"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nsolidated._.Statements." localSheetId="1" hidden="1">{"view1",#N/A,FALSE,"EARN (US$)";"view1",#N/A,FALSE,"DASTBS (US$)";"view1",#N/A,FALSE,"DASTCF (US$)"}</definedName>
    <definedName name="wrn.Consolidated._.Statements." hidden="1">{"view1",#N/A,FALSE,"EARN (US$)";"view1",#N/A,FALSE,"DASTBS (US$)";"view1",#N/A,FALSE,"DASTCF (US$)"}</definedName>
    <definedName name="wrn.Forecast._.Q1." localSheetId="1" hidden="1">{"cover a","1q",FALSE,"Cover";"Op Earn Mgd Q1",#N/A,FALSE,"Op-Earn (Mng)";"Op Earn Rpt Q1",#N/A,FALSE,"Op-Earn (Rpt)";"Loans",#N/A,FALSE,"Loans";"Credit Costs",#N/A,FALSE,"CCosts";"Net Interest Margin",#N/A,FALSE,"Margin";"Nonint Income",#N/A,FALSE,"NonII";"Nonint Exp",#N/A,FALSE,"NonIE";"Valuation",#N/A,FALSE,"Valuation"}</definedName>
    <definedName name="wrn.Forecast._.Q1." hidden="1">{"cover a","1q",FALSE,"Cover";"Op Earn Mgd Q1",#N/A,FALSE,"Op-Earn (Mng)";"Op Earn Rpt Q1",#N/A,FALSE,"Op-Earn (Rpt)";"Loans",#N/A,FALSE,"Loans";"Credit Costs",#N/A,FALSE,"CCosts";"Net Interest Margin",#N/A,FALSE,"Margin";"Nonint Income",#N/A,FALSE,"NonII";"Nonint Exp",#N/A,FALSE,"NonIE";"Valuation",#N/A,FALSE,"Valuation"}</definedName>
    <definedName name="wrn.Forecast._.Q2." localSheetId="1" hidden="1">{"cover a","2q",FALSE,"Cover";"Op Earn Mgd Q2",#N/A,FALSE,"Op-Earn (Mng)";"Op Earn Rpt Q2",#N/A,FALSE,"Op-Earn (Rpt)";"Loans",#N/A,FALSE,"Loans";"Credit Costs",#N/A,FALSE,"CCosts";"Net Interest Margin",#N/A,FALSE,"Margin";"Nonint Income",#N/A,FALSE,"NonII";"Nonint Exp",#N/A,FALSE,"NonIE";"Valuation",#N/A,FALSE,"Valuation"}</definedName>
    <definedName name="wrn.Forecast._.Q2." hidden="1">{"cover a","2q",FALSE,"Cover";"Op Earn Mgd Q2",#N/A,FALSE,"Op-Earn (Mng)";"Op Earn Rpt Q2",#N/A,FALSE,"Op-Earn (Rpt)";"Loans",#N/A,FALSE,"Loans";"Credit Costs",#N/A,FALSE,"CCosts";"Net Interest Margin",#N/A,FALSE,"Margin";"Nonint Income",#N/A,FALSE,"NonII";"Nonint Exp",#N/A,FALSE,"NonIE";"Valuation",#N/A,FALSE,"Valuation"}</definedName>
    <definedName name="wrn.Forecast._.Q2a." localSheetId="1" hidden="1">{"cover a","2q",FALSE,"Cover";"Op Earn Mgd Q2",#N/A,FALSE,"Op-Earn (Mng)";"Op Earn Rpt Q2",#N/A,FALSE,"Op-Earn (Rpt)";"Loans",#N/A,FALSE,"Loans";"Credit Costs",#N/A,FALSE,"CCosts";"Net Interest Margin",#N/A,FALSE,"Margin";"Nonint Income",#N/A,FALSE,"NonII";"Nonint Exp",#N/A,FALSE,"NonIE";"Valuation",#N/A,FALSE,"Valuation"}</definedName>
    <definedName name="wrn.Forecast._.Q2a." hidden="1">{"cover a","2q",FALSE,"Cover";"Op Earn Mgd Q2",#N/A,FALSE,"Op-Earn (Mng)";"Op Earn Rpt Q2",#N/A,FALSE,"Op-Earn (Rpt)";"Loans",#N/A,FALSE,"Loans";"Credit Costs",#N/A,FALSE,"CCosts";"Net Interest Margin",#N/A,FALSE,"Margin";"Nonint Income",#N/A,FALSE,"NonII";"Nonint Exp",#N/A,FALSE,"NonIE";"Valuation",#N/A,FALSE,"Valuation"}</definedName>
    <definedName name="wrn.Forecast._.Q3." localSheetId="1" hidden="1">{"cover a","3q",FALSE,"Cover";"Op Earn Mgd Q3",#N/A,FALSE,"Op-Earn (Mng)";"Op Earn Rpt Q3",#N/A,FALSE,"Op-Earn (Rpt)";"Loans",#N/A,FALSE,"Loans";"Credit Costs",#N/A,FALSE,"CCosts";"Net Interest Margin",#N/A,FALSE,"Margin";"Nonint Income",#N/A,FALSE,"NonII";"Nonint Exp",#N/A,FALSE,"NonIE";"Valuation",#N/A,FALSE,"Valuation"}</definedName>
    <definedName name="wrn.Forecast._.Q3." hidden="1">{"cover a","3q",FALSE,"Cover";"Op Earn Mgd Q3",#N/A,FALSE,"Op-Earn (Mng)";"Op Earn Rpt Q3",#N/A,FALSE,"Op-Earn (Rpt)";"Loans",#N/A,FALSE,"Loans";"Credit Costs",#N/A,FALSE,"CCosts";"Net Interest Margin",#N/A,FALSE,"Margin";"Nonint Income",#N/A,FALSE,"NonII";"Nonint Exp",#N/A,FALSE,"NonIE";"Valuation",#N/A,FALSE,"Valuation"}</definedName>
    <definedName name="wrn.Forecast._.Q4." localSheetId="1" hidden="1">{"cover a","4q",FALSE,"Cover";"Op Earn Mgd Q4",#N/A,FALSE,"Op-Earn (Mng)";"Op Earn Rpt Q4",#N/A,FALSE,"Op-Earn (Rpt)";"Loans",#N/A,FALSE,"Loans";"Credit Costs",#N/A,FALSE,"CCosts";"Net Interest Margin",#N/A,FALSE,"Margin";"Nonint Income",#N/A,FALSE,"NonII";"Nonint Exp",#N/A,FALSE,"NonIE";"Valuation",#N/A,FALSE,"Valuation"}</definedName>
    <definedName name="wrn.Forecast._.Q4." hidden="1">{"cover a","4q",FALSE,"Cover";"Op Earn Mgd Q4",#N/A,FALSE,"Op-Earn (Mng)";"Op Earn Rpt Q4",#N/A,FALSE,"Op-Earn (Rpt)";"Loans",#N/A,FALSE,"Loans";"Credit Costs",#N/A,FALSE,"CCosts";"Net Interest Margin",#N/A,FALSE,"Margin";"Nonint Income",#N/A,FALSE,"NonII";"Nonint Exp",#N/A,FALSE,"NonIE";"Valuation",#N/A,FALSE,"Valuation"}</definedName>
    <definedName name="wrn.Forecast._.Q4a" localSheetId="1" hidden="1">{"cover a","4q",FALSE,"Cover";"Op Earn Mgd Q4",#N/A,FALSE,"Op-Earn (Mng)";"Op Earn Rpt Q4",#N/A,FALSE,"Op-Earn (Rpt)";"Loans",#N/A,FALSE,"Loans";"Credit Costs",#N/A,FALSE,"CCosts";"Net Interest Margin",#N/A,FALSE,"Margin";"Nonint Income",#N/A,FALSE,"NonII";"Nonint Exp",#N/A,FALSE,"NonIE";"Valuation",#N/A,FALSE,"Valuation"}</definedName>
    <definedName name="wrn.Forecast._.Q4a" hidden="1">{"cover a","4q",FALSE,"Cover";"Op Earn Mgd Q4",#N/A,FALSE,"Op-Earn (Mng)";"Op Earn Rpt Q4",#N/A,FALSE,"Op-Earn (Rpt)";"Loans",#N/A,FALSE,"Loans";"Credit Costs",#N/A,FALSE,"CCosts";"Net Interest Margin",#N/A,FALSE,"Margin";"Nonint Income",#N/A,FALSE,"NonII";"Nonint Exp",#N/A,FALSE,"NonIE";"Valuation",#N/A,FALSE,"Valuation"}</definedName>
    <definedName name="wrn.Full._.Report." localSheetId="1" hidden="1">{#N/A,#N/A,FALSE,"COVER";#N/A,#N/A,FALSE,"VALUATION";#N/A,#N/A,FALSE,"FORECAST";#N/A,#N/A,FALSE,"FY ANALYSIS ";#N/A,#N/A,FALSE," HY ANALYSIS"}</definedName>
    <definedName name="wrn.Full._.Report." hidden="1">{#N/A,#N/A,FALSE,"COVER";#N/A,#N/A,FALSE,"VALUATION";#N/A,#N/A,FALSE,"FORECAST";#N/A,#N/A,FALSE,"FY ANALYSIS ";#N/A,#N/A,FALSE," HY ANALYSIS"}</definedName>
    <definedName name="wrn.Income._.Stmt." localSheetId="1" hidden="1">{"Income Stmt",#N/A,FALSE,"Model"}</definedName>
    <definedName name="wrn.Income._.Stmt." hidden="1">{"Income Stmt",#N/A,FALSE,"Model"}</definedName>
    <definedName name="wrn.Industry.xls." localSheetId="1" hidden="1">{#N/A,#N/A,FALSE,"Earnings";#N/A,#N/A,FALSE,"Overview";#N/A,#N/A,FALSE,"Summary";#N/A,#N/A,FALSE,"Summary II";#N/A,#N/A,FALSE,"R&amp;D";#N/A,#N/A,FALSE,"R&amp;D Forecast";#N/A,#N/A,FALSE,"Tax Adj";#N/A,#N/A,FALSE,"Goodwill";#N/A,#N/A,FALSE,"FX ";#N/A,#N/A,FALSE,"Consolidation";#N/A,#N/A,FALSE,"Provisions"}</definedName>
    <definedName name="wrn.Industry.xls." localSheetId="13" hidden="1">{#N/A,#N/A,FALSE,"Earnings";#N/A,#N/A,FALSE,"Overview";#N/A,#N/A,FALSE,"Summary";#N/A,#N/A,FALSE,"Summary II";#N/A,#N/A,FALSE,"R&amp;D";#N/A,#N/A,FALSE,"R&amp;D Forecast";#N/A,#N/A,FALSE,"Tax Adj";#N/A,#N/A,FALSE,"Goodwill";#N/A,#N/A,FALSE,"FX ";#N/A,#N/A,FALSE,"Consolidation";#N/A,#N/A,FALSE,"Provisions"}</definedName>
    <definedName name="wrn.Industry.xls." hidden="1">{#N/A,#N/A,FALSE,"Earnings";#N/A,#N/A,FALSE,"Overview";#N/A,#N/A,FALSE,"Summary";#N/A,#N/A,FALSE,"Summary II";#N/A,#N/A,FALSE,"R&amp;D";#N/A,#N/A,FALSE,"R&amp;D Forecast";#N/A,#N/A,FALSE,"Tax Adj";#N/A,#N/A,FALSE,"Goodwill";#N/A,#N/A,FALSE,"FX ";#N/A,#N/A,FALSE,"Consolidation";#N/A,#N/A,FALSE,"Provisions"}</definedName>
    <definedName name="wrn.Internal._.is." localSheetId="1" hidden="1">{"Internal is",#N/A,FALSE,"Model"}</definedName>
    <definedName name="wrn.Internal._.is." hidden="1">{"Internal is",#N/A,FALSE,"Model"}</definedName>
    <definedName name="wrn.Leases.xls." localSheetId="1" hidden="1">{#N/A,#N/A,FALSE,"Initial Year";#N/A,#N/A,FALSE,"Historical";#N/A,#N/A,FALSE,"balsheet";#N/A,#N/A,FALSE,"incstate";#N/A,#N/A,FALSE,"Fleet"}</definedName>
    <definedName name="wrn.Leases.xls." hidden="1">{#N/A,#N/A,FALSE,"Initial Year";#N/A,#N/A,FALSE,"Historical";#N/A,#N/A,FALSE,"balsheet";#N/A,#N/A,FALSE,"incstate";#N/A,#N/A,FALSE,"Fleet"}</definedName>
    <definedName name="wrn.MOBIL." hidden="1">{"quarter",#N/A,FALSE,"MOB"}</definedName>
    <definedName name="wrn.MODELS." localSheetId="1" hidden="1">{"QTR1",#N/A,FALSE,"WLA";"QTR2",#N/A,FALSE,"WLA";"QTRSALES1",#N/A,FALSE,"QTRSALES";"QTRSALES2",#N/A,FALSE,"QTRSALES";"QTRSALES3",#N/A,FALSE,"QTRSALES";"ANNSALES1",#N/A,FALSE,"ANNSALES";"ANNSALES2",#N/A,FALSE,"ANNSALES";"ANNSALES3",#N/A,FALSE,"ANNSALES";"SEGSMARGIN",#N/A,FALSE,"SEGS-MARGIN";"CASHFLOW",#N/A,FALSE,"CASHFLOW";"NEWPRODS",#N/A,FALSE,"NEWPRODS"}</definedName>
    <definedName name="wrn.MODELS." hidden="1">{"QTR1",#N/A,FALSE,"WLA";"QTR2",#N/A,FALSE,"WLA";"QTRSALES1",#N/A,FALSE,"QTRSALES";"QTRSALES2",#N/A,FALSE,"QTRSALES";"QTRSALES3",#N/A,FALSE,"QTRSALES";"ANNSALES1",#N/A,FALSE,"ANNSALES";"ANNSALES2",#N/A,FALSE,"ANNSALES";"ANNSALES3",#N/A,FALSE,"ANNSALES";"SEGSMARGIN",#N/A,FALSE,"SEGS-MARGIN";"CASHFLOW",#N/A,FALSE,"CASHFLOW";"NEWPRODS",#N/A,FALSE,"NEWPRODS"}</definedName>
    <definedName name="wrn.Portrait._.IS." localSheetId="1" hidden="1">{"Portrait letter is",#N/A,FALSE,"Model"}</definedName>
    <definedName name="wrn.Portrait._.IS." hidden="1">{"Portrait letter is",#N/A,FALSE,"Model"}</definedName>
    <definedName name="wrn.Portrait._.letter._.is." localSheetId="1" hidden="1">{"Portrait letter is",#N/A,FALSE,"Model"}</definedName>
    <definedName name="wrn.Portrait._.letter._.is." hidden="1">{"Portrait letter is",#N/A,FALSE,"Model"}</definedName>
    <definedName name="wrn.printall." localSheetId="1" hidden="1">{"printall",#N/A,FALSE,"BAIRNUMB"}</definedName>
    <definedName name="wrn.printall." hidden="1">{"printall",#N/A,FALSE,"BAIRNUMB"}</definedName>
    <definedName name="wrn.Pulp." localSheetId="1" hidden="1">{"Pulp Production",#N/A,FALSE,"Pulp";"Pulp Earnings",#N/A,FALSE,"Pulp"}</definedName>
    <definedName name="wrn.Pulp." localSheetId="13" hidden="1">{"Pulp Production",#N/A,FALSE,"Pulp";"Pulp Earnings",#N/A,FALSE,"Pulp"}</definedName>
    <definedName name="wrn.Pulp." hidden="1">{"Pulp Production",#N/A,FALSE,"Pulp";"Pulp Earnings",#N/A,FALSE,"Pulp"}</definedName>
    <definedName name="wrn.qrt95." localSheetId="1" hidden="1">{"qrt95",#N/A,FALSE,"BAIRNUMB"}</definedName>
    <definedName name="wrn.qrt95." hidden="1">{"qrt95",#N/A,FALSE,"BAIRNUMB"}</definedName>
    <definedName name="wrn.Qtr._.Op._.Q1." localSheetId="1" hidden="1">{"Qtr Op Mgd Q1",#N/A,FALSE,"Qtr-Op (Mng)";"Qtr Op Rpt Q1",#N/A,FALSE,"Qtr-Op (Rpt)";"Operating Vs Reported",#N/A,FALSE,"Rpt-Op Inc"}</definedName>
    <definedName name="wrn.Qtr._.Op._.Q1." hidden="1">{"Qtr Op Mgd Q1",#N/A,FALSE,"Qtr-Op (Mng)";"Qtr Op Rpt Q1",#N/A,FALSE,"Qtr-Op (Rpt)";"Operating Vs Reported",#N/A,FALSE,"Rpt-Op Inc"}</definedName>
    <definedName name="wrn.Qtr._.Op._.Q2." localSheetId="1" hidden="1">{"Qtr Op Mgd Q2",#N/A,FALSE,"Qtr-Op (Mng)";"Qtr Op Rpt Q2",#N/A,FALSE,"Qtr-Op (Rpt)";"Operating Vs Reported",#N/A,FALSE,"Rpt-Op Inc"}</definedName>
    <definedName name="wrn.Qtr._.Op._.Q2." hidden="1">{"Qtr Op Mgd Q2",#N/A,FALSE,"Qtr-Op (Mng)";"Qtr Op Rpt Q2",#N/A,FALSE,"Qtr-Op (Rpt)";"Operating Vs Reported",#N/A,FALSE,"Rpt-Op Inc"}</definedName>
    <definedName name="wrn.Qtr._.Op._.Q3." localSheetId="1" hidden="1">{"Qtr Op Mgd Q3",#N/A,FALSE,"Qtr-Op (Mng)";"Qtr Op Rpt Q3",#N/A,FALSE,"Qtr-Op (Rpt)";"Operating Vs Reported",#N/A,FALSE,"Rpt-Op Inc"}</definedName>
    <definedName name="wrn.Qtr._.Op._.Q3." hidden="1">{"Qtr Op Mgd Q3",#N/A,FALSE,"Qtr-Op (Mng)";"Qtr Op Rpt Q3",#N/A,FALSE,"Qtr-Op (Rpt)";"Operating Vs Reported",#N/A,FALSE,"Rpt-Op Inc"}</definedName>
    <definedName name="wrn.Qtr._.Op._.Q4." localSheetId="1" hidden="1">{"Qtr Op Mgd Q3",#N/A,FALSE,"Qtr-Op (Mng)";"Qtr Op Rpt Q4",#N/A,FALSE,"Qtr-Op (Rpt)";"Operating Vs Reported",#N/A,FALSE,"Rpt-Op Inc"}</definedName>
    <definedName name="wrn.Qtr._.Op._.Q4." hidden="1">{"Qtr Op Mgd Q3",#N/A,FALSE,"Qtr-Op (Mng)";"Qtr Op Rpt Q4",#N/A,FALSE,"Qtr-Op (Rpt)";"Operating Vs Reported",#N/A,FALSE,"Rpt-Op Inc"}</definedName>
    <definedName name="wrn.Qtr._.Op._Q2a." localSheetId="1" hidden="1">{"Qtr Op Mgd Q2",#N/A,FALSE,"Qtr-Op (Mng)";"Qtr Op Rpt Q2",#N/A,FALSE,"Qtr-Op (Rpt)";"Operating Vs Reported",#N/A,FALSE,"Rpt-Op Inc"}</definedName>
    <definedName name="wrn.Qtr._.Op._Q2a." hidden="1">{"Qtr Op Mgd Q2",#N/A,FALSE,"Qtr-Op (Mng)";"Qtr Op Rpt Q2",#N/A,FALSE,"Qtr-Op (Rpt)";"Operating Vs Reported",#N/A,FALSE,"Rpt-Op Inc"}</definedName>
    <definedName name="wrn.Qtr_.Op._.Q4." localSheetId="1" hidden="1">{"Qtr Op Mgd Q3",#N/A,FALSE,"Qtr-Op (Mng)";"Qtr Op Rpt Q4",#N/A,FALSE,"Qtr-Op (Rpt)";"Operating Vs Reported",#N/A,FALSE,"Rpt-Op Inc"}</definedName>
    <definedName name="wrn.Qtr_.Op._.Q4." hidden="1">{"Qtr Op Mgd Q3",#N/A,FALSE,"Qtr-Op (Mng)";"Qtr Op Rpt Q4",#N/A,FALSE,"Qtr-Op (Rpt)";"Operating Vs Reported",#N/A,FALSE,"Rpt-Op Inc"}</definedName>
    <definedName name="wrn.quarterly." localSheetId="1" hidden="1">{"quarterly",#N/A,FALSE,"BAIRNUMB"}</definedName>
    <definedName name="wrn.quarterly." hidden="1">{"quarterly",#N/A,FALSE,"BAIRNUMB"}</definedName>
    <definedName name="wrn.Report." localSheetId="1" hidden="1">{#N/A,#N/A,FALSE,"COVER";#N/A,#N/A,FALSE,"FORECAST";#N/A,#N/A,FALSE,"VALUATION";#N/A,#N/A,FALSE,"FY ANALYSIS ";#N/A,#N/A,FALSE," HY ANALYSIS"}</definedName>
    <definedName name="wrn.Report." hidden="1">{#N/A,#N/A,FALSE,"COVER";#N/A,#N/A,FALSE,"FORECAST";#N/A,#N/A,FALSE,"VALUATION";#N/A,#N/A,FALSE,"FY ANALYSIS ";#N/A,#N/A,FALSE," HY ANALYSIS"}</definedName>
    <definedName name="wrn.SGPMODELS." localSheetId="1" hidden="1">{"QTRINC1",#N/A,FALSE,"SGPNEW";"QTRINC2",#N/A,FALSE,"SGPNEW";"USSALES1",#N/A,FALSE,"SGPNEW";"USSALES2",#N/A,FALSE,"SGPNEW";"INTLSALES1",#N/A,FALSE,"SGPNEW";"INTLSALES2",#N/A,FALSE,"SGPNEW";"WWSALES1",#N/A,FALSE,"SGPNEW";"WWSALES2",#N/A,FALSE,"SGPNEW";"NEWPRODS",#N/A,FALSE,"SGPNEW";"CASHFLOW",#N/A,FALSE,"SGPNEW"}</definedName>
    <definedName name="wrn.SGPMODELS." hidden="1">{"QTRINC1",#N/A,FALSE,"SGPNEW";"QTRINC2",#N/A,FALSE,"SGPNEW";"USSALES1",#N/A,FALSE,"SGPNEW";"USSALES2",#N/A,FALSE,"SGPNEW";"INTLSALES1",#N/A,FALSE,"SGPNEW";"INTLSALES2",#N/A,FALSE,"SGPNEW";"WWSALES1",#N/A,FALSE,"SGPNEW";"WWSALES2",#N/A,FALSE,"SGPNEW";"NEWPRODS",#N/A,FALSE,"SGPNEW";"CASHFLOW",#N/A,FALSE,"SGPNEW"}</definedName>
    <definedName name="wrn.Tables." localSheetId="1" hidden="1">{"view1",#N/A,FALSE,"Tables";"view2",#N/A,FALSE,"Tables";"view3",#N/A,FALSE,"Tables"}</definedName>
    <definedName name="wrn.Tables." hidden="1">{"view1",#N/A,FALSE,"Tables";"view2",#N/A,FALSE,"Tables";"view3",#N/A,FALSE,"Tables"}</definedName>
    <definedName name="wrn.Variance._.3." localSheetId="1" hidden="1">{"Variance Q3",#N/A,FALSE,"Var"}</definedName>
    <definedName name="wrn.Variance._.3." hidden="1">{"Variance Q3",#N/A,FALSE,"Var"}</definedName>
    <definedName name="wrn.Variance._.Q1." localSheetId="1" hidden="1">{"Variance Q1",#N/A,FALSE,"Var"}</definedName>
    <definedName name="wrn.Variance._.Q1." hidden="1">{"Variance Q1",#N/A,FALSE,"Var"}</definedName>
    <definedName name="wrn.Variance._.Q2." localSheetId="1" hidden="1">{"Variance Q2",#N/A,FALSE,"Var"}</definedName>
    <definedName name="wrn.Variance._.Q2." hidden="1">{"Variance Q2",#N/A,FALSE,"Var"}</definedName>
    <definedName name="wrn.Variance._.Q3." localSheetId="1" hidden="1">{"Variance Q3",#N/A,FALSE,"Var"}</definedName>
    <definedName name="wrn.Variance._.Q3." hidden="1">{"Variance Q3",#N/A,FALSE,"Var"}</definedName>
    <definedName name="wrn.Variance._.Q4" localSheetId="1" hidden="1">{"Variance Q4",#N/A,FALSE,"Var"}</definedName>
    <definedName name="wrn.Variance._.Q4" hidden="1">{"Variance Q4",#N/A,FALSE,"Var"}</definedName>
    <definedName name="wrn.Variance._.Q4." localSheetId="1" hidden="1">{"Variance Q4",#N/A,FALSE,"Var"}</definedName>
    <definedName name="wrn.Variance._.Q4." hidden="1">{"Variance Q4",#N/A,FALSE,"Var"}</definedName>
    <definedName name="wrn.WLAVARIANCEANALYSIS." localSheetId="1" hidden="1">{"INCOME STATEMENT",#N/A,FALSE,"IS";"WWSALES",#N/A,FALSE,"WWSALES";"USSALES",#N/A,FALSE,"USSALES";"INTLSALES",#N/A,FALSE,"INTLSALES"}</definedName>
    <definedName name="wrn.WLAVARIANCEANALYSIS." hidden="1">{"INCOME STATEMENT",#N/A,FALSE,"IS";"WWSALES",#N/A,FALSE,"WWSALES";"USSALES",#N/A,FALSE,"USSALES";"INTLSALES",#N/A,FALSE,"INTLSALES"}</definedName>
  </definedNames>
  <calcPr calcId="145621" calcMode="autoNoTable" calcOnSave="0"/>
</workbook>
</file>

<file path=xl/calcChain.xml><?xml version="1.0" encoding="utf-8"?>
<calcChain xmlns="http://schemas.openxmlformats.org/spreadsheetml/2006/main">
  <c r="CR86" i="3" l="1"/>
  <c r="C20" i="23" l="1"/>
  <c r="CP87" i="3" l="1"/>
  <c r="CO87" i="3"/>
  <c r="CP86" i="3"/>
  <c r="CO86" i="3"/>
  <c r="CR32" i="3"/>
  <c r="CR31" i="3"/>
  <c r="CQ33" i="2"/>
  <c r="CQ32" i="2"/>
  <c r="X24" i="25" l="1"/>
  <c r="W24" i="25"/>
  <c r="V24" i="25"/>
  <c r="U24" i="25"/>
  <c r="T24" i="25"/>
  <c r="S24" i="25"/>
  <c r="R24" i="25"/>
  <c r="Q24" i="25"/>
  <c r="P24" i="25"/>
  <c r="O24" i="25"/>
  <c r="N24" i="25"/>
  <c r="M24" i="25"/>
  <c r="L87" i="25"/>
  <c r="DG25" i="2"/>
  <c r="DB25" i="2"/>
  <c r="CW25" i="2"/>
  <c r="CN61" i="2"/>
  <c r="CN57" i="2"/>
  <c r="CN53" i="2"/>
  <c r="CN48" i="2"/>
  <c r="CN43" i="2"/>
  <c r="CN38" i="2"/>
  <c r="CN34" i="2"/>
  <c r="CN30" i="2"/>
  <c r="CN26" i="2"/>
  <c r="CN22" i="2"/>
  <c r="CN18" i="2"/>
  <c r="CN14" i="2"/>
  <c r="CN10" i="2"/>
  <c r="CN32" i="3" l="1"/>
  <c r="CN72" i="3"/>
  <c r="CN78" i="3"/>
  <c r="CN34" i="3"/>
  <c r="CN9" i="3"/>
  <c r="CN131" i="2" s="1"/>
  <c r="CN53" i="3"/>
  <c r="CO53" i="3"/>
  <c r="CN58" i="3"/>
  <c r="CO58" i="3"/>
  <c r="CN63" i="3"/>
  <c r="CO63" i="3"/>
  <c r="CN19" i="3"/>
  <c r="CN26" i="3"/>
  <c r="CR10" i="2" l="1"/>
  <c r="AO270" i="19" l="1"/>
  <c r="AN270" i="19"/>
  <c r="AM270" i="19"/>
  <c r="AL270" i="19"/>
  <c r="AK270" i="19"/>
  <c r="AJ270" i="19"/>
  <c r="AI270" i="19"/>
  <c r="AH270" i="19"/>
  <c r="AG270" i="19"/>
  <c r="AF270" i="19"/>
  <c r="AE270" i="19"/>
  <c r="AD270" i="19"/>
  <c r="AC270" i="19"/>
  <c r="AB270" i="19"/>
  <c r="AO269" i="19"/>
  <c r="AN269" i="19"/>
  <c r="AM269" i="19"/>
  <c r="AL269" i="19"/>
  <c r="AK269" i="19"/>
  <c r="AJ269" i="19"/>
  <c r="AI269" i="19"/>
  <c r="AH269" i="19"/>
  <c r="AG269" i="19"/>
  <c r="AF269" i="19"/>
  <c r="AE269" i="19"/>
  <c r="AD269" i="19"/>
  <c r="AC269" i="19"/>
  <c r="AB269" i="19"/>
  <c r="AO268" i="19"/>
  <c r="AN268" i="19"/>
  <c r="AM268" i="19"/>
  <c r="AL268" i="19"/>
  <c r="AK268" i="19"/>
  <c r="AJ268" i="19"/>
  <c r="AI268" i="19"/>
  <c r="AH268" i="19"/>
  <c r="AG268" i="19"/>
  <c r="AF268" i="19"/>
  <c r="AE268" i="19"/>
  <c r="AD268" i="19"/>
  <c r="AC268" i="19"/>
  <c r="AB268" i="19"/>
  <c r="AO267" i="19"/>
  <c r="AN267" i="19"/>
  <c r="AM267" i="19"/>
  <c r="AL267" i="19"/>
  <c r="AK267" i="19"/>
  <c r="AJ267" i="19"/>
  <c r="AI267" i="19"/>
  <c r="AH267" i="19"/>
  <c r="AG267" i="19"/>
  <c r="AF267" i="19"/>
  <c r="AE267" i="19"/>
  <c r="AD267" i="19"/>
  <c r="AC267" i="19"/>
  <c r="AB267" i="19"/>
  <c r="AO266" i="19"/>
  <c r="AN266" i="19"/>
  <c r="AM266" i="19"/>
  <c r="AL266" i="19"/>
  <c r="AK266" i="19"/>
  <c r="AJ266" i="19"/>
  <c r="AI266" i="19"/>
  <c r="AH266" i="19"/>
  <c r="AG266" i="19"/>
  <c r="AF266" i="19"/>
  <c r="AE266" i="19"/>
  <c r="AD266" i="19"/>
  <c r="AC266" i="19"/>
  <c r="AB266" i="19"/>
  <c r="AE211" i="19"/>
  <c r="AF211" i="19" s="1"/>
  <c r="AG211" i="19" s="1"/>
  <c r="AH211" i="19" s="1"/>
  <c r="AI211" i="19" s="1"/>
  <c r="AJ211" i="19" s="1"/>
  <c r="AK211" i="19" s="1"/>
  <c r="AL211" i="19" s="1"/>
  <c r="AM211" i="19" s="1"/>
  <c r="AN211" i="19" s="1"/>
  <c r="AO211" i="19" s="1"/>
  <c r="AD211" i="19"/>
  <c r="AE210" i="19"/>
  <c r="AF210" i="19" s="1"/>
  <c r="AG210" i="19" s="1"/>
  <c r="AH210" i="19" s="1"/>
  <c r="AI210" i="19" s="1"/>
  <c r="AJ210" i="19" s="1"/>
  <c r="AK210" i="19" s="1"/>
  <c r="AL210" i="19" s="1"/>
  <c r="AM210" i="19" s="1"/>
  <c r="AN210" i="19" s="1"/>
  <c r="AO210" i="19" s="1"/>
  <c r="AD210" i="19"/>
  <c r="AE209" i="19"/>
  <c r="AF209" i="19" s="1"/>
  <c r="AG209" i="19" s="1"/>
  <c r="AH209" i="19" s="1"/>
  <c r="AI209" i="19" s="1"/>
  <c r="AJ209" i="19" s="1"/>
  <c r="AK209" i="19" s="1"/>
  <c r="AL209" i="19" s="1"/>
  <c r="AM209" i="19" s="1"/>
  <c r="AN209" i="19" s="1"/>
  <c r="AO209" i="19" s="1"/>
  <c r="AD209" i="19"/>
  <c r="AE208" i="19"/>
  <c r="AF208" i="19" s="1"/>
  <c r="AG208" i="19" s="1"/>
  <c r="AH208" i="19" s="1"/>
  <c r="AI208" i="19" s="1"/>
  <c r="AJ208" i="19" s="1"/>
  <c r="AK208" i="19" s="1"/>
  <c r="AL208" i="19" s="1"/>
  <c r="AM208" i="19" s="1"/>
  <c r="AN208" i="19" s="1"/>
  <c r="AO208" i="19" s="1"/>
  <c r="AD208" i="19"/>
  <c r="AC211" i="19"/>
  <c r="AC210" i="19"/>
  <c r="AC209" i="19"/>
  <c r="AC208" i="19"/>
  <c r="AC207" i="19"/>
  <c r="AD207" i="19"/>
  <c r="AE207" i="19"/>
  <c r="AF207" i="19" s="1"/>
  <c r="AG207" i="19" s="1"/>
  <c r="AH207" i="19" s="1"/>
  <c r="AI207" i="19" s="1"/>
  <c r="AJ207" i="19" s="1"/>
  <c r="AK207" i="19" s="1"/>
  <c r="AL207" i="19" s="1"/>
  <c r="AM207" i="19" s="1"/>
  <c r="AN207" i="19" s="1"/>
  <c r="AO207" i="19" s="1"/>
  <c r="AO91" i="19"/>
  <c r="AN91" i="19"/>
  <c r="AM91" i="19"/>
  <c r="AL91" i="19"/>
  <c r="AK91" i="19"/>
  <c r="AJ91" i="19"/>
  <c r="AI91" i="19"/>
  <c r="AH91" i="19"/>
  <c r="AA91" i="19"/>
  <c r="Z91" i="19"/>
  <c r="Y91" i="19"/>
  <c r="X91" i="19"/>
  <c r="W91" i="19"/>
  <c r="V91" i="19"/>
  <c r="U91" i="19"/>
  <c r="T91" i="19"/>
  <c r="AB91" i="19"/>
  <c r="AO90" i="19"/>
  <c r="AN90" i="19"/>
  <c r="AM90" i="19"/>
  <c r="AA90" i="19"/>
  <c r="Z90" i="19"/>
  <c r="Y90" i="19"/>
  <c r="X90" i="19"/>
  <c r="W90" i="19"/>
  <c r="V90" i="19"/>
  <c r="U90" i="19"/>
  <c r="T90" i="19"/>
  <c r="AB90" i="19"/>
  <c r="AA83" i="19"/>
  <c r="Z83" i="19"/>
  <c r="Y83" i="19"/>
  <c r="X83" i="19"/>
  <c r="W83" i="19"/>
  <c r="V83" i="19"/>
  <c r="U83" i="19"/>
  <c r="T83" i="19"/>
  <c r="AA89" i="19"/>
  <c r="Z89" i="19"/>
  <c r="Y89" i="19"/>
  <c r="X89" i="19"/>
  <c r="W89" i="19"/>
  <c r="V89" i="19"/>
  <c r="U89" i="19"/>
  <c r="T89" i="19"/>
  <c r="AA88" i="19"/>
  <c r="Z88" i="19"/>
  <c r="Y88" i="19"/>
  <c r="X88" i="19"/>
  <c r="W88" i="19"/>
  <c r="V88" i="19"/>
  <c r="U88" i="19"/>
  <c r="T88" i="19"/>
  <c r="AO89" i="19"/>
  <c r="AN89" i="19"/>
  <c r="AM89" i="19"/>
  <c r="AL89" i="19"/>
  <c r="AK89" i="19"/>
  <c r="AJ89" i="19"/>
  <c r="AI89" i="19"/>
  <c r="AH89" i="19"/>
  <c r="AG89" i="19"/>
  <c r="AF89" i="19"/>
  <c r="AB89" i="19"/>
  <c r="AO88" i="19"/>
  <c r="AN88" i="19"/>
  <c r="AM88" i="19"/>
  <c r="AL88" i="19"/>
  <c r="AK88" i="19"/>
  <c r="AJ88" i="19"/>
  <c r="AI88" i="19"/>
  <c r="AH88" i="19"/>
  <c r="AG88" i="19"/>
  <c r="AF88" i="19"/>
  <c r="AB88" i="19"/>
  <c r="AO83" i="19"/>
  <c r="AN83" i="19"/>
  <c r="AM83" i="19"/>
  <c r="AL83" i="19"/>
  <c r="AK83" i="19"/>
  <c r="AJ83" i="19"/>
  <c r="AI83" i="19"/>
  <c r="AH83" i="19"/>
  <c r="AG83" i="19"/>
  <c r="AF83" i="19"/>
  <c r="AE83" i="19"/>
  <c r="AD83" i="19"/>
  <c r="AC83" i="19"/>
  <c r="AB83" i="19"/>
  <c r="AC46" i="19"/>
  <c r="AD46" i="19" s="1"/>
  <c r="AE46" i="19" s="1"/>
  <c r="AF46" i="19" s="1"/>
  <c r="AG46" i="19" s="1"/>
  <c r="AH46" i="19" s="1"/>
  <c r="AI46" i="19" s="1"/>
  <c r="AJ46" i="19" s="1"/>
  <c r="AK46" i="19" s="1"/>
  <c r="AK90" i="19" s="1"/>
  <c r="AC38" i="19"/>
  <c r="AD38" i="19" s="1"/>
  <c r="AE38" i="19" s="1"/>
  <c r="AF38" i="19" s="1"/>
  <c r="AG91" i="19" s="1"/>
  <c r="AC31" i="19"/>
  <c r="AC89" i="19" s="1"/>
  <c r="AC30" i="19"/>
  <c r="AD30" i="19" s="1"/>
  <c r="AE88" i="19" s="1"/>
  <c r="AC22" i="19"/>
  <c r="AC25" i="19"/>
  <c r="AA82" i="16"/>
  <c r="AA77" i="16"/>
  <c r="AA71" i="16"/>
  <c r="AA69" i="16"/>
  <c r="AA155" i="18"/>
  <c r="AA154" i="18"/>
  <c r="AA153" i="18"/>
  <c r="AA142" i="18"/>
  <c r="AA136" i="18"/>
  <c r="AA100" i="18"/>
  <c r="AA96" i="18"/>
  <c r="AA67" i="18"/>
  <c r="AA65" i="18"/>
  <c r="AA63" i="18"/>
  <c r="AA61" i="18"/>
  <c r="AA58" i="18"/>
  <c r="AA7" i="16"/>
  <c r="AA44" i="16"/>
  <c r="AA6" i="16"/>
  <c r="AA26" i="16"/>
  <c r="AA22" i="16"/>
  <c r="AA30" i="18"/>
  <c r="AC91" i="19" l="1"/>
  <c r="AE91" i="19"/>
  <c r="AF91" i="19"/>
  <c r="AD91" i="19"/>
  <c r="AH90" i="19"/>
  <c r="AD31" i="19"/>
  <c r="AE90" i="19"/>
  <c r="AI90" i="19"/>
  <c r="AL90" i="19"/>
  <c r="AF90" i="19"/>
  <c r="AJ90" i="19"/>
  <c r="AD90" i="19"/>
  <c r="AC90" i="19"/>
  <c r="AG90" i="19"/>
  <c r="AC88" i="19"/>
  <c r="AD88" i="19"/>
  <c r="AD89" i="19" l="1"/>
  <c r="AE89" i="19"/>
  <c r="EG24" i="3" l="1"/>
  <c r="EH24" i="3"/>
  <c r="EM24" i="3" s="1"/>
  <c r="ER24" i="3" s="1"/>
  <c r="EW24" i="3" s="1"/>
  <c r="EI24" i="3"/>
  <c r="EN24" i="3" s="1"/>
  <c r="ES24" i="3" s="1"/>
  <c r="EX24" i="3" s="1"/>
  <c r="EJ24" i="3"/>
  <c r="EO24" i="3" s="1"/>
  <c r="ET24" i="3" s="1"/>
  <c r="EY24" i="3" s="1"/>
  <c r="EL24" i="3"/>
  <c r="EQ24" i="3" s="1"/>
  <c r="EV24" i="3" s="1"/>
  <c r="DW17" i="3"/>
  <c r="DX17" i="3"/>
  <c r="EC17" i="3" s="1"/>
  <c r="EH17" i="3" s="1"/>
  <c r="EM17" i="3" s="1"/>
  <c r="ER17" i="3" s="1"/>
  <c r="EW17" i="3" s="1"/>
  <c r="DY17" i="3"/>
  <c r="ED17" i="3" s="1"/>
  <c r="EI17" i="3" s="1"/>
  <c r="EN17" i="3" s="1"/>
  <c r="ES17" i="3" s="1"/>
  <c r="EX17" i="3" s="1"/>
  <c r="DZ17" i="3"/>
  <c r="EE17" i="3" s="1"/>
  <c r="EJ17" i="3" s="1"/>
  <c r="EO17" i="3" s="1"/>
  <c r="ET17" i="3" s="1"/>
  <c r="EY17" i="3" s="1"/>
  <c r="EB17" i="3"/>
  <c r="EG17" i="3" s="1"/>
  <c r="EL17" i="3" s="1"/>
  <c r="EQ17" i="3" s="1"/>
  <c r="EV17" i="3" s="1"/>
  <c r="Q17" i="32"/>
  <c r="R17" i="32" s="1"/>
  <c r="S17" i="32" s="1"/>
  <c r="T17" i="32" s="1"/>
  <c r="U17" i="32" s="1"/>
  <c r="V17" i="32" s="1"/>
  <c r="W17" i="32" s="1"/>
  <c r="P17" i="32"/>
  <c r="B17" i="32"/>
  <c r="T6" i="32"/>
  <c r="U6" i="32" s="1"/>
  <c r="V6" i="32" s="1"/>
  <c r="W6" i="32" s="1"/>
  <c r="S6" i="32"/>
  <c r="CR77" i="2"/>
  <c r="CM53" i="2"/>
  <c r="CM48" i="2"/>
  <c r="CM43" i="2"/>
  <c r="CH38" i="2"/>
  <c r="CJ43" i="2"/>
  <c r="CK43" i="2"/>
  <c r="CL43" i="2"/>
  <c r="CJ38" i="2"/>
  <c r="CK38" i="2"/>
  <c r="CL38" i="2"/>
  <c r="CM38" i="2"/>
  <c r="N55" i="15"/>
  <c r="N25" i="15"/>
  <c r="N12" i="15"/>
  <c r="CM26" i="2"/>
  <c r="CH26" i="2"/>
  <c r="CJ26" i="2"/>
  <c r="CK26" i="2"/>
  <c r="CL26" i="2"/>
  <c r="CM22" i="2"/>
  <c r="CK22" i="2"/>
  <c r="CL22" i="2"/>
  <c r="CM18" i="2"/>
  <c r="CJ18" i="2"/>
  <c r="CK18" i="2"/>
  <c r="CL18" i="2"/>
  <c r="CL14" i="2"/>
  <c r="CM14" i="2"/>
  <c r="CM10" i="2"/>
  <c r="CL10" i="2"/>
  <c r="CM32" i="3" l="1"/>
  <c r="CM31" i="3"/>
  <c r="CL72" i="3"/>
  <c r="CM66" i="3"/>
  <c r="CM65" i="3"/>
  <c r="CM64" i="3"/>
  <c r="CM61" i="3"/>
  <c r="CM60" i="3"/>
  <c r="CM59" i="3"/>
  <c r="CM56" i="3"/>
  <c r="CM55" i="3"/>
  <c r="CL34" i="3"/>
  <c r="CL26" i="3"/>
  <c r="CL19" i="3"/>
  <c r="CL9" i="3"/>
  <c r="CL131" i="2" s="1"/>
  <c r="CM69" i="2"/>
  <c r="CM65" i="2"/>
  <c r="CM62" i="2"/>
  <c r="CM56" i="2"/>
  <c r="CM33" i="2"/>
  <c r="CM32" i="2"/>
  <c r="CM52" i="2"/>
  <c r="S79" i="15" l="1"/>
  <c r="T79" i="15"/>
  <c r="U79" i="15"/>
  <c r="V79" i="15" s="1"/>
  <c r="S67" i="15"/>
  <c r="T67" i="15"/>
  <c r="U67" i="15"/>
  <c r="EU30" i="2"/>
  <c r="DV30" i="2"/>
  <c r="CR26" i="2"/>
  <c r="CW26" i="2" s="1"/>
  <c r="CQ63" i="3" l="1"/>
  <c r="CP63" i="3"/>
  <c r="CQ58" i="3"/>
  <c r="CP58" i="3"/>
  <c r="CQ53" i="3"/>
  <c r="CP53" i="3"/>
  <c r="EY121" i="2"/>
  <c r="EX121" i="2"/>
  <c r="EW121" i="2"/>
  <c r="EV121" i="2"/>
  <c r="ET121" i="2"/>
  <c r="ES121" i="2"/>
  <c r="ER121" i="2"/>
  <c r="EQ121" i="2"/>
  <c r="EO121" i="2"/>
  <c r="EN121" i="2"/>
  <c r="EM121" i="2"/>
  <c r="EL121" i="2"/>
  <c r="EJ121" i="2"/>
  <c r="EI121" i="2"/>
  <c r="EH121" i="2"/>
  <c r="EG121" i="2"/>
  <c r="EE121" i="2"/>
  <c r="ED121" i="2"/>
  <c r="EC121" i="2"/>
  <c r="EB121" i="2"/>
  <c r="DZ121" i="2"/>
  <c r="DY121" i="2"/>
  <c r="DX121" i="2"/>
  <c r="DW121" i="2"/>
  <c r="DU121" i="2"/>
  <c r="DT121" i="2"/>
  <c r="DS121" i="2"/>
  <c r="DR121" i="2"/>
  <c r="DP121" i="2"/>
  <c r="DO121" i="2"/>
  <c r="DN121" i="2"/>
  <c r="DM121" i="2"/>
  <c r="DK121" i="2"/>
  <c r="DJ121" i="2"/>
  <c r="DI121" i="2"/>
  <c r="DH121" i="2"/>
  <c r="DF121" i="2"/>
  <c r="DE121" i="2"/>
  <c r="DD121" i="2"/>
  <c r="DC121" i="2"/>
  <c r="DA121" i="2"/>
  <c r="CZ121" i="2"/>
  <c r="CY121" i="2"/>
  <c r="CX121" i="2"/>
  <c r="CV121" i="2"/>
  <c r="CU121" i="2"/>
  <c r="CT121" i="2"/>
  <c r="CS121" i="2"/>
  <c r="EK102" i="2"/>
  <c r="EP102" i="2"/>
  <c r="EU102" i="2" s="1"/>
  <c r="EZ102" i="2" s="1"/>
  <c r="EF102" i="2"/>
  <c r="EA102" i="2"/>
  <c r="DV102" i="2"/>
  <c r="DQ102" i="2"/>
  <c r="DL102" i="2"/>
  <c r="DG102" i="2"/>
  <c r="DB102" i="2"/>
  <c r="CW102" i="2"/>
  <c r="CN102" i="2"/>
  <c r="CO102" i="2" s="1"/>
  <c r="CP102" i="2" s="1"/>
  <c r="CQ102" i="2" s="1"/>
  <c r="EZ30" i="2"/>
  <c r="EA30" i="2"/>
  <c r="EF30" i="2" s="1"/>
  <c r="EK30" i="2" s="1"/>
  <c r="EP30" i="2" s="1"/>
  <c r="DQ30" i="2"/>
  <c r="CN109" i="2"/>
  <c r="CO109" i="2" s="1"/>
  <c r="CP109" i="2" s="1"/>
  <c r="CQ109" i="2" s="1"/>
  <c r="CN106" i="2"/>
  <c r="CO106" i="2" s="1"/>
  <c r="CP106" i="2" s="1"/>
  <c r="CQ106" i="2" s="1"/>
  <c r="CO98" i="2"/>
  <c r="CP98" i="2" s="1"/>
  <c r="CQ98" i="2" s="1"/>
  <c r="CN98" i="2"/>
  <c r="CP97" i="2"/>
  <c r="CQ97" i="2" s="1"/>
  <c r="CP96" i="2"/>
  <c r="CQ96" i="2" s="1"/>
  <c r="CO96" i="2"/>
  <c r="CN96" i="2"/>
  <c r="CO61" i="2"/>
  <c r="CP61" i="2" s="1"/>
  <c r="CN58" i="2"/>
  <c r="CN54" i="2"/>
  <c r="CO57" i="2"/>
  <c r="CP57" i="2" s="1"/>
  <c r="CO55" i="2"/>
  <c r="CP55" i="2" s="1"/>
  <c r="CQ61" i="2" l="1"/>
  <c r="CP58" i="2"/>
  <c r="CP128" i="2" s="1"/>
  <c r="CN128" i="2"/>
  <c r="CO56" i="2"/>
  <c r="CO54" i="2" s="1"/>
  <c r="CQ57" i="2"/>
  <c r="CP56" i="2"/>
  <c r="CP54" i="2" s="1"/>
  <c r="CP53" i="2"/>
  <c r="CQ60" i="2" l="1"/>
  <c r="CO58" i="2"/>
  <c r="CO128" i="2" s="1"/>
  <c r="CQ53" i="2"/>
  <c r="H35" i="67" l="1"/>
  <c r="CW7" i="3"/>
  <c r="CN7" i="3"/>
  <c r="DB41" i="3"/>
  <c r="CO41" i="3"/>
  <c r="CN41" i="3"/>
  <c r="DB7" i="3"/>
  <c r="CW41" i="3"/>
  <c r="CR7" i="3"/>
  <c r="CQ41" i="3"/>
  <c r="CP41" i="3"/>
  <c r="CP7" i="3"/>
  <c r="FQ2" i="3"/>
  <c r="CR41" i="3"/>
  <c r="CQ7" i="3"/>
  <c r="CO7" i="3"/>
  <c r="CM60" i="2" l="1"/>
  <c r="CI43" i="2"/>
  <c r="CI38" i="2"/>
  <c r="CI26" i="2"/>
  <c r="CJ22" i="2"/>
  <c r="CI22" i="2"/>
  <c r="CI18" i="2"/>
  <c r="CJ14" i="2"/>
  <c r="CK14" i="2"/>
  <c r="CI14" i="2"/>
  <c r="CJ10" i="2"/>
  <c r="CK10" i="2"/>
  <c r="CI10" i="2"/>
  <c r="CK72" i="3" l="1"/>
  <c r="CK34" i="3"/>
  <c r="CK26" i="3"/>
  <c r="CK19" i="3"/>
  <c r="M26" i="61" l="1"/>
  <c r="N26" i="61" s="1"/>
  <c r="O26" i="61" s="1"/>
  <c r="P26" i="61" s="1"/>
  <c r="Q26" i="61" s="1"/>
  <c r="R26" i="61" s="1"/>
  <c r="S26" i="61" s="1"/>
  <c r="CJ72" i="3" l="1"/>
  <c r="CJ34" i="3"/>
  <c r="CJ26" i="3"/>
  <c r="CJ19" i="3"/>
  <c r="Q163" i="22" l="1"/>
  <c r="P163" i="22"/>
  <c r="O163" i="22"/>
  <c r="N163" i="22"/>
  <c r="M163" i="22"/>
  <c r="L163" i="22"/>
  <c r="Q162" i="22"/>
  <c r="P162" i="22"/>
  <c r="O162" i="22"/>
  <c r="O161" i="22" s="1"/>
  <c r="N162" i="22"/>
  <c r="N161" i="22" s="1"/>
  <c r="M162" i="22"/>
  <c r="L162" i="22"/>
  <c r="Q161" i="22"/>
  <c r="P161" i="22"/>
  <c r="M161" i="22"/>
  <c r="L161" i="22"/>
  <c r="Q160" i="22"/>
  <c r="P160" i="22"/>
  <c r="O160" i="22"/>
  <c r="N160" i="22"/>
  <c r="M160" i="22"/>
  <c r="L160" i="22"/>
  <c r="G152" i="22"/>
  <c r="F152" i="22"/>
  <c r="E152" i="22"/>
  <c r="O149" i="22"/>
  <c r="J142" i="22"/>
  <c r="F142" i="22" s="1"/>
  <c r="H142" i="22"/>
  <c r="E142" i="22"/>
  <c r="K141" i="22"/>
  <c r="L141" i="22" s="1"/>
  <c r="M141" i="22" s="1"/>
  <c r="N141" i="22" s="1"/>
  <c r="O141" i="22" s="1"/>
  <c r="P141" i="22" s="1"/>
  <c r="Q141" i="22" s="1"/>
  <c r="C137" i="22"/>
  <c r="C136" i="22"/>
  <c r="C134" i="22"/>
  <c r="D135" i="22"/>
  <c r="D136" i="22" s="1"/>
  <c r="D133" i="22"/>
  <c r="D134" i="22" s="1"/>
  <c r="F124" i="22"/>
  <c r="G123" i="22"/>
  <c r="G124" i="22" s="1"/>
  <c r="F123" i="22"/>
  <c r="G122" i="22"/>
  <c r="F122" i="22"/>
  <c r="K125" i="22"/>
  <c r="L125" i="22" s="1"/>
  <c r="M125" i="22" s="1"/>
  <c r="N125" i="22" s="1"/>
  <c r="O125" i="22" s="1"/>
  <c r="P125" i="22" s="1"/>
  <c r="Q125" i="22" s="1"/>
  <c r="J125" i="22"/>
  <c r="C102" i="22"/>
  <c r="D102" i="22" s="1"/>
  <c r="E102" i="22" s="1"/>
  <c r="J102" i="22" s="1"/>
  <c r="J106" i="22" s="1"/>
  <c r="J107" i="22" s="1"/>
  <c r="P111" i="22"/>
  <c r="Q111" i="22" s="1"/>
  <c r="N109" i="22"/>
  <c r="D101" i="22"/>
  <c r="E101" i="22" s="1"/>
  <c r="J101" i="22" s="1"/>
  <c r="L88" i="22"/>
  <c r="M88" i="22" s="1"/>
  <c r="N88" i="22" s="1"/>
  <c r="O88" i="22" s="1"/>
  <c r="P88" i="22" s="1"/>
  <c r="Q88" i="22" s="1"/>
  <c r="C85" i="22"/>
  <c r="D85" i="22" s="1"/>
  <c r="E85" i="22" s="1"/>
  <c r="J85" i="22" s="1"/>
  <c r="K85" i="22" s="1"/>
  <c r="C83" i="22"/>
  <c r="D83" i="22" s="1"/>
  <c r="E83" i="22" s="1"/>
  <c r="J83" i="22" s="1"/>
  <c r="K83" i="22" s="1"/>
  <c r="L83" i="22" s="1"/>
  <c r="M83" i="22" s="1"/>
  <c r="N83" i="22" s="1"/>
  <c r="O83" i="22" s="1"/>
  <c r="P83" i="22" s="1"/>
  <c r="Q83" i="22" s="1"/>
  <c r="C82" i="22"/>
  <c r="D82" i="22" s="1"/>
  <c r="E82" i="22" s="1"/>
  <c r="J82" i="22" s="1"/>
  <c r="K82" i="22" s="1"/>
  <c r="L82" i="22" s="1"/>
  <c r="M82" i="22" s="1"/>
  <c r="N82" i="22" s="1"/>
  <c r="O82" i="22" s="1"/>
  <c r="P82" i="22" s="1"/>
  <c r="Q82" i="22" s="1"/>
  <c r="C81" i="22"/>
  <c r="C80" i="22"/>
  <c r="C78" i="22"/>
  <c r="D78" i="22" s="1"/>
  <c r="E78" i="22" s="1"/>
  <c r="J78" i="22" s="1"/>
  <c r="K78" i="22" s="1"/>
  <c r="L78" i="22" s="1"/>
  <c r="M78" i="22" s="1"/>
  <c r="N78" i="22" s="1"/>
  <c r="O78" i="22" s="1"/>
  <c r="P78" i="22" s="1"/>
  <c r="Q78" i="22" s="1"/>
  <c r="C77" i="22"/>
  <c r="C76" i="22"/>
  <c r="D84" i="22"/>
  <c r="E84" i="22" s="1"/>
  <c r="J84" i="22" s="1"/>
  <c r="K84" i="22" s="1"/>
  <c r="L84" i="22" s="1"/>
  <c r="M84" i="22" s="1"/>
  <c r="N84" i="22" s="1"/>
  <c r="O84" i="22" s="1"/>
  <c r="P84" i="22" s="1"/>
  <c r="Q84" i="22" s="1"/>
  <c r="D81" i="22"/>
  <c r="E81" i="22" s="1"/>
  <c r="J81" i="22" s="1"/>
  <c r="K81" i="22" s="1"/>
  <c r="L81" i="22" s="1"/>
  <c r="M81" i="22" s="1"/>
  <c r="N81" i="22" s="1"/>
  <c r="O81" i="22" s="1"/>
  <c r="P81" i="22" s="1"/>
  <c r="Q81" i="22" s="1"/>
  <c r="D80" i="22"/>
  <c r="E80" i="22" s="1"/>
  <c r="D77" i="22"/>
  <c r="E77" i="22" s="1"/>
  <c r="J77" i="22" s="1"/>
  <c r="K77" i="22" s="1"/>
  <c r="L77" i="22" s="1"/>
  <c r="M77" i="22" s="1"/>
  <c r="N77" i="22" s="1"/>
  <c r="O77" i="22" s="1"/>
  <c r="P77" i="22" s="1"/>
  <c r="Q77" i="22" s="1"/>
  <c r="D76" i="22"/>
  <c r="E76" i="22" s="1"/>
  <c r="C65" i="22"/>
  <c r="C66" i="22" s="1"/>
  <c r="D64" i="22"/>
  <c r="C63" i="22"/>
  <c r="D61" i="22"/>
  <c r="C61" i="22"/>
  <c r="E55" i="22"/>
  <c r="D55" i="22"/>
  <c r="C55" i="22"/>
  <c r="K54" i="22"/>
  <c r="L54" i="22" s="1"/>
  <c r="M54" i="22" s="1"/>
  <c r="N54" i="22" s="1"/>
  <c r="O54" i="22" s="1"/>
  <c r="P54" i="22" s="1"/>
  <c r="Q54" i="22" s="1"/>
  <c r="D45" i="22"/>
  <c r="E45" i="22" s="1"/>
  <c r="J45" i="22" s="1"/>
  <c r="K45" i="22" s="1"/>
  <c r="L45" i="22" s="1"/>
  <c r="M45" i="22" s="1"/>
  <c r="N45" i="22" s="1"/>
  <c r="O45" i="22" s="1"/>
  <c r="P45" i="22" s="1"/>
  <c r="Q45" i="22" s="1"/>
  <c r="C42" i="22"/>
  <c r="C44" i="22" s="1"/>
  <c r="D41" i="22"/>
  <c r="C40" i="22"/>
  <c r="D40" i="22" s="1"/>
  <c r="E40" i="22" s="1"/>
  <c r="J40" i="22" s="1"/>
  <c r="K40" i="22" s="1"/>
  <c r="L40" i="22" s="1"/>
  <c r="M40" i="22" s="1"/>
  <c r="N40" i="22" s="1"/>
  <c r="O40" i="22" s="1"/>
  <c r="P40" i="22" s="1"/>
  <c r="Q40" i="22" s="1"/>
  <c r="J33" i="22"/>
  <c r="K33" i="22" s="1"/>
  <c r="L33" i="22" s="1"/>
  <c r="M33" i="22" s="1"/>
  <c r="N33" i="22" s="1"/>
  <c r="O33" i="22" s="1"/>
  <c r="P33" i="22" s="1"/>
  <c r="Q33" i="22" s="1"/>
  <c r="D32" i="22"/>
  <c r="C23" i="22"/>
  <c r="C35" i="22" s="1"/>
  <c r="C36" i="22" s="1"/>
  <c r="C21" i="22"/>
  <c r="C24" i="22" s="1"/>
  <c r="C19" i="22"/>
  <c r="D18" i="22"/>
  <c r="D19" i="22" s="1"/>
  <c r="D21" i="22" s="1"/>
  <c r="D17" i="22"/>
  <c r="E17" i="22" s="1"/>
  <c r="J17" i="22" s="1"/>
  <c r="K17" i="22" s="1"/>
  <c r="L17" i="22" s="1"/>
  <c r="M17" i="22" s="1"/>
  <c r="N17" i="22" s="1"/>
  <c r="O17" i="22" s="1"/>
  <c r="P17" i="22" s="1"/>
  <c r="Q17" i="22" s="1"/>
  <c r="D13" i="22"/>
  <c r="D89" i="22" s="1"/>
  <c r="C13" i="22"/>
  <c r="C89" i="22" s="1"/>
  <c r="D11" i="22"/>
  <c r="E11" i="22" s="1"/>
  <c r="E23" i="22" s="1"/>
  <c r="J9" i="22"/>
  <c r="K9" i="22" s="1"/>
  <c r="L9" i="22" s="1"/>
  <c r="M9" i="22" s="1"/>
  <c r="N9" i="22" s="1"/>
  <c r="O9" i="22" s="1"/>
  <c r="P9" i="22" s="1"/>
  <c r="Q9" i="22" s="1"/>
  <c r="C8" i="22"/>
  <c r="J1" i="22"/>
  <c r="K1" i="22" s="1"/>
  <c r="L1" i="22" s="1"/>
  <c r="M1" i="22" s="1"/>
  <c r="N1" i="22" s="1"/>
  <c r="O1" i="22" s="1"/>
  <c r="P1" i="22" s="1"/>
  <c r="Q1" i="22" s="1"/>
  <c r="B49" i="61"/>
  <c r="J44" i="61"/>
  <c r="K44" i="61" s="1"/>
  <c r="L44" i="61" s="1"/>
  <c r="M44" i="61" s="1"/>
  <c r="N44" i="61" s="1"/>
  <c r="O44" i="61" s="1"/>
  <c r="P44" i="61" s="1"/>
  <c r="Q44" i="61" s="1"/>
  <c r="R44" i="61" s="1"/>
  <c r="S44" i="61" s="1"/>
  <c r="D44" i="61"/>
  <c r="E44" i="61" s="1"/>
  <c r="H41" i="61"/>
  <c r="I41" i="61" s="1"/>
  <c r="D41" i="61"/>
  <c r="D39" i="61"/>
  <c r="E39" i="61" s="1"/>
  <c r="F39" i="61" s="1"/>
  <c r="L39" i="61"/>
  <c r="M39" i="61" s="1"/>
  <c r="N39" i="61" s="1"/>
  <c r="H35" i="61"/>
  <c r="I35" i="61" s="1"/>
  <c r="D35" i="61"/>
  <c r="E32" i="61"/>
  <c r="F32" i="61" s="1"/>
  <c r="G32" i="61" s="1"/>
  <c r="H32" i="61" s="1"/>
  <c r="I32" i="61" s="1"/>
  <c r="J32" i="61" s="1"/>
  <c r="K32" i="61" s="1"/>
  <c r="L32" i="61" s="1"/>
  <c r="M32" i="61" s="1"/>
  <c r="N32" i="61" s="1"/>
  <c r="O32" i="61" s="1"/>
  <c r="P32" i="61" s="1"/>
  <c r="Q32" i="61" s="1"/>
  <c r="R32" i="61" s="1"/>
  <c r="S32" i="61" s="1"/>
  <c r="D32" i="61"/>
  <c r="D22" i="61"/>
  <c r="E22" i="61" s="1"/>
  <c r="F22" i="61" s="1"/>
  <c r="G22" i="61" s="1"/>
  <c r="H22" i="61" s="1"/>
  <c r="I22" i="61" s="1"/>
  <c r="J22" i="61" s="1"/>
  <c r="K22" i="61" s="1"/>
  <c r="L22" i="61" s="1"/>
  <c r="M22" i="61" s="1"/>
  <c r="N22" i="61" s="1"/>
  <c r="O22" i="61" s="1"/>
  <c r="P22" i="61" s="1"/>
  <c r="Q22" i="61" s="1"/>
  <c r="R22" i="61" s="1"/>
  <c r="S22" i="61" s="1"/>
  <c r="C21" i="61"/>
  <c r="C23" i="61" s="1"/>
  <c r="C19" i="61"/>
  <c r="S15" i="61"/>
  <c r="R15" i="61"/>
  <c r="Q15" i="61"/>
  <c r="P15" i="61"/>
  <c r="O15" i="61"/>
  <c r="N15" i="61"/>
  <c r="M15" i="61"/>
  <c r="L15" i="61"/>
  <c r="K15" i="61"/>
  <c r="J15" i="61"/>
  <c r="I15" i="61"/>
  <c r="H15" i="61"/>
  <c r="G15" i="61"/>
  <c r="D11" i="61"/>
  <c r="E11" i="61" s="1"/>
  <c r="F11" i="61" s="1"/>
  <c r="G11" i="61" s="1"/>
  <c r="H11" i="61" s="1"/>
  <c r="I11" i="61" s="1"/>
  <c r="J11" i="61" s="1"/>
  <c r="K11" i="61" s="1"/>
  <c r="L11" i="61" s="1"/>
  <c r="M11" i="61" s="1"/>
  <c r="N11" i="61" s="1"/>
  <c r="O11" i="61" s="1"/>
  <c r="P11" i="61" s="1"/>
  <c r="Q11" i="61" s="1"/>
  <c r="R11" i="61" s="1"/>
  <c r="S11" i="61" s="1"/>
  <c r="D9" i="61"/>
  <c r="E9" i="61" s="1"/>
  <c r="F9" i="61" s="1"/>
  <c r="G9" i="61" s="1"/>
  <c r="H9" i="61" s="1"/>
  <c r="I9" i="61" s="1"/>
  <c r="J9" i="61" s="1"/>
  <c r="K9" i="61" s="1"/>
  <c r="L9" i="61" s="1"/>
  <c r="M9" i="61" s="1"/>
  <c r="N9" i="61" s="1"/>
  <c r="O9" i="61" s="1"/>
  <c r="P9" i="61" s="1"/>
  <c r="Q9" i="61" s="1"/>
  <c r="R9" i="61" s="1"/>
  <c r="S9" i="61" s="1"/>
  <c r="D6" i="61"/>
  <c r="E6" i="61" s="1"/>
  <c r="F6" i="61" s="1"/>
  <c r="G6" i="61" s="1"/>
  <c r="H6" i="61" s="1"/>
  <c r="I6" i="61" s="1"/>
  <c r="J6" i="61" s="1"/>
  <c r="K6" i="61" s="1"/>
  <c r="L6" i="61" s="1"/>
  <c r="M6" i="61" s="1"/>
  <c r="N6" i="61" s="1"/>
  <c r="O6" i="61" s="1"/>
  <c r="P6" i="61" s="1"/>
  <c r="Q6" i="61" s="1"/>
  <c r="R6" i="61" s="1"/>
  <c r="S6" i="61" s="1"/>
  <c r="C5" i="61"/>
  <c r="E3" i="61"/>
  <c r="D3" i="61"/>
  <c r="D2" i="61"/>
  <c r="E2" i="61" s="1"/>
  <c r="F2" i="61" s="1"/>
  <c r="G2" i="61" s="1"/>
  <c r="H2" i="61" s="1"/>
  <c r="I2" i="61" s="1"/>
  <c r="J2" i="61" s="1"/>
  <c r="K2" i="61" s="1"/>
  <c r="L2" i="61" s="1"/>
  <c r="M2" i="61" s="1"/>
  <c r="N2" i="61" s="1"/>
  <c r="O2" i="61" s="1"/>
  <c r="P2" i="61" s="1"/>
  <c r="Q2" i="61" s="1"/>
  <c r="R2" i="61" s="1"/>
  <c r="S2" i="61" s="1"/>
  <c r="H157" i="25"/>
  <c r="G157" i="25"/>
  <c r="F157" i="25"/>
  <c r="E157" i="25"/>
  <c r="D157" i="25"/>
  <c r="C157" i="25"/>
  <c r="J134" i="25"/>
  <c r="I134" i="25"/>
  <c r="H134" i="25"/>
  <c r="G134" i="25"/>
  <c r="L133" i="25"/>
  <c r="K133" i="25"/>
  <c r="J133" i="25"/>
  <c r="I133" i="25"/>
  <c r="H133" i="25"/>
  <c r="G133" i="25"/>
  <c r="K132" i="25"/>
  <c r="J132" i="25"/>
  <c r="I132" i="25"/>
  <c r="H132" i="25"/>
  <c r="G132" i="25"/>
  <c r="J131" i="25"/>
  <c r="I131" i="25"/>
  <c r="H131" i="25"/>
  <c r="G131" i="25"/>
  <c r="F134" i="25"/>
  <c r="E134" i="25"/>
  <c r="D134" i="25"/>
  <c r="C134" i="25"/>
  <c r="F133" i="25"/>
  <c r="E133" i="25"/>
  <c r="D133" i="25"/>
  <c r="C133" i="25"/>
  <c r="F132" i="25"/>
  <c r="E132" i="25"/>
  <c r="D132" i="25"/>
  <c r="C132" i="25"/>
  <c r="F131" i="25"/>
  <c r="E131" i="25"/>
  <c r="D131" i="25"/>
  <c r="C131" i="25"/>
  <c r="J123" i="25"/>
  <c r="I123" i="25"/>
  <c r="H123" i="25"/>
  <c r="G123" i="25"/>
  <c r="F123" i="25"/>
  <c r="E123" i="25"/>
  <c r="E124" i="25" s="1"/>
  <c r="E138" i="25" s="1"/>
  <c r="E189" i="25" s="1"/>
  <c r="D123" i="25"/>
  <c r="D124" i="25" s="1"/>
  <c r="D138" i="25" s="1"/>
  <c r="D189" i="25" s="1"/>
  <c r="C123" i="25"/>
  <c r="C124" i="25" s="1"/>
  <c r="C138" i="25" s="1"/>
  <c r="C189" i="25" s="1"/>
  <c r="I122" i="25"/>
  <c r="J122" i="25" s="1"/>
  <c r="K122" i="25" s="1"/>
  <c r="L122" i="25" s="1"/>
  <c r="M122" i="25" s="1"/>
  <c r="N122" i="25" s="1"/>
  <c r="O122" i="25" s="1"/>
  <c r="P122" i="25" s="1"/>
  <c r="Q122" i="25" s="1"/>
  <c r="R122" i="25" s="1"/>
  <c r="S122" i="25" s="1"/>
  <c r="T122" i="25" s="1"/>
  <c r="U122" i="25" s="1"/>
  <c r="V122" i="25" s="1"/>
  <c r="W122" i="25" s="1"/>
  <c r="X122" i="25" s="1"/>
  <c r="H122" i="25"/>
  <c r="X180" i="25"/>
  <c r="W180" i="25"/>
  <c r="V180" i="25"/>
  <c r="U180" i="25"/>
  <c r="T180" i="25"/>
  <c r="S180" i="25"/>
  <c r="R180" i="25"/>
  <c r="Q180" i="25"/>
  <c r="P180" i="25"/>
  <c r="O180" i="25"/>
  <c r="N180" i="25"/>
  <c r="M180" i="25"/>
  <c r="L180" i="25"/>
  <c r="K180" i="25"/>
  <c r="J180" i="25"/>
  <c r="I180" i="25"/>
  <c r="H180" i="25"/>
  <c r="G180" i="25"/>
  <c r="F180" i="25"/>
  <c r="K109" i="25"/>
  <c r="L109" i="25" s="1"/>
  <c r="M109" i="25" s="1"/>
  <c r="N109" i="25" s="1"/>
  <c r="O109" i="25" s="1"/>
  <c r="P109" i="25" s="1"/>
  <c r="Q109" i="25" s="1"/>
  <c r="R109" i="25" s="1"/>
  <c r="S109" i="25" s="1"/>
  <c r="T109" i="25" s="1"/>
  <c r="U109" i="25" s="1"/>
  <c r="V109" i="25" s="1"/>
  <c r="W109" i="25" s="1"/>
  <c r="X109" i="25" s="1"/>
  <c r="L108" i="25"/>
  <c r="M108" i="25" s="1"/>
  <c r="N108" i="25" s="1"/>
  <c r="O108" i="25" s="1"/>
  <c r="P108" i="25" s="1"/>
  <c r="Q108" i="25" s="1"/>
  <c r="R108" i="25" s="1"/>
  <c r="S108" i="25" s="1"/>
  <c r="T108" i="25" s="1"/>
  <c r="U108" i="25" s="1"/>
  <c r="V108" i="25" s="1"/>
  <c r="W108" i="25" s="1"/>
  <c r="X108" i="25" s="1"/>
  <c r="M107" i="25"/>
  <c r="N107" i="25" s="1"/>
  <c r="O107" i="25" s="1"/>
  <c r="P107" i="25" s="1"/>
  <c r="Q107" i="25" s="1"/>
  <c r="R107" i="25" s="1"/>
  <c r="S107" i="25" s="1"/>
  <c r="T107" i="25" s="1"/>
  <c r="U107" i="25" s="1"/>
  <c r="V107" i="25" s="1"/>
  <c r="W107" i="25" s="1"/>
  <c r="X107" i="25" s="1"/>
  <c r="X78" i="25"/>
  <c r="T78" i="25"/>
  <c r="P78" i="25"/>
  <c r="O78" i="25"/>
  <c r="M78" i="25"/>
  <c r="L78" i="25"/>
  <c r="K78" i="25"/>
  <c r="I78" i="25"/>
  <c r="H78" i="25"/>
  <c r="G78" i="25"/>
  <c r="E78" i="25"/>
  <c r="D78" i="25"/>
  <c r="C78" i="25"/>
  <c r="H62" i="25"/>
  <c r="G62" i="25"/>
  <c r="F62" i="25"/>
  <c r="E62" i="25"/>
  <c r="D62" i="25"/>
  <c r="C62" i="25"/>
  <c r="J39" i="25"/>
  <c r="I39" i="25"/>
  <c r="H39" i="25"/>
  <c r="G39" i="25"/>
  <c r="L38" i="25"/>
  <c r="K38" i="25"/>
  <c r="J38" i="25"/>
  <c r="I38" i="25"/>
  <c r="H38" i="25"/>
  <c r="G38" i="25"/>
  <c r="K37" i="25"/>
  <c r="J37" i="25"/>
  <c r="I37" i="25"/>
  <c r="H37" i="25"/>
  <c r="G37" i="25"/>
  <c r="J36" i="25"/>
  <c r="I36" i="25"/>
  <c r="H36" i="25"/>
  <c r="G36" i="25"/>
  <c r="F39" i="25"/>
  <c r="E39" i="25"/>
  <c r="D39" i="25"/>
  <c r="C39" i="25"/>
  <c r="F38" i="25"/>
  <c r="E38" i="25"/>
  <c r="D38" i="25"/>
  <c r="C38" i="25"/>
  <c r="F37" i="25"/>
  <c r="E37" i="25"/>
  <c r="D37" i="25"/>
  <c r="C37" i="25"/>
  <c r="F36" i="25"/>
  <c r="E36" i="25"/>
  <c r="D36" i="25"/>
  <c r="C36" i="25"/>
  <c r="J28" i="25"/>
  <c r="I28" i="25"/>
  <c r="H28" i="25"/>
  <c r="G28" i="25"/>
  <c r="F28" i="25"/>
  <c r="E28" i="25"/>
  <c r="E29" i="25" s="1"/>
  <c r="E43" i="25" s="1"/>
  <c r="E94" i="25" s="1"/>
  <c r="D28" i="25"/>
  <c r="D29" i="25" s="1"/>
  <c r="D43" i="25" s="1"/>
  <c r="D94" i="25" s="1"/>
  <c r="C28" i="25"/>
  <c r="C29" i="25" s="1"/>
  <c r="C43" i="25" s="1"/>
  <c r="C94" i="25" s="1"/>
  <c r="H27" i="25"/>
  <c r="I27" i="25" s="1"/>
  <c r="J27" i="25" s="1"/>
  <c r="K27" i="25" s="1"/>
  <c r="L27" i="25" s="1"/>
  <c r="M27" i="25" s="1"/>
  <c r="N27" i="25" s="1"/>
  <c r="O27" i="25" s="1"/>
  <c r="P27" i="25" s="1"/>
  <c r="Q27" i="25" s="1"/>
  <c r="R27" i="25" s="1"/>
  <c r="S27" i="25" s="1"/>
  <c r="T27" i="25" s="1"/>
  <c r="U27" i="25" s="1"/>
  <c r="V27" i="25" s="1"/>
  <c r="W27" i="25" s="1"/>
  <c r="X27" i="25" s="1"/>
  <c r="X85" i="25"/>
  <c r="W85" i="25"/>
  <c r="V85" i="25"/>
  <c r="U85" i="25"/>
  <c r="T85" i="25"/>
  <c r="S85" i="25"/>
  <c r="R85" i="25"/>
  <c r="Q85" i="25"/>
  <c r="P85" i="25"/>
  <c r="O85" i="25"/>
  <c r="N85" i="25"/>
  <c r="M85" i="25"/>
  <c r="L85" i="25"/>
  <c r="K85" i="25"/>
  <c r="J85" i="25"/>
  <c r="I85" i="25"/>
  <c r="H85" i="25"/>
  <c r="G85" i="25"/>
  <c r="F85" i="25"/>
  <c r="K14" i="25"/>
  <c r="L14" i="25" s="1"/>
  <c r="M14" i="25" s="1"/>
  <c r="N14" i="25" s="1"/>
  <c r="O14" i="25" s="1"/>
  <c r="P14" i="25" s="1"/>
  <c r="Q14" i="25" s="1"/>
  <c r="R14" i="25" s="1"/>
  <c r="S14" i="25" s="1"/>
  <c r="T14" i="25" s="1"/>
  <c r="U14" i="25" s="1"/>
  <c r="V14" i="25" s="1"/>
  <c r="W14" i="25" s="1"/>
  <c r="X14" i="25" s="1"/>
  <c r="L13" i="25"/>
  <c r="M13" i="25" s="1"/>
  <c r="N13" i="25" s="1"/>
  <c r="O13" i="25" s="1"/>
  <c r="P13" i="25" s="1"/>
  <c r="Q13" i="25" s="1"/>
  <c r="R13" i="25" s="1"/>
  <c r="S13" i="25" s="1"/>
  <c r="T13" i="25" s="1"/>
  <c r="U13" i="25" s="1"/>
  <c r="V13" i="25" s="1"/>
  <c r="W13" i="25" s="1"/>
  <c r="X13" i="25" s="1"/>
  <c r="L12" i="25"/>
  <c r="M12" i="25" s="1"/>
  <c r="N12" i="25" s="1"/>
  <c r="O12" i="25" s="1"/>
  <c r="P12" i="25" s="1"/>
  <c r="Q12" i="25" s="1"/>
  <c r="R12" i="25" s="1"/>
  <c r="S12" i="25" s="1"/>
  <c r="T12" i="25" s="1"/>
  <c r="U12" i="25" s="1"/>
  <c r="V12" i="25" s="1"/>
  <c r="W12" i="25" s="1"/>
  <c r="X12" i="25" s="1"/>
  <c r="X97" i="25"/>
  <c r="W97" i="25"/>
  <c r="V97" i="25"/>
  <c r="U97" i="25"/>
  <c r="T97" i="25"/>
  <c r="S97" i="25"/>
  <c r="R97" i="25"/>
  <c r="Q97" i="25"/>
  <c r="P97" i="25"/>
  <c r="O97" i="25"/>
  <c r="N97" i="25"/>
  <c r="M97" i="25"/>
  <c r="L97" i="25"/>
  <c r="K97" i="25"/>
  <c r="J97" i="25"/>
  <c r="I97" i="25"/>
  <c r="H97" i="25"/>
  <c r="G97" i="25"/>
  <c r="F97" i="25"/>
  <c r="E97" i="25"/>
  <c r="D97" i="25"/>
  <c r="C97" i="25"/>
  <c r="J1" i="25"/>
  <c r="F127" i="15"/>
  <c r="F123" i="15"/>
  <c r="G123" i="15" s="1"/>
  <c r="G119" i="15"/>
  <c r="F119" i="15"/>
  <c r="F115" i="15"/>
  <c r="G115" i="15" s="1"/>
  <c r="G111" i="15"/>
  <c r="F111" i="15"/>
  <c r="F107" i="15"/>
  <c r="G107" i="15" s="1"/>
  <c r="K87" i="15"/>
  <c r="J87" i="15"/>
  <c r="C85" i="15"/>
  <c r="C84" i="15"/>
  <c r="F80" i="15"/>
  <c r="G80" i="15" s="1"/>
  <c r="H80" i="15" s="1"/>
  <c r="I80" i="15" s="1"/>
  <c r="J80" i="15" s="1"/>
  <c r="K80" i="15" s="1"/>
  <c r="L80" i="15" s="1"/>
  <c r="M80" i="15" s="1"/>
  <c r="N80" i="15" s="1"/>
  <c r="O80" i="15" s="1"/>
  <c r="P80" i="15" s="1"/>
  <c r="Q80" i="15" s="1"/>
  <c r="R80" i="15" s="1"/>
  <c r="S80" i="15" s="1"/>
  <c r="T80" i="15" s="1"/>
  <c r="U80" i="15" s="1"/>
  <c r="V80" i="15" s="1"/>
  <c r="W80" i="15" s="1"/>
  <c r="X80" i="15" s="1"/>
  <c r="Y80" i="15" s="1"/>
  <c r="Z80" i="15" s="1"/>
  <c r="D80" i="15"/>
  <c r="E80" i="15" s="1"/>
  <c r="D76" i="15"/>
  <c r="E76" i="15" s="1"/>
  <c r="D73" i="15"/>
  <c r="D68" i="15"/>
  <c r="E68" i="15" s="1"/>
  <c r="F68" i="15" s="1"/>
  <c r="G68" i="15" s="1"/>
  <c r="H68" i="15" s="1"/>
  <c r="I68" i="15" s="1"/>
  <c r="J68" i="15" s="1"/>
  <c r="K68" i="15" s="1"/>
  <c r="L68" i="15" s="1"/>
  <c r="M68" i="15" s="1"/>
  <c r="N68" i="15" s="1"/>
  <c r="O68" i="15" s="1"/>
  <c r="P68" i="15" s="1"/>
  <c r="Q68" i="15" s="1"/>
  <c r="R68" i="15" s="1"/>
  <c r="S68" i="15" s="1"/>
  <c r="T68" i="15" s="1"/>
  <c r="U68" i="15" s="1"/>
  <c r="V68" i="15" s="1"/>
  <c r="W68" i="15" s="1"/>
  <c r="X68" i="15" s="1"/>
  <c r="Y68" i="15" s="1"/>
  <c r="Z68" i="15" s="1"/>
  <c r="H67" i="15"/>
  <c r="I67" i="15" s="1"/>
  <c r="J67" i="15" s="1"/>
  <c r="K67" i="15" s="1"/>
  <c r="L67" i="15" s="1"/>
  <c r="M67" i="15" s="1"/>
  <c r="N67" i="15" s="1"/>
  <c r="O67" i="15" s="1"/>
  <c r="P67" i="15" s="1"/>
  <c r="Q67" i="15" s="1"/>
  <c r="R67" i="15" s="1"/>
  <c r="V67" i="15" s="1"/>
  <c r="W67" i="15" s="1"/>
  <c r="X67" i="15" s="1"/>
  <c r="Y67" i="15" s="1"/>
  <c r="Z67" i="15" s="1"/>
  <c r="E67" i="15"/>
  <c r="F64" i="15"/>
  <c r="D64" i="15"/>
  <c r="E64" i="15" s="1"/>
  <c r="D61" i="15"/>
  <c r="E61" i="15" s="1"/>
  <c r="D56" i="15"/>
  <c r="E56" i="15" s="1"/>
  <c r="F56" i="15" s="1"/>
  <c r="G56" i="15" s="1"/>
  <c r="H56" i="15" s="1"/>
  <c r="I56" i="15" s="1"/>
  <c r="J56" i="15" s="1"/>
  <c r="K56" i="15" s="1"/>
  <c r="L56" i="15" s="1"/>
  <c r="M56" i="15" s="1"/>
  <c r="N56" i="15" s="1"/>
  <c r="O56" i="15" s="1"/>
  <c r="P56" i="15" s="1"/>
  <c r="Q56" i="15" s="1"/>
  <c r="R56" i="15" s="1"/>
  <c r="S56" i="15" s="1"/>
  <c r="T56" i="15" s="1"/>
  <c r="U56" i="15" s="1"/>
  <c r="V56" i="15" s="1"/>
  <c r="W56" i="15" s="1"/>
  <c r="X56" i="15" s="1"/>
  <c r="Y56" i="15" s="1"/>
  <c r="Z56" i="15" s="1"/>
  <c r="K55" i="15"/>
  <c r="D52" i="15"/>
  <c r="F50" i="15"/>
  <c r="G50" i="15" s="1"/>
  <c r="H50" i="15" s="1"/>
  <c r="I50" i="15" s="1"/>
  <c r="J50" i="15" s="1"/>
  <c r="K50" i="15" s="1"/>
  <c r="L50" i="15" s="1"/>
  <c r="M50" i="15" s="1"/>
  <c r="N50" i="15" s="1"/>
  <c r="O50" i="15" s="1"/>
  <c r="P50" i="15" s="1"/>
  <c r="Q50" i="15" s="1"/>
  <c r="R50" i="15" s="1"/>
  <c r="S50" i="15" s="1"/>
  <c r="T50" i="15" s="1"/>
  <c r="U50" i="15" s="1"/>
  <c r="V50" i="15" s="1"/>
  <c r="W50" i="15" s="1"/>
  <c r="X50" i="15" s="1"/>
  <c r="Y50" i="15" s="1"/>
  <c r="Z50" i="15" s="1"/>
  <c r="D50" i="15"/>
  <c r="E50" i="15" s="1"/>
  <c r="D49" i="15"/>
  <c r="E49" i="15" s="1"/>
  <c r="E48" i="15"/>
  <c r="F48" i="15" s="1"/>
  <c r="G48" i="15" s="1"/>
  <c r="H48" i="15" s="1"/>
  <c r="I48" i="15" s="1"/>
  <c r="C45" i="15"/>
  <c r="D38" i="15"/>
  <c r="E38" i="15" s="1"/>
  <c r="F38" i="15" s="1"/>
  <c r="G38" i="15" s="1"/>
  <c r="H38" i="15" s="1"/>
  <c r="I38" i="15" s="1"/>
  <c r="J38" i="15" s="1"/>
  <c r="K38" i="15" s="1"/>
  <c r="L38" i="15" s="1"/>
  <c r="M38" i="15" s="1"/>
  <c r="N38" i="15" s="1"/>
  <c r="O38" i="15" s="1"/>
  <c r="P38" i="15" s="1"/>
  <c r="Q38" i="15" s="1"/>
  <c r="R38" i="15" s="1"/>
  <c r="S38" i="15" s="1"/>
  <c r="T38" i="15" s="1"/>
  <c r="U38" i="15" s="1"/>
  <c r="V38" i="15" s="1"/>
  <c r="W38" i="15" s="1"/>
  <c r="X38" i="15" s="1"/>
  <c r="Y38" i="15" s="1"/>
  <c r="Z38" i="15" s="1"/>
  <c r="D34" i="15"/>
  <c r="E34" i="15" s="1"/>
  <c r="F34" i="15" s="1"/>
  <c r="G34" i="15" s="1"/>
  <c r="D31" i="15"/>
  <c r="E26" i="15"/>
  <c r="F26" i="15" s="1"/>
  <c r="G26" i="15" s="1"/>
  <c r="H26" i="15" s="1"/>
  <c r="I26" i="15" s="1"/>
  <c r="J26" i="15" s="1"/>
  <c r="K26" i="15" s="1"/>
  <c r="L26" i="15" s="1"/>
  <c r="M26" i="15" s="1"/>
  <c r="N26" i="15" s="1"/>
  <c r="O26" i="15" s="1"/>
  <c r="P26" i="15" s="1"/>
  <c r="Q26" i="15" s="1"/>
  <c r="R26" i="15" s="1"/>
  <c r="S26" i="15" s="1"/>
  <c r="T26" i="15" s="1"/>
  <c r="U26" i="15" s="1"/>
  <c r="V26" i="15" s="1"/>
  <c r="W26" i="15" s="1"/>
  <c r="X26" i="15" s="1"/>
  <c r="Y26" i="15" s="1"/>
  <c r="Z26" i="15" s="1"/>
  <c r="D26" i="15"/>
  <c r="E25" i="15"/>
  <c r="F25" i="15" s="1"/>
  <c r="G25" i="15" s="1"/>
  <c r="H25" i="15" s="1"/>
  <c r="I25" i="15" s="1"/>
  <c r="J25" i="15" s="1"/>
  <c r="K25" i="15" s="1"/>
  <c r="L25" i="15" s="1"/>
  <c r="M25" i="15" s="1"/>
  <c r="O25" i="15" s="1"/>
  <c r="P25" i="15" s="1"/>
  <c r="Q25" i="15" s="1"/>
  <c r="R25" i="15" s="1"/>
  <c r="S25" i="15" s="1"/>
  <c r="T25" i="15" s="1"/>
  <c r="U25" i="15" s="1"/>
  <c r="V25" i="15" s="1"/>
  <c r="W25" i="15" s="1"/>
  <c r="X25" i="15" s="1"/>
  <c r="Y25" i="15" s="1"/>
  <c r="Z25" i="15" s="1"/>
  <c r="D22" i="15"/>
  <c r="D19" i="15"/>
  <c r="E19" i="15" s="1"/>
  <c r="I14" i="15"/>
  <c r="J14" i="15" s="1"/>
  <c r="H14" i="15"/>
  <c r="F14" i="15"/>
  <c r="F27" i="15" s="1"/>
  <c r="E14" i="15"/>
  <c r="E27" i="15" s="1"/>
  <c r="E39" i="15" s="1"/>
  <c r="E57" i="15" s="1"/>
  <c r="D14" i="15"/>
  <c r="D13" i="15"/>
  <c r="E13" i="15" s="1"/>
  <c r="F13" i="15" s="1"/>
  <c r="G13" i="15" s="1"/>
  <c r="H13" i="15" s="1"/>
  <c r="I13" i="15" s="1"/>
  <c r="J13" i="15" s="1"/>
  <c r="K13" i="15" s="1"/>
  <c r="L13" i="15" s="1"/>
  <c r="M13" i="15" s="1"/>
  <c r="N13" i="15" s="1"/>
  <c r="O13" i="15" s="1"/>
  <c r="P13" i="15" s="1"/>
  <c r="Q13" i="15" s="1"/>
  <c r="R13" i="15" s="1"/>
  <c r="S13" i="15" s="1"/>
  <c r="T13" i="15" s="1"/>
  <c r="U13" i="15" s="1"/>
  <c r="V13" i="15" s="1"/>
  <c r="W13" i="15" s="1"/>
  <c r="X13" i="15" s="1"/>
  <c r="Y13" i="15" s="1"/>
  <c r="Z13" i="15" s="1"/>
  <c r="O15" i="15"/>
  <c r="P15" i="15" s="1"/>
  <c r="Q15" i="15" s="1"/>
  <c r="R15" i="15" s="1"/>
  <c r="S15" i="15" s="1"/>
  <c r="T15" i="15" s="1"/>
  <c r="U15" i="15" s="1"/>
  <c r="V15" i="15" s="1"/>
  <c r="W15" i="15" s="1"/>
  <c r="X15" i="15" s="1"/>
  <c r="Y15" i="15" s="1"/>
  <c r="Z15" i="15" s="1"/>
  <c r="K15" i="15"/>
  <c r="L15" i="15" s="1"/>
  <c r="M15" i="15" s="1"/>
  <c r="K12" i="15"/>
  <c r="L12" i="15" s="1"/>
  <c r="E12" i="15"/>
  <c r="F12" i="15" s="1"/>
  <c r="G12" i="15" s="1"/>
  <c r="H12" i="15" s="1"/>
  <c r="I12" i="15" s="1"/>
  <c r="D9" i="15"/>
  <c r="E9" i="15" s="1"/>
  <c r="D7" i="15"/>
  <c r="E7" i="15" s="1"/>
  <c r="F7" i="15" s="1"/>
  <c r="G7" i="15" s="1"/>
  <c r="H7" i="15" s="1"/>
  <c r="I7" i="15" s="1"/>
  <c r="J7" i="15" s="1"/>
  <c r="K7" i="15" s="1"/>
  <c r="L7" i="15" s="1"/>
  <c r="M7" i="15" s="1"/>
  <c r="N7" i="15" s="1"/>
  <c r="O7" i="15" s="1"/>
  <c r="P7" i="15" s="1"/>
  <c r="Q7" i="15" s="1"/>
  <c r="R7" i="15" s="1"/>
  <c r="S7" i="15" s="1"/>
  <c r="T7" i="15" s="1"/>
  <c r="U7" i="15" s="1"/>
  <c r="V7" i="15" s="1"/>
  <c r="W7" i="15" s="1"/>
  <c r="X7" i="15" s="1"/>
  <c r="Y7" i="15" s="1"/>
  <c r="Z7" i="15" s="1"/>
  <c r="D6" i="15"/>
  <c r="E6" i="15" s="1"/>
  <c r="E5" i="15"/>
  <c r="F5" i="15" s="1"/>
  <c r="G5" i="15" s="1"/>
  <c r="H5" i="15" s="1"/>
  <c r="I5" i="15" s="1"/>
  <c r="D2" i="15"/>
  <c r="AO278" i="19"/>
  <c r="W278" i="19"/>
  <c r="V278" i="19"/>
  <c r="U278" i="19"/>
  <c r="T278" i="19"/>
  <c r="S278" i="19"/>
  <c r="R278" i="19"/>
  <c r="Q278" i="19"/>
  <c r="P278" i="19"/>
  <c r="O278" i="19"/>
  <c r="N278" i="19"/>
  <c r="M278" i="19"/>
  <c r="L278" i="19"/>
  <c r="K278" i="19"/>
  <c r="J278" i="19"/>
  <c r="I278" i="19"/>
  <c r="H278" i="19"/>
  <c r="G278" i="19"/>
  <c r="F278" i="19"/>
  <c r="E278" i="19"/>
  <c r="D278" i="19"/>
  <c r="D279" i="19" s="1"/>
  <c r="AC273" i="19"/>
  <c r="AC254" i="19"/>
  <c r="AC253" i="19"/>
  <c r="AC251" i="19"/>
  <c r="AA273" i="19"/>
  <c r="Z273" i="19"/>
  <c r="AD255" i="19"/>
  <c r="AD254" i="19"/>
  <c r="AD253" i="19"/>
  <c r="AD251" i="19"/>
  <c r="W272" i="19"/>
  <c r="V272" i="19"/>
  <c r="U272" i="19"/>
  <c r="T272" i="19"/>
  <c r="S272" i="19"/>
  <c r="R272" i="19"/>
  <c r="Q272" i="19"/>
  <c r="P272" i="19"/>
  <c r="O272" i="19"/>
  <c r="N272" i="19"/>
  <c r="M272" i="19"/>
  <c r="L272" i="19"/>
  <c r="K272" i="19"/>
  <c r="J272" i="19"/>
  <c r="I272" i="19"/>
  <c r="H272" i="19"/>
  <c r="G272" i="19"/>
  <c r="F272" i="19"/>
  <c r="E272" i="19"/>
  <c r="AA271" i="19"/>
  <c r="Z271" i="19"/>
  <c r="Y271" i="19"/>
  <c r="X271" i="19"/>
  <c r="W271" i="19"/>
  <c r="V271" i="19"/>
  <c r="U271" i="19"/>
  <c r="T271" i="19"/>
  <c r="S271" i="19"/>
  <c r="N271" i="19"/>
  <c r="B256" i="19"/>
  <c r="B255" i="19"/>
  <c r="Z256" i="19"/>
  <c r="Y256" i="19"/>
  <c r="X256" i="19"/>
  <c r="W256" i="19" s="1"/>
  <c r="Z255" i="19"/>
  <c r="Y255" i="19"/>
  <c r="X255" i="19"/>
  <c r="W255" i="19" s="1"/>
  <c r="V249" i="19"/>
  <c r="U249" i="19"/>
  <c r="T249" i="19"/>
  <c r="S249" i="19"/>
  <c r="R249" i="19"/>
  <c r="V248" i="19"/>
  <c r="U248" i="19"/>
  <c r="T248" i="19"/>
  <c r="S248" i="19"/>
  <c r="R248" i="19"/>
  <c r="V247" i="19"/>
  <c r="U247" i="19"/>
  <c r="T247" i="19"/>
  <c r="S247" i="19"/>
  <c r="R247" i="19"/>
  <c r="W246" i="19"/>
  <c r="V246" i="19"/>
  <c r="U246" i="19"/>
  <c r="T246" i="19"/>
  <c r="S246" i="19"/>
  <c r="R246" i="19"/>
  <c r="W245" i="19"/>
  <c r="V245" i="19"/>
  <c r="U245" i="19"/>
  <c r="T245" i="19"/>
  <c r="S245" i="19"/>
  <c r="R245" i="19"/>
  <c r="W244" i="19"/>
  <c r="V244" i="19"/>
  <c r="U244" i="19"/>
  <c r="T244" i="19"/>
  <c r="S244" i="19"/>
  <c r="R244" i="19"/>
  <c r="W243" i="19"/>
  <c r="V243" i="19"/>
  <c r="U243" i="19"/>
  <c r="T243" i="19"/>
  <c r="S243" i="19"/>
  <c r="R243" i="19"/>
  <c r="AF273" i="19"/>
  <c r="AG273" i="19" s="1"/>
  <c r="AH273" i="19" s="1"/>
  <c r="AI273" i="19" s="1"/>
  <c r="AJ273" i="19" s="1"/>
  <c r="AK273" i="19" s="1"/>
  <c r="AL273" i="19" s="1"/>
  <c r="AM273" i="19" s="1"/>
  <c r="AN273" i="19" s="1"/>
  <c r="AO273" i="19" s="1"/>
  <c r="AE273" i="19"/>
  <c r="AO256" i="19"/>
  <c r="AN256" i="19"/>
  <c r="AO255" i="19"/>
  <c r="AN255" i="19"/>
  <c r="AM255" i="19"/>
  <c r="AL255" i="19"/>
  <c r="AK255" i="19"/>
  <c r="AJ255" i="19"/>
  <c r="AI255" i="19"/>
  <c r="AH255" i="19"/>
  <c r="AG255" i="19"/>
  <c r="AF255" i="19"/>
  <c r="AE255" i="19"/>
  <c r="AO254" i="19"/>
  <c r="AN254" i="19"/>
  <c r="AM254" i="19"/>
  <c r="AL254" i="19"/>
  <c r="AK254" i="19"/>
  <c r="AJ254" i="19"/>
  <c r="AI254" i="19"/>
  <c r="AH254" i="19"/>
  <c r="AG254" i="19"/>
  <c r="AF254" i="19"/>
  <c r="AE254" i="19"/>
  <c r="AO253" i="19"/>
  <c r="AN253" i="19"/>
  <c r="AM253" i="19"/>
  <c r="AL253" i="19"/>
  <c r="AK253" i="19"/>
  <c r="AJ253" i="19"/>
  <c r="AI253" i="19"/>
  <c r="AH253" i="19"/>
  <c r="AG253" i="19"/>
  <c r="AF253" i="19"/>
  <c r="AE253" i="19"/>
  <c r="AO251" i="19"/>
  <c r="AN251" i="19"/>
  <c r="AM251" i="19"/>
  <c r="AL251" i="19"/>
  <c r="AK251" i="19"/>
  <c r="AJ251" i="19"/>
  <c r="AI251" i="19"/>
  <c r="AH251" i="19"/>
  <c r="AG251" i="19"/>
  <c r="AF251" i="19"/>
  <c r="AE251" i="19"/>
  <c r="AO239" i="19"/>
  <c r="AN239" i="19"/>
  <c r="AM239" i="19"/>
  <c r="AL239" i="19"/>
  <c r="AK239" i="19"/>
  <c r="AJ239" i="19"/>
  <c r="AI239" i="19"/>
  <c r="AH239" i="19"/>
  <c r="AG239" i="19"/>
  <c r="AF239" i="19"/>
  <c r="AE239" i="19"/>
  <c r="AA265" i="19"/>
  <c r="AA264" i="19"/>
  <c r="AA263" i="19"/>
  <c r="AA262" i="19"/>
  <c r="AA261" i="19"/>
  <c r="AA260" i="19"/>
  <c r="AA259" i="19"/>
  <c r="AA258" i="19"/>
  <c r="AA256" i="19"/>
  <c r="AA255" i="19"/>
  <c r="AB254" i="19"/>
  <c r="AA254" i="19"/>
  <c r="AB253" i="19"/>
  <c r="AA253" i="19"/>
  <c r="AB251" i="19"/>
  <c r="AA251" i="19"/>
  <c r="Z254" i="19"/>
  <c r="Y254" i="19"/>
  <c r="Z253" i="19"/>
  <c r="Y253" i="19"/>
  <c r="Z251" i="19"/>
  <c r="Y251" i="19"/>
  <c r="Z242" i="19"/>
  <c r="Y242" i="19"/>
  <c r="Z241" i="19"/>
  <c r="Y241" i="19"/>
  <c r="Z240" i="19"/>
  <c r="Y240" i="19"/>
  <c r="Z239" i="19"/>
  <c r="Y239" i="19"/>
  <c r="Y220" i="19"/>
  <c r="X242" i="19"/>
  <c r="W242" i="19"/>
  <c r="V242" i="19"/>
  <c r="U242" i="19"/>
  <c r="T242" i="19"/>
  <c r="X241" i="19"/>
  <c r="W241" i="19"/>
  <c r="V241" i="19"/>
  <c r="U241" i="19"/>
  <c r="T241" i="19"/>
  <c r="X240" i="19"/>
  <c r="W240" i="19"/>
  <c r="V240" i="19"/>
  <c r="U240" i="19"/>
  <c r="T240" i="19"/>
  <c r="X239" i="19"/>
  <c r="W239" i="19"/>
  <c r="V239" i="19"/>
  <c r="U239" i="19"/>
  <c r="T239" i="19"/>
  <c r="W238" i="19"/>
  <c r="V238" i="19"/>
  <c r="U238" i="19"/>
  <c r="T238" i="19"/>
  <c r="W237" i="19"/>
  <c r="V237" i="19"/>
  <c r="U237" i="19"/>
  <c r="T237" i="19"/>
  <c r="V236" i="19"/>
  <c r="U236" i="19"/>
  <c r="T236" i="19"/>
  <c r="V235" i="19"/>
  <c r="U235" i="19"/>
  <c r="T235" i="19"/>
  <c r="V234" i="19"/>
  <c r="U234" i="19"/>
  <c r="T234" i="19"/>
  <c r="U233" i="19"/>
  <c r="T233" i="19"/>
  <c r="U232" i="19"/>
  <c r="T232" i="19"/>
  <c r="U231" i="19"/>
  <c r="T231" i="19"/>
  <c r="U230" i="19"/>
  <c r="T230" i="19"/>
  <c r="U229" i="19"/>
  <c r="T229" i="19"/>
  <c r="U228" i="19"/>
  <c r="T228" i="19"/>
  <c r="U227" i="19"/>
  <c r="T227" i="19"/>
  <c r="U226" i="19"/>
  <c r="T226" i="19"/>
  <c r="U225" i="19"/>
  <c r="T225" i="19"/>
  <c r="U224" i="19"/>
  <c r="T224" i="19"/>
  <c r="U223" i="19"/>
  <c r="T223" i="19"/>
  <c r="U222" i="19"/>
  <c r="T222" i="19"/>
  <c r="U221" i="19"/>
  <c r="T221" i="19"/>
  <c r="U220" i="19"/>
  <c r="T220" i="19"/>
  <c r="U219" i="19"/>
  <c r="T219" i="19"/>
  <c r="X218" i="19"/>
  <c r="U218" i="19"/>
  <c r="T218" i="19"/>
  <c r="V217" i="19"/>
  <c r="U217" i="19"/>
  <c r="T217" i="19"/>
  <c r="S238" i="19"/>
  <c r="R238" i="19"/>
  <c r="S237" i="19"/>
  <c r="R237" i="19"/>
  <c r="S236" i="19"/>
  <c r="R236" i="19"/>
  <c r="S235" i="19"/>
  <c r="R235" i="19"/>
  <c r="S234" i="19"/>
  <c r="R234" i="19"/>
  <c r="S233" i="19"/>
  <c r="S232" i="19"/>
  <c r="R232" i="19"/>
  <c r="S231" i="19"/>
  <c r="R231" i="19"/>
  <c r="S230" i="19"/>
  <c r="R230" i="19"/>
  <c r="S229" i="19"/>
  <c r="R229" i="19"/>
  <c r="S228" i="19"/>
  <c r="R228" i="19"/>
  <c r="S227" i="19"/>
  <c r="R227" i="19"/>
  <c r="S226" i="19"/>
  <c r="R226" i="19"/>
  <c r="S225" i="19"/>
  <c r="R225" i="19"/>
  <c r="S224" i="19"/>
  <c r="R224" i="19"/>
  <c r="S223" i="19"/>
  <c r="R223" i="19"/>
  <c r="S222" i="19"/>
  <c r="R222" i="19"/>
  <c r="S221" i="19"/>
  <c r="R221" i="19"/>
  <c r="S220" i="19"/>
  <c r="R220" i="19"/>
  <c r="S219" i="19"/>
  <c r="R219" i="19"/>
  <c r="S218" i="19"/>
  <c r="R218" i="19"/>
  <c r="S217" i="19"/>
  <c r="R217" i="19"/>
  <c r="Q233" i="19"/>
  <c r="P233" i="19"/>
  <c r="O233" i="19"/>
  <c r="N233" i="19"/>
  <c r="M233" i="19"/>
  <c r="L233" i="19"/>
  <c r="K233" i="19"/>
  <c r="J233" i="19"/>
  <c r="I233" i="19"/>
  <c r="H233" i="19"/>
  <c r="G233" i="19"/>
  <c r="F233" i="19"/>
  <c r="E233" i="19"/>
  <c r="Q232" i="19"/>
  <c r="P232" i="19"/>
  <c r="O232" i="19"/>
  <c r="N232" i="19"/>
  <c r="M232" i="19"/>
  <c r="L232" i="19"/>
  <c r="K232" i="19"/>
  <c r="J232" i="19"/>
  <c r="I232" i="19"/>
  <c r="H232" i="19"/>
  <c r="G232" i="19"/>
  <c r="F232" i="19"/>
  <c r="E232" i="19"/>
  <c r="Q231" i="19"/>
  <c r="P231" i="19"/>
  <c r="O231" i="19"/>
  <c r="N231" i="19"/>
  <c r="M231" i="19"/>
  <c r="L231" i="19"/>
  <c r="K231" i="19"/>
  <c r="J231" i="19"/>
  <c r="I231" i="19"/>
  <c r="H231" i="19"/>
  <c r="G231" i="19"/>
  <c r="F231" i="19"/>
  <c r="E231" i="19"/>
  <c r="Q230" i="19"/>
  <c r="P230" i="19"/>
  <c r="O230" i="19"/>
  <c r="N230" i="19"/>
  <c r="M230" i="19"/>
  <c r="L230" i="19"/>
  <c r="K230" i="19"/>
  <c r="J230" i="19"/>
  <c r="I230" i="19"/>
  <c r="H230" i="19"/>
  <c r="G230" i="19"/>
  <c r="F230" i="19"/>
  <c r="E230" i="19"/>
  <c r="Q229" i="19"/>
  <c r="P229" i="19"/>
  <c r="O229" i="19"/>
  <c r="N229" i="19"/>
  <c r="M229" i="19"/>
  <c r="L229" i="19"/>
  <c r="K229" i="19"/>
  <c r="J229" i="19"/>
  <c r="I229" i="19"/>
  <c r="H229" i="19"/>
  <c r="G229" i="19"/>
  <c r="F229" i="19"/>
  <c r="E229" i="19"/>
  <c r="Q228" i="19"/>
  <c r="P228" i="19"/>
  <c r="O228" i="19"/>
  <c r="N228" i="19"/>
  <c r="M228" i="19"/>
  <c r="L228" i="19"/>
  <c r="K228" i="19"/>
  <c r="J228" i="19"/>
  <c r="I228" i="19"/>
  <c r="H228" i="19"/>
  <c r="G228" i="19"/>
  <c r="F228" i="19"/>
  <c r="E228" i="19"/>
  <c r="Q227" i="19"/>
  <c r="P227" i="19"/>
  <c r="O227" i="19"/>
  <c r="N227" i="19"/>
  <c r="M227" i="19"/>
  <c r="L227" i="19"/>
  <c r="K227" i="19"/>
  <c r="J227" i="19"/>
  <c r="I227" i="19"/>
  <c r="H227" i="19"/>
  <c r="G227" i="19"/>
  <c r="F227" i="19"/>
  <c r="E227" i="19"/>
  <c r="Q226" i="19"/>
  <c r="P226" i="19"/>
  <c r="O226" i="19"/>
  <c r="N226" i="19"/>
  <c r="M226" i="19"/>
  <c r="L226" i="19"/>
  <c r="K226" i="19"/>
  <c r="J226" i="19"/>
  <c r="I226" i="19"/>
  <c r="H226" i="19"/>
  <c r="G226" i="19"/>
  <c r="F226" i="19"/>
  <c r="E226" i="19"/>
  <c r="Q225" i="19"/>
  <c r="P225" i="19"/>
  <c r="O225" i="19"/>
  <c r="N225" i="19"/>
  <c r="M225" i="19"/>
  <c r="L225" i="19"/>
  <c r="K225" i="19"/>
  <c r="J225" i="19"/>
  <c r="I225" i="19"/>
  <c r="H225" i="19"/>
  <c r="G225" i="19"/>
  <c r="F225" i="19"/>
  <c r="E225" i="19"/>
  <c r="Q224" i="19"/>
  <c r="P224" i="19"/>
  <c r="O224" i="19"/>
  <c r="N224" i="19"/>
  <c r="M224" i="19"/>
  <c r="L224" i="19"/>
  <c r="K224" i="19"/>
  <c r="J224" i="19"/>
  <c r="I224" i="19"/>
  <c r="H224" i="19"/>
  <c r="G224" i="19"/>
  <c r="F224" i="19"/>
  <c r="E224" i="19"/>
  <c r="Q223" i="19"/>
  <c r="P223" i="19"/>
  <c r="O223" i="19"/>
  <c r="N223" i="19"/>
  <c r="M223" i="19"/>
  <c r="L223" i="19"/>
  <c r="K223" i="19"/>
  <c r="J223" i="19"/>
  <c r="I223" i="19"/>
  <c r="H223" i="19"/>
  <c r="G223" i="19"/>
  <c r="F223" i="19"/>
  <c r="E223" i="19"/>
  <c r="Q222" i="19"/>
  <c r="P222" i="19"/>
  <c r="O222" i="19"/>
  <c r="N222" i="19"/>
  <c r="M222" i="19"/>
  <c r="L222" i="19"/>
  <c r="K222" i="19"/>
  <c r="J222" i="19"/>
  <c r="I222" i="19"/>
  <c r="H222" i="19"/>
  <c r="G222" i="19"/>
  <c r="F222" i="19"/>
  <c r="E222" i="19"/>
  <c r="Q221" i="19"/>
  <c r="P221" i="19"/>
  <c r="O221" i="19"/>
  <c r="N221" i="19"/>
  <c r="M221" i="19"/>
  <c r="L221" i="19"/>
  <c r="K221" i="19"/>
  <c r="J221" i="19"/>
  <c r="I221" i="19"/>
  <c r="H221" i="19"/>
  <c r="G221" i="19"/>
  <c r="F221" i="19"/>
  <c r="E221" i="19"/>
  <c r="Q220" i="19"/>
  <c r="P220" i="19"/>
  <c r="O220" i="19"/>
  <c r="N220" i="19"/>
  <c r="M220" i="19"/>
  <c r="L220" i="19"/>
  <c r="K220" i="19"/>
  <c r="J220" i="19"/>
  <c r="I220" i="19"/>
  <c r="H220" i="19"/>
  <c r="G220" i="19"/>
  <c r="F220" i="19"/>
  <c r="E220" i="19"/>
  <c r="Q219" i="19"/>
  <c r="P219" i="19"/>
  <c r="O219" i="19"/>
  <c r="N219" i="19"/>
  <c r="M219" i="19"/>
  <c r="L219" i="19"/>
  <c r="K219" i="19"/>
  <c r="J219" i="19"/>
  <c r="I219" i="19"/>
  <c r="H219" i="19"/>
  <c r="G219" i="19"/>
  <c r="F219" i="19"/>
  <c r="E219" i="19"/>
  <c r="Q218" i="19"/>
  <c r="P218" i="19"/>
  <c r="O218" i="19"/>
  <c r="N218" i="19"/>
  <c r="M218" i="19"/>
  <c r="L218" i="19"/>
  <c r="K218" i="19"/>
  <c r="J218" i="19"/>
  <c r="I218" i="19"/>
  <c r="H218" i="19"/>
  <c r="G218" i="19"/>
  <c r="F218" i="19"/>
  <c r="E218" i="19"/>
  <c r="Q217" i="19"/>
  <c r="P217" i="19"/>
  <c r="O217" i="19"/>
  <c r="N217" i="19"/>
  <c r="M217" i="19"/>
  <c r="L217" i="19"/>
  <c r="K217" i="19"/>
  <c r="J217" i="19"/>
  <c r="I217" i="19"/>
  <c r="H217" i="19"/>
  <c r="G217" i="19"/>
  <c r="F217" i="19"/>
  <c r="E217" i="19"/>
  <c r="X213" i="19"/>
  <c r="X272" i="19" s="1"/>
  <c r="AB206" i="19"/>
  <c r="AC206" i="19" s="1"/>
  <c r="AB205" i="19"/>
  <c r="AC205" i="19" s="1"/>
  <c r="AB204" i="19"/>
  <c r="AC204" i="19" s="1"/>
  <c r="AB203" i="19"/>
  <c r="AC203" i="19" s="1"/>
  <c r="AB202" i="19"/>
  <c r="AC202" i="19" s="1"/>
  <c r="AB201" i="19"/>
  <c r="AC201" i="19" s="1"/>
  <c r="AB200" i="19"/>
  <c r="AC200" i="19" s="1"/>
  <c r="AB199" i="19"/>
  <c r="AC199" i="19" s="1"/>
  <c r="AO198" i="19"/>
  <c r="AO257" i="19" s="1"/>
  <c r="AN198" i="19"/>
  <c r="AN257" i="19" s="1"/>
  <c r="AM198" i="19"/>
  <c r="AM257" i="19" s="1"/>
  <c r="AL198" i="19"/>
  <c r="AL257" i="19" s="1"/>
  <c r="AK198" i="19"/>
  <c r="AK257" i="19" s="1"/>
  <c r="AJ198" i="19"/>
  <c r="AJ257" i="19" s="1"/>
  <c r="AI198" i="19"/>
  <c r="AI257" i="19" s="1"/>
  <c r="AH198" i="19"/>
  <c r="AH257" i="19" s="1"/>
  <c r="AG198" i="19"/>
  <c r="AG257" i="19" s="1"/>
  <c r="AF198" i="19"/>
  <c r="AF257" i="19" s="1"/>
  <c r="AE198" i="19"/>
  <c r="AE257" i="19" s="1"/>
  <c r="AD198" i="19"/>
  <c r="AD257" i="19" s="1"/>
  <c r="AC198" i="19"/>
  <c r="AC257" i="19" s="1"/>
  <c r="AB198" i="19"/>
  <c r="AA198" i="19"/>
  <c r="AA257" i="19" s="1"/>
  <c r="Z198" i="19"/>
  <c r="Z257" i="19" s="1"/>
  <c r="Y198" i="19"/>
  <c r="Y257" i="19" s="1"/>
  <c r="X198" i="19"/>
  <c r="X257" i="19" s="1"/>
  <c r="B197" i="19"/>
  <c r="B196" i="19"/>
  <c r="Y193" i="19"/>
  <c r="Y252" i="19" s="1"/>
  <c r="X190" i="19"/>
  <c r="X249" i="19" s="1"/>
  <c r="W249" i="19" s="1"/>
  <c r="X189" i="19"/>
  <c r="X248" i="19" s="1"/>
  <c r="W248" i="19" s="1"/>
  <c r="Y191" i="19"/>
  <c r="Y250" i="19" s="1"/>
  <c r="AB188" i="19"/>
  <c r="AC188" i="19" s="1"/>
  <c r="AA188" i="19"/>
  <c r="AA187" i="19"/>
  <c r="AA241" i="19" s="1"/>
  <c r="AA186" i="19"/>
  <c r="AA240" i="19" s="1"/>
  <c r="AB185" i="19"/>
  <c r="AC185" i="19" s="1"/>
  <c r="AA185" i="19"/>
  <c r="AA239" i="19" s="1"/>
  <c r="W177" i="19"/>
  <c r="W236" i="19" s="1"/>
  <c r="W176" i="19"/>
  <c r="W235" i="19" s="1"/>
  <c r="W175" i="19"/>
  <c r="W234" i="19" s="1"/>
  <c r="W158" i="19"/>
  <c r="W217" i="19" s="1"/>
  <c r="V174" i="19"/>
  <c r="V233" i="19" s="1"/>
  <c r="V173" i="19"/>
  <c r="V232" i="19" s="1"/>
  <c r="V172" i="19"/>
  <c r="V231" i="19" s="1"/>
  <c r="V171" i="19"/>
  <c r="V230" i="19" s="1"/>
  <c r="V170" i="19"/>
  <c r="V229" i="19" s="1"/>
  <c r="V169" i="19"/>
  <c r="V228" i="19" s="1"/>
  <c r="V168" i="19"/>
  <c r="V227" i="19" s="1"/>
  <c r="V167" i="19"/>
  <c r="V226" i="19" s="1"/>
  <c r="V166" i="19"/>
  <c r="V225" i="19" s="1"/>
  <c r="V165" i="19"/>
  <c r="V224" i="19" s="1"/>
  <c r="V164" i="19"/>
  <c r="V223" i="19" s="1"/>
  <c r="V163" i="19"/>
  <c r="V222" i="19" s="1"/>
  <c r="V162" i="19"/>
  <c r="V221" i="19" s="1"/>
  <c r="V161" i="19"/>
  <c r="V220" i="19" s="1"/>
  <c r="V160" i="19"/>
  <c r="V219" i="19" s="1"/>
  <c r="V159" i="19"/>
  <c r="V218" i="19" s="1"/>
  <c r="V150" i="19" s="1"/>
  <c r="V154" i="19" s="1"/>
  <c r="R174" i="19"/>
  <c r="R233" i="19" s="1"/>
  <c r="X184" i="19"/>
  <c r="X247" i="19" s="1"/>
  <c r="W247" i="19" s="1"/>
  <c r="X183" i="19"/>
  <c r="X246" i="19" s="1"/>
  <c r="X182" i="19"/>
  <c r="X245" i="19" s="1"/>
  <c r="X181" i="19"/>
  <c r="Y181" i="19" s="1"/>
  <c r="X180" i="19"/>
  <c r="Y180" i="19" s="1"/>
  <c r="Y243" i="19" s="1"/>
  <c r="X179" i="19"/>
  <c r="Y179" i="19" s="1"/>
  <c r="Y238" i="19" s="1"/>
  <c r="X178" i="19"/>
  <c r="Y178" i="19" s="1"/>
  <c r="Y237" i="19" s="1"/>
  <c r="X177" i="19"/>
  <c r="X175" i="19"/>
  <c r="Y175" i="19" s="1"/>
  <c r="Y234" i="19" s="1"/>
  <c r="Y159" i="19"/>
  <c r="Y218" i="19" s="1"/>
  <c r="Z161" i="19"/>
  <c r="Z220" i="19" s="1"/>
  <c r="X158" i="19"/>
  <c r="U154" i="19"/>
  <c r="T154" i="19"/>
  <c r="S154" i="19"/>
  <c r="R154" i="19"/>
  <c r="V152" i="19"/>
  <c r="U152" i="19"/>
  <c r="T152" i="19"/>
  <c r="T151" i="19"/>
  <c r="S151" i="19" s="1"/>
  <c r="R151" i="19" s="1"/>
  <c r="Q151" i="19" s="1"/>
  <c r="R149" i="19"/>
  <c r="S152" i="19" s="1"/>
  <c r="U146" i="19"/>
  <c r="T146" i="19"/>
  <c r="T145" i="19"/>
  <c r="S145" i="19" s="1"/>
  <c r="R145" i="19" s="1"/>
  <c r="Q145" i="19" s="1"/>
  <c r="R143" i="19"/>
  <c r="S146" i="19" s="1"/>
  <c r="AA137" i="19"/>
  <c r="Z137" i="19"/>
  <c r="Y137" i="19"/>
  <c r="X137" i="19"/>
  <c r="W137" i="19"/>
  <c r="V137" i="19"/>
  <c r="U137" i="19"/>
  <c r="T137" i="19"/>
  <c r="S137" i="19"/>
  <c r="R137" i="19"/>
  <c r="Q137" i="19"/>
  <c r="P137" i="19"/>
  <c r="O137" i="19"/>
  <c r="N137" i="19"/>
  <c r="M137" i="19"/>
  <c r="L137" i="19"/>
  <c r="K137" i="19"/>
  <c r="J137" i="19"/>
  <c r="I137" i="19"/>
  <c r="H137" i="19"/>
  <c r="G137" i="19"/>
  <c r="F137" i="19"/>
  <c r="E137" i="19"/>
  <c r="AA134" i="19"/>
  <c r="AA133" i="19"/>
  <c r="AA132" i="19"/>
  <c r="AA131" i="19"/>
  <c r="AA130" i="19"/>
  <c r="AA129" i="19"/>
  <c r="AA128" i="19"/>
  <c r="AA127" i="19"/>
  <c r="AA126" i="19"/>
  <c r="AA125" i="19"/>
  <c r="AA124" i="19"/>
  <c r="AA123" i="19"/>
  <c r="AA122" i="19"/>
  <c r="AA121" i="19"/>
  <c r="AA120" i="19"/>
  <c r="AA119" i="19"/>
  <c r="AA118" i="19"/>
  <c r="AA117" i="19"/>
  <c r="AA116" i="19"/>
  <c r="AA115" i="19"/>
  <c r="AA114" i="19"/>
  <c r="AA112" i="19"/>
  <c r="AA111" i="19"/>
  <c r="AA110" i="19"/>
  <c r="AA109" i="19"/>
  <c r="AA108" i="19"/>
  <c r="AA107" i="19"/>
  <c r="AA106" i="19"/>
  <c r="AA105" i="19"/>
  <c r="AA104" i="19"/>
  <c r="AA103" i="19"/>
  <c r="AA102" i="19"/>
  <c r="AA101" i="19"/>
  <c r="AA100" i="19"/>
  <c r="AA99" i="19"/>
  <c r="AA98" i="19"/>
  <c r="AA95" i="19"/>
  <c r="AA94" i="19"/>
  <c r="AA93" i="19"/>
  <c r="AA92" i="19"/>
  <c r="AA87" i="19"/>
  <c r="AA86" i="19"/>
  <c r="AA85" i="19"/>
  <c r="AA84" i="19"/>
  <c r="AA82" i="19"/>
  <c r="AA81" i="19"/>
  <c r="AA80" i="19"/>
  <c r="AA79" i="19"/>
  <c r="AA78" i="19"/>
  <c r="Z133" i="19"/>
  <c r="Y133" i="19"/>
  <c r="X133" i="19"/>
  <c r="W133" i="19"/>
  <c r="V133" i="19"/>
  <c r="U133" i="19"/>
  <c r="T133" i="19"/>
  <c r="S133" i="19"/>
  <c r="R133" i="19"/>
  <c r="Q133" i="19"/>
  <c r="P133" i="19"/>
  <c r="O133" i="19"/>
  <c r="N133" i="19"/>
  <c r="M133" i="19"/>
  <c r="L133" i="19"/>
  <c r="K133" i="19"/>
  <c r="J133" i="19"/>
  <c r="I133" i="19"/>
  <c r="H133" i="19"/>
  <c r="G133" i="19"/>
  <c r="F133" i="19"/>
  <c r="E133" i="19"/>
  <c r="Z132" i="19"/>
  <c r="Y132" i="19"/>
  <c r="X132" i="19"/>
  <c r="W132" i="19"/>
  <c r="V132" i="19"/>
  <c r="U132" i="19"/>
  <c r="T132" i="19"/>
  <c r="S132" i="19"/>
  <c r="Z131" i="19"/>
  <c r="Y131" i="19"/>
  <c r="X131" i="19"/>
  <c r="W131" i="19"/>
  <c r="V131" i="19"/>
  <c r="U131" i="19"/>
  <c r="T131" i="19"/>
  <c r="Z130" i="19"/>
  <c r="Y130" i="19"/>
  <c r="X130" i="19"/>
  <c r="W130" i="19"/>
  <c r="V130" i="19"/>
  <c r="U130" i="19"/>
  <c r="T130" i="19"/>
  <c r="Z128" i="19"/>
  <c r="Y128" i="19"/>
  <c r="X128" i="19"/>
  <c r="W128" i="19"/>
  <c r="V128" i="19"/>
  <c r="U128" i="19"/>
  <c r="T128" i="19"/>
  <c r="Z126" i="19"/>
  <c r="Y126" i="19"/>
  <c r="X126" i="19"/>
  <c r="W126" i="19"/>
  <c r="V126" i="19"/>
  <c r="U126" i="19"/>
  <c r="T126" i="19"/>
  <c r="Z125" i="19"/>
  <c r="Y125" i="19"/>
  <c r="X125" i="19"/>
  <c r="W125" i="19"/>
  <c r="V125" i="19"/>
  <c r="U125" i="19"/>
  <c r="T125" i="19"/>
  <c r="W122" i="19"/>
  <c r="W121" i="19"/>
  <c r="W120" i="19"/>
  <c r="W119" i="19"/>
  <c r="W118" i="19"/>
  <c r="W117" i="19"/>
  <c r="W116" i="19"/>
  <c r="W115" i="19"/>
  <c r="W114" i="19"/>
  <c r="W113" i="19"/>
  <c r="W112" i="19"/>
  <c r="W111" i="19"/>
  <c r="W110" i="19"/>
  <c r="W109" i="19"/>
  <c r="W108" i="19"/>
  <c r="W107" i="19"/>
  <c r="W102" i="19"/>
  <c r="W99" i="19"/>
  <c r="W98" i="19"/>
  <c r="W96" i="19"/>
  <c r="W79" i="19"/>
  <c r="W78" i="19"/>
  <c r="B122" i="19"/>
  <c r="B121" i="19"/>
  <c r="S115" i="19"/>
  <c r="R115" i="19"/>
  <c r="S114" i="19"/>
  <c r="R114" i="19"/>
  <c r="AB135" i="19"/>
  <c r="AO134" i="19"/>
  <c r="AN134" i="19"/>
  <c r="AM134" i="19"/>
  <c r="AL134" i="19"/>
  <c r="AK134" i="19"/>
  <c r="AJ134" i="19"/>
  <c r="AI134" i="19"/>
  <c r="AH134" i="19"/>
  <c r="AG134" i="19"/>
  <c r="AF134" i="19"/>
  <c r="AE134" i="19"/>
  <c r="AD134" i="19"/>
  <c r="AC134" i="19"/>
  <c r="AB134" i="19"/>
  <c r="AO133" i="19"/>
  <c r="AN133" i="19"/>
  <c r="AM133" i="19"/>
  <c r="AL133" i="19"/>
  <c r="AK133" i="19"/>
  <c r="AJ133" i="19"/>
  <c r="AI133" i="19"/>
  <c r="AH133" i="19"/>
  <c r="AG133" i="19"/>
  <c r="AF133" i="19"/>
  <c r="AE133" i="19"/>
  <c r="AD133" i="19"/>
  <c r="AC133" i="19"/>
  <c r="AB133" i="19"/>
  <c r="AO129" i="19"/>
  <c r="AN129" i="19"/>
  <c r="AM129" i="19"/>
  <c r="AL129" i="19"/>
  <c r="AO127" i="19"/>
  <c r="AN127" i="19"/>
  <c r="AM127" i="19"/>
  <c r="AL127" i="19"/>
  <c r="AK127" i="19"/>
  <c r="AJ127" i="19"/>
  <c r="AI127" i="19"/>
  <c r="AO124" i="19"/>
  <c r="AN124" i="19"/>
  <c r="AM124" i="19"/>
  <c r="AL124" i="19"/>
  <c r="AK124" i="19"/>
  <c r="AJ124" i="19"/>
  <c r="AI124" i="19"/>
  <c r="AH124" i="19"/>
  <c r="AG124" i="19"/>
  <c r="AO123" i="19"/>
  <c r="AN123" i="19"/>
  <c r="AM123" i="19"/>
  <c r="AL123" i="19"/>
  <c r="AK123" i="19"/>
  <c r="AJ123" i="19"/>
  <c r="AI123" i="19"/>
  <c r="AH123" i="19"/>
  <c r="AG123" i="19"/>
  <c r="AF123" i="19"/>
  <c r="AE123" i="19"/>
  <c r="AD123" i="19"/>
  <c r="AO122" i="19"/>
  <c r="AO121" i="19"/>
  <c r="AN121" i="19"/>
  <c r="AM121" i="19"/>
  <c r="AL121" i="19"/>
  <c r="AK121" i="19"/>
  <c r="AJ121" i="19"/>
  <c r="AI121" i="19"/>
  <c r="AH121" i="19"/>
  <c r="AG121" i="19"/>
  <c r="AF121" i="19"/>
  <c r="AE121" i="19"/>
  <c r="AO120" i="19"/>
  <c r="AN120" i="19"/>
  <c r="AM120" i="19"/>
  <c r="AL120" i="19"/>
  <c r="AK120" i="19"/>
  <c r="AJ120" i="19"/>
  <c r="AI120" i="19"/>
  <c r="AH120" i="19"/>
  <c r="AG120" i="19"/>
  <c r="AF120" i="19"/>
  <c r="AE120" i="19"/>
  <c r="AD120" i="19"/>
  <c r="AC120" i="19"/>
  <c r="AB120" i="19"/>
  <c r="AO119" i="19"/>
  <c r="AN119" i="19"/>
  <c r="AM119" i="19"/>
  <c r="AL119" i="19"/>
  <c r="AK119" i="19"/>
  <c r="AJ119" i="19"/>
  <c r="AI119" i="19"/>
  <c r="AH119" i="19"/>
  <c r="AG119" i="19"/>
  <c r="AF119" i="19"/>
  <c r="AE119" i="19"/>
  <c r="AD119" i="19"/>
  <c r="AC119" i="19"/>
  <c r="AB119" i="19"/>
  <c r="AO118" i="19"/>
  <c r="AN118" i="19"/>
  <c r="AM118" i="19"/>
  <c r="AL118" i="19"/>
  <c r="AK118" i="19"/>
  <c r="AJ118" i="19"/>
  <c r="AI118" i="19"/>
  <c r="AH118" i="19"/>
  <c r="AG118" i="19"/>
  <c r="AF118" i="19"/>
  <c r="AE118" i="19"/>
  <c r="AD118" i="19"/>
  <c r="AC118" i="19"/>
  <c r="AB118" i="19"/>
  <c r="AO117" i="19"/>
  <c r="AN117" i="19"/>
  <c r="AM117" i="19"/>
  <c r="AL117" i="19"/>
  <c r="AK117" i="19"/>
  <c r="AJ117" i="19"/>
  <c r="AI117" i="19"/>
  <c r="AH117" i="19"/>
  <c r="AG117" i="19"/>
  <c r="AF117" i="19"/>
  <c r="AE117" i="19"/>
  <c r="AD117" i="19"/>
  <c r="AC117" i="19"/>
  <c r="AB117" i="19"/>
  <c r="AO116" i="19"/>
  <c r="AN116" i="19"/>
  <c r="AM116" i="19"/>
  <c r="AL116" i="19"/>
  <c r="AK116" i="19"/>
  <c r="AJ116" i="19"/>
  <c r="AI116" i="19"/>
  <c r="AH116" i="19"/>
  <c r="AG116" i="19"/>
  <c r="AF116" i="19"/>
  <c r="AE116" i="19"/>
  <c r="AD116" i="19"/>
  <c r="AC116" i="19"/>
  <c r="AB116" i="19"/>
  <c r="AO114" i="19"/>
  <c r="AN114" i="19"/>
  <c r="AM114" i="19"/>
  <c r="AL114" i="19"/>
  <c r="AK114" i="19"/>
  <c r="AJ114" i="19"/>
  <c r="AI114" i="19"/>
  <c r="AH114" i="19"/>
  <c r="AO112" i="19"/>
  <c r="AN112" i="19"/>
  <c r="AM112" i="19"/>
  <c r="AL112" i="19"/>
  <c r="AK112" i="19"/>
  <c r="AO111" i="19"/>
  <c r="AN111" i="19"/>
  <c r="AM111" i="19"/>
  <c r="AL111" i="19"/>
  <c r="AK111" i="19"/>
  <c r="AJ111" i="19"/>
  <c r="AI111" i="19"/>
  <c r="AH111" i="19"/>
  <c r="AO110" i="19"/>
  <c r="AN110" i="19"/>
  <c r="AM110" i="19"/>
  <c r="AL110" i="19"/>
  <c r="AK110" i="19"/>
  <c r="AJ110" i="19"/>
  <c r="AI110" i="19"/>
  <c r="AH110" i="19"/>
  <c r="AG110" i="19"/>
  <c r="AF110" i="19"/>
  <c r="AO109" i="19"/>
  <c r="AN109" i="19"/>
  <c r="AM109" i="19"/>
  <c r="AL109" i="19"/>
  <c r="AK109" i="19"/>
  <c r="AJ109" i="19"/>
  <c r="AI109" i="19"/>
  <c r="AH109" i="19"/>
  <c r="AG109" i="19"/>
  <c r="AF109" i="19"/>
  <c r="AE109" i="19"/>
  <c r="AD109" i="19"/>
  <c r="AC109" i="19"/>
  <c r="AB109" i="19"/>
  <c r="AO108" i="19"/>
  <c r="AN108" i="19"/>
  <c r="AM108" i="19"/>
  <c r="AL108" i="19"/>
  <c r="AO107" i="19"/>
  <c r="AN107" i="19"/>
  <c r="AM107" i="19"/>
  <c r="AL107" i="19"/>
  <c r="AK107" i="19"/>
  <c r="AJ107" i="19"/>
  <c r="AI107" i="19"/>
  <c r="AH107" i="19"/>
  <c r="AG107" i="19"/>
  <c r="AF107" i="19"/>
  <c r="AE107" i="19"/>
  <c r="AD107" i="19"/>
  <c r="AO105" i="19"/>
  <c r="AN105" i="19"/>
  <c r="AM105" i="19"/>
  <c r="AL105" i="19"/>
  <c r="AK105" i="19"/>
  <c r="AJ105" i="19"/>
  <c r="AI105" i="19"/>
  <c r="AH105" i="19"/>
  <c r="AG105" i="19"/>
  <c r="AO104" i="19"/>
  <c r="AN104" i="19"/>
  <c r="AM104" i="19"/>
  <c r="AL104" i="19"/>
  <c r="AK104" i="19"/>
  <c r="AJ104" i="19"/>
  <c r="AI104" i="19"/>
  <c r="AH104" i="19"/>
  <c r="AG104" i="19"/>
  <c r="AF104" i="19"/>
  <c r="AE104" i="19"/>
  <c r="AD104" i="19"/>
  <c r="AC104" i="19"/>
  <c r="AB104" i="19"/>
  <c r="AO103" i="19"/>
  <c r="AN103" i="19"/>
  <c r="AM103" i="19"/>
  <c r="AL103" i="19"/>
  <c r="AK103" i="19"/>
  <c r="AJ103" i="19"/>
  <c r="AI103" i="19"/>
  <c r="AH103" i="19"/>
  <c r="AG103" i="19"/>
  <c r="AF103" i="19"/>
  <c r="AE103" i="19"/>
  <c r="AD103" i="19"/>
  <c r="AC103" i="19"/>
  <c r="AB103" i="19"/>
  <c r="AO102" i="19"/>
  <c r="AN102" i="19"/>
  <c r="AM102" i="19"/>
  <c r="AL102" i="19"/>
  <c r="AK102" i="19"/>
  <c r="AJ102" i="19"/>
  <c r="AI102" i="19"/>
  <c r="AH102" i="19"/>
  <c r="AG102" i="19"/>
  <c r="AF102" i="19"/>
  <c r="AE102" i="19"/>
  <c r="AD102" i="19"/>
  <c r="AC102" i="19"/>
  <c r="AB102" i="19"/>
  <c r="AO101" i="19"/>
  <c r="AN101" i="19"/>
  <c r="AM101" i="19"/>
  <c r="AL101" i="19"/>
  <c r="AK101" i="19"/>
  <c r="AJ101" i="19"/>
  <c r="AI101" i="19"/>
  <c r="AH101" i="19"/>
  <c r="AG101" i="19"/>
  <c r="AO99" i="19"/>
  <c r="AN99" i="19"/>
  <c r="AM99" i="19"/>
  <c r="AL99" i="19"/>
  <c r="AK99" i="19"/>
  <c r="AJ99" i="19"/>
  <c r="AI99" i="19"/>
  <c r="AH99" i="19"/>
  <c r="AG99" i="19"/>
  <c r="AF99" i="19"/>
  <c r="AE99" i="19"/>
  <c r="AD99" i="19"/>
  <c r="AC99" i="19"/>
  <c r="AB99" i="19"/>
  <c r="AO98" i="19"/>
  <c r="AN98" i="19"/>
  <c r="AM98" i="19"/>
  <c r="AL98" i="19"/>
  <c r="AK98" i="19"/>
  <c r="AJ98" i="19"/>
  <c r="AI98" i="19"/>
  <c r="AH98" i="19"/>
  <c r="AG98" i="19"/>
  <c r="AF98" i="19"/>
  <c r="AE98" i="19"/>
  <c r="AD98" i="19"/>
  <c r="AC98" i="19"/>
  <c r="AB98" i="19"/>
  <c r="AO95" i="19"/>
  <c r="AN95" i="19"/>
  <c r="AM95" i="19"/>
  <c r="AL95" i="19"/>
  <c r="AK95" i="19"/>
  <c r="AJ95" i="19"/>
  <c r="AI95" i="19"/>
  <c r="AH95" i="19"/>
  <c r="AG95" i="19"/>
  <c r="AF95" i="19"/>
  <c r="AO93" i="19"/>
  <c r="AN93" i="19"/>
  <c r="AM93" i="19"/>
  <c r="AL93" i="19"/>
  <c r="AK93" i="19"/>
  <c r="AJ93" i="19"/>
  <c r="AI93" i="19"/>
  <c r="AH93" i="19"/>
  <c r="AG93" i="19"/>
  <c r="AF93" i="19"/>
  <c r="AE93" i="19"/>
  <c r="AD93" i="19"/>
  <c r="AO86" i="19"/>
  <c r="AN86" i="19"/>
  <c r="AM86" i="19"/>
  <c r="AL86" i="19"/>
  <c r="AK86" i="19"/>
  <c r="AJ86" i="19"/>
  <c r="AI86" i="19"/>
  <c r="AH86" i="19"/>
  <c r="AG86" i="19"/>
  <c r="AF86" i="19"/>
  <c r="AO82" i="19"/>
  <c r="AN82" i="19"/>
  <c r="AM82" i="19"/>
  <c r="AL82" i="19"/>
  <c r="AK82" i="19"/>
  <c r="AJ82" i="19"/>
  <c r="AI82" i="19"/>
  <c r="AH82" i="19"/>
  <c r="AG82" i="19"/>
  <c r="AF82" i="19"/>
  <c r="AE82" i="19"/>
  <c r="AO81" i="19"/>
  <c r="AN81" i="19"/>
  <c r="AM81" i="19"/>
  <c r="AL81" i="19"/>
  <c r="AK81" i="19"/>
  <c r="AJ81" i="19"/>
  <c r="AI81" i="19"/>
  <c r="AH81" i="19"/>
  <c r="AG81" i="19"/>
  <c r="AF81" i="19"/>
  <c r="AE81" i="19"/>
  <c r="AD81" i="19"/>
  <c r="AC81" i="19"/>
  <c r="AB81" i="19"/>
  <c r="AO80" i="19"/>
  <c r="AN80" i="19"/>
  <c r="AM80" i="19"/>
  <c r="AL80" i="19"/>
  <c r="AK80" i="19"/>
  <c r="AJ80" i="19"/>
  <c r="AI80" i="19"/>
  <c r="AH80" i="19"/>
  <c r="AG80" i="19"/>
  <c r="AF80" i="19"/>
  <c r="AE80" i="19"/>
  <c r="AD80" i="19"/>
  <c r="AC80" i="19"/>
  <c r="AB80" i="19"/>
  <c r="AO79" i="19"/>
  <c r="AN79" i="19"/>
  <c r="AM42" i="16" s="1"/>
  <c r="AM79" i="19"/>
  <c r="AL42" i="16" s="1"/>
  <c r="AL79" i="19"/>
  <c r="AK79" i="19"/>
  <c r="AJ79" i="19"/>
  <c r="AI42" i="16" s="1"/>
  <c r="AI79" i="19"/>
  <c r="AH42" i="16" s="1"/>
  <c r="AH79" i="19"/>
  <c r="AG79" i="19"/>
  <c r="AF79" i="19"/>
  <c r="AE42" i="16" s="1"/>
  <c r="AE79" i="19"/>
  <c r="AD42" i="16" s="1"/>
  <c r="AD79" i="19"/>
  <c r="AC79" i="19"/>
  <c r="AB79" i="19"/>
  <c r="AO78" i="19"/>
  <c r="AN78" i="19"/>
  <c r="AM78" i="19"/>
  <c r="AL78" i="19"/>
  <c r="AK78" i="19"/>
  <c r="AJ78" i="19"/>
  <c r="AI78" i="19"/>
  <c r="AH78" i="19"/>
  <c r="AG78" i="19"/>
  <c r="AF78" i="19"/>
  <c r="AE78" i="19"/>
  <c r="AD78" i="19"/>
  <c r="AC78" i="19"/>
  <c r="AB78" i="19"/>
  <c r="Z123" i="19"/>
  <c r="Y123" i="19"/>
  <c r="X123" i="19"/>
  <c r="Z122" i="19"/>
  <c r="Y122" i="19"/>
  <c r="X122" i="19"/>
  <c r="Z121" i="19"/>
  <c r="Y121" i="19"/>
  <c r="X121" i="19"/>
  <c r="Z120" i="19"/>
  <c r="Y120" i="19"/>
  <c r="X120" i="19"/>
  <c r="Z119" i="19"/>
  <c r="Y119" i="19"/>
  <c r="X119" i="19"/>
  <c r="Z118" i="19"/>
  <c r="Y118" i="19"/>
  <c r="X118" i="19"/>
  <c r="Z117" i="19"/>
  <c r="Y117" i="19"/>
  <c r="X117" i="19"/>
  <c r="Z116" i="19"/>
  <c r="Y116" i="19"/>
  <c r="X116" i="19"/>
  <c r="Z115" i="19"/>
  <c r="Y115" i="19"/>
  <c r="X115" i="19"/>
  <c r="Z114" i="19"/>
  <c r="Y114" i="19"/>
  <c r="X114" i="19"/>
  <c r="Z113" i="19"/>
  <c r="Y113" i="19"/>
  <c r="X113" i="19"/>
  <c r="Z112" i="19"/>
  <c r="Y112" i="19"/>
  <c r="X112" i="19"/>
  <c r="Z111" i="19"/>
  <c r="Y111" i="19"/>
  <c r="X111" i="19"/>
  <c r="Z110" i="19"/>
  <c r="Y110" i="19"/>
  <c r="X110" i="19"/>
  <c r="Z109" i="19"/>
  <c r="Y109" i="19"/>
  <c r="X109" i="19"/>
  <c r="Z108" i="19"/>
  <c r="Y108" i="19"/>
  <c r="X108" i="19"/>
  <c r="Z107" i="19"/>
  <c r="Y107" i="19"/>
  <c r="X107" i="19"/>
  <c r="Z106" i="19"/>
  <c r="Y106" i="19"/>
  <c r="Z105" i="19"/>
  <c r="Y105" i="19"/>
  <c r="Z104" i="19"/>
  <c r="Y104" i="19"/>
  <c r="Z103" i="19"/>
  <c r="Y103" i="19"/>
  <c r="Z102" i="19"/>
  <c r="Y102" i="19"/>
  <c r="X102" i="19"/>
  <c r="Z101" i="19"/>
  <c r="Y101" i="19"/>
  <c r="Z100" i="19"/>
  <c r="Y100" i="19"/>
  <c r="Z99" i="19"/>
  <c r="Y99" i="19"/>
  <c r="X99" i="19"/>
  <c r="Z98" i="19"/>
  <c r="Y98" i="19"/>
  <c r="X98" i="19"/>
  <c r="X97" i="19"/>
  <c r="X96" i="19"/>
  <c r="Z95" i="19"/>
  <c r="Y95" i="19"/>
  <c r="Z94" i="19"/>
  <c r="Y94" i="19"/>
  <c r="Z93" i="19"/>
  <c r="Y93" i="19"/>
  <c r="Z92" i="19"/>
  <c r="Y92" i="19"/>
  <c r="Z87" i="19"/>
  <c r="Y87" i="19"/>
  <c r="Z86" i="19"/>
  <c r="Y86" i="19"/>
  <c r="Z85" i="19"/>
  <c r="Y85" i="19"/>
  <c r="Z84" i="19"/>
  <c r="Y84" i="19"/>
  <c r="Z82" i="19"/>
  <c r="Y82" i="19"/>
  <c r="X82" i="19"/>
  <c r="Z81" i="19"/>
  <c r="Y81" i="19"/>
  <c r="Z80" i="19"/>
  <c r="Y80" i="19"/>
  <c r="Z79" i="19"/>
  <c r="Y79" i="19"/>
  <c r="X79" i="19"/>
  <c r="Z78" i="19"/>
  <c r="Y78" i="19"/>
  <c r="X78" i="19"/>
  <c r="V120" i="19"/>
  <c r="U120" i="19"/>
  <c r="T120" i="19"/>
  <c r="V119" i="19"/>
  <c r="U119" i="19"/>
  <c r="T119" i="19"/>
  <c r="V118" i="19"/>
  <c r="U118" i="19"/>
  <c r="T118" i="19"/>
  <c r="V117" i="19"/>
  <c r="U117" i="19"/>
  <c r="T117" i="19"/>
  <c r="V116" i="19"/>
  <c r="U116" i="19"/>
  <c r="T116" i="19"/>
  <c r="V115" i="19"/>
  <c r="U115" i="19"/>
  <c r="T115" i="19"/>
  <c r="V114" i="19"/>
  <c r="U114" i="19"/>
  <c r="T114" i="19"/>
  <c r="V113" i="19"/>
  <c r="U113" i="19"/>
  <c r="T113" i="19"/>
  <c r="V112" i="19"/>
  <c r="U112" i="19"/>
  <c r="T112" i="19"/>
  <c r="V111" i="19"/>
  <c r="U111" i="19"/>
  <c r="T111" i="19"/>
  <c r="V110" i="19"/>
  <c r="U110" i="19"/>
  <c r="T110" i="19"/>
  <c r="V109" i="19"/>
  <c r="U109" i="19"/>
  <c r="T109" i="19"/>
  <c r="V108" i="19"/>
  <c r="U108" i="19"/>
  <c r="T108" i="19"/>
  <c r="V107" i="19"/>
  <c r="U107" i="19"/>
  <c r="T107" i="19"/>
  <c r="V106" i="19"/>
  <c r="U106" i="19"/>
  <c r="T106" i="19"/>
  <c r="V105" i="19"/>
  <c r="U105" i="19"/>
  <c r="T105" i="19"/>
  <c r="V104" i="19"/>
  <c r="U104" i="19"/>
  <c r="T104" i="19"/>
  <c r="V103" i="19"/>
  <c r="U103" i="19"/>
  <c r="T103" i="19"/>
  <c r="V102" i="19"/>
  <c r="U102" i="19"/>
  <c r="T102" i="19"/>
  <c r="V101" i="19"/>
  <c r="U101" i="19"/>
  <c r="T101" i="19"/>
  <c r="V100" i="19"/>
  <c r="U100" i="19"/>
  <c r="T100" i="19"/>
  <c r="V99" i="19"/>
  <c r="U99" i="19"/>
  <c r="T99" i="19"/>
  <c r="V98" i="19"/>
  <c r="U98" i="19"/>
  <c r="T98" i="19"/>
  <c r="U97" i="19"/>
  <c r="T97" i="19"/>
  <c r="V96" i="19"/>
  <c r="U96" i="19"/>
  <c r="T96" i="19"/>
  <c r="U95" i="19"/>
  <c r="T95" i="19"/>
  <c r="U94" i="19"/>
  <c r="T94" i="19"/>
  <c r="U93" i="19"/>
  <c r="T93" i="19"/>
  <c r="U92" i="19"/>
  <c r="T92" i="19"/>
  <c r="V87" i="19"/>
  <c r="U87" i="19"/>
  <c r="T87" i="19"/>
  <c r="U86" i="19"/>
  <c r="T86" i="19"/>
  <c r="U85" i="19"/>
  <c r="T85" i="19"/>
  <c r="U84" i="19"/>
  <c r="T84" i="19"/>
  <c r="U82" i="19"/>
  <c r="T82" i="19"/>
  <c r="U81" i="19"/>
  <c r="T81" i="19"/>
  <c r="U80" i="19"/>
  <c r="T80" i="19"/>
  <c r="V79" i="19"/>
  <c r="U79" i="19"/>
  <c r="T79" i="19"/>
  <c r="V78" i="19"/>
  <c r="U78" i="19"/>
  <c r="T78" i="19"/>
  <c r="S109" i="19"/>
  <c r="R109" i="19"/>
  <c r="S108" i="19"/>
  <c r="R108" i="19"/>
  <c r="S107" i="19"/>
  <c r="R107" i="19"/>
  <c r="S106" i="19"/>
  <c r="R106" i="19"/>
  <c r="S105" i="19"/>
  <c r="R105" i="19"/>
  <c r="S104" i="19"/>
  <c r="R104" i="19"/>
  <c r="S103" i="19"/>
  <c r="R103" i="19"/>
  <c r="S102" i="19"/>
  <c r="R102" i="19"/>
  <c r="S101" i="19"/>
  <c r="R101" i="19"/>
  <c r="S100" i="19"/>
  <c r="R100" i="19"/>
  <c r="S99" i="19"/>
  <c r="R99" i="19"/>
  <c r="S98" i="19"/>
  <c r="R98" i="19"/>
  <c r="S97" i="19"/>
  <c r="R97" i="19"/>
  <c r="S96" i="19"/>
  <c r="R96" i="19"/>
  <c r="S95" i="19"/>
  <c r="R95" i="19"/>
  <c r="S94" i="19"/>
  <c r="R94" i="19"/>
  <c r="S93" i="19"/>
  <c r="R93" i="19"/>
  <c r="S92" i="19"/>
  <c r="R92" i="19"/>
  <c r="S87" i="19"/>
  <c r="R87" i="19"/>
  <c r="S86" i="19"/>
  <c r="R86" i="19"/>
  <c r="S85" i="19"/>
  <c r="R85" i="19"/>
  <c r="S84" i="19"/>
  <c r="R84" i="19"/>
  <c r="S82" i="19"/>
  <c r="R82" i="19"/>
  <c r="S81" i="19"/>
  <c r="R81" i="19"/>
  <c r="S80" i="19"/>
  <c r="R80" i="19"/>
  <c r="S79" i="19"/>
  <c r="R79" i="19"/>
  <c r="S78" i="19"/>
  <c r="R78" i="19"/>
  <c r="Q99" i="19"/>
  <c r="P99" i="19"/>
  <c r="O99" i="19"/>
  <c r="N99" i="19"/>
  <c r="M99" i="19"/>
  <c r="L99" i="19"/>
  <c r="K99" i="19"/>
  <c r="J99" i="19"/>
  <c r="I99" i="19"/>
  <c r="H99" i="19"/>
  <c r="G99" i="19"/>
  <c r="F99" i="19"/>
  <c r="E99" i="19"/>
  <c r="Q98" i="19"/>
  <c r="P98" i="19"/>
  <c r="O98" i="19"/>
  <c r="N98" i="19"/>
  <c r="M98" i="19"/>
  <c r="L98" i="19"/>
  <c r="K98" i="19"/>
  <c r="J98" i="19"/>
  <c r="I98" i="19"/>
  <c r="H98" i="19"/>
  <c r="G98" i="19"/>
  <c r="F98" i="19"/>
  <c r="E98" i="19"/>
  <c r="Q97" i="19"/>
  <c r="P97" i="19"/>
  <c r="O97" i="19"/>
  <c r="N97" i="19"/>
  <c r="M97" i="19"/>
  <c r="L97" i="19"/>
  <c r="K97" i="19"/>
  <c r="J97" i="19"/>
  <c r="I97" i="19"/>
  <c r="H97" i="19"/>
  <c r="G97" i="19"/>
  <c r="F97" i="19"/>
  <c r="E97" i="19"/>
  <c r="Q96" i="19"/>
  <c r="P96" i="19"/>
  <c r="O96" i="19"/>
  <c r="N96" i="19"/>
  <c r="M96" i="19"/>
  <c r="L96" i="19"/>
  <c r="K96" i="19"/>
  <c r="J96" i="19"/>
  <c r="I96" i="19"/>
  <c r="H96" i="19"/>
  <c r="G96" i="19"/>
  <c r="F96" i="19"/>
  <c r="E96" i="19"/>
  <c r="Q95" i="19"/>
  <c r="P95" i="19"/>
  <c r="O95" i="19"/>
  <c r="N95" i="19"/>
  <c r="M95" i="19"/>
  <c r="L95" i="19"/>
  <c r="K95" i="19"/>
  <c r="J95" i="19"/>
  <c r="I95" i="19"/>
  <c r="H95" i="19"/>
  <c r="G95" i="19"/>
  <c r="F95" i="19"/>
  <c r="E95" i="19"/>
  <c r="Q94" i="19"/>
  <c r="P94" i="19"/>
  <c r="O94" i="19"/>
  <c r="N94" i="19"/>
  <c r="M94" i="19"/>
  <c r="L94" i="19"/>
  <c r="K94" i="19"/>
  <c r="J94" i="19"/>
  <c r="I94" i="19"/>
  <c r="H94" i="19"/>
  <c r="G94" i="19"/>
  <c r="F94" i="19"/>
  <c r="E94" i="19"/>
  <c r="Q93" i="19"/>
  <c r="P93" i="19"/>
  <c r="O93" i="19"/>
  <c r="N93" i="19"/>
  <c r="M93" i="19"/>
  <c r="L93" i="19"/>
  <c r="K93" i="19"/>
  <c r="J93" i="19"/>
  <c r="I93" i="19"/>
  <c r="H93" i="19"/>
  <c r="G93" i="19"/>
  <c r="F93" i="19"/>
  <c r="E93" i="19"/>
  <c r="Q92" i="19"/>
  <c r="P92" i="19"/>
  <c r="O92" i="19"/>
  <c r="N92" i="19"/>
  <c r="M92" i="19"/>
  <c r="L92" i="19"/>
  <c r="K92" i="19"/>
  <c r="J92" i="19"/>
  <c r="I92" i="19"/>
  <c r="H92" i="19"/>
  <c r="G92" i="19"/>
  <c r="F92" i="19"/>
  <c r="E92" i="19"/>
  <c r="Q87" i="19"/>
  <c r="P87" i="19"/>
  <c r="O87" i="19"/>
  <c r="N87" i="19"/>
  <c r="M87" i="19"/>
  <c r="L87" i="19"/>
  <c r="K87" i="19"/>
  <c r="J87" i="19"/>
  <c r="I87" i="19"/>
  <c r="H87" i="19"/>
  <c r="G87" i="19"/>
  <c r="F87" i="19"/>
  <c r="E87" i="19"/>
  <c r="Q86" i="19"/>
  <c r="P86" i="19"/>
  <c r="O86" i="19"/>
  <c r="N86" i="19"/>
  <c r="M86" i="19"/>
  <c r="L86" i="19"/>
  <c r="K86" i="19"/>
  <c r="J86" i="19"/>
  <c r="I86" i="19"/>
  <c r="H86" i="19"/>
  <c r="G86" i="19"/>
  <c r="F86" i="19"/>
  <c r="E86" i="19"/>
  <c r="Q85" i="19"/>
  <c r="P85" i="19"/>
  <c r="O85" i="19"/>
  <c r="N85" i="19"/>
  <c r="M85" i="19"/>
  <c r="L85" i="19"/>
  <c r="K85" i="19"/>
  <c r="J85" i="19"/>
  <c r="I85" i="19"/>
  <c r="H85" i="19"/>
  <c r="G85" i="19"/>
  <c r="F85" i="19"/>
  <c r="E85" i="19"/>
  <c r="Q84" i="19"/>
  <c r="P84" i="19"/>
  <c r="O84" i="19"/>
  <c r="N84" i="19"/>
  <c r="M84" i="19"/>
  <c r="L84" i="19"/>
  <c r="K84" i="19"/>
  <c r="J84" i="19"/>
  <c r="I84" i="19"/>
  <c r="H84" i="19"/>
  <c r="G84" i="19"/>
  <c r="F84" i="19"/>
  <c r="E84" i="19"/>
  <c r="Q82" i="19"/>
  <c r="P82" i="19"/>
  <c r="O82" i="19"/>
  <c r="N82" i="19"/>
  <c r="M82" i="19"/>
  <c r="L82" i="19"/>
  <c r="K82" i="19"/>
  <c r="J82" i="19"/>
  <c r="I82" i="19"/>
  <c r="H82" i="19"/>
  <c r="G82" i="19"/>
  <c r="F82" i="19"/>
  <c r="E82" i="19"/>
  <c r="Q81" i="19"/>
  <c r="P81" i="19"/>
  <c r="O81" i="19"/>
  <c r="N81" i="19"/>
  <c r="M81" i="19"/>
  <c r="L81" i="19"/>
  <c r="K81" i="19"/>
  <c r="J81" i="19"/>
  <c r="I81" i="19"/>
  <c r="H81" i="19"/>
  <c r="G81" i="19"/>
  <c r="F81" i="19"/>
  <c r="E81" i="19"/>
  <c r="Q80" i="19"/>
  <c r="P80" i="19"/>
  <c r="O80" i="19"/>
  <c r="N80" i="19"/>
  <c r="M80" i="19"/>
  <c r="L80" i="19"/>
  <c r="K80" i="19"/>
  <c r="J80" i="19"/>
  <c r="I80" i="19"/>
  <c r="H80" i="19"/>
  <c r="G80" i="19"/>
  <c r="F80" i="19"/>
  <c r="E80" i="19"/>
  <c r="Q79" i="19"/>
  <c r="P79" i="19"/>
  <c r="O79" i="19"/>
  <c r="N79" i="19"/>
  <c r="M79" i="19"/>
  <c r="L79" i="19"/>
  <c r="K79" i="19"/>
  <c r="J79" i="19"/>
  <c r="I79" i="19"/>
  <c r="H79" i="19"/>
  <c r="G79" i="19"/>
  <c r="F79" i="19"/>
  <c r="E79" i="19"/>
  <c r="Q78" i="19"/>
  <c r="P78" i="19"/>
  <c r="O78" i="19"/>
  <c r="N78" i="19"/>
  <c r="M78" i="19"/>
  <c r="L78" i="19"/>
  <c r="K78" i="19"/>
  <c r="J78" i="19"/>
  <c r="I78" i="19"/>
  <c r="H78" i="19"/>
  <c r="G78" i="19"/>
  <c r="F78" i="19"/>
  <c r="E78" i="19"/>
  <c r="X72" i="19"/>
  <c r="X74" i="19" s="1"/>
  <c r="W72" i="19"/>
  <c r="X71" i="19"/>
  <c r="X73" i="19" s="1"/>
  <c r="W28" i="18" s="1"/>
  <c r="W71" i="19"/>
  <c r="W73" i="19" s="1"/>
  <c r="AA65" i="19"/>
  <c r="Z65" i="19"/>
  <c r="Y65" i="19"/>
  <c r="W65" i="19"/>
  <c r="U65" i="19"/>
  <c r="X64" i="19"/>
  <c r="U64" i="19"/>
  <c r="T65" i="19"/>
  <c r="S65" i="19"/>
  <c r="P65" i="19"/>
  <c r="O65" i="19"/>
  <c r="N65" i="19"/>
  <c r="M65" i="19"/>
  <c r="L65" i="19"/>
  <c r="K65" i="19"/>
  <c r="J65" i="19"/>
  <c r="I65" i="19"/>
  <c r="H65" i="19"/>
  <c r="G65" i="19"/>
  <c r="F65" i="19"/>
  <c r="E65" i="19"/>
  <c r="D65" i="19"/>
  <c r="T64" i="19"/>
  <c r="S64" i="19"/>
  <c r="R64" i="19"/>
  <c r="Q64" i="19"/>
  <c r="M64" i="19"/>
  <c r="AB131" i="19"/>
  <c r="AB130" i="19"/>
  <c r="AC54" i="19"/>
  <c r="AC53" i="19"/>
  <c r="AD53" i="19" s="1"/>
  <c r="AB87" i="19"/>
  <c r="AC51" i="19"/>
  <c r="AD51" i="19" s="1"/>
  <c r="AC50" i="19"/>
  <c r="AB129" i="19"/>
  <c r="AC44" i="19"/>
  <c r="AB128" i="19"/>
  <c r="AB112" i="19"/>
  <c r="Q61" i="19"/>
  <c r="P61" i="19"/>
  <c r="O61" i="19"/>
  <c r="O64" i="19" s="1"/>
  <c r="N61" i="19"/>
  <c r="L61" i="19"/>
  <c r="K61" i="19"/>
  <c r="J61" i="19"/>
  <c r="I61" i="19"/>
  <c r="H61" i="19"/>
  <c r="G61" i="19"/>
  <c r="F61" i="19"/>
  <c r="E61" i="19"/>
  <c r="D61" i="19"/>
  <c r="E271" i="19" s="1"/>
  <c r="Y60" i="19"/>
  <c r="V60" i="19"/>
  <c r="AA57" i="19"/>
  <c r="AA113" i="19" s="1"/>
  <c r="W55" i="19"/>
  <c r="X100" i="19" s="1"/>
  <c r="W54" i="19"/>
  <c r="W52" i="19"/>
  <c r="V53" i="19"/>
  <c r="V51" i="19"/>
  <c r="V50" i="19"/>
  <c r="V49" i="19"/>
  <c r="AC135" i="19"/>
  <c r="AC59" i="19"/>
  <c r="AC131" i="19" s="1"/>
  <c r="AC58" i="19"/>
  <c r="AC130" i="19" s="1"/>
  <c r="AC56" i="19"/>
  <c r="AC55" i="19"/>
  <c r="AD55" i="19" s="1"/>
  <c r="AC52" i="19"/>
  <c r="AC49" i="19"/>
  <c r="AD49" i="19" s="1"/>
  <c r="Y48" i="19"/>
  <c r="AC47" i="19"/>
  <c r="AL43" i="19"/>
  <c r="AL128" i="19" s="1"/>
  <c r="AC43" i="19"/>
  <c r="AC128" i="19" s="1"/>
  <c r="AC42" i="19"/>
  <c r="AC112" i="19" s="1"/>
  <c r="AB127" i="19"/>
  <c r="AC39" i="19"/>
  <c r="AC126" i="19" s="1"/>
  <c r="AB126" i="19"/>
  <c r="AI39" i="19"/>
  <c r="AI126" i="19" s="1"/>
  <c r="AH37" i="19"/>
  <c r="AH125" i="19" s="1"/>
  <c r="AC37" i="19"/>
  <c r="AC125" i="19" s="1"/>
  <c r="AB125" i="19"/>
  <c r="AB111" i="19"/>
  <c r="AC35" i="19"/>
  <c r="W33" i="19"/>
  <c r="W32" i="19"/>
  <c r="AC34" i="19"/>
  <c r="AC124" i="19" s="1"/>
  <c r="AB124" i="19"/>
  <c r="AC33" i="19"/>
  <c r="AC32" i="19"/>
  <c r="AB110" i="19"/>
  <c r="AB86" i="19"/>
  <c r="V28" i="19"/>
  <c r="V27" i="19"/>
  <c r="V24" i="19"/>
  <c r="AB19" i="19"/>
  <c r="V18" i="19"/>
  <c r="V17" i="19"/>
  <c r="W12" i="19"/>
  <c r="X104" i="19" s="1"/>
  <c r="W10" i="19"/>
  <c r="V10" i="19"/>
  <c r="W9" i="19"/>
  <c r="Z1" i="19"/>
  <c r="Z71" i="19" s="1"/>
  <c r="Z73" i="19" s="1"/>
  <c r="Y1" i="19"/>
  <c r="Y72" i="19" s="1"/>
  <c r="T1" i="19"/>
  <c r="N1" i="19"/>
  <c r="M1" i="19"/>
  <c r="L1" i="19" s="1"/>
  <c r="K1" i="19" s="1"/>
  <c r="J1" i="19" s="1"/>
  <c r="I1" i="19" s="1"/>
  <c r="H1" i="19" s="1"/>
  <c r="G1" i="19" s="1"/>
  <c r="F1" i="19" s="1"/>
  <c r="E1" i="19" s="1"/>
  <c r="D1" i="19" s="1"/>
  <c r="B26" i="32"/>
  <c r="G21" i="32"/>
  <c r="CB129" i="2" s="1"/>
  <c r="B18" i="32"/>
  <c r="B16" i="32"/>
  <c r="B15" i="32"/>
  <c r="B14" i="32"/>
  <c r="J18" i="32"/>
  <c r="K18" i="32" s="1"/>
  <c r="L18" i="32" s="1"/>
  <c r="M18" i="32" s="1"/>
  <c r="N18" i="32" s="1"/>
  <c r="O18" i="32" s="1"/>
  <c r="P18" i="32" s="1"/>
  <c r="Q18" i="32" s="1"/>
  <c r="R18" i="32" s="1"/>
  <c r="S18" i="32" s="1"/>
  <c r="T18" i="32" s="1"/>
  <c r="U18" i="32" s="1"/>
  <c r="V18" i="32" s="1"/>
  <c r="W18" i="32" s="1"/>
  <c r="H16" i="32"/>
  <c r="I16" i="32" s="1"/>
  <c r="J16" i="32" s="1"/>
  <c r="K16" i="32" s="1"/>
  <c r="L16" i="32" s="1"/>
  <c r="M16" i="32" s="1"/>
  <c r="N16" i="32" s="1"/>
  <c r="O16" i="32" s="1"/>
  <c r="P16" i="32" s="1"/>
  <c r="Q16" i="32" s="1"/>
  <c r="R16" i="32" s="1"/>
  <c r="S16" i="32" s="1"/>
  <c r="T16" i="32" s="1"/>
  <c r="U16" i="32" s="1"/>
  <c r="V16" i="32" s="1"/>
  <c r="W16" i="32" s="1"/>
  <c r="I15" i="32"/>
  <c r="J15" i="32" s="1"/>
  <c r="K15" i="32" s="1"/>
  <c r="L15" i="32" s="1"/>
  <c r="M15" i="32" s="1"/>
  <c r="N15" i="32" s="1"/>
  <c r="O15" i="32" s="1"/>
  <c r="P15" i="32" s="1"/>
  <c r="Q15" i="32" s="1"/>
  <c r="R15" i="32" s="1"/>
  <c r="S15" i="32" s="1"/>
  <c r="T15" i="32" s="1"/>
  <c r="U15" i="32" s="1"/>
  <c r="V15" i="32" s="1"/>
  <c r="W15" i="32" s="1"/>
  <c r="H15" i="32"/>
  <c r="H14" i="32"/>
  <c r="H9" i="32"/>
  <c r="G9" i="32"/>
  <c r="G8" i="32" s="1"/>
  <c r="Q5" i="32"/>
  <c r="R5" i="32" s="1"/>
  <c r="S5" i="32" s="1"/>
  <c r="T5" i="32" s="1"/>
  <c r="U5" i="32" s="1"/>
  <c r="V5" i="32" s="1"/>
  <c r="W5" i="32" s="1"/>
  <c r="P5" i="32"/>
  <c r="Q4" i="32"/>
  <c r="R4" i="32" s="1"/>
  <c r="S4" i="32" s="1"/>
  <c r="T4" i="32" s="1"/>
  <c r="U4" i="32" s="1"/>
  <c r="V4" i="32" s="1"/>
  <c r="W4" i="32" s="1"/>
  <c r="K3" i="32"/>
  <c r="B59" i="67"/>
  <c r="BU55" i="67"/>
  <c r="BU53" i="67"/>
  <c r="BP55" i="67"/>
  <c r="BP53" i="67"/>
  <c r="BK55" i="67"/>
  <c r="BK53" i="67"/>
  <c r="BF55" i="67"/>
  <c r="BF53" i="67"/>
  <c r="BA55" i="67"/>
  <c r="BA53" i="67"/>
  <c r="AV55" i="67"/>
  <c r="AV53" i="67"/>
  <c r="AQ55" i="67"/>
  <c r="AQ53" i="67"/>
  <c r="AL55" i="67"/>
  <c r="AL53" i="67"/>
  <c r="AG55" i="67"/>
  <c r="AG53" i="67"/>
  <c r="AB55" i="67"/>
  <c r="AB53" i="67"/>
  <c r="W55" i="67"/>
  <c r="W53" i="67"/>
  <c r="R55" i="67"/>
  <c r="R53" i="67"/>
  <c r="M55" i="67"/>
  <c r="M53" i="67"/>
  <c r="H55" i="67"/>
  <c r="H53" i="67"/>
  <c r="BU50" i="67"/>
  <c r="BU48" i="67"/>
  <c r="BP50" i="67"/>
  <c r="BP48" i="67"/>
  <c r="BK50" i="67"/>
  <c r="BK48" i="67"/>
  <c r="BF50" i="67"/>
  <c r="BF48" i="67"/>
  <c r="BA50" i="67"/>
  <c r="BA48" i="67"/>
  <c r="AV50" i="67"/>
  <c r="AV48" i="67"/>
  <c r="AQ50" i="67"/>
  <c r="AQ48" i="67"/>
  <c r="AL50" i="67"/>
  <c r="AL48" i="67"/>
  <c r="AG50" i="67"/>
  <c r="AG48" i="67"/>
  <c r="AB50" i="67"/>
  <c r="AB48" i="67"/>
  <c r="W50" i="67"/>
  <c r="W48" i="67"/>
  <c r="R50" i="67"/>
  <c r="R48" i="67"/>
  <c r="M50" i="67"/>
  <c r="M48" i="67"/>
  <c r="H50" i="67"/>
  <c r="H48" i="67"/>
  <c r="BU45" i="67"/>
  <c r="BU43" i="67"/>
  <c r="BP45" i="67"/>
  <c r="BP43" i="67"/>
  <c r="BK45" i="67"/>
  <c r="BK43" i="67"/>
  <c r="BF45" i="67"/>
  <c r="BF43" i="67"/>
  <c r="BA45" i="67"/>
  <c r="BA43" i="67"/>
  <c r="AV45" i="67"/>
  <c r="AV43" i="67"/>
  <c r="AQ45" i="67"/>
  <c r="AQ43" i="67"/>
  <c r="AL45" i="67"/>
  <c r="AL43" i="67"/>
  <c r="AG45" i="67"/>
  <c r="AG43" i="67"/>
  <c r="AB45" i="67"/>
  <c r="AB43" i="67"/>
  <c r="W45" i="67"/>
  <c r="W43" i="67"/>
  <c r="R45" i="67"/>
  <c r="R43" i="67"/>
  <c r="M45" i="67"/>
  <c r="M43" i="67"/>
  <c r="H45" i="67"/>
  <c r="H43" i="67"/>
  <c r="BU40" i="67"/>
  <c r="BU38" i="67"/>
  <c r="BP40" i="67"/>
  <c r="BP38" i="67"/>
  <c r="BK40" i="67"/>
  <c r="BK38" i="67"/>
  <c r="BF40" i="67"/>
  <c r="BF38" i="67"/>
  <c r="BA40" i="67"/>
  <c r="BA38" i="67"/>
  <c r="AV40" i="67"/>
  <c r="AV38" i="67"/>
  <c r="AQ40" i="67"/>
  <c r="AQ38" i="67"/>
  <c r="AL40" i="67"/>
  <c r="AL38" i="67"/>
  <c r="AG40" i="67"/>
  <c r="AG38" i="67"/>
  <c r="AB40" i="67"/>
  <c r="AB38" i="67"/>
  <c r="W40" i="67"/>
  <c r="W38" i="67"/>
  <c r="R40" i="67"/>
  <c r="R38" i="67"/>
  <c r="M40" i="67"/>
  <c r="M38" i="67"/>
  <c r="H40" i="67"/>
  <c r="H38" i="67"/>
  <c r="BU35" i="67"/>
  <c r="BU34" i="67"/>
  <c r="BU33" i="67"/>
  <c r="BP35" i="67"/>
  <c r="BP34" i="67"/>
  <c r="BP33" i="67"/>
  <c r="BK35" i="67"/>
  <c r="BK34" i="67"/>
  <c r="BK33" i="67"/>
  <c r="BF35" i="67"/>
  <c r="BF34" i="67"/>
  <c r="BF33" i="67"/>
  <c r="BA35" i="67"/>
  <c r="BA34" i="67"/>
  <c r="BA33" i="67"/>
  <c r="AV35" i="67"/>
  <c r="AV34" i="67"/>
  <c r="AV33" i="67"/>
  <c r="AQ35" i="67"/>
  <c r="AQ34" i="67"/>
  <c r="AQ33" i="67"/>
  <c r="AL35" i="67"/>
  <c r="AL34" i="67"/>
  <c r="AL33" i="67"/>
  <c r="AG35" i="67"/>
  <c r="AG34" i="67"/>
  <c r="AG33" i="67"/>
  <c r="AB35" i="67"/>
  <c r="AB34" i="67"/>
  <c r="AB33" i="67"/>
  <c r="W35" i="67"/>
  <c r="W34" i="67"/>
  <c r="W33" i="67"/>
  <c r="R35" i="67"/>
  <c r="R34" i="67"/>
  <c r="R33" i="67"/>
  <c r="M35" i="67"/>
  <c r="M34" i="67"/>
  <c r="M33" i="67"/>
  <c r="H34" i="67"/>
  <c r="H33" i="67"/>
  <c r="BU30" i="67"/>
  <c r="BU29" i="67"/>
  <c r="BU28" i="67"/>
  <c r="BP30" i="67"/>
  <c r="BP29" i="67"/>
  <c r="BP28" i="67"/>
  <c r="BK30" i="67"/>
  <c r="BK29" i="67"/>
  <c r="BK28" i="67"/>
  <c r="BF30" i="67"/>
  <c r="BF29" i="67"/>
  <c r="BF28" i="67"/>
  <c r="BA30" i="67"/>
  <c r="BA29" i="67"/>
  <c r="BA28" i="67"/>
  <c r="AV30" i="67"/>
  <c r="AV29" i="67"/>
  <c r="AV28" i="67"/>
  <c r="AQ30" i="67"/>
  <c r="AQ29" i="67"/>
  <c r="AQ28" i="67"/>
  <c r="AL30" i="67"/>
  <c r="AL29" i="67"/>
  <c r="AL28" i="67"/>
  <c r="AG30" i="67"/>
  <c r="AG29" i="67"/>
  <c r="AG28" i="67"/>
  <c r="AB30" i="67"/>
  <c r="AB29" i="67"/>
  <c r="AB28" i="67"/>
  <c r="W30" i="67"/>
  <c r="W29" i="67"/>
  <c r="W28" i="67"/>
  <c r="R30" i="67"/>
  <c r="R29" i="67"/>
  <c r="R28" i="67"/>
  <c r="M30" i="67"/>
  <c r="M29" i="67"/>
  <c r="M28" i="67"/>
  <c r="H30" i="67"/>
  <c r="H29" i="67"/>
  <c r="H28" i="67"/>
  <c r="BU25" i="67"/>
  <c r="BU23" i="67"/>
  <c r="BP25" i="67"/>
  <c r="BP23" i="67"/>
  <c r="BK25" i="67"/>
  <c r="BK23" i="67"/>
  <c r="BF25" i="67"/>
  <c r="BF23" i="67"/>
  <c r="BA25" i="67"/>
  <c r="BA23" i="67"/>
  <c r="AV25" i="67"/>
  <c r="AV23" i="67"/>
  <c r="AQ25" i="67"/>
  <c r="AQ23" i="67"/>
  <c r="AL25" i="67"/>
  <c r="AL23" i="67"/>
  <c r="AG25" i="67"/>
  <c r="AG23" i="67"/>
  <c r="AB25" i="67"/>
  <c r="AB23" i="67"/>
  <c r="W25" i="67"/>
  <c r="W23" i="67"/>
  <c r="R25" i="67"/>
  <c r="R23" i="67"/>
  <c r="M25" i="67"/>
  <c r="M23" i="67"/>
  <c r="H25" i="67"/>
  <c r="H23" i="67"/>
  <c r="BU20" i="67"/>
  <c r="BU18" i="67"/>
  <c r="BP20" i="67"/>
  <c r="BP18" i="67"/>
  <c r="BK20" i="67"/>
  <c r="BK18" i="67"/>
  <c r="BF20" i="67"/>
  <c r="BF18" i="67"/>
  <c r="BA20" i="67"/>
  <c r="BA18" i="67"/>
  <c r="AV20" i="67"/>
  <c r="AV18" i="67"/>
  <c r="AQ20" i="67"/>
  <c r="AQ18" i="67"/>
  <c r="AL20" i="67"/>
  <c r="AL18" i="67"/>
  <c r="AG20" i="67"/>
  <c r="AG18" i="67"/>
  <c r="AB20" i="67"/>
  <c r="AB18" i="67"/>
  <c r="W20" i="67"/>
  <c r="W18" i="67"/>
  <c r="R20" i="67"/>
  <c r="R18" i="67"/>
  <c r="M20" i="67"/>
  <c r="M18" i="67"/>
  <c r="H20" i="67"/>
  <c r="H18" i="67"/>
  <c r="BU15" i="67"/>
  <c r="BU13" i="67"/>
  <c r="BP15" i="67"/>
  <c r="BP13" i="67"/>
  <c r="BK15" i="67"/>
  <c r="BK13" i="67"/>
  <c r="BF15" i="67"/>
  <c r="BF13" i="67"/>
  <c r="BA15" i="67"/>
  <c r="BA13" i="67"/>
  <c r="AV15" i="67"/>
  <c r="AV13" i="67"/>
  <c r="AQ15" i="67"/>
  <c r="AQ13" i="67"/>
  <c r="AL15" i="67"/>
  <c r="AL13" i="67"/>
  <c r="AG15" i="67"/>
  <c r="AG13" i="67"/>
  <c r="AB15" i="67"/>
  <c r="AB13" i="67"/>
  <c r="W15" i="67"/>
  <c r="W13" i="67"/>
  <c r="R15" i="67"/>
  <c r="R13" i="67"/>
  <c r="M15" i="67"/>
  <c r="M13" i="67"/>
  <c r="H15" i="67"/>
  <c r="H13" i="67"/>
  <c r="BU10" i="67"/>
  <c r="BU8" i="67"/>
  <c r="BP10" i="67"/>
  <c r="BP8" i="67"/>
  <c r="BK10" i="67"/>
  <c r="BK8" i="67"/>
  <c r="BF10" i="67"/>
  <c r="BF8" i="67"/>
  <c r="BA10" i="67"/>
  <c r="BA8" i="67"/>
  <c r="AV10" i="67"/>
  <c r="AV8" i="67"/>
  <c r="AQ10" i="67"/>
  <c r="AQ8" i="67"/>
  <c r="AL10" i="67"/>
  <c r="AL8" i="67"/>
  <c r="AG10" i="67"/>
  <c r="AG8" i="67"/>
  <c r="AB10" i="67"/>
  <c r="AB8" i="67"/>
  <c r="W10" i="67"/>
  <c r="W8" i="67"/>
  <c r="R10" i="67"/>
  <c r="R8" i="67"/>
  <c r="M10" i="67"/>
  <c r="M8" i="67"/>
  <c r="H10" i="67"/>
  <c r="H8" i="67"/>
  <c r="BU5" i="67"/>
  <c r="BU3" i="67"/>
  <c r="BP5" i="67"/>
  <c r="BP3" i="67"/>
  <c r="BK5" i="67"/>
  <c r="BK3" i="67"/>
  <c r="BF5" i="67"/>
  <c r="BF3" i="67"/>
  <c r="BA5" i="67"/>
  <c r="BA3" i="67"/>
  <c r="AV5" i="67"/>
  <c r="AV3" i="67"/>
  <c r="AQ5" i="67"/>
  <c r="AQ3" i="67"/>
  <c r="AL5" i="67"/>
  <c r="AL3" i="67"/>
  <c r="AG5" i="67"/>
  <c r="AG3" i="67"/>
  <c r="AB5" i="67"/>
  <c r="AB3" i="67"/>
  <c r="W5" i="67"/>
  <c r="W3" i="67"/>
  <c r="R5" i="67"/>
  <c r="R3" i="67"/>
  <c r="M5" i="67"/>
  <c r="M3" i="67"/>
  <c r="H5" i="67"/>
  <c r="H3" i="67"/>
  <c r="V113" i="16"/>
  <c r="W113" i="16" s="1"/>
  <c r="X113" i="16" s="1"/>
  <c r="Y113" i="16" s="1"/>
  <c r="Z113" i="16" s="1"/>
  <c r="AA113" i="16" s="1"/>
  <c r="AB113" i="16" s="1"/>
  <c r="AC113" i="16" s="1"/>
  <c r="AD113" i="16" s="1"/>
  <c r="AE113" i="16" s="1"/>
  <c r="AF113" i="16" s="1"/>
  <c r="AG113" i="16" s="1"/>
  <c r="AH113" i="16" s="1"/>
  <c r="AI113" i="16" s="1"/>
  <c r="AJ113" i="16" s="1"/>
  <c r="AK113" i="16" s="1"/>
  <c r="AL113" i="16" s="1"/>
  <c r="AM113" i="16" s="1"/>
  <c r="AN113" i="16" s="1"/>
  <c r="U113" i="16"/>
  <c r="T113" i="16"/>
  <c r="S113" i="16"/>
  <c r="R113" i="16"/>
  <c r="Q113" i="16"/>
  <c r="P113" i="16"/>
  <c r="O113" i="16"/>
  <c r="N113" i="16"/>
  <c r="M113" i="16"/>
  <c r="L113" i="16"/>
  <c r="K113" i="16"/>
  <c r="J113" i="16"/>
  <c r="D113" i="16"/>
  <c r="C113" i="16"/>
  <c r="C110" i="16"/>
  <c r="Z110" i="16"/>
  <c r="Y110" i="16"/>
  <c r="X110" i="16"/>
  <c r="W110" i="16"/>
  <c r="V110" i="16"/>
  <c r="U110" i="16"/>
  <c r="T110" i="16"/>
  <c r="S110" i="16"/>
  <c r="R110" i="16"/>
  <c r="Q110" i="16"/>
  <c r="P110" i="16"/>
  <c r="O110" i="16"/>
  <c r="N110" i="16"/>
  <c r="M110" i="16"/>
  <c r="L110" i="16"/>
  <c r="K110" i="16"/>
  <c r="J110" i="16"/>
  <c r="I110" i="16"/>
  <c r="H110" i="16"/>
  <c r="G110" i="16"/>
  <c r="F110" i="16"/>
  <c r="E110" i="16"/>
  <c r="D110" i="16"/>
  <c r="Z109" i="16"/>
  <c r="Y109" i="16"/>
  <c r="X109" i="16"/>
  <c r="W109" i="16"/>
  <c r="V109" i="16"/>
  <c r="U109" i="16"/>
  <c r="T109" i="16"/>
  <c r="S109" i="16"/>
  <c r="R109" i="16"/>
  <c r="Q109" i="16"/>
  <c r="O109" i="16"/>
  <c r="N109" i="16"/>
  <c r="M109" i="16"/>
  <c r="L109" i="16"/>
  <c r="K109" i="16"/>
  <c r="J109" i="16"/>
  <c r="I109" i="16"/>
  <c r="H109" i="16"/>
  <c r="G109" i="16"/>
  <c r="F109" i="16"/>
  <c r="T103" i="16"/>
  <c r="U103" i="16" s="1"/>
  <c r="V103" i="16" s="1"/>
  <c r="W103" i="16" s="1"/>
  <c r="X103" i="16" s="1"/>
  <c r="Y103" i="16" s="1"/>
  <c r="Z103" i="16" s="1"/>
  <c r="AA103" i="16" s="1"/>
  <c r="AB103" i="16" s="1"/>
  <c r="AC103" i="16" s="1"/>
  <c r="AD103" i="16" s="1"/>
  <c r="AE103" i="16" s="1"/>
  <c r="AF103" i="16" s="1"/>
  <c r="AG103" i="16" s="1"/>
  <c r="AH103" i="16" s="1"/>
  <c r="AI103" i="16" s="1"/>
  <c r="AJ103" i="16" s="1"/>
  <c r="AK103" i="16" s="1"/>
  <c r="AL103" i="16" s="1"/>
  <c r="AM103" i="16" s="1"/>
  <c r="AN103" i="16" s="1"/>
  <c r="Z100" i="16"/>
  <c r="Y100" i="16"/>
  <c r="X100" i="16"/>
  <c r="W100" i="16"/>
  <c r="V100" i="16"/>
  <c r="Z97" i="16"/>
  <c r="Y97" i="16"/>
  <c r="X97" i="16"/>
  <c r="W97" i="16"/>
  <c r="V97" i="16"/>
  <c r="U97" i="16"/>
  <c r="T97" i="16"/>
  <c r="S97" i="16"/>
  <c r="T96" i="16"/>
  <c r="S96" i="16"/>
  <c r="W94" i="16"/>
  <c r="V94" i="16"/>
  <c r="U94" i="16"/>
  <c r="T94" i="16"/>
  <c r="S94" i="16"/>
  <c r="R94" i="16"/>
  <c r="Q94" i="16"/>
  <c r="P94" i="16"/>
  <c r="Q91" i="16"/>
  <c r="P91" i="16"/>
  <c r="G87" i="16"/>
  <c r="F87" i="16"/>
  <c r="E87" i="16"/>
  <c r="D87" i="16"/>
  <c r="C87" i="16"/>
  <c r="X86" i="16"/>
  <c r="W86" i="16"/>
  <c r="V86" i="16"/>
  <c r="U86" i="16"/>
  <c r="T86" i="16"/>
  <c r="S86" i="16"/>
  <c r="R86" i="16"/>
  <c r="Q86" i="16"/>
  <c r="P86" i="16"/>
  <c r="O86" i="16"/>
  <c r="N86" i="16"/>
  <c r="M86" i="16"/>
  <c r="L86" i="16"/>
  <c r="K86" i="16"/>
  <c r="J86" i="16"/>
  <c r="I85" i="16"/>
  <c r="H85" i="16"/>
  <c r="G85" i="16"/>
  <c r="F85" i="16"/>
  <c r="E85" i="16"/>
  <c r="D85" i="16"/>
  <c r="C85" i="16"/>
  <c r="N83" i="16"/>
  <c r="L83" i="16"/>
  <c r="Z82" i="16"/>
  <c r="Z96" i="16" s="1"/>
  <c r="Z99" i="16" s="1"/>
  <c r="Y82" i="16"/>
  <c r="Y96" i="16" s="1"/>
  <c r="Y99" i="16" s="1"/>
  <c r="Y101" i="16" s="1"/>
  <c r="V82" i="16"/>
  <c r="V96" i="16" s="1"/>
  <c r="V99" i="16" s="1"/>
  <c r="V101" i="16" s="1"/>
  <c r="U82" i="16"/>
  <c r="U96" i="16" s="1"/>
  <c r="V80" i="16"/>
  <c r="U80" i="16"/>
  <c r="T80" i="16"/>
  <c r="S80" i="16"/>
  <c r="R80" i="16"/>
  <c r="Q80" i="16"/>
  <c r="P80" i="16"/>
  <c r="O80" i="16"/>
  <c r="N80" i="16"/>
  <c r="M80" i="16"/>
  <c r="L80" i="16"/>
  <c r="K80" i="16"/>
  <c r="J80" i="16"/>
  <c r="Z79" i="16"/>
  <c r="Y79" i="16"/>
  <c r="X79" i="16"/>
  <c r="W79" i="16"/>
  <c r="V79" i="16"/>
  <c r="U79" i="16"/>
  <c r="T79" i="16"/>
  <c r="T85" i="16" s="1"/>
  <c r="S79" i="16"/>
  <c r="S85" i="16" s="1"/>
  <c r="R79" i="16"/>
  <c r="R85" i="16" s="1"/>
  <c r="Q79" i="16"/>
  <c r="Q85" i="16" s="1"/>
  <c r="P79" i="16"/>
  <c r="P85" i="16" s="1"/>
  <c r="O79" i="16"/>
  <c r="O85" i="16" s="1"/>
  <c r="N79" i="16"/>
  <c r="M79" i="16"/>
  <c r="M85" i="16" s="1"/>
  <c r="L79" i="16"/>
  <c r="L85" i="16" s="1"/>
  <c r="K79" i="16"/>
  <c r="K85" i="16" s="1"/>
  <c r="J79" i="16"/>
  <c r="J85" i="16" s="1"/>
  <c r="Z77" i="16"/>
  <c r="Y77" i="16"/>
  <c r="X77" i="16"/>
  <c r="W77" i="16"/>
  <c r="V77" i="16"/>
  <c r="U77" i="16"/>
  <c r="T77" i="16"/>
  <c r="S77" i="16"/>
  <c r="R77" i="16"/>
  <c r="Q77" i="16"/>
  <c r="O77" i="16"/>
  <c r="M77" i="16"/>
  <c r="K77" i="16"/>
  <c r="J77" i="16"/>
  <c r="P76" i="16"/>
  <c r="P77" i="16" s="1"/>
  <c r="N76" i="16"/>
  <c r="N77" i="16" s="1"/>
  <c r="L76" i="16"/>
  <c r="L77" i="16" s="1"/>
  <c r="P74" i="16"/>
  <c r="Z71" i="16"/>
  <c r="Y71" i="16"/>
  <c r="X71" i="16"/>
  <c r="W71" i="16"/>
  <c r="V71" i="16"/>
  <c r="U71" i="16"/>
  <c r="T71" i="16"/>
  <c r="S71" i="16"/>
  <c r="R71" i="16"/>
  <c r="Q71" i="16"/>
  <c r="P71" i="16"/>
  <c r="O71" i="16"/>
  <c r="N71" i="16"/>
  <c r="M71" i="16"/>
  <c r="L71" i="16"/>
  <c r="K71" i="16"/>
  <c r="J71" i="16"/>
  <c r="Z69" i="16"/>
  <c r="Y69" i="16"/>
  <c r="X69" i="16"/>
  <c r="W69" i="16"/>
  <c r="V69" i="16"/>
  <c r="U69" i="16"/>
  <c r="T69" i="16"/>
  <c r="S69" i="16"/>
  <c r="R69" i="16"/>
  <c r="Q69" i="16"/>
  <c r="P69" i="16"/>
  <c r="O69" i="16"/>
  <c r="N69" i="16"/>
  <c r="M69" i="16"/>
  <c r="L69" i="16"/>
  <c r="K69" i="16"/>
  <c r="J69" i="16"/>
  <c r="AC77" i="16"/>
  <c r="AD77" i="16" s="1"/>
  <c r="AB72" i="16"/>
  <c r="AC72" i="16" s="1"/>
  <c r="AD72" i="16" s="1"/>
  <c r="AE72" i="16" s="1"/>
  <c r="AF72" i="16" s="1"/>
  <c r="AG72" i="16" s="1"/>
  <c r="AH72" i="16" s="1"/>
  <c r="AI72" i="16" s="1"/>
  <c r="AJ72" i="16" s="1"/>
  <c r="AK72" i="16" s="1"/>
  <c r="AL72" i="16" s="1"/>
  <c r="AM72" i="16" s="1"/>
  <c r="AN72" i="16" s="1"/>
  <c r="AB69" i="16"/>
  <c r="AC69" i="16" s="1"/>
  <c r="AD69" i="16" s="1"/>
  <c r="W66" i="16"/>
  <c r="V66" i="16"/>
  <c r="U66" i="16"/>
  <c r="T66" i="16"/>
  <c r="S66" i="16"/>
  <c r="R66" i="16"/>
  <c r="Q66" i="16"/>
  <c r="P66" i="16"/>
  <c r="O66" i="16"/>
  <c r="N66" i="16"/>
  <c r="M66" i="16"/>
  <c r="L66" i="16"/>
  <c r="K66" i="16"/>
  <c r="J66" i="16"/>
  <c r="Z65" i="16"/>
  <c r="Y65" i="16"/>
  <c r="AA79" i="16"/>
  <c r="Z58" i="16"/>
  <c r="Y58" i="16"/>
  <c r="X58" i="16"/>
  <c r="W58" i="16"/>
  <c r="W57" i="16"/>
  <c r="W59" i="16" s="1"/>
  <c r="Z55" i="16"/>
  <c r="Y55" i="16"/>
  <c r="X55" i="16"/>
  <c r="W55" i="16"/>
  <c r="Z54" i="16"/>
  <c r="Y54" i="16"/>
  <c r="X54" i="16"/>
  <c r="W54" i="16"/>
  <c r="V57" i="16"/>
  <c r="V59" i="16" s="1"/>
  <c r="U57" i="16"/>
  <c r="U59" i="16" s="1"/>
  <c r="T57" i="16"/>
  <c r="T59" i="16" s="1"/>
  <c r="S57" i="16"/>
  <c r="S59" i="16" s="1"/>
  <c r="R57" i="16"/>
  <c r="R59" i="16" s="1"/>
  <c r="V55" i="16"/>
  <c r="U55" i="16"/>
  <c r="T55" i="16"/>
  <c r="S55" i="16"/>
  <c r="R55" i="16"/>
  <c r="V54" i="16"/>
  <c r="U54" i="16"/>
  <c r="T54" i="16"/>
  <c r="S54" i="16"/>
  <c r="R54" i="16"/>
  <c r="Q55" i="16"/>
  <c r="P55" i="16"/>
  <c r="O55" i="16"/>
  <c r="N55" i="16"/>
  <c r="M55" i="16"/>
  <c r="L55" i="16"/>
  <c r="K55" i="16"/>
  <c r="J55" i="16"/>
  <c r="I55" i="16"/>
  <c r="H55" i="16"/>
  <c r="G55" i="16"/>
  <c r="F55" i="16"/>
  <c r="E55" i="16"/>
  <c r="D55" i="16"/>
  <c r="C55" i="16"/>
  <c r="Q54" i="16"/>
  <c r="P54" i="16"/>
  <c r="O54" i="16"/>
  <c r="N54" i="16"/>
  <c r="M54" i="16"/>
  <c r="L54" i="16"/>
  <c r="K54" i="16"/>
  <c r="J54" i="16"/>
  <c r="I54" i="16"/>
  <c r="H54" i="16"/>
  <c r="G54" i="16"/>
  <c r="F54" i="16"/>
  <c r="E54" i="16"/>
  <c r="D54" i="16"/>
  <c r="C54" i="16"/>
  <c r="Z50" i="16"/>
  <c r="Y50" i="16"/>
  <c r="X50" i="16"/>
  <c r="W50" i="16"/>
  <c r="V50" i="16"/>
  <c r="U50" i="16"/>
  <c r="T50" i="16"/>
  <c r="S50" i="16"/>
  <c r="R50" i="16"/>
  <c r="Q50" i="16"/>
  <c r="P50" i="16"/>
  <c r="O50" i="16"/>
  <c r="N50" i="16"/>
  <c r="M50" i="16"/>
  <c r="L50" i="16"/>
  <c r="K50" i="16"/>
  <c r="J50" i="16"/>
  <c r="I50" i="16"/>
  <c r="H50" i="16"/>
  <c r="G50" i="16"/>
  <c r="F50" i="16"/>
  <c r="E50" i="16"/>
  <c r="D50" i="16"/>
  <c r="C50" i="16"/>
  <c r="X45" i="16"/>
  <c r="W45" i="16"/>
  <c r="V45" i="16"/>
  <c r="T45" i="16"/>
  <c r="S45" i="16"/>
  <c r="R45" i="16"/>
  <c r="Q45" i="16"/>
  <c r="O45" i="16"/>
  <c r="N45" i="16"/>
  <c r="M45" i="16"/>
  <c r="L45" i="16"/>
  <c r="K45" i="16"/>
  <c r="J45" i="16"/>
  <c r="I45" i="16"/>
  <c r="H45" i="16"/>
  <c r="G45" i="16"/>
  <c r="F45" i="16"/>
  <c r="Z44" i="16"/>
  <c r="Z45" i="16" s="1"/>
  <c r="Y44" i="16"/>
  <c r="Y45" i="16" s="1"/>
  <c r="P44" i="16"/>
  <c r="AN42" i="16"/>
  <c r="AK42" i="16"/>
  <c r="AJ42" i="16"/>
  <c r="AG42" i="16"/>
  <c r="AF42" i="16"/>
  <c r="AC42" i="16"/>
  <c r="AB42" i="16"/>
  <c r="U40" i="16"/>
  <c r="U45" i="16" s="1"/>
  <c r="P37" i="16"/>
  <c r="P109" i="16" s="1"/>
  <c r="E36" i="16"/>
  <c r="D36" i="16"/>
  <c r="C36" i="16"/>
  <c r="W32" i="16"/>
  <c r="V32" i="16"/>
  <c r="U32" i="16"/>
  <c r="T32" i="16"/>
  <c r="R32" i="16"/>
  <c r="Q32" i="16"/>
  <c r="P32" i="16"/>
  <c r="O32" i="16"/>
  <c r="N32" i="16"/>
  <c r="M32" i="16"/>
  <c r="K32" i="16"/>
  <c r="J32" i="16"/>
  <c r="I32" i="16"/>
  <c r="Z31" i="16"/>
  <c r="Z32" i="16" s="1"/>
  <c r="Y31" i="16"/>
  <c r="Y32" i="16" s="1"/>
  <c r="X31" i="16"/>
  <c r="X32" i="16" s="1"/>
  <c r="L31" i="16"/>
  <c r="L30" i="16"/>
  <c r="L32" i="16" s="1"/>
  <c r="G31" i="16"/>
  <c r="G32" i="16" s="1"/>
  <c r="F31" i="16"/>
  <c r="E31" i="16"/>
  <c r="D31" i="16"/>
  <c r="C31" i="16"/>
  <c r="C32" i="16" s="1"/>
  <c r="AN30" i="16"/>
  <c r="AM30" i="16"/>
  <c r="AL30" i="16"/>
  <c r="AK30" i="16"/>
  <c r="AJ30" i="16"/>
  <c r="AI30" i="16"/>
  <c r="AH30" i="16"/>
  <c r="AG30" i="16"/>
  <c r="AF30" i="16"/>
  <c r="AE30" i="16"/>
  <c r="AD30" i="16"/>
  <c r="AC30" i="16"/>
  <c r="AB30" i="16"/>
  <c r="S29" i="16"/>
  <c r="S32" i="16" s="1"/>
  <c r="H27" i="16"/>
  <c r="H32" i="16" s="1"/>
  <c r="G27" i="16"/>
  <c r="F27" i="16"/>
  <c r="F32" i="16" s="1"/>
  <c r="E27" i="16"/>
  <c r="D27" i="16"/>
  <c r="AD27" i="16"/>
  <c r="AE27" i="16" s="1"/>
  <c r="AF27" i="16" s="1"/>
  <c r="AG27" i="16" s="1"/>
  <c r="AH27" i="16" s="1"/>
  <c r="AI27" i="16" s="1"/>
  <c r="AJ27" i="16" s="1"/>
  <c r="AK27" i="16" s="1"/>
  <c r="AL27" i="16" s="1"/>
  <c r="AM27" i="16" s="1"/>
  <c r="AN27" i="16" s="1"/>
  <c r="Z23" i="16"/>
  <c r="Z53" i="16" s="1"/>
  <c r="L23" i="16"/>
  <c r="L53" i="16" s="1"/>
  <c r="K23" i="16"/>
  <c r="K53" i="16" s="1"/>
  <c r="AN21" i="16"/>
  <c r="AM21" i="16"/>
  <c r="AL21" i="16"/>
  <c r="AK21" i="16"/>
  <c r="AJ21" i="16"/>
  <c r="AI21" i="16"/>
  <c r="AH21" i="16"/>
  <c r="AG21" i="16"/>
  <c r="AF21" i="16"/>
  <c r="AE21" i="16"/>
  <c r="AD21" i="16"/>
  <c r="AC21" i="16"/>
  <c r="AB21" i="16"/>
  <c r="Y19" i="16"/>
  <c r="Y23" i="16" s="1"/>
  <c r="X19" i="16"/>
  <c r="W19" i="16"/>
  <c r="V19" i="16"/>
  <c r="U19" i="16"/>
  <c r="T19" i="16"/>
  <c r="S19" i="16"/>
  <c r="R19" i="16"/>
  <c r="Q19" i="16"/>
  <c r="P19" i="16"/>
  <c r="O19" i="16"/>
  <c r="N19" i="16"/>
  <c r="M19" i="16"/>
  <c r="X10" i="16"/>
  <c r="X23" i="16" s="1"/>
  <c r="W10" i="16"/>
  <c r="W23" i="16" s="1"/>
  <c r="V10" i="16"/>
  <c r="V23" i="16" s="1"/>
  <c r="U10" i="16"/>
  <c r="T10" i="16"/>
  <c r="S10" i="16"/>
  <c r="R10" i="16"/>
  <c r="Q10" i="16"/>
  <c r="M10" i="16"/>
  <c r="M23" i="16" s="1"/>
  <c r="J10" i="16"/>
  <c r="H10" i="16"/>
  <c r="Z7" i="16"/>
  <c r="Y7" i="16"/>
  <c r="Z6" i="16"/>
  <c r="Y6" i="16"/>
  <c r="Y98" i="18" s="1"/>
  <c r="X6" i="16"/>
  <c r="W6" i="16"/>
  <c r="V6" i="16"/>
  <c r="V98" i="18" s="1"/>
  <c r="U6" i="16"/>
  <c r="U98" i="18" s="1"/>
  <c r="T6" i="16"/>
  <c r="S6" i="16"/>
  <c r="R6" i="16"/>
  <c r="R98" i="18" s="1"/>
  <c r="Q6" i="16"/>
  <c r="Q98" i="18" s="1"/>
  <c r="P6" i="16"/>
  <c r="O6" i="16"/>
  <c r="N6" i="16"/>
  <c r="N98" i="18" s="1"/>
  <c r="M6" i="16"/>
  <c r="M98" i="18" s="1"/>
  <c r="L6" i="16"/>
  <c r="K6" i="16"/>
  <c r="K136" i="18" s="1"/>
  <c r="J6" i="16"/>
  <c r="J98" i="18" s="1"/>
  <c r="I6" i="16"/>
  <c r="H6" i="16"/>
  <c r="G6" i="16"/>
  <c r="F6" i="16"/>
  <c r="E6" i="16"/>
  <c r="D6" i="16"/>
  <c r="C6" i="16"/>
  <c r="K174" i="18"/>
  <c r="K173" i="18"/>
  <c r="K172" i="18"/>
  <c r="K170" i="18"/>
  <c r="K169" i="18"/>
  <c r="K168" i="18"/>
  <c r="K167" i="18"/>
  <c r="K166" i="18"/>
  <c r="K165" i="18"/>
  <c r="K171" i="18" s="1"/>
  <c r="W174" i="18"/>
  <c r="V174" i="18"/>
  <c r="U174" i="18"/>
  <c r="T174" i="18"/>
  <c r="S174" i="18"/>
  <c r="R174" i="18"/>
  <c r="Q174" i="18"/>
  <c r="P174" i="18"/>
  <c r="O174" i="18"/>
  <c r="N174" i="18"/>
  <c r="M174" i="18"/>
  <c r="L174" i="18"/>
  <c r="Z173" i="18"/>
  <c r="Y173" i="18"/>
  <c r="X173" i="18"/>
  <c r="W173" i="18"/>
  <c r="W175" i="18" s="1"/>
  <c r="V173" i="18"/>
  <c r="U173" i="18"/>
  <c r="T173" i="18"/>
  <c r="S173" i="18"/>
  <c r="S175" i="18" s="1"/>
  <c r="R173" i="18"/>
  <c r="Q173" i="18"/>
  <c r="P173" i="18"/>
  <c r="O173" i="18"/>
  <c r="O175" i="18" s="1"/>
  <c r="N173" i="18"/>
  <c r="M173" i="18"/>
  <c r="L173" i="18"/>
  <c r="Z172" i="18"/>
  <c r="Y172" i="18"/>
  <c r="X172" i="18"/>
  <c r="W172" i="18"/>
  <c r="V172" i="18"/>
  <c r="V175" i="18" s="1"/>
  <c r="U172" i="18"/>
  <c r="T172" i="18"/>
  <c r="S172" i="18"/>
  <c r="R172" i="18"/>
  <c r="R175" i="18" s="1"/>
  <c r="Q172" i="18"/>
  <c r="P172" i="18"/>
  <c r="O172" i="18"/>
  <c r="N172" i="18"/>
  <c r="N175" i="18" s="1"/>
  <c r="M172" i="18"/>
  <c r="L172" i="18"/>
  <c r="Z170" i="18"/>
  <c r="Y170" i="18"/>
  <c r="X170" i="18"/>
  <c r="W170" i="18"/>
  <c r="V170" i="18"/>
  <c r="U170" i="18"/>
  <c r="T170" i="18"/>
  <c r="S170" i="18"/>
  <c r="R170" i="18"/>
  <c r="Q170" i="18"/>
  <c r="P170" i="18"/>
  <c r="O170" i="18"/>
  <c r="M170" i="18"/>
  <c r="L170" i="18"/>
  <c r="Z169" i="18"/>
  <c r="Y169" i="18"/>
  <c r="X169" i="18"/>
  <c r="W169" i="18"/>
  <c r="V169" i="18"/>
  <c r="U169" i="18"/>
  <c r="T169" i="18"/>
  <c r="S169" i="18"/>
  <c r="R169" i="18"/>
  <c r="Q169" i="18"/>
  <c r="P169" i="18"/>
  <c r="O169" i="18"/>
  <c r="N169" i="18"/>
  <c r="M169" i="18"/>
  <c r="L169" i="18"/>
  <c r="Z168" i="18"/>
  <c r="Y168" i="18"/>
  <c r="X168" i="18"/>
  <c r="W168" i="18"/>
  <c r="V168" i="18"/>
  <c r="U168" i="18"/>
  <c r="T168" i="18"/>
  <c r="S168" i="18"/>
  <c r="R168" i="18"/>
  <c r="Q168" i="18"/>
  <c r="P168" i="18"/>
  <c r="O168" i="18"/>
  <c r="N168" i="18"/>
  <c r="M168" i="18"/>
  <c r="L168" i="18"/>
  <c r="Z167" i="18"/>
  <c r="Y167" i="18"/>
  <c r="X167" i="18"/>
  <c r="W167" i="18"/>
  <c r="V167" i="18"/>
  <c r="U167" i="18"/>
  <c r="T167" i="18"/>
  <c r="S167" i="18"/>
  <c r="R167" i="18"/>
  <c r="Q167" i="18"/>
  <c r="P167" i="18"/>
  <c r="O167" i="18"/>
  <c r="N167" i="18"/>
  <c r="M167" i="18"/>
  <c r="L167" i="18"/>
  <c r="Z166" i="18"/>
  <c r="Y166" i="18"/>
  <c r="X166" i="18"/>
  <c r="W166" i="18"/>
  <c r="V166" i="18"/>
  <c r="U166" i="18"/>
  <c r="T166" i="18"/>
  <c r="S166" i="18"/>
  <c r="R166" i="18"/>
  <c r="Q166" i="18"/>
  <c r="P166" i="18"/>
  <c r="O166" i="18"/>
  <c r="N166" i="18"/>
  <c r="M166" i="18"/>
  <c r="L166" i="18"/>
  <c r="Z165" i="18"/>
  <c r="Y165" i="18"/>
  <c r="X165" i="18"/>
  <c r="W165" i="18"/>
  <c r="W171" i="18" s="1"/>
  <c r="W176" i="18" s="1"/>
  <c r="V165" i="18"/>
  <c r="U165" i="18"/>
  <c r="T165" i="18"/>
  <c r="S165" i="18"/>
  <c r="S171" i="18" s="1"/>
  <c r="S176" i="18" s="1"/>
  <c r="R165" i="18"/>
  <c r="Q165" i="18"/>
  <c r="P165" i="18"/>
  <c r="O165" i="18"/>
  <c r="O171" i="18" s="1"/>
  <c r="O176" i="18" s="1"/>
  <c r="N165" i="18"/>
  <c r="M165" i="18"/>
  <c r="L165" i="18"/>
  <c r="K154" i="18"/>
  <c r="K153" i="18"/>
  <c r="Z155" i="18"/>
  <c r="Y155" i="18"/>
  <c r="X155" i="18"/>
  <c r="W155" i="18"/>
  <c r="V155" i="18"/>
  <c r="U155" i="18"/>
  <c r="T155" i="18"/>
  <c r="S155" i="18"/>
  <c r="R155" i="18"/>
  <c r="Q155" i="18"/>
  <c r="P155" i="18"/>
  <c r="O155" i="18"/>
  <c r="N155" i="18"/>
  <c r="M155" i="18"/>
  <c r="L155" i="18"/>
  <c r="Z154" i="18"/>
  <c r="Z156" i="18" s="1"/>
  <c r="Y154" i="18"/>
  <c r="X154" i="18"/>
  <c r="W154" i="18"/>
  <c r="W156" i="18" s="1"/>
  <c r="V154" i="18"/>
  <c r="V156" i="18" s="1"/>
  <c r="U154" i="18"/>
  <c r="T154" i="18"/>
  <c r="S154" i="18"/>
  <c r="S156" i="18" s="1"/>
  <c r="R154" i="18"/>
  <c r="R156" i="18" s="1"/>
  <c r="Q154" i="18"/>
  <c r="P154" i="18"/>
  <c r="O154" i="18"/>
  <c r="O156" i="18" s="1"/>
  <c r="N154" i="18"/>
  <c r="N156" i="18" s="1"/>
  <c r="M154" i="18"/>
  <c r="L154" i="18"/>
  <c r="Z153" i="18"/>
  <c r="Y153" i="18"/>
  <c r="X153" i="18"/>
  <c r="W153" i="18"/>
  <c r="V153" i="18"/>
  <c r="U153" i="18"/>
  <c r="T153" i="18"/>
  <c r="S153" i="18"/>
  <c r="R153" i="18"/>
  <c r="Q153" i="18"/>
  <c r="P153" i="18"/>
  <c r="O153" i="18"/>
  <c r="M153" i="18"/>
  <c r="L153" i="18"/>
  <c r="AN150" i="18"/>
  <c r="AM150" i="18"/>
  <c r="AL150" i="18"/>
  <c r="AK150" i="18"/>
  <c r="AJ150" i="18"/>
  <c r="AI150" i="18"/>
  <c r="AH150" i="18"/>
  <c r="AG150" i="18"/>
  <c r="AF150" i="18"/>
  <c r="AE150" i="18"/>
  <c r="AD150" i="18"/>
  <c r="AC150" i="18"/>
  <c r="AB150" i="18"/>
  <c r="AA150" i="18"/>
  <c r="V150" i="18"/>
  <c r="U150" i="18"/>
  <c r="V148" i="18"/>
  <c r="AN147" i="18"/>
  <c r="AM147" i="18"/>
  <c r="AL147" i="18"/>
  <c r="AK147" i="18"/>
  <c r="AJ147" i="18"/>
  <c r="AI147" i="18"/>
  <c r="AH147" i="18"/>
  <c r="AG147" i="18"/>
  <c r="AF147" i="18"/>
  <c r="AE147" i="18"/>
  <c r="AD147" i="18"/>
  <c r="AC147" i="18"/>
  <c r="AB147" i="18"/>
  <c r="AA147" i="18"/>
  <c r="V147" i="18"/>
  <c r="U147" i="18"/>
  <c r="AN144" i="18"/>
  <c r="AM144" i="18"/>
  <c r="AL144" i="18"/>
  <c r="AK144" i="18"/>
  <c r="AJ144" i="18"/>
  <c r="AI144" i="18"/>
  <c r="AH144" i="18"/>
  <c r="AG144" i="18"/>
  <c r="AF144" i="18"/>
  <c r="AE144" i="18"/>
  <c r="AD144" i="18"/>
  <c r="AC144" i="18"/>
  <c r="AB144" i="18"/>
  <c r="AA144" i="18"/>
  <c r="V144" i="18"/>
  <c r="U144" i="18"/>
  <c r="Z142" i="18"/>
  <c r="Z145" i="18" s="1"/>
  <c r="Y142" i="18"/>
  <c r="Y150" i="18" s="1"/>
  <c r="Y151" i="18" s="1"/>
  <c r="X142" i="18"/>
  <c r="X145" i="18" s="1"/>
  <c r="W142" i="18"/>
  <c r="W150" i="18" s="1"/>
  <c r="W151" i="18" s="1"/>
  <c r="L137" i="18"/>
  <c r="Z136" i="18"/>
  <c r="Z137" i="18" s="1"/>
  <c r="Y136" i="18"/>
  <c r="X136" i="18"/>
  <c r="W136" i="18"/>
  <c r="V136" i="18"/>
  <c r="V137" i="18" s="1"/>
  <c r="U136" i="18"/>
  <c r="T136" i="18"/>
  <c r="S136" i="18"/>
  <c r="R136" i="18"/>
  <c r="R137" i="18" s="1"/>
  <c r="Q136" i="18"/>
  <c r="P136" i="18"/>
  <c r="O136" i="18"/>
  <c r="N136" i="18"/>
  <c r="N137" i="18" s="1"/>
  <c r="M136" i="18"/>
  <c r="L136" i="18"/>
  <c r="K137" i="18"/>
  <c r="J137" i="18"/>
  <c r="I137" i="18"/>
  <c r="I136" i="18"/>
  <c r="I104" i="18" s="1"/>
  <c r="J104" i="18" s="1"/>
  <c r="Z100" i="18"/>
  <c r="Y100" i="18"/>
  <c r="Z95" i="18" s="1"/>
  <c r="X100" i="18"/>
  <c r="Y95" i="18" s="1"/>
  <c r="W100" i="18"/>
  <c r="V100" i="18"/>
  <c r="U100" i="18"/>
  <c r="V95" i="18" s="1"/>
  <c r="V99" i="18" s="1"/>
  <c r="T100" i="18"/>
  <c r="U95" i="18" s="1"/>
  <c r="S100" i="18"/>
  <c r="R100" i="18"/>
  <c r="Q100" i="18"/>
  <c r="R95" i="18" s="1"/>
  <c r="R99" i="18" s="1"/>
  <c r="P100" i="18"/>
  <c r="Q95" i="18" s="1"/>
  <c r="O100" i="18"/>
  <c r="N100" i="18"/>
  <c r="M100" i="18"/>
  <c r="N95" i="18" s="1"/>
  <c r="N99" i="18" s="1"/>
  <c r="L100" i="18"/>
  <c r="M95" i="18" s="1"/>
  <c r="K100" i="18"/>
  <c r="J100" i="18"/>
  <c r="I100" i="18"/>
  <c r="I98" i="18"/>
  <c r="I96" i="18"/>
  <c r="X98" i="18"/>
  <c r="W98" i="18"/>
  <c r="T98" i="18"/>
  <c r="S98" i="18"/>
  <c r="P98" i="18"/>
  <c r="O98" i="18"/>
  <c r="L98" i="18"/>
  <c r="K98" i="18"/>
  <c r="Z96" i="18"/>
  <c r="Z121" i="18" s="1"/>
  <c r="AA121" i="18" s="1"/>
  <c r="AB121" i="18" s="1"/>
  <c r="AC121" i="18" s="1"/>
  <c r="AD121" i="18" s="1"/>
  <c r="AE121" i="18" s="1"/>
  <c r="AF121" i="18" s="1"/>
  <c r="AG121" i="18" s="1"/>
  <c r="AH121" i="18" s="1"/>
  <c r="AI121" i="18" s="1"/>
  <c r="AJ121" i="18" s="1"/>
  <c r="AK121" i="18" s="1"/>
  <c r="AL121" i="18" s="1"/>
  <c r="AM121" i="18" s="1"/>
  <c r="AN121" i="18" s="1"/>
  <c r="Y96" i="18"/>
  <c r="X96" i="18"/>
  <c r="W96" i="18"/>
  <c r="V96" i="18"/>
  <c r="U96" i="18"/>
  <c r="T96" i="18"/>
  <c r="S96" i="18"/>
  <c r="R96" i="18"/>
  <c r="Q96" i="18"/>
  <c r="P96" i="18"/>
  <c r="O96" i="18"/>
  <c r="N96" i="18"/>
  <c r="M96" i="18"/>
  <c r="L96" i="18"/>
  <c r="K96" i="18"/>
  <c r="J96" i="18"/>
  <c r="AA95" i="18"/>
  <c r="X95" i="18"/>
  <c r="X99" i="18" s="1"/>
  <c r="W95" i="18"/>
  <c r="T95" i="18"/>
  <c r="T99" i="18" s="1"/>
  <c r="S95" i="18"/>
  <c r="P95" i="18"/>
  <c r="P99" i="18" s="1"/>
  <c r="O95" i="18"/>
  <c r="L95" i="18"/>
  <c r="L99" i="18" s="1"/>
  <c r="K95" i="18"/>
  <c r="I86" i="18"/>
  <c r="T86" i="18"/>
  <c r="R86" i="18"/>
  <c r="Q86" i="18"/>
  <c r="P86" i="18"/>
  <c r="O86" i="18"/>
  <c r="N86" i="18"/>
  <c r="M86" i="18"/>
  <c r="L86" i="18"/>
  <c r="K86" i="18"/>
  <c r="J86" i="18"/>
  <c r="Z67" i="18"/>
  <c r="Y67" i="18"/>
  <c r="X67" i="18"/>
  <c r="W67" i="18"/>
  <c r="V67" i="18"/>
  <c r="U67" i="18"/>
  <c r="T67" i="18"/>
  <c r="S67" i="18"/>
  <c r="R67" i="18"/>
  <c r="Q67" i="18"/>
  <c r="P67" i="18"/>
  <c r="O67" i="18"/>
  <c r="N67" i="18"/>
  <c r="M67" i="18"/>
  <c r="Z65" i="18"/>
  <c r="Y65" i="18"/>
  <c r="X65" i="18"/>
  <c r="W65" i="18"/>
  <c r="V65" i="18"/>
  <c r="U65" i="18"/>
  <c r="T65" i="18"/>
  <c r="S65" i="18"/>
  <c r="R65" i="18"/>
  <c r="Q65" i="18"/>
  <c r="P65" i="18"/>
  <c r="O65" i="18"/>
  <c r="N65" i="18"/>
  <c r="M65" i="18"/>
  <c r="Z63" i="18"/>
  <c r="Y63" i="18"/>
  <c r="X63" i="18"/>
  <c r="W63" i="18"/>
  <c r="V63" i="18"/>
  <c r="U63" i="18"/>
  <c r="T63" i="18"/>
  <c r="S63" i="18"/>
  <c r="R63" i="18"/>
  <c r="Q63" i="18"/>
  <c r="P63" i="18"/>
  <c r="O63" i="18"/>
  <c r="N63" i="18"/>
  <c r="M63" i="18"/>
  <c r="Z61" i="18"/>
  <c r="Y61" i="18"/>
  <c r="X61" i="18"/>
  <c r="W61" i="18"/>
  <c r="V61" i="18"/>
  <c r="U61" i="18"/>
  <c r="T61" i="18"/>
  <c r="S61" i="18"/>
  <c r="R61" i="18"/>
  <c r="Q61" i="18"/>
  <c r="P61" i="18"/>
  <c r="O61" i="18"/>
  <c r="N61" i="18"/>
  <c r="M61" i="18"/>
  <c r="Z58" i="18"/>
  <c r="Y58" i="18"/>
  <c r="X58" i="18"/>
  <c r="W58" i="18"/>
  <c r="V58" i="18"/>
  <c r="U58" i="18"/>
  <c r="T58" i="18"/>
  <c r="S58" i="18"/>
  <c r="R58" i="18"/>
  <c r="Q58" i="18"/>
  <c r="P58" i="18"/>
  <c r="O58" i="18"/>
  <c r="N58" i="18"/>
  <c r="M58" i="18"/>
  <c r="Z48" i="18"/>
  <c r="Y48" i="18"/>
  <c r="X48" i="18"/>
  <c r="W48" i="18"/>
  <c r="V48" i="18"/>
  <c r="U48" i="18"/>
  <c r="T48" i="18"/>
  <c r="S48" i="18"/>
  <c r="R48" i="18"/>
  <c r="Q48" i="18"/>
  <c r="P48" i="18"/>
  <c r="O48" i="18"/>
  <c r="N48" i="18"/>
  <c r="M48" i="18"/>
  <c r="L48" i="18"/>
  <c r="K48" i="18"/>
  <c r="J48" i="18"/>
  <c r="I48" i="18"/>
  <c r="L47" i="18"/>
  <c r="K47" i="18"/>
  <c r="K90" i="18" s="1"/>
  <c r="V45" i="18"/>
  <c r="U45" i="18"/>
  <c r="T45" i="18"/>
  <c r="S45" i="18"/>
  <c r="R45" i="18"/>
  <c r="Q45" i="18"/>
  <c r="P45" i="18"/>
  <c r="O45" i="18"/>
  <c r="N45" i="18"/>
  <c r="M45" i="18"/>
  <c r="L45" i="18"/>
  <c r="K45" i="18"/>
  <c r="J45" i="18"/>
  <c r="I45" i="18"/>
  <c r="V44" i="18"/>
  <c r="U44" i="18"/>
  <c r="U139" i="18" s="1"/>
  <c r="T44" i="18"/>
  <c r="S44" i="18"/>
  <c r="R44" i="18"/>
  <c r="Q44" i="18"/>
  <c r="Q139" i="18" s="1"/>
  <c r="P44" i="18"/>
  <c r="O44" i="18"/>
  <c r="N44" i="18"/>
  <c r="M44" i="18"/>
  <c r="M139" i="18" s="1"/>
  <c r="L44" i="18"/>
  <c r="K44" i="18"/>
  <c r="K68" i="18" s="1"/>
  <c r="J44" i="18"/>
  <c r="I44" i="18"/>
  <c r="I68" i="18" s="1"/>
  <c r="V43" i="18"/>
  <c r="U43" i="18"/>
  <c r="T43" i="18"/>
  <c r="S43" i="18"/>
  <c r="R43" i="18"/>
  <c r="Q43" i="18"/>
  <c r="P43" i="18"/>
  <c r="O43" i="18"/>
  <c r="N43" i="18"/>
  <c r="M43" i="18"/>
  <c r="L43" i="18"/>
  <c r="K43" i="18"/>
  <c r="J43" i="18"/>
  <c r="I43" i="18"/>
  <c r="I57" i="18" s="1"/>
  <c r="V42" i="18"/>
  <c r="U42" i="18"/>
  <c r="T42" i="18"/>
  <c r="S42" i="18"/>
  <c r="S80" i="18" s="1"/>
  <c r="R42" i="18"/>
  <c r="Q42" i="18"/>
  <c r="P42" i="18"/>
  <c r="O42" i="18"/>
  <c r="O80" i="18" s="1"/>
  <c r="N42" i="18"/>
  <c r="M42" i="18"/>
  <c r="L42" i="18"/>
  <c r="K42" i="18"/>
  <c r="K80" i="18" s="1"/>
  <c r="J42" i="18"/>
  <c r="I42" i="18"/>
  <c r="I64" i="18" s="1"/>
  <c r="Z37" i="18"/>
  <c r="Y37" i="18"/>
  <c r="X37" i="18"/>
  <c r="W37" i="18"/>
  <c r="W87" i="18" s="1"/>
  <c r="V37" i="18"/>
  <c r="U37" i="18"/>
  <c r="T37" i="18"/>
  <c r="T87" i="18" s="1"/>
  <c r="S37" i="18"/>
  <c r="R37" i="18"/>
  <c r="Q37" i="18"/>
  <c r="P37" i="18"/>
  <c r="O37" i="18"/>
  <c r="N37" i="18"/>
  <c r="M37" i="18"/>
  <c r="M87" i="18" s="1"/>
  <c r="L37" i="18"/>
  <c r="K37" i="18"/>
  <c r="K87" i="18" s="1"/>
  <c r="J37" i="18"/>
  <c r="I37" i="18"/>
  <c r="I87" i="18" s="1"/>
  <c r="H37" i="18"/>
  <c r="G37" i="18"/>
  <c r="F37" i="18"/>
  <c r="E37" i="18"/>
  <c r="D37" i="18"/>
  <c r="AB36" i="18"/>
  <c r="AC36" i="18" s="1"/>
  <c r="AD36" i="18" s="1"/>
  <c r="AE36" i="18" s="1"/>
  <c r="AF36" i="18" s="1"/>
  <c r="AG36" i="18" s="1"/>
  <c r="AH36" i="18" s="1"/>
  <c r="AI36" i="18" s="1"/>
  <c r="AJ36" i="18" s="1"/>
  <c r="AK36" i="18" s="1"/>
  <c r="AL36" i="18" s="1"/>
  <c r="AM36" i="18" s="1"/>
  <c r="AN36" i="18" s="1"/>
  <c r="C34" i="18"/>
  <c r="C37" i="18" s="1"/>
  <c r="E31" i="18"/>
  <c r="E38" i="18" s="1"/>
  <c r="Z30" i="18"/>
  <c r="Z174" i="18" s="1"/>
  <c r="Y30" i="18"/>
  <c r="Y174" i="18" s="1"/>
  <c r="X30" i="18"/>
  <c r="X174" i="18" s="1"/>
  <c r="U28" i="18"/>
  <c r="U29" i="18" s="1"/>
  <c r="V65" i="19" s="1"/>
  <c r="Q29" i="18"/>
  <c r="P29" i="18"/>
  <c r="Q65" i="19" s="1"/>
  <c r="O29" i="18"/>
  <c r="Q28" i="18"/>
  <c r="W26" i="18"/>
  <c r="U26" i="18"/>
  <c r="Z24" i="18"/>
  <c r="Y24" i="18"/>
  <c r="Y73" i="18" s="1"/>
  <c r="X24" i="18"/>
  <c r="W24" i="18"/>
  <c r="W73" i="18" s="1"/>
  <c r="V24" i="18"/>
  <c r="U24" i="18"/>
  <c r="U73" i="18" s="1"/>
  <c r="S24" i="18"/>
  <c r="S73" i="18" s="1"/>
  <c r="R24" i="18"/>
  <c r="Q24" i="18"/>
  <c r="Q73" i="18" s="1"/>
  <c r="P24" i="18"/>
  <c r="O24" i="18"/>
  <c r="O73" i="18" s="1"/>
  <c r="N24" i="18"/>
  <c r="M24" i="18"/>
  <c r="M73" i="18" s="1"/>
  <c r="L24" i="18"/>
  <c r="K24" i="18"/>
  <c r="J24" i="18"/>
  <c r="I24" i="18"/>
  <c r="I31" i="18" s="1"/>
  <c r="I38" i="18" s="1"/>
  <c r="H24" i="18"/>
  <c r="H31" i="18" s="1"/>
  <c r="H38" i="18" s="1"/>
  <c r="G24" i="18"/>
  <c r="G31" i="18" s="1"/>
  <c r="F24" i="18"/>
  <c r="F31" i="18" s="1"/>
  <c r="E24" i="18"/>
  <c r="D24" i="18"/>
  <c r="D31" i="18" s="1"/>
  <c r="D38" i="18" s="1"/>
  <c r="C24" i="18"/>
  <c r="C31" i="18" s="1"/>
  <c r="C38" i="18" s="1"/>
  <c r="T23" i="18"/>
  <c r="P23" i="18"/>
  <c r="Z16" i="18"/>
  <c r="T16" i="18"/>
  <c r="R16" i="18"/>
  <c r="L16" i="18"/>
  <c r="H15" i="18"/>
  <c r="H16" i="18" s="1"/>
  <c r="H39" i="18" s="1"/>
  <c r="G15" i="18"/>
  <c r="F15" i="18"/>
  <c r="E15" i="18"/>
  <c r="D15" i="18"/>
  <c r="D16" i="18" s="1"/>
  <c r="D39" i="18" s="1"/>
  <c r="C15" i="18"/>
  <c r="N13" i="18"/>
  <c r="AA169" i="18"/>
  <c r="AB14" i="18"/>
  <c r="AC14" i="18" s="1"/>
  <c r="AD14" i="18" s="1"/>
  <c r="AE14" i="18" s="1"/>
  <c r="AF14" i="18" s="1"/>
  <c r="AG14" i="18" s="1"/>
  <c r="AH14" i="18" s="1"/>
  <c r="AI14" i="18" s="1"/>
  <c r="AJ14" i="18" s="1"/>
  <c r="AK14" i="18" s="1"/>
  <c r="AL14" i="18" s="1"/>
  <c r="AM14" i="18" s="1"/>
  <c r="AN14" i="18" s="1"/>
  <c r="Z9" i="18"/>
  <c r="Y9" i="18"/>
  <c r="Y72" i="18" s="1"/>
  <c r="X9" i="18"/>
  <c r="X16" i="18" s="1"/>
  <c r="W9" i="18"/>
  <c r="W72" i="18" s="1"/>
  <c r="V9" i="18"/>
  <c r="V16" i="18" s="1"/>
  <c r="U9" i="18"/>
  <c r="U72" i="18" s="1"/>
  <c r="T9" i="18"/>
  <c r="S9" i="18"/>
  <c r="S72" i="18" s="1"/>
  <c r="R9" i="18"/>
  <c r="Q9" i="18"/>
  <c r="Q72" i="18" s="1"/>
  <c r="P9" i="18"/>
  <c r="P16" i="18" s="1"/>
  <c r="O9" i="18"/>
  <c r="O72" i="18" s="1"/>
  <c r="N9" i="18"/>
  <c r="M9" i="18"/>
  <c r="M72" i="18" s="1"/>
  <c r="L9" i="18"/>
  <c r="K9" i="18"/>
  <c r="K72" i="18" s="1"/>
  <c r="J9" i="18"/>
  <c r="J16" i="18" s="1"/>
  <c r="I9" i="18"/>
  <c r="I72" i="18" s="1"/>
  <c r="H9" i="18"/>
  <c r="G9" i="18"/>
  <c r="G16" i="18" s="1"/>
  <c r="F9" i="18"/>
  <c r="E9" i="18"/>
  <c r="E16" i="18" s="1"/>
  <c r="E39" i="18" s="1"/>
  <c r="D9" i="18"/>
  <c r="C9" i="18"/>
  <c r="C16" i="18" s="1"/>
  <c r="C39" i="18" s="1"/>
  <c r="AB4" i="18"/>
  <c r="AC4" i="18" s="1"/>
  <c r="AD4" i="18" s="1"/>
  <c r="DB137" i="2"/>
  <c r="CW137" i="2"/>
  <c r="CR137" i="2"/>
  <c r="CM137" i="2"/>
  <c r="CH137" i="2"/>
  <c r="CC137" i="2"/>
  <c r="BX137" i="2"/>
  <c r="BD137" i="2"/>
  <c r="BI137" i="2" s="1"/>
  <c r="BN137" i="2" s="1"/>
  <c r="BS137" i="2" s="1"/>
  <c r="BN131" i="2"/>
  <c r="BI131" i="2"/>
  <c r="BD131" i="2"/>
  <c r="BD130" i="2"/>
  <c r="AY131" i="2"/>
  <c r="AY130" i="2"/>
  <c r="AT131" i="2"/>
  <c r="AO131" i="2"/>
  <c r="AJ131" i="2"/>
  <c r="AE131" i="2"/>
  <c r="Z131" i="2"/>
  <c r="U131" i="2"/>
  <c r="P131" i="2"/>
  <c r="K131" i="2"/>
  <c r="J131" i="2"/>
  <c r="I131" i="2"/>
  <c r="H131" i="2"/>
  <c r="G131" i="2"/>
  <c r="F131" i="2"/>
  <c r="E131" i="2"/>
  <c r="D131" i="2"/>
  <c r="C131" i="2"/>
  <c r="C112" i="2" s="1"/>
  <c r="CA129" i="2"/>
  <c r="BZ129" i="2"/>
  <c r="BY129" i="2"/>
  <c r="BY126" i="2"/>
  <c r="J115" i="2"/>
  <c r="DG109" i="2"/>
  <c r="BX111" i="2"/>
  <c r="BY111" i="2" s="1"/>
  <c r="BT111" i="2"/>
  <c r="BU111" i="2" s="1"/>
  <c r="K111" i="2"/>
  <c r="CG111" i="2"/>
  <c r="BZ110" i="2"/>
  <c r="CI109" i="2"/>
  <c r="CJ109" i="2" s="1"/>
  <c r="CD109" i="2"/>
  <c r="CE109" i="2" s="1"/>
  <c r="CC109" i="2"/>
  <c r="BX108" i="2"/>
  <c r="BY108" i="2" s="1"/>
  <c r="BT108" i="2"/>
  <c r="BU108" i="2" s="1"/>
  <c r="BZ107" i="2"/>
  <c r="BZ126" i="2" s="1"/>
  <c r="BX106" i="2"/>
  <c r="BY106" i="2" s="1"/>
  <c r="BT106" i="2"/>
  <c r="BX105" i="2"/>
  <c r="BT105" i="2"/>
  <c r="BU105" i="2" s="1"/>
  <c r="BX104" i="2"/>
  <c r="BT104" i="2"/>
  <c r="BX103" i="2"/>
  <c r="BT103" i="2"/>
  <c r="BU103" i="2" s="1"/>
  <c r="CE106" i="2"/>
  <c r="BZ105" i="2"/>
  <c r="CA105" i="2" s="1"/>
  <c r="BZ104" i="2"/>
  <c r="BZ103" i="2"/>
  <c r="CA103" i="2" s="1"/>
  <c r="AE101" i="2"/>
  <c r="AJ101" i="2" s="1"/>
  <c r="CE100" i="2"/>
  <c r="CE99" i="2"/>
  <c r="CF99" i="2" s="1"/>
  <c r="CC100" i="2"/>
  <c r="CC99" i="2"/>
  <c r="CH99" i="2" s="1"/>
  <c r="CM99" i="2" s="1"/>
  <c r="BX100" i="2"/>
  <c r="BT100" i="2"/>
  <c r="BX99" i="2"/>
  <c r="BT99" i="2"/>
  <c r="BU99" i="2" s="1"/>
  <c r="Z99" i="2"/>
  <c r="AY98" i="2"/>
  <c r="P98" i="2"/>
  <c r="P96" i="2"/>
  <c r="CG100" i="2"/>
  <c r="BX96" i="2"/>
  <c r="BY96" i="2" s="1"/>
  <c r="BT96" i="2"/>
  <c r="K96" i="2"/>
  <c r="K115" i="2" s="1"/>
  <c r="CB91" i="2"/>
  <c r="BW91" i="2"/>
  <c r="AS90" i="2"/>
  <c r="AR90" i="2"/>
  <c r="AQ90" i="2"/>
  <c r="AP90" i="2"/>
  <c r="AN90" i="2"/>
  <c r="AM90" i="2"/>
  <c r="AL90" i="2"/>
  <c r="AK90" i="2"/>
  <c r="BN89" i="2"/>
  <c r="BI89" i="2"/>
  <c r="BD89" i="2"/>
  <c r="AY89" i="2"/>
  <c r="AT89" i="2"/>
  <c r="AO89" i="2"/>
  <c r="C84" i="2"/>
  <c r="EY83" i="2"/>
  <c r="EX83" i="2"/>
  <c r="EW83" i="2"/>
  <c r="EV83" i="2"/>
  <c r="ET83" i="2"/>
  <c r="ES83" i="2"/>
  <c r="ER83" i="2"/>
  <c r="EQ83" i="2"/>
  <c r="EO83" i="2"/>
  <c r="EN83" i="2"/>
  <c r="EM83" i="2"/>
  <c r="EL83" i="2"/>
  <c r="EJ83" i="2"/>
  <c r="EI83" i="2"/>
  <c r="EH83" i="2"/>
  <c r="EG83" i="2"/>
  <c r="EE83" i="2"/>
  <c r="ED83" i="2"/>
  <c r="EC83" i="2"/>
  <c r="EB83" i="2"/>
  <c r="DZ83" i="2"/>
  <c r="DY83" i="2"/>
  <c r="DX83" i="2"/>
  <c r="DW83" i="2"/>
  <c r="DU83" i="2"/>
  <c r="DT83" i="2"/>
  <c r="DS83" i="2"/>
  <c r="DR83" i="2"/>
  <c r="DP83" i="2"/>
  <c r="DO83" i="2"/>
  <c r="DN83" i="2"/>
  <c r="DM83" i="2"/>
  <c r="CH83" i="2"/>
  <c r="CC83" i="2"/>
  <c r="BX83" i="2"/>
  <c r="BS83" i="2"/>
  <c r="BN83" i="2"/>
  <c r="BI83" i="2"/>
  <c r="BD83" i="2"/>
  <c r="AY83" i="2"/>
  <c r="AT83" i="2"/>
  <c r="AO83" i="2"/>
  <c r="AJ83" i="2"/>
  <c r="AE83" i="2"/>
  <c r="Z83" i="2"/>
  <c r="U83" i="2"/>
  <c r="P83" i="2"/>
  <c r="EZ82" i="2"/>
  <c r="EU82" i="2"/>
  <c r="EP82" i="2"/>
  <c r="EK82" i="2"/>
  <c r="EF82" i="2"/>
  <c r="EA82" i="2"/>
  <c r="DV82" i="2"/>
  <c r="DQ82" i="2"/>
  <c r="DL82" i="2"/>
  <c r="DG82" i="2"/>
  <c r="DB82" i="2"/>
  <c r="DB77" i="2"/>
  <c r="DG77" i="2" s="1"/>
  <c r="DL77" i="2" s="1"/>
  <c r="DQ77" i="2" s="1"/>
  <c r="DV77" i="2" s="1"/>
  <c r="EA77" i="2" s="1"/>
  <c r="EF77" i="2" s="1"/>
  <c r="EK77" i="2" s="1"/>
  <c r="EP77" i="2" s="1"/>
  <c r="EU77" i="2" s="1"/>
  <c r="EZ77" i="2" s="1"/>
  <c r="CW82" i="2"/>
  <c r="CW77" i="2"/>
  <c r="CS77" i="2" s="1"/>
  <c r="CT77" i="2" s="1"/>
  <c r="CU77" i="2" s="1"/>
  <c r="CV77" i="2" s="1"/>
  <c r="CR82" i="2"/>
  <c r="CP77" i="2"/>
  <c r="CQ77" i="2" s="1"/>
  <c r="CM82" i="2"/>
  <c r="CK82" i="2" s="1"/>
  <c r="CL82" i="2" s="1"/>
  <c r="CL80" i="2"/>
  <c r="CK80" i="2"/>
  <c r="CJ80" i="2"/>
  <c r="CI80" i="2"/>
  <c r="CM77" i="2"/>
  <c r="CI77" i="2" s="1"/>
  <c r="CJ77" i="2" s="1"/>
  <c r="CK77" i="2" s="1"/>
  <c r="CL77" i="2" s="1"/>
  <c r="CH77" i="2"/>
  <c r="CD77" i="2" s="1"/>
  <c r="CE77" i="2" s="1"/>
  <c r="CF77" i="2" s="1"/>
  <c r="CG77" i="2" s="1"/>
  <c r="CC77" i="2"/>
  <c r="CB77" i="2" s="1"/>
  <c r="BX77" i="2"/>
  <c r="BT77" i="2" s="1"/>
  <c r="BU77" i="2" s="1"/>
  <c r="BV77" i="2" s="1"/>
  <c r="BW77" i="2" s="1"/>
  <c r="BS77" i="2"/>
  <c r="BR77" i="2"/>
  <c r="P76" i="2"/>
  <c r="AJ73" i="2"/>
  <c r="AE73" i="2"/>
  <c r="DG71" i="2"/>
  <c r="DL71" i="2" s="1"/>
  <c r="DQ71" i="2" s="1"/>
  <c r="DV71" i="2" s="1"/>
  <c r="EA71" i="2" s="1"/>
  <c r="EF71" i="2" s="1"/>
  <c r="EK71" i="2" s="1"/>
  <c r="EP71" i="2" s="1"/>
  <c r="EU71" i="2" s="1"/>
  <c r="EZ71" i="2" s="1"/>
  <c r="DG67" i="2"/>
  <c r="DL67" i="2" s="1"/>
  <c r="DQ67" i="2" s="1"/>
  <c r="DV67" i="2" s="1"/>
  <c r="EA67" i="2" s="1"/>
  <c r="EF67" i="2" s="1"/>
  <c r="EK67" i="2" s="1"/>
  <c r="EP67" i="2" s="1"/>
  <c r="EU67" i="2" s="1"/>
  <c r="EZ67" i="2" s="1"/>
  <c r="CM72" i="2"/>
  <c r="CR70" i="2"/>
  <c r="CW70" i="2" s="1"/>
  <c r="CH69" i="2"/>
  <c r="CH64" i="2" s="1"/>
  <c r="CB69" i="2"/>
  <c r="CA69" i="2"/>
  <c r="CC69" i="2" s="1"/>
  <c r="BX69" i="2"/>
  <c r="BS69" i="2"/>
  <c r="BS64" i="2" s="1"/>
  <c r="BN69" i="2"/>
  <c r="BI69" i="2"/>
  <c r="BI64" i="2" s="1"/>
  <c r="AT69" i="2"/>
  <c r="AO69" i="2"/>
  <c r="Z69" i="2"/>
  <c r="P69" i="2"/>
  <c r="CM68" i="2"/>
  <c r="CR68" i="2" s="1"/>
  <c r="CW68" i="2" s="1"/>
  <c r="DB68" i="2" s="1"/>
  <c r="DG68" i="2" s="1"/>
  <c r="DL68" i="2" s="1"/>
  <c r="DQ68" i="2" s="1"/>
  <c r="DV68" i="2" s="1"/>
  <c r="EA68" i="2" s="1"/>
  <c r="EF68" i="2" s="1"/>
  <c r="EK68" i="2" s="1"/>
  <c r="EP68" i="2" s="1"/>
  <c r="EU68" i="2" s="1"/>
  <c r="EZ68" i="2" s="1"/>
  <c r="CR66" i="2"/>
  <c r="CW66" i="2" s="1"/>
  <c r="CH65" i="2"/>
  <c r="CB65" i="2"/>
  <c r="CA65" i="2"/>
  <c r="CC65" i="2" s="1"/>
  <c r="CC64" i="2" s="1"/>
  <c r="BX65" i="2"/>
  <c r="AO65" i="2"/>
  <c r="AJ65" i="2"/>
  <c r="AJ64" i="2" s="1"/>
  <c r="AE65" i="2"/>
  <c r="AE64" i="2" s="1"/>
  <c r="Z65" i="2"/>
  <c r="Z64" i="2" s="1"/>
  <c r="U65" i="2"/>
  <c r="U64" i="2" s="1"/>
  <c r="P65" i="2"/>
  <c r="P64" i="2" s="1"/>
  <c r="K65" i="2"/>
  <c r="K64" i="2" s="1"/>
  <c r="CI64" i="2"/>
  <c r="CG64" i="2"/>
  <c r="CF64" i="2"/>
  <c r="CE64" i="2"/>
  <c r="CD64" i="2"/>
  <c r="CB64" i="2"/>
  <c r="CA64" i="2"/>
  <c r="BZ64" i="2"/>
  <c r="BY64" i="2"/>
  <c r="BW64" i="2"/>
  <c r="BV64" i="2"/>
  <c r="BU64" i="2"/>
  <c r="BT64" i="2"/>
  <c r="BR64" i="2"/>
  <c r="BQ64" i="2"/>
  <c r="BP64" i="2"/>
  <c r="BO64" i="2"/>
  <c r="BN64" i="2"/>
  <c r="BM64" i="2"/>
  <c r="BL64" i="2"/>
  <c r="BK64" i="2"/>
  <c r="BJ64" i="2"/>
  <c r="BH64" i="2"/>
  <c r="BG64" i="2"/>
  <c r="BF64" i="2"/>
  <c r="AS65" i="2"/>
  <c r="AT65" i="2" s="1"/>
  <c r="AS64" i="2"/>
  <c r="AR64" i="2"/>
  <c r="AQ64" i="2"/>
  <c r="AP64" i="2"/>
  <c r="AN64" i="2"/>
  <c r="AM64" i="2"/>
  <c r="AL64" i="2"/>
  <c r="AK64" i="2"/>
  <c r="AI64" i="2"/>
  <c r="AH64" i="2"/>
  <c r="AG64" i="2"/>
  <c r="AF64" i="2"/>
  <c r="AD64" i="2"/>
  <c r="AC64" i="2"/>
  <c r="AB64" i="2"/>
  <c r="AA64" i="2"/>
  <c r="Y64" i="2"/>
  <c r="X64" i="2"/>
  <c r="W64" i="2"/>
  <c r="V64" i="2"/>
  <c r="T64" i="2"/>
  <c r="S64" i="2"/>
  <c r="R64" i="2"/>
  <c r="Q64" i="2"/>
  <c r="O64" i="2"/>
  <c r="N64" i="2"/>
  <c r="M64" i="2"/>
  <c r="L64" i="2"/>
  <c r="J64" i="2"/>
  <c r="I64" i="2"/>
  <c r="H64" i="2"/>
  <c r="G64" i="2"/>
  <c r="CH62" i="2"/>
  <c r="CG61" i="2"/>
  <c r="CF61" i="2"/>
  <c r="CE61" i="2"/>
  <c r="CD61" i="2"/>
  <c r="CH60" i="2"/>
  <c r="CL58" i="2" s="1"/>
  <c r="CH59" i="2"/>
  <c r="CH58" i="2" s="1"/>
  <c r="CH128" i="2" s="1"/>
  <c r="CC60" i="2"/>
  <c r="CC59" i="2"/>
  <c r="CC58" i="2" s="1"/>
  <c r="CM59" i="2"/>
  <c r="CK58" i="2"/>
  <c r="CJ58" i="2"/>
  <c r="CI58" i="2"/>
  <c r="CB58" i="2"/>
  <c r="CB128" i="2" s="1"/>
  <c r="CA58" i="2"/>
  <c r="CA128" i="2" s="1"/>
  <c r="BZ58" i="2"/>
  <c r="BZ128" i="2" s="1"/>
  <c r="BY58" i="2"/>
  <c r="BY128" i="2" s="1"/>
  <c r="CG58" i="2"/>
  <c r="CF58" i="2"/>
  <c r="CE58" i="2"/>
  <c r="CD58" i="2"/>
  <c r="CG57" i="2"/>
  <c r="CF57" i="2"/>
  <c r="CE57" i="2"/>
  <c r="CD57" i="2"/>
  <c r="CH56" i="2"/>
  <c r="CH55" i="2"/>
  <c r="CC56" i="2"/>
  <c r="CC55" i="2"/>
  <c r="CC54" i="2"/>
  <c r="BX56" i="2"/>
  <c r="BX55" i="2"/>
  <c r="BX54" i="2" s="1"/>
  <c r="BS56" i="2"/>
  <c r="BS55" i="2"/>
  <c r="CM55" i="2"/>
  <c r="CK54" i="2"/>
  <c r="CJ54" i="2"/>
  <c r="CI54" i="2"/>
  <c r="CB54" i="2"/>
  <c r="CA54" i="2"/>
  <c r="BZ54" i="2"/>
  <c r="BY54" i="2"/>
  <c r="BV54" i="2"/>
  <c r="BU54" i="2"/>
  <c r="BT54" i="2"/>
  <c r="BR54" i="2"/>
  <c r="BS54" i="2" s="1"/>
  <c r="BS127" i="2" s="1"/>
  <c r="CG54" i="2"/>
  <c r="CF54" i="2"/>
  <c r="CE54" i="2"/>
  <c r="CD54" i="2"/>
  <c r="CG53" i="2"/>
  <c r="CF53" i="2"/>
  <c r="CE53" i="2"/>
  <c r="CD53" i="2"/>
  <c r="CH52" i="2"/>
  <c r="CH51" i="2"/>
  <c r="CH50" i="2" s="1"/>
  <c r="CH47" i="2"/>
  <c r="CH46" i="2"/>
  <c r="CH45" i="2"/>
  <c r="CH42" i="2"/>
  <c r="CH41" i="2"/>
  <c r="CH40" i="2"/>
  <c r="CH37" i="2"/>
  <c r="CH35" i="2" s="1"/>
  <c r="CH36" i="2"/>
  <c r="CC52" i="2"/>
  <c r="CC51" i="2"/>
  <c r="CC50" i="2" s="1"/>
  <c r="CC47" i="2"/>
  <c r="CC46" i="2"/>
  <c r="CC45" i="2" s="1"/>
  <c r="CC42" i="2"/>
  <c r="CC41" i="2"/>
  <c r="CC40" i="2" s="1"/>
  <c r="CC37" i="2"/>
  <c r="CC36" i="2"/>
  <c r="CC35" i="2" s="1"/>
  <c r="CI50" i="2"/>
  <c r="CG50" i="2"/>
  <c r="CF50" i="2"/>
  <c r="CE50" i="2"/>
  <c r="CD50" i="2"/>
  <c r="CG48" i="2"/>
  <c r="CF48" i="2"/>
  <c r="CE48" i="2"/>
  <c r="CD48" i="2"/>
  <c r="CB50" i="2"/>
  <c r="CA50" i="2"/>
  <c r="CB48" i="2"/>
  <c r="CA48" i="2"/>
  <c r="BZ48" i="2"/>
  <c r="CC48" i="2" s="1"/>
  <c r="CH48" i="2" s="1"/>
  <c r="BY48" i="2"/>
  <c r="BW48" i="2"/>
  <c r="BV48" i="2"/>
  <c r="BU48" i="2"/>
  <c r="BT48" i="2"/>
  <c r="BR48" i="2"/>
  <c r="BQ48" i="2"/>
  <c r="BP48" i="2"/>
  <c r="BO48" i="2"/>
  <c r="BM48" i="2"/>
  <c r="BL48" i="2"/>
  <c r="BK48" i="2"/>
  <c r="BJ48" i="2"/>
  <c r="BH48" i="2"/>
  <c r="BG48" i="2"/>
  <c r="BF48" i="2"/>
  <c r="BE48" i="2"/>
  <c r="BX47" i="2"/>
  <c r="BX46" i="2"/>
  <c r="BX45" i="2"/>
  <c r="BX42" i="2"/>
  <c r="BX41" i="2"/>
  <c r="BX40" i="2"/>
  <c r="BX37" i="2"/>
  <c r="BX35" i="2" s="1"/>
  <c r="BX36" i="2"/>
  <c r="BS47" i="2"/>
  <c r="BS46" i="2"/>
  <c r="BS45" i="2" s="1"/>
  <c r="BS125" i="2" s="1"/>
  <c r="BS42" i="2"/>
  <c r="BS41" i="2"/>
  <c r="BS40" i="2" s="1"/>
  <c r="BS124" i="2" s="1"/>
  <c r="BS37" i="2"/>
  <c r="BS36" i="2"/>
  <c r="BS35" i="2" s="1"/>
  <c r="BS123" i="2" s="1"/>
  <c r="BN47" i="2"/>
  <c r="BN46" i="2"/>
  <c r="BN45" i="2"/>
  <c r="BN125" i="2" s="1"/>
  <c r="BN42" i="2"/>
  <c r="BN40" i="2" s="1"/>
  <c r="BN124" i="2" s="1"/>
  <c r="BN41" i="2"/>
  <c r="BN37" i="2"/>
  <c r="BN36" i="2"/>
  <c r="BN35" i="2" s="1"/>
  <c r="BN123" i="2" s="1"/>
  <c r="BI47" i="2"/>
  <c r="BI46" i="2"/>
  <c r="BI45" i="2" s="1"/>
  <c r="BI125" i="2" s="1"/>
  <c r="BI42" i="2"/>
  <c r="BI41" i="2"/>
  <c r="BI37" i="2"/>
  <c r="BI36" i="2"/>
  <c r="BI35" i="2" s="1"/>
  <c r="BI123" i="2" s="1"/>
  <c r="BD47" i="2"/>
  <c r="BD45" i="2" s="1"/>
  <c r="BD46" i="2"/>
  <c r="AY47" i="2"/>
  <c r="AY46" i="2"/>
  <c r="AY45" i="2" s="1"/>
  <c r="AT46" i="2"/>
  <c r="AT45" i="2" s="1"/>
  <c r="AT125" i="2" s="1"/>
  <c r="CI45" i="2"/>
  <c r="BC45" i="2"/>
  <c r="BB45" i="2"/>
  <c r="BA45" i="2"/>
  <c r="AZ45" i="2"/>
  <c r="AX45" i="2"/>
  <c r="AW45" i="2"/>
  <c r="AV45" i="2"/>
  <c r="AU45" i="2"/>
  <c r="AS45" i="2"/>
  <c r="CG45" i="2"/>
  <c r="CF45" i="2"/>
  <c r="CE45" i="2"/>
  <c r="CD45" i="2"/>
  <c r="CD125" i="2" s="1"/>
  <c r="CG43" i="2"/>
  <c r="CF43" i="2"/>
  <c r="CE43" i="2"/>
  <c r="CD43" i="2"/>
  <c r="CB45" i="2"/>
  <c r="CA45" i="2"/>
  <c r="BZ45" i="2"/>
  <c r="BY45" i="2"/>
  <c r="CB43" i="2"/>
  <c r="CA43" i="2"/>
  <c r="BZ43" i="2"/>
  <c r="BY43" i="2"/>
  <c r="BW45" i="2"/>
  <c r="BV45" i="2"/>
  <c r="BU45" i="2"/>
  <c r="BT45" i="2"/>
  <c r="BW43" i="2"/>
  <c r="BV43" i="2"/>
  <c r="BU43" i="2"/>
  <c r="BT43" i="2"/>
  <c r="BR45" i="2"/>
  <c r="BQ45" i="2"/>
  <c r="BP45" i="2"/>
  <c r="BO45" i="2"/>
  <c r="BR43" i="2"/>
  <c r="BQ43" i="2"/>
  <c r="BP43" i="2"/>
  <c r="BO43" i="2"/>
  <c r="BM45" i="2"/>
  <c r="BL45" i="2"/>
  <c r="BK45" i="2"/>
  <c r="BJ45" i="2"/>
  <c r="BM43" i="2"/>
  <c r="BL43" i="2"/>
  <c r="BK43" i="2"/>
  <c r="BJ43" i="2"/>
  <c r="BH45" i="2"/>
  <c r="BG45" i="2"/>
  <c r="BF45" i="2"/>
  <c r="BE45" i="2"/>
  <c r="BH43" i="2"/>
  <c r="BG43" i="2"/>
  <c r="BF43" i="2"/>
  <c r="BE43" i="2"/>
  <c r="BD42" i="2"/>
  <c r="BD41" i="2"/>
  <c r="CI40" i="2"/>
  <c r="BC40" i="2"/>
  <c r="BB40" i="2"/>
  <c r="BA40" i="2"/>
  <c r="CG40" i="2"/>
  <c r="CF40" i="2"/>
  <c r="CE40" i="2"/>
  <c r="CD40" i="2"/>
  <c r="CG38" i="2"/>
  <c r="CF38" i="2"/>
  <c r="CE38" i="2"/>
  <c r="CD38" i="2"/>
  <c r="CB40" i="2"/>
  <c r="CA40" i="2"/>
  <c r="BZ40" i="2"/>
  <c r="BY40" i="2"/>
  <c r="BY124" i="2" s="1"/>
  <c r="CB38" i="2"/>
  <c r="CA38" i="2"/>
  <c r="BZ38" i="2"/>
  <c r="BY38" i="2"/>
  <c r="BW40" i="2"/>
  <c r="BV40" i="2"/>
  <c r="BU40" i="2"/>
  <c r="BT40" i="2"/>
  <c r="BW38" i="2"/>
  <c r="BV38" i="2"/>
  <c r="BU38" i="2"/>
  <c r="BT38" i="2"/>
  <c r="BR40" i="2"/>
  <c r="BQ40" i="2"/>
  <c r="BP40" i="2"/>
  <c r="BO40" i="2"/>
  <c r="BR38" i="2"/>
  <c r="BQ38" i="2"/>
  <c r="BP38" i="2"/>
  <c r="BO38" i="2"/>
  <c r="BM40" i="2"/>
  <c r="BL40" i="2"/>
  <c r="BK40" i="2"/>
  <c r="BJ40" i="2"/>
  <c r="BM38" i="2"/>
  <c r="BL38" i="2"/>
  <c r="BK38" i="2"/>
  <c r="BJ38" i="2"/>
  <c r="BH40" i="2"/>
  <c r="BG40" i="2"/>
  <c r="BF40" i="2"/>
  <c r="BE40" i="2"/>
  <c r="BH38" i="2"/>
  <c r="BG38" i="2"/>
  <c r="BF38" i="2"/>
  <c r="BE38" i="2"/>
  <c r="BD37" i="2"/>
  <c r="BD36" i="2"/>
  <c r="BD35" i="2" s="1"/>
  <c r="BD123" i="2" s="1"/>
  <c r="CR38" i="2"/>
  <c r="CI35" i="2"/>
  <c r="CG35" i="2"/>
  <c r="CF35" i="2"/>
  <c r="CE35" i="2"/>
  <c r="CD35" i="2"/>
  <c r="CB35" i="2"/>
  <c r="CA35" i="2"/>
  <c r="BZ35" i="2"/>
  <c r="BY35" i="2"/>
  <c r="BY123" i="2" s="1"/>
  <c r="BW35" i="2"/>
  <c r="BV35" i="2"/>
  <c r="BU35" i="2"/>
  <c r="BT35" i="2"/>
  <c r="BR35" i="2"/>
  <c r="BQ35" i="2"/>
  <c r="BP35" i="2"/>
  <c r="BO35" i="2"/>
  <c r="BM35" i="2"/>
  <c r="BL35" i="2"/>
  <c r="BK35" i="2"/>
  <c r="BJ35" i="2"/>
  <c r="BH35" i="2"/>
  <c r="BG35" i="2"/>
  <c r="BF35" i="2"/>
  <c r="BE35" i="2"/>
  <c r="BC35" i="2"/>
  <c r="CH33" i="2"/>
  <c r="CH32" i="2"/>
  <c r="CH31" i="2" s="1"/>
  <c r="CH25" i="2"/>
  <c r="CH24" i="2"/>
  <c r="CH23" i="2"/>
  <c r="CH21" i="2"/>
  <c r="CH20" i="2"/>
  <c r="CH19" i="2"/>
  <c r="CH142" i="2" s="1"/>
  <c r="CH17" i="2"/>
  <c r="CH18" i="2" s="1"/>
  <c r="CH16" i="2"/>
  <c r="CH13" i="2"/>
  <c r="CH12" i="2"/>
  <c r="CH11" i="2" s="1"/>
  <c r="CH140" i="2" s="1"/>
  <c r="CH9" i="2"/>
  <c r="CH8" i="2"/>
  <c r="CH7" i="2"/>
  <c r="CH139" i="2" s="1"/>
  <c r="CC33" i="2"/>
  <c r="CC32" i="2"/>
  <c r="CC31" i="2" s="1"/>
  <c r="CC25" i="2"/>
  <c r="CC24" i="2"/>
  <c r="CC23" i="2" s="1"/>
  <c r="CC21" i="2"/>
  <c r="CC20" i="2"/>
  <c r="CC19" i="2" s="1"/>
  <c r="CC142" i="2" s="1"/>
  <c r="CC17" i="2"/>
  <c r="CC16" i="2"/>
  <c r="CC15" i="2" s="1"/>
  <c r="CC141" i="2" s="1"/>
  <c r="CC13" i="2"/>
  <c r="CC12" i="2"/>
  <c r="CC11" i="2" s="1"/>
  <c r="CC140" i="2" s="1"/>
  <c r="CC9" i="2"/>
  <c r="CC8" i="2"/>
  <c r="CC7" i="2" s="1"/>
  <c r="CC139" i="2" s="1"/>
  <c r="BX33" i="2"/>
  <c r="J85" i="15" s="1"/>
  <c r="BX32" i="2"/>
  <c r="J43" i="15" s="1"/>
  <c r="BX31" i="2"/>
  <c r="BX25" i="2"/>
  <c r="BX23" i="2" s="1"/>
  <c r="BX24" i="2"/>
  <c r="BX21" i="2"/>
  <c r="BX20" i="2"/>
  <c r="BX19" i="2" s="1"/>
  <c r="BX142" i="2" s="1"/>
  <c r="BS33" i="2"/>
  <c r="I85" i="15" s="1"/>
  <c r="BS32" i="2"/>
  <c r="BS31" i="2" s="1"/>
  <c r="BS122" i="2" s="1"/>
  <c r="BS25" i="2"/>
  <c r="BS24" i="2"/>
  <c r="BS21" i="2"/>
  <c r="BS19" i="2"/>
  <c r="BN33" i="2"/>
  <c r="BN31" i="2" s="1"/>
  <c r="BN122" i="2" s="1"/>
  <c r="BN32" i="2"/>
  <c r="H43" i="15" s="1"/>
  <c r="BN25" i="2"/>
  <c r="BN24" i="2"/>
  <c r="BN23" i="2" s="1"/>
  <c r="BN21" i="2"/>
  <c r="BN20" i="2"/>
  <c r="BN19" i="2"/>
  <c r="BI33" i="2"/>
  <c r="G85" i="15" s="1"/>
  <c r="BI32" i="2"/>
  <c r="BI31" i="2" s="1"/>
  <c r="BI122" i="2" s="1"/>
  <c r="BI25" i="2"/>
  <c r="BI24" i="2"/>
  <c r="BI23" i="2" s="1"/>
  <c r="BI21" i="2"/>
  <c r="BI20" i="2"/>
  <c r="BI19" i="2" s="1"/>
  <c r="BD33" i="2"/>
  <c r="F85" i="15" s="1"/>
  <c r="BD32" i="2"/>
  <c r="F43" i="15" s="1"/>
  <c r="AY33" i="2"/>
  <c r="E85" i="15" s="1"/>
  <c r="AY32" i="2"/>
  <c r="AY31" i="2" s="1"/>
  <c r="AY122" i="2" s="1"/>
  <c r="AT33" i="2"/>
  <c r="AT31" i="2" s="1"/>
  <c r="AT122" i="2" s="1"/>
  <c r="AT32" i="2"/>
  <c r="D43" i="15" s="1"/>
  <c r="AO32" i="2"/>
  <c r="C43" i="15" s="1"/>
  <c r="AO31" i="2"/>
  <c r="AO122" i="2" s="1"/>
  <c r="AJ32" i="2"/>
  <c r="AJ31" i="2"/>
  <c r="AJ122" i="2" s="1"/>
  <c r="CI31" i="2"/>
  <c r="BC31" i="2"/>
  <c r="BB31" i="2"/>
  <c r="BA31" i="2"/>
  <c r="AZ31" i="2"/>
  <c r="AX31" i="2"/>
  <c r="AW31" i="2"/>
  <c r="AV31" i="2"/>
  <c r="AU31" i="2"/>
  <c r="AS31" i="2"/>
  <c r="AR31" i="2"/>
  <c r="AQ31" i="2"/>
  <c r="AP31" i="2"/>
  <c r="AN31" i="2"/>
  <c r="AM31" i="2"/>
  <c r="AL31" i="2"/>
  <c r="AK31" i="2"/>
  <c r="AI31" i="2"/>
  <c r="CG31" i="2"/>
  <c r="CF31" i="2"/>
  <c r="CE31" i="2"/>
  <c r="CD31" i="2"/>
  <c r="CG26" i="2"/>
  <c r="CF26" i="2"/>
  <c r="CE26" i="2"/>
  <c r="CD26" i="2"/>
  <c r="CB31" i="2"/>
  <c r="CA31" i="2"/>
  <c r="BZ31" i="2"/>
  <c r="BY31" i="2"/>
  <c r="BY122" i="2" s="1"/>
  <c r="CB26" i="2"/>
  <c r="CA26" i="2"/>
  <c r="BZ26" i="2"/>
  <c r="BY26" i="2"/>
  <c r="BW31" i="2"/>
  <c r="BV31" i="2"/>
  <c r="BU31" i="2"/>
  <c r="BT31" i="2"/>
  <c r="BW26" i="2"/>
  <c r="BV26" i="2"/>
  <c r="BU26" i="2"/>
  <c r="BT26" i="2"/>
  <c r="BX26" i="2" s="1"/>
  <c r="BR31" i="2"/>
  <c r="BQ31" i="2"/>
  <c r="BP31" i="2"/>
  <c r="BO31" i="2"/>
  <c r="BR26" i="2"/>
  <c r="BQ26" i="2"/>
  <c r="BP26" i="2"/>
  <c r="BO26" i="2"/>
  <c r="BM31" i="2"/>
  <c r="BL31" i="2"/>
  <c r="BK31" i="2"/>
  <c r="BJ31" i="2"/>
  <c r="BM26" i="2"/>
  <c r="BL26" i="2"/>
  <c r="BK26" i="2"/>
  <c r="BJ26" i="2"/>
  <c r="BN26" i="2" s="1"/>
  <c r="BH31" i="2"/>
  <c r="BG31" i="2"/>
  <c r="BF31" i="2"/>
  <c r="BE31" i="2"/>
  <c r="BH26" i="2"/>
  <c r="BG26" i="2"/>
  <c r="BF26" i="2"/>
  <c r="BE26" i="2"/>
  <c r="BD25" i="2"/>
  <c r="BD24" i="2"/>
  <c r="BD23" i="2"/>
  <c r="AY25" i="2"/>
  <c r="AY24" i="2"/>
  <c r="AT25" i="2"/>
  <c r="AT24" i="2"/>
  <c r="AT23" i="2"/>
  <c r="AO25" i="2"/>
  <c r="AO24" i="2"/>
  <c r="AO23" i="2" s="1"/>
  <c r="AJ25" i="2"/>
  <c r="AJ24" i="2"/>
  <c r="AJ23" i="2" s="1"/>
  <c r="AE25" i="2"/>
  <c r="AE24" i="2"/>
  <c r="AE23" i="2" s="1"/>
  <c r="Z25" i="2"/>
  <c r="Z23" i="2" s="1"/>
  <c r="Z120" i="2" s="1"/>
  <c r="Z24" i="2"/>
  <c r="CI23" i="2"/>
  <c r="BM23" i="2"/>
  <c r="BL23" i="2"/>
  <c r="BK23" i="2"/>
  <c r="BJ23" i="2"/>
  <c r="BH23" i="2"/>
  <c r="BG23" i="2"/>
  <c r="BF23" i="2"/>
  <c r="BE23" i="2"/>
  <c r="BC23" i="2"/>
  <c r="BB23" i="2"/>
  <c r="BA23" i="2"/>
  <c r="AZ23" i="2"/>
  <c r="AX23" i="2"/>
  <c r="AW23" i="2"/>
  <c r="AV23" i="2"/>
  <c r="AU23" i="2"/>
  <c r="AS23" i="2"/>
  <c r="AR23" i="2"/>
  <c r="AQ23" i="2"/>
  <c r="AP23" i="2"/>
  <c r="AN23" i="2"/>
  <c r="AM23" i="2"/>
  <c r="AL23" i="2"/>
  <c r="AK23" i="2"/>
  <c r="AI23" i="2"/>
  <c r="AH23" i="2"/>
  <c r="AG23" i="2"/>
  <c r="AF23" i="2"/>
  <c r="AD23" i="2"/>
  <c r="AC23" i="2"/>
  <c r="AB23" i="2"/>
  <c r="AA23" i="2"/>
  <c r="Y23" i="2"/>
  <c r="X23" i="2"/>
  <c r="W23" i="2"/>
  <c r="CG23" i="2"/>
  <c r="CF23" i="2"/>
  <c r="CE23" i="2"/>
  <c r="CD23" i="2"/>
  <c r="CG22" i="2"/>
  <c r="CF22" i="2"/>
  <c r="CE22" i="2"/>
  <c r="CD22" i="2"/>
  <c r="CB23" i="2"/>
  <c r="CA23" i="2"/>
  <c r="BZ23" i="2"/>
  <c r="BY23" i="2"/>
  <c r="CB22" i="2"/>
  <c r="CA22" i="2"/>
  <c r="BZ22" i="2"/>
  <c r="BY22" i="2"/>
  <c r="BW23" i="2"/>
  <c r="BV23" i="2"/>
  <c r="BU23" i="2"/>
  <c r="BT23" i="2"/>
  <c r="BW22" i="2"/>
  <c r="BV22" i="2"/>
  <c r="BU22" i="2"/>
  <c r="BT22" i="2"/>
  <c r="BR23" i="2"/>
  <c r="BQ23" i="2"/>
  <c r="BP23" i="2"/>
  <c r="BO23" i="2"/>
  <c r="BR22" i="2"/>
  <c r="BQ22" i="2"/>
  <c r="BP22" i="2"/>
  <c r="BO22" i="2"/>
  <c r="BL22" i="2"/>
  <c r="BK22" i="2"/>
  <c r="BJ22" i="2"/>
  <c r="BG22" i="2"/>
  <c r="BF22" i="2"/>
  <c r="BE22" i="2"/>
  <c r="BI22" i="2" s="1"/>
  <c r="BD21" i="2"/>
  <c r="BD20" i="2"/>
  <c r="BD19" i="2"/>
  <c r="AY21" i="2"/>
  <c r="AY20" i="2"/>
  <c r="CI19" i="2"/>
  <c r="BW19" i="2"/>
  <c r="BW89" i="2" s="1"/>
  <c r="BV19" i="2"/>
  <c r="BV89" i="2" s="1"/>
  <c r="BV92" i="2" s="1"/>
  <c r="BU19" i="2"/>
  <c r="BU89" i="2" s="1"/>
  <c r="BU92" i="2" s="1"/>
  <c r="BT19" i="2"/>
  <c r="BT89" i="2" s="1"/>
  <c r="BR19" i="2"/>
  <c r="BQ19" i="2"/>
  <c r="BQ90" i="2" s="1"/>
  <c r="BP19" i="2"/>
  <c r="BP90" i="2" s="1"/>
  <c r="BO19" i="2"/>
  <c r="BO90" i="2" s="1"/>
  <c r="BM19" i="2"/>
  <c r="BM90" i="2" s="1"/>
  <c r="BL19" i="2"/>
  <c r="BL90" i="2" s="1"/>
  <c r="BK19" i="2"/>
  <c r="BK90" i="2" s="1"/>
  <c r="BJ19" i="2"/>
  <c r="BJ90" i="2" s="1"/>
  <c r="BH19" i="2"/>
  <c r="BH90" i="2" s="1"/>
  <c r="BG19" i="2"/>
  <c r="BG90" i="2" s="1"/>
  <c r="BF19" i="2"/>
  <c r="BF90" i="2" s="1"/>
  <c r="BE19" i="2"/>
  <c r="BE90" i="2" s="1"/>
  <c r="BC19" i="2"/>
  <c r="BC90" i="2" s="1"/>
  <c r="BB19" i="2"/>
  <c r="BB90" i="2" s="1"/>
  <c r="BA19" i="2"/>
  <c r="BA90" i="2" s="1"/>
  <c r="AZ19" i="2"/>
  <c r="AZ90" i="2" s="1"/>
  <c r="AX19" i="2"/>
  <c r="AX90" i="2" s="1"/>
  <c r="AW19" i="2"/>
  <c r="AW90" i="2" s="1"/>
  <c r="AV19" i="2"/>
  <c r="AV90" i="2" s="1"/>
  <c r="AU19" i="2"/>
  <c r="AU90" i="2" s="1"/>
  <c r="AT19" i="2"/>
  <c r="AT119" i="2" s="1"/>
  <c r="AO19" i="2"/>
  <c r="AO119" i="2" s="1"/>
  <c r="AJ19" i="2"/>
  <c r="AJ119" i="2" s="1"/>
  <c r="AE19" i="2"/>
  <c r="AE119" i="2" s="1"/>
  <c r="Z19" i="2"/>
  <c r="Z119" i="2" s="1"/>
  <c r="U19" i="2"/>
  <c r="U119" i="2" s="1"/>
  <c r="P19" i="2"/>
  <c r="P119" i="2" s="1"/>
  <c r="CG19" i="2"/>
  <c r="CG89" i="2" s="1"/>
  <c r="CF19" i="2"/>
  <c r="CE19" i="2"/>
  <c r="CE89" i="2" s="1"/>
  <c r="CD19" i="2"/>
  <c r="CG18" i="2"/>
  <c r="CF18" i="2"/>
  <c r="CE18" i="2"/>
  <c r="CD18" i="2"/>
  <c r="CB19" i="2"/>
  <c r="CA19" i="2"/>
  <c r="BZ19" i="2"/>
  <c r="BY19" i="2"/>
  <c r="CB18" i="2"/>
  <c r="CA18" i="2"/>
  <c r="BZ18" i="2"/>
  <c r="BY18" i="2"/>
  <c r="BX17" i="2"/>
  <c r="BX16" i="2"/>
  <c r="BX15" i="2" s="1"/>
  <c r="BX141" i="2" s="1"/>
  <c r="BS17" i="2"/>
  <c r="BS16" i="2"/>
  <c r="BS15" i="2"/>
  <c r="BN17" i="2"/>
  <c r="BN16" i="2"/>
  <c r="BI17" i="2"/>
  <c r="BI16" i="2"/>
  <c r="BI15" i="2"/>
  <c r="BD17" i="2"/>
  <c r="BD16" i="2"/>
  <c r="BD15" i="2" s="1"/>
  <c r="AY17" i="2"/>
  <c r="AY16" i="2"/>
  <c r="AY15" i="2" s="1"/>
  <c r="AT17" i="2"/>
  <c r="AT16" i="2"/>
  <c r="AT15" i="2" s="1"/>
  <c r="AT118" i="2" s="1"/>
  <c r="AO17" i="2"/>
  <c r="AO15" i="2" s="1"/>
  <c r="AO16" i="2"/>
  <c r="AJ17" i="2"/>
  <c r="AJ16" i="2"/>
  <c r="AJ15" i="2" s="1"/>
  <c r="AJ118" i="2" s="1"/>
  <c r="AE17" i="2"/>
  <c r="AE16" i="2"/>
  <c r="AE15" i="2"/>
  <c r="AE118" i="2" s="1"/>
  <c r="Z17" i="2"/>
  <c r="Z16" i="2"/>
  <c r="U17" i="2"/>
  <c r="U16" i="2"/>
  <c r="U15" i="2"/>
  <c r="U118" i="2" s="1"/>
  <c r="P17" i="2"/>
  <c r="P16" i="2"/>
  <c r="P15" i="2" s="1"/>
  <c r="P118" i="2" s="1"/>
  <c r="CI15" i="2"/>
  <c r="BW15" i="2"/>
  <c r="BV15" i="2"/>
  <c r="BU15" i="2"/>
  <c r="BT15" i="2"/>
  <c r="BR15" i="2"/>
  <c r="BQ15" i="2"/>
  <c r="BP15" i="2"/>
  <c r="BO15" i="2"/>
  <c r="BM15" i="2"/>
  <c r="BL15" i="2"/>
  <c r="BK15" i="2"/>
  <c r="BJ15" i="2"/>
  <c r="BH15" i="2"/>
  <c r="BG15" i="2"/>
  <c r="BF15" i="2"/>
  <c r="BE15" i="2"/>
  <c r="BC15" i="2"/>
  <c r="BB15" i="2"/>
  <c r="BA15" i="2"/>
  <c r="AZ15" i="2"/>
  <c r="AX15" i="2"/>
  <c r="AW15" i="2"/>
  <c r="AV15" i="2"/>
  <c r="AU15" i="2"/>
  <c r="AS15" i="2"/>
  <c r="AR15" i="2"/>
  <c r="AQ15" i="2"/>
  <c r="AP15" i="2"/>
  <c r="AN15" i="2"/>
  <c r="AM15" i="2"/>
  <c r="AL15" i="2"/>
  <c r="AK15" i="2"/>
  <c r="AI15" i="2"/>
  <c r="AH15" i="2"/>
  <c r="AG15" i="2"/>
  <c r="AF15" i="2"/>
  <c r="AD15" i="2"/>
  <c r="AC15" i="2"/>
  <c r="AB15" i="2"/>
  <c r="AA15" i="2"/>
  <c r="Y15" i="2"/>
  <c r="X15" i="2"/>
  <c r="W15" i="2"/>
  <c r="V15" i="2"/>
  <c r="T15" i="2"/>
  <c r="S15" i="2"/>
  <c r="R15" i="2"/>
  <c r="Q15" i="2"/>
  <c r="O15" i="2"/>
  <c r="N15" i="2"/>
  <c r="M15" i="2"/>
  <c r="CG15" i="2"/>
  <c r="CF15" i="2"/>
  <c r="CE15" i="2"/>
  <c r="CD15" i="2"/>
  <c r="CD118" i="2" s="1"/>
  <c r="CG14" i="2"/>
  <c r="CF14" i="2"/>
  <c r="CE14" i="2"/>
  <c r="CD14" i="2"/>
  <c r="CB15" i="2"/>
  <c r="CB118" i="2" s="1"/>
  <c r="CA15" i="2"/>
  <c r="CA118" i="2" s="1"/>
  <c r="BZ15" i="2"/>
  <c r="BZ118" i="2" s="1"/>
  <c r="BY15" i="2"/>
  <c r="BY118" i="2" s="1"/>
  <c r="CB14" i="2"/>
  <c r="CA14" i="2"/>
  <c r="BZ14" i="2"/>
  <c r="BY14" i="2"/>
  <c r="BX13" i="2"/>
  <c r="BX12" i="2"/>
  <c r="BS13" i="2"/>
  <c r="BS12" i="2"/>
  <c r="BS11" i="2"/>
  <c r="BS140" i="2" s="1"/>
  <c r="BN13" i="2"/>
  <c r="BN12" i="2"/>
  <c r="BN11" i="2" s="1"/>
  <c r="BN140" i="2" s="1"/>
  <c r="BI13" i="2"/>
  <c r="BI12" i="2"/>
  <c r="BD13" i="2"/>
  <c r="BD12" i="2"/>
  <c r="BD11" i="2" s="1"/>
  <c r="BD140" i="2" s="1"/>
  <c r="AY13" i="2"/>
  <c r="AY12" i="2"/>
  <c r="AT13" i="2"/>
  <c r="AT12" i="2"/>
  <c r="AT11" i="2" s="1"/>
  <c r="AT117" i="2" s="1"/>
  <c r="AO13" i="2"/>
  <c r="AO12" i="2"/>
  <c r="AO11" i="2"/>
  <c r="AJ13" i="2"/>
  <c r="AJ12" i="2"/>
  <c r="AE13" i="2"/>
  <c r="AE12" i="2"/>
  <c r="AE11" i="2"/>
  <c r="Z13" i="2"/>
  <c r="Z12" i="2"/>
  <c r="Z11" i="2" s="1"/>
  <c r="U13" i="2"/>
  <c r="U12" i="2"/>
  <c r="P13" i="2"/>
  <c r="P12" i="2"/>
  <c r="P11" i="2" s="1"/>
  <c r="CI11" i="2"/>
  <c r="BW11" i="2"/>
  <c r="BV11" i="2"/>
  <c r="BU11" i="2"/>
  <c r="BT11" i="2"/>
  <c r="BR11" i="2"/>
  <c r="BQ11" i="2"/>
  <c r="BP11" i="2"/>
  <c r="BO11" i="2"/>
  <c r="BM11" i="2"/>
  <c r="BL11" i="2"/>
  <c r="BK11" i="2"/>
  <c r="BJ11" i="2"/>
  <c r="BH11" i="2"/>
  <c r="BG11" i="2"/>
  <c r="BF11" i="2"/>
  <c r="BE11" i="2"/>
  <c r="BC11" i="2"/>
  <c r="BB11" i="2"/>
  <c r="BA11" i="2"/>
  <c r="AZ11" i="2"/>
  <c r="AX11" i="2"/>
  <c r="AW11" i="2"/>
  <c r="AV11" i="2"/>
  <c r="AU11" i="2"/>
  <c r="AS11" i="2"/>
  <c r="AR11" i="2"/>
  <c r="AQ11" i="2"/>
  <c r="AP11" i="2"/>
  <c r="AN11" i="2"/>
  <c r="AM11" i="2"/>
  <c r="AL11" i="2"/>
  <c r="AK11" i="2"/>
  <c r="AI11" i="2"/>
  <c r="AH11" i="2"/>
  <c r="AG11" i="2"/>
  <c r="AF11" i="2"/>
  <c r="AD11" i="2"/>
  <c r="AC11" i="2"/>
  <c r="AB11" i="2"/>
  <c r="AA11" i="2"/>
  <c r="Y11" i="2"/>
  <c r="X11" i="2"/>
  <c r="W11" i="2"/>
  <c r="V11" i="2"/>
  <c r="T11" i="2"/>
  <c r="S11" i="2"/>
  <c r="R11" i="2"/>
  <c r="Q11" i="2"/>
  <c r="O11" i="2"/>
  <c r="N11" i="2"/>
  <c r="M11" i="2"/>
  <c r="L11" i="2"/>
  <c r="K11" i="2"/>
  <c r="K117" i="2" s="1"/>
  <c r="J11" i="2"/>
  <c r="I11" i="2"/>
  <c r="H11" i="2"/>
  <c r="G11" i="2"/>
  <c r="F11" i="2"/>
  <c r="F75" i="2" s="1"/>
  <c r="E11" i="2"/>
  <c r="E75" i="2" s="1"/>
  <c r="D11" i="2"/>
  <c r="D75" i="2" s="1"/>
  <c r="C11" i="2"/>
  <c r="CG11" i="2"/>
  <c r="CF11" i="2"/>
  <c r="CE11" i="2"/>
  <c r="CD11" i="2"/>
  <c r="CG10" i="2"/>
  <c r="CF10" i="2"/>
  <c r="CE10" i="2"/>
  <c r="CD10" i="2"/>
  <c r="CB11" i="2"/>
  <c r="CB117" i="2" s="1"/>
  <c r="CA11" i="2"/>
  <c r="BZ11" i="2"/>
  <c r="BY11" i="2"/>
  <c r="CB10" i="2"/>
  <c r="CA10" i="2"/>
  <c r="BZ10" i="2"/>
  <c r="BY10" i="2"/>
  <c r="BX9" i="2"/>
  <c r="BX8" i="2"/>
  <c r="BX7" i="2" s="1"/>
  <c r="BX139" i="2" s="1"/>
  <c r="BS9" i="2"/>
  <c r="BS8" i="2"/>
  <c r="BN9" i="2"/>
  <c r="BN8" i="2"/>
  <c r="BN7" i="2" s="1"/>
  <c r="BN139" i="2" s="1"/>
  <c r="BI9" i="2"/>
  <c r="BI8" i="2"/>
  <c r="BI7" i="2"/>
  <c r="BI139" i="2" s="1"/>
  <c r="BD9" i="2"/>
  <c r="BD8" i="2"/>
  <c r="AY9" i="2"/>
  <c r="AY8" i="2"/>
  <c r="AY7" i="2"/>
  <c r="AY139" i="2" s="1"/>
  <c r="AT9" i="2"/>
  <c r="AT8" i="2"/>
  <c r="AT7" i="2" s="1"/>
  <c r="AO9" i="2"/>
  <c r="AO8" i="2"/>
  <c r="AO7" i="2" s="1"/>
  <c r="AJ9" i="2"/>
  <c r="AJ8" i="2"/>
  <c r="AJ7" i="2" s="1"/>
  <c r="AE9" i="2"/>
  <c r="AE7" i="2" s="1"/>
  <c r="AE8" i="2"/>
  <c r="Z9" i="2"/>
  <c r="Z8" i="2"/>
  <c r="Z7" i="2" s="1"/>
  <c r="U9" i="2"/>
  <c r="U8" i="2"/>
  <c r="U7" i="2"/>
  <c r="P9" i="2"/>
  <c r="P8" i="2"/>
  <c r="CI7" i="2"/>
  <c r="CG7" i="2"/>
  <c r="CF7" i="2"/>
  <c r="CE7" i="2"/>
  <c r="CD7" i="2"/>
  <c r="CB7" i="2"/>
  <c r="CA7" i="2"/>
  <c r="BZ7" i="2"/>
  <c r="BY7" i="2"/>
  <c r="BW7" i="2"/>
  <c r="BV7" i="2"/>
  <c r="BU7" i="2"/>
  <c r="BT7" i="2"/>
  <c r="BR7" i="2"/>
  <c r="BQ7" i="2"/>
  <c r="BP7" i="2"/>
  <c r="BO7" i="2"/>
  <c r="BM7" i="2"/>
  <c r="BL7" i="2"/>
  <c r="BK7" i="2"/>
  <c r="BJ7" i="2"/>
  <c r="BH7" i="2"/>
  <c r="BG7" i="2"/>
  <c r="BF7" i="2"/>
  <c r="BE7" i="2"/>
  <c r="BC7" i="2"/>
  <c r="BB7" i="2"/>
  <c r="BA7" i="2"/>
  <c r="AZ7" i="2"/>
  <c r="AX7" i="2"/>
  <c r="AW7" i="2"/>
  <c r="AV7" i="2"/>
  <c r="AU7" i="2"/>
  <c r="AS7" i="2"/>
  <c r="AR7" i="2"/>
  <c r="AQ7" i="2"/>
  <c r="AP7" i="2"/>
  <c r="AN7" i="2"/>
  <c r="AM7" i="2"/>
  <c r="AL7" i="2"/>
  <c r="AK7" i="2"/>
  <c r="AI7" i="2"/>
  <c r="AH7" i="2"/>
  <c r="AG7" i="2"/>
  <c r="AF7" i="2"/>
  <c r="AD7" i="2"/>
  <c r="AC7" i="2"/>
  <c r="AB7" i="2"/>
  <c r="AA7" i="2"/>
  <c r="Y7" i="2"/>
  <c r="X7" i="2"/>
  <c r="W7" i="2"/>
  <c r="V7" i="2"/>
  <c r="T7" i="2"/>
  <c r="S7" i="2"/>
  <c r="R7" i="2"/>
  <c r="Q7" i="2"/>
  <c r="O7" i="2"/>
  <c r="N7" i="2"/>
  <c r="M7" i="2"/>
  <c r="L7" i="2"/>
  <c r="K7" i="2"/>
  <c r="CH5" i="2"/>
  <c r="CH138" i="2" s="1"/>
  <c r="CC5" i="2"/>
  <c r="CC138" i="2" s="1"/>
  <c r="BX5" i="2"/>
  <c r="BS5" i="2"/>
  <c r="BN5" i="2"/>
  <c r="BI5" i="2"/>
  <c r="BD5" i="2"/>
  <c r="AY5" i="2"/>
  <c r="AT5" i="2"/>
  <c r="AT115" i="2" s="1"/>
  <c r="AO5" i="2"/>
  <c r="AO115" i="2" s="1"/>
  <c r="AJ5" i="2"/>
  <c r="AJ115" i="2" s="1"/>
  <c r="AE5" i="2"/>
  <c r="Z5" i="2"/>
  <c r="U5" i="2"/>
  <c r="P5" i="2"/>
  <c r="BO1" i="2"/>
  <c r="BZ134" i="3"/>
  <c r="CA134" i="3" s="1"/>
  <c r="BX134" i="3"/>
  <c r="BP134" i="3"/>
  <c r="BN134" i="3"/>
  <c r="BI134" i="3"/>
  <c r="BR130" i="3"/>
  <c r="BR129" i="3"/>
  <c r="BR128" i="3"/>
  <c r="BX119" i="3"/>
  <c r="BX118" i="3"/>
  <c r="X82" i="16" s="1"/>
  <c r="X96" i="16" s="1"/>
  <c r="BP119" i="3"/>
  <c r="BQ119" i="3" s="1"/>
  <c r="BR119" i="3" s="1"/>
  <c r="BS119" i="3" s="1"/>
  <c r="BX116" i="3"/>
  <c r="X80" i="16" s="1"/>
  <c r="BO116" i="3"/>
  <c r="BS116" i="3" s="1"/>
  <c r="W80" i="16" s="1"/>
  <c r="CH111" i="3"/>
  <c r="CG111" i="3" s="1"/>
  <c r="CC111" i="3"/>
  <c r="BY111" i="3" s="1"/>
  <c r="BX111" i="3"/>
  <c r="BV111" i="3" s="1"/>
  <c r="BS111" i="3"/>
  <c r="EY106" i="3"/>
  <c r="EX106" i="3"/>
  <c r="EW106" i="3"/>
  <c r="EV106" i="3"/>
  <c r="ET106" i="3"/>
  <c r="ES106" i="3"/>
  <c r="ER106" i="3"/>
  <c r="EQ106" i="3"/>
  <c r="EO106" i="3"/>
  <c r="EN106" i="3"/>
  <c r="EM106" i="3"/>
  <c r="EL106" i="3"/>
  <c r="EJ106" i="3"/>
  <c r="EI106" i="3"/>
  <c r="EH106" i="3"/>
  <c r="EG106" i="3"/>
  <c r="EE106" i="3"/>
  <c r="ED106" i="3"/>
  <c r="EC106" i="3"/>
  <c r="EB106" i="3"/>
  <c r="DZ106" i="3"/>
  <c r="DY106" i="3"/>
  <c r="DX106" i="3"/>
  <c r="DW106" i="3"/>
  <c r="DU106" i="3"/>
  <c r="DT106" i="3"/>
  <c r="DS106" i="3"/>
  <c r="DR106" i="3"/>
  <c r="DP106" i="3"/>
  <c r="DO106" i="3"/>
  <c r="DN106" i="3"/>
  <c r="DM106" i="3"/>
  <c r="DK106" i="3"/>
  <c r="DJ106" i="3"/>
  <c r="DI106" i="3"/>
  <c r="DH106" i="3"/>
  <c r="DF106" i="3"/>
  <c r="DE106" i="3"/>
  <c r="DD106" i="3"/>
  <c r="DC106" i="3"/>
  <c r="DA106" i="3"/>
  <c r="CZ106" i="3"/>
  <c r="CY106" i="3"/>
  <c r="CX106" i="3"/>
  <c r="BI105" i="3"/>
  <c r="BI104" i="3"/>
  <c r="BI103" i="3"/>
  <c r="BI102" i="3"/>
  <c r="BD105" i="3"/>
  <c r="BD104" i="3"/>
  <c r="BD103" i="3"/>
  <c r="BD102" i="3"/>
  <c r="AY105" i="3"/>
  <c r="AY104" i="3"/>
  <c r="AY103" i="3"/>
  <c r="AY102" i="3"/>
  <c r="BN105" i="3"/>
  <c r="BM105" i="3"/>
  <c r="BL105" i="3"/>
  <c r="BK105" i="3"/>
  <c r="BJ105" i="3"/>
  <c r="BN104" i="3"/>
  <c r="BM104" i="3"/>
  <c r="BL104" i="3"/>
  <c r="BK104" i="3"/>
  <c r="BJ104" i="3"/>
  <c r="BN103" i="3"/>
  <c r="BM103" i="3"/>
  <c r="BL103" i="3"/>
  <c r="BK103" i="3"/>
  <c r="BJ103" i="3"/>
  <c r="BQ102" i="3"/>
  <c r="BP102" i="3"/>
  <c r="BO102" i="3"/>
  <c r="BN102" i="3"/>
  <c r="BM102" i="3"/>
  <c r="BL102" i="3"/>
  <c r="BK102" i="3"/>
  <c r="BJ102" i="3"/>
  <c r="BH105" i="3"/>
  <c r="BG105" i="3"/>
  <c r="BF105" i="3"/>
  <c r="BE105" i="3"/>
  <c r="BH104" i="3"/>
  <c r="BG104" i="3"/>
  <c r="BF104" i="3"/>
  <c r="BE104" i="3"/>
  <c r="BH103" i="3"/>
  <c r="BG103" i="3"/>
  <c r="BF103" i="3"/>
  <c r="BE103" i="3"/>
  <c r="BH102" i="3"/>
  <c r="BG102" i="3"/>
  <c r="BF102" i="3"/>
  <c r="BE102" i="3"/>
  <c r="BC105" i="3"/>
  <c r="BB105" i="3"/>
  <c r="BA105" i="3"/>
  <c r="AZ105" i="3"/>
  <c r="BC104" i="3"/>
  <c r="BB104" i="3"/>
  <c r="BA104" i="3"/>
  <c r="AZ104" i="3"/>
  <c r="BC103" i="3"/>
  <c r="BB103" i="3"/>
  <c r="BA103" i="3"/>
  <c r="AZ103" i="3"/>
  <c r="BC102" i="3"/>
  <c r="BB102" i="3"/>
  <c r="BA102" i="3"/>
  <c r="AZ102" i="3"/>
  <c r="AX105" i="3"/>
  <c r="AW105" i="3"/>
  <c r="AV105" i="3"/>
  <c r="AU105" i="3"/>
  <c r="AT105" i="3"/>
  <c r="AS105" i="3"/>
  <c r="AR105" i="3"/>
  <c r="AQ105" i="3"/>
  <c r="AP105" i="3"/>
  <c r="AO105" i="3"/>
  <c r="AN105" i="3"/>
  <c r="AM105" i="3"/>
  <c r="AL105" i="3"/>
  <c r="AK105" i="3"/>
  <c r="AJ105" i="3"/>
  <c r="AI105" i="3"/>
  <c r="AH105" i="3"/>
  <c r="AG105" i="3"/>
  <c r="AF105" i="3"/>
  <c r="AE105" i="3"/>
  <c r="AD105" i="3"/>
  <c r="AC105" i="3"/>
  <c r="AB105" i="3"/>
  <c r="AA105" i="3"/>
  <c r="Z105" i="3"/>
  <c r="Y105" i="3"/>
  <c r="X105" i="3"/>
  <c r="W105" i="3"/>
  <c r="V105" i="3"/>
  <c r="U105" i="3"/>
  <c r="T105" i="3"/>
  <c r="S105" i="3"/>
  <c r="R105" i="3"/>
  <c r="Q105" i="3"/>
  <c r="P105" i="3"/>
  <c r="AX104" i="3"/>
  <c r="AW104" i="3"/>
  <c r="AV104" i="3"/>
  <c r="AU104" i="3"/>
  <c r="AT104" i="3"/>
  <c r="AS104" i="3"/>
  <c r="AR104" i="3"/>
  <c r="AQ104" i="3"/>
  <c r="AP104" i="3"/>
  <c r="AO104" i="3"/>
  <c r="AN104" i="3"/>
  <c r="AM104" i="3"/>
  <c r="AL104" i="3"/>
  <c r="AK104" i="3"/>
  <c r="AJ104" i="3"/>
  <c r="AI104" i="3"/>
  <c r="AH104" i="3"/>
  <c r="AG104" i="3"/>
  <c r="AF104" i="3"/>
  <c r="AE104" i="3"/>
  <c r="AD104" i="3"/>
  <c r="AC104" i="3"/>
  <c r="AB104" i="3"/>
  <c r="AA104" i="3"/>
  <c r="Z104" i="3"/>
  <c r="Y104" i="3"/>
  <c r="X104" i="3"/>
  <c r="W104" i="3"/>
  <c r="V104" i="3"/>
  <c r="U104" i="3"/>
  <c r="T104" i="3"/>
  <c r="S104" i="3"/>
  <c r="R104" i="3"/>
  <c r="Q104" i="3"/>
  <c r="P104" i="3"/>
  <c r="AX103" i="3"/>
  <c r="AW103" i="3"/>
  <c r="AV103" i="3"/>
  <c r="AU103" i="3"/>
  <c r="AT103" i="3"/>
  <c r="AS103" i="3"/>
  <c r="AR103" i="3"/>
  <c r="AQ103" i="3"/>
  <c r="AP103" i="3"/>
  <c r="AO103" i="3"/>
  <c r="AN103" i="3"/>
  <c r="AM103" i="3"/>
  <c r="AL103" i="3"/>
  <c r="AK103" i="3"/>
  <c r="AJ103" i="3"/>
  <c r="AI103" i="3"/>
  <c r="AH103" i="3"/>
  <c r="AG103" i="3"/>
  <c r="AF103" i="3"/>
  <c r="AE103" i="3"/>
  <c r="AD103" i="3"/>
  <c r="AC103" i="3"/>
  <c r="AB103" i="3"/>
  <c r="AA103" i="3"/>
  <c r="Z103" i="3"/>
  <c r="Y103" i="3"/>
  <c r="X103" i="3"/>
  <c r="W103" i="3"/>
  <c r="V103" i="3"/>
  <c r="U103" i="3"/>
  <c r="T103" i="3"/>
  <c r="S103" i="3"/>
  <c r="R103" i="3"/>
  <c r="Q103" i="3"/>
  <c r="P103" i="3"/>
  <c r="AX102" i="3"/>
  <c r="AW102" i="3"/>
  <c r="AV102" i="3"/>
  <c r="AU102" i="3"/>
  <c r="AT102" i="3"/>
  <c r="AS102" i="3"/>
  <c r="AR102" i="3"/>
  <c r="AQ102" i="3"/>
  <c r="AP102" i="3"/>
  <c r="AO102" i="3"/>
  <c r="AN102" i="3"/>
  <c r="AM102" i="3"/>
  <c r="AL102" i="3"/>
  <c r="AK102" i="3"/>
  <c r="AJ102" i="3"/>
  <c r="AI102" i="3"/>
  <c r="AH102" i="3"/>
  <c r="AG102" i="3"/>
  <c r="AF102" i="3"/>
  <c r="AE102" i="3"/>
  <c r="AD102" i="3"/>
  <c r="AC102" i="3"/>
  <c r="AB102" i="3"/>
  <c r="AA102" i="3"/>
  <c r="Z102" i="3"/>
  <c r="Y102" i="3"/>
  <c r="X102" i="3"/>
  <c r="W102" i="3"/>
  <c r="V102" i="3"/>
  <c r="U102" i="3"/>
  <c r="T102" i="3"/>
  <c r="S102" i="3"/>
  <c r="R102" i="3"/>
  <c r="Q102" i="3"/>
  <c r="P102" i="3"/>
  <c r="K105" i="3"/>
  <c r="J105" i="3"/>
  <c r="I105" i="3"/>
  <c r="H105" i="3"/>
  <c r="G105" i="3"/>
  <c r="F105" i="3"/>
  <c r="E105" i="3"/>
  <c r="D105" i="3"/>
  <c r="K104" i="3"/>
  <c r="J104" i="3"/>
  <c r="I104" i="3"/>
  <c r="H104" i="3"/>
  <c r="G104" i="3"/>
  <c r="F104" i="3"/>
  <c r="E104" i="3"/>
  <c r="D104" i="3"/>
  <c r="K103" i="3"/>
  <c r="J103" i="3"/>
  <c r="I103" i="3"/>
  <c r="H103" i="3"/>
  <c r="G103" i="3"/>
  <c r="F103" i="3"/>
  <c r="E103" i="3"/>
  <c r="D103" i="3"/>
  <c r="K102" i="3"/>
  <c r="J102" i="3"/>
  <c r="I102" i="3"/>
  <c r="H102" i="3"/>
  <c r="G102" i="3"/>
  <c r="F102" i="3"/>
  <c r="E102" i="3"/>
  <c r="D102" i="3"/>
  <c r="BN94" i="3"/>
  <c r="BM94" i="3"/>
  <c r="BL94" i="3"/>
  <c r="BK94" i="3"/>
  <c r="BJ94" i="3"/>
  <c r="BI94" i="3"/>
  <c r="BH94" i="3"/>
  <c r="BG94" i="3"/>
  <c r="BF94" i="3"/>
  <c r="BE94" i="3"/>
  <c r="BD94" i="3"/>
  <c r="BC94" i="3"/>
  <c r="BB94" i="3"/>
  <c r="BA94" i="3"/>
  <c r="AZ94" i="3"/>
  <c r="AY94" i="3"/>
  <c r="AX94" i="3"/>
  <c r="AW94" i="3"/>
  <c r="AV94" i="3"/>
  <c r="AU94" i="3"/>
  <c r="AT94" i="3"/>
  <c r="AS94" i="3"/>
  <c r="AR94" i="3"/>
  <c r="AQ94" i="3"/>
  <c r="AP94" i="3"/>
  <c r="AO94" i="3"/>
  <c r="AN94" i="3"/>
  <c r="AM94" i="3"/>
  <c r="AL94" i="3"/>
  <c r="AK94" i="3"/>
  <c r="AJ94" i="3"/>
  <c r="AI94" i="3"/>
  <c r="AH94" i="3"/>
  <c r="AG94" i="3"/>
  <c r="AF94" i="3"/>
  <c r="AE94" i="3"/>
  <c r="AD94" i="3"/>
  <c r="AC94" i="3"/>
  <c r="AB94" i="3"/>
  <c r="AA94" i="3"/>
  <c r="Z94" i="3"/>
  <c r="Y94" i="3"/>
  <c r="X94" i="3"/>
  <c r="W94" i="3"/>
  <c r="V94" i="3"/>
  <c r="U94" i="3"/>
  <c r="T94" i="3"/>
  <c r="S94" i="3"/>
  <c r="R94" i="3"/>
  <c r="Q94" i="3"/>
  <c r="P94" i="3"/>
  <c r="O94" i="3"/>
  <c r="N94" i="3"/>
  <c r="M94" i="3"/>
  <c r="L94" i="3"/>
  <c r="K94" i="3"/>
  <c r="J94" i="3"/>
  <c r="I94" i="3"/>
  <c r="H94" i="3"/>
  <c r="G94" i="3"/>
  <c r="F94" i="3"/>
  <c r="E94" i="3"/>
  <c r="D94" i="3"/>
  <c r="C94" i="3"/>
  <c r="BN93" i="3"/>
  <c r="BM93" i="3"/>
  <c r="BL93" i="3"/>
  <c r="BK93" i="3"/>
  <c r="BJ93" i="3"/>
  <c r="BI93" i="3"/>
  <c r="BH93" i="3"/>
  <c r="BG93" i="3"/>
  <c r="BF93" i="3"/>
  <c r="BE93" i="3"/>
  <c r="BD93" i="3"/>
  <c r="BC93" i="3"/>
  <c r="BB93" i="3"/>
  <c r="BA93" i="3"/>
  <c r="AZ93" i="3"/>
  <c r="AY93" i="3"/>
  <c r="AX93" i="3"/>
  <c r="AW93" i="3"/>
  <c r="AV93" i="3"/>
  <c r="AU93" i="3"/>
  <c r="AT93" i="3"/>
  <c r="AS93" i="3"/>
  <c r="AR93" i="3"/>
  <c r="AQ93" i="3"/>
  <c r="AP93" i="3"/>
  <c r="AO93" i="3"/>
  <c r="AN93" i="3"/>
  <c r="AM93" i="3"/>
  <c r="AL93" i="3"/>
  <c r="AK93" i="3"/>
  <c r="AJ93" i="3"/>
  <c r="AI93" i="3"/>
  <c r="AH93" i="3"/>
  <c r="AG93" i="3"/>
  <c r="AF93" i="3"/>
  <c r="AE93" i="3"/>
  <c r="AD93" i="3"/>
  <c r="AC93" i="3"/>
  <c r="AB93" i="3"/>
  <c r="AA93" i="3"/>
  <c r="Z93" i="3"/>
  <c r="Y93" i="3"/>
  <c r="X93" i="3"/>
  <c r="W93" i="3"/>
  <c r="V93" i="3"/>
  <c r="U93" i="3"/>
  <c r="T93" i="3"/>
  <c r="S93" i="3"/>
  <c r="R93" i="3"/>
  <c r="Q93" i="3"/>
  <c r="P93" i="3"/>
  <c r="O93" i="3"/>
  <c r="N93" i="3"/>
  <c r="M93" i="3"/>
  <c r="L93" i="3"/>
  <c r="K93" i="3"/>
  <c r="J93" i="3"/>
  <c r="I93" i="3"/>
  <c r="H93" i="3"/>
  <c r="G93" i="3"/>
  <c r="F93" i="3"/>
  <c r="E93" i="3"/>
  <c r="D93" i="3"/>
  <c r="C93" i="3"/>
  <c r="CI88" i="3"/>
  <c r="CG88" i="3"/>
  <c r="CF88" i="3"/>
  <c r="CE88" i="3"/>
  <c r="CD88" i="3"/>
  <c r="CB88" i="3"/>
  <c r="CA88" i="3"/>
  <c r="BZ88" i="3"/>
  <c r="BY88" i="3"/>
  <c r="BW88" i="3"/>
  <c r="BU88" i="3"/>
  <c r="BT88" i="3"/>
  <c r="CH87" i="3"/>
  <c r="Z94" i="16" s="1"/>
  <c r="CH86" i="3"/>
  <c r="CC87" i="3"/>
  <c r="Y94" i="16" s="1"/>
  <c r="CC86" i="3"/>
  <c r="BX87" i="3"/>
  <c r="X57" i="16" s="1"/>
  <c r="X59" i="16" s="1"/>
  <c r="CK88" i="3"/>
  <c r="CJ88" i="3"/>
  <c r="CQ86" i="3"/>
  <c r="CH80" i="3"/>
  <c r="CM80" i="3" s="1"/>
  <c r="EZ78" i="3"/>
  <c r="EU78" i="3"/>
  <c r="EP78" i="3"/>
  <c r="EK78" i="3"/>
  <c r="EF78" i="3"/>
  <c r="EA78" i="3"/>
  <c r="DV78" i="3"/>
  <c r="DQ78" i="3"/>
  <c r="DL78" i="3"/>
  <c r="DG78" i="3"/>
  <c r="DB78" i="3"/>
  <c r="CW78" i="3"/>
  <c r="CR78" i="3"/>
  <c r="CM78" i="3"/>
  <c r="CH78" i="3"/>
  <c r="CC78" i="3"/>
  <c r="BW78" i="3"/>
  <c r="BV78" i="3"/>
  <c r="BU78" i="3"/>
  <c r="BR78" i="3"/>
  <c r="BS78" i="3" s="1"/>
  <c r="EZ74" i="3"/>
  <c r="EU74" i="3"/>
  <c r="EP74" i="3"/>
  <c r="EK74" i="3"/>
  <c r="EF74" i="3"/>
  <c r="EA74" i="3"/>
  <c r="DV74" i="3"/>
  <c r="DQ74" i="3"/>
  <c r="DL74" i="3"/>
  <c r="DG74" i="3"/>
  <c r="DB74" i="3"/>
  <c r="CW74" i="3"/>
  <c r="CR74" i="3"/>
  <c r="CM74" i="3"/>
  <c r="CH74" i="3"/>
  <c r="CC74" i="3"/>
  <c r="BX74" i="3"/>
  <c r="BQ74" i="3"/>
  <c r="BP74" i="3"/>
  <c r="BO74" i="3"/>
  <c r="EZ72" i="3"/>
  <c r="EZ71" i="3"/>
  <c r="EZ70" i="3"/>
  <c r="AN4" i="16" s="1"/>
  <c r="EZ69" i="3"/>
  <c r="EZ68" i="3"/>
  <c r="EU72" i="3"/>
  <c r="EU71" i="3"/>
  <c r="EU70" i="3"/>
  <c r="AM4" i="16" s="1"/>
  <c r="EU69" i="3"/>
  <c r="EU68" i="3"/>
  <c r="EP72" i="3"/>
  <c r="EP71" i="3"/>
  <c r="EP70" i="3"/>
  <c r="AL4" i="16" s="1"/>
  <c r="EP69" i="3"/>
  <c r="EP68" i="3"/>
  <c r="EK72" i="3"/>
  <c r="EK71" i="3"/>
  <c r="EK70" i="3"/>
  <c r="AK4" i="16" s="1"/>
  <c r="EK69" i="3"/>
  <c r="EK68" i="3"/>
  <c r="EF72" i="3"/>
  <c r="EF71" i="3"/>
  <c r="EF70" i="3"/>
  <c r="AJ4" i="16" s="1"/>
  <c r="EF69" i="3"/>
  <c r="EF68" i="3"/>
  <c r="EA72" i="3"/>
  <c r="EA71" i="3"/>
  <c r="EA70" i="3"/>
  <c r="AI4" i="16" s="1"/>
  <c r="EA69" i="3"/>
  <c r="EA68" i="3"/>
  <c r="DV72" i="3"/>
  <c r="DV71" i="3"/>
  <c r="DV70" i="3"/>
  <c r="AH4" i="16" s="1"/>
  <c r="DV69" i="3"/>
  <c r="DV68" i="3"/>
  <c r="DQ72" i="3"/>
  <c r="DQ71" i="3"/>
  <c r="DQ70" i="3"/>
  <c r="AG4" i="16" s="1"/>
  <c r="DQ69" i="3"/>
  <c r="DQ68" i="3"/>
  <c r="DL72" i="3"/>
  <c r="DL71" i="3"/>
  <c r="DL70" i="3"/>
  <c r="AF4" i="16" s="1"/>
  <c r="DL69" i="3"/>
  <c r="DL68" i="3"/>
  <c r="DG72" i="3"/>
  <c r="DG71" i="3"/>
  <c r="DG70" i="3"/>
  <c r="AE4" i="16" s="1"/>
  <c r="DG69" i="3"/>
  <c r="DG68" i="3"/>
  <c r="DB72" i="3"/>
  <c r="DB71" i="3"/>
  <c r="DB70" i="3"/>
  <c r="AD4" i="16" s="1"/>
  <c r="DB69" i="3"/>
  <c r="DB68" i="3"/>
  <c r="CW72" i="3"/>
  <c r="CW71" i="3"/>
  <c r="CW70" i="3"/>
  <c r="AC4" i="16" s="1"/>
  <c r="CW69" i="3"/>
  <c r="CW68" i="3"/>
  <c r="CR72" i="3"/>
  <c r="CR71" i="3"/>
  <c r="CR70" i="3"/>
  <c r="AB4" i="16" s="1"/>
  <c r="CR69" i="3"/>
  <c r="CR68" i="3"/>
  <c r="CM72" i="3"/>
  <c r="CM71" i="3"/>
  <c r="CM70" i="3"/>
  <c r="CM69" i="3"/>
  <c r="CM68" i="3"/>
  <c r="CH71" i="3"/>
  <c r="CH70" i="3"/>
  <c r="CH69" i="3"/>
  <c r="CH68" i="3"/>
  <c r="CF72" i="3"/>
  <c r="CH72" i="3" s="1"/>
  <c r="CC72" i="3"/>
  <c r="CC71" i="3"/>
  <c r="CC70" i="3"/>
  <c r="CC69" i="3"/>
  <c r="CC68" i="3"/>
  <c r="BW72" i="3"/>
  <c r="BV72" i="3"/>
  <c r="BU72" i="3"/>
  <c r="BS71" i="3"/>
  <c r="BS70" i="3"/>
  <c r="BS69" i="3"/>
  <c r="BS68" i="3"/>
  <c r="BQ72" i="3"/>
  <c r="BP72" i="3"/>
  <c r="BO72" i="3"/>
  <c r="BN72" i="3"/>
  <c r="BM72" i="3"/>
  <c r="BL72" i="3"/>
  <c r="BK72" i="3"/>
  <c r="BJ72" i="3"/>
  <c r="BI72" i="3"/>
  <c r="BH72" i="3"/>
  <c r="BG72" i="3"/>
  <c r="BF72" i="3"/>
  <c r="BE72" i="3"/>
  <c r="BD72" i="3"/>
  <c r="BC72" i="3"/>
  <c r="BB72" i="3"/>
  <c r="BA72" i="3"/>
  <c r="AZ72" i="3"/>
  <c r="AY72" i="3"/>
  <c r="AX72" i="3"/>
  <c r="AW72" i="3"/>
  <c r="AV72" i="3"/>
  <c r="AU72" i="3"/>
  <c r="AT72" i="3"/>
  <c r="AS72" i="3"/>
  <c r="AR72" i="3"/>
  <c r="AQ72" i="3"/>
  <c r="AP72" i="3"/>
  <c r="AO72" i="3"/>
  <c r="AN72" i="3"/>
  <c r="AM72" i="3"/>
  <c r="AL72" i="3"/>
  <c r="AK72" i="3"/>
  <c r="AJ72" i="3"/>
  <c r="AI72" i="3"/>
  <c r="AH72" i="3"/>
  <c r="AG72" i="3"/>
  <c r="AF72" i="3"/>
  <c r="AE72" i="3"/>
  <c r="AD72" i="3"/>
  <c r="AC72" i="3"/>
  <c r="AB72" i="3"/>
  <c r="AA72" i="3"/>
  <c r="Z72" i="3"/>
  <c r="Y72" i="3"/>
  <c r="X72" i="3"/>
  <c r="W72" i="3"/>
  <c r="V72" i="3"/>
  <c r="U72" i="3"/>
  <c r="T72" i="3"/>
  <c r="S72" i="3"/>
  <c r="R72" i="3"/>
  <c r="Q72" i="3"/>
  <c r="P72" i="3"/>
  <c r="O72" i="3"/>
  <c r="N72" i="3"/>
  <c r="M72" i="3"/>
  <c r="L72" i="3"/>
  <c r="K72" i="3"/>
  <c r="J72" i="3"/>
  <c r="I72" i="3"/>
  <c r="H72" i="3"/>
  <c r="G72" i="3"/>
  <c r="F72" i="3"/>
  <c r="E72" i="3"/>
  <c r="D72" i="3"/>
  <c r="C72" i="3"/>
  <c r="BX71" i="3"/>
  <c r="BX70" i="3"/>
  <c r="BX69" i="3"/>
  <c r="BX68" i="3"/>
  <c r="CH66" i="3"/>
  <c r="CH65" i="3"/>
  <c r="CH64" i="3"/>
  <c r="CC66" i="3"/>
  <c r="CC65" i="3"/>
  <c r="CC64" i="3"/>
  <c r="BW66" i="3"/>
  <c r="BW63" i="3" s="1"/>
  <c r="BV66" i="3"/>
  <c r="BX65" i="3"/>
  <c r="BX64" i="3"/>
  <c r="BS64" i="3"/>
  <c r="BS63" i="3"/>
  <c r="BN64" i="3"/>
  <c r="BI64" i="3"/>
  <c r="BD64" i="3"/>
  <c r="AY64" i="3"/>
  <c r="AT64" i="3"/>
  <c r="AO64" i="3"/>
  <c r="AJ64" i="3"/>
  <c r="CL63" i="3"/>
  <c r="CK63" i="3"/>
  <c r="CJ63" i="3"/>
  <c r="CI63" i="3"/>
  <c r="CG63" i="3"/>
  <c r="CF63" i="3"/>
  <c r="CE63" i="3"/>
  <c r="CD63" i="3"/>
  <c r="CB63" i="3"/>
  <c r="CA63" i="3"/>
  <c r="BZ63" i="3"/>
  <c r="BY63" i="3"/>
  <c r="BV63" i="3"/>
  <c r="BU63" i="3"/>
  <c r="BT63" i="3"/>
  <c r="CH61" i="3"/>
  <c r="CH60" i="3"/>
  <c r="CH59" i="3"/>
  <c r="CC61" i="3"/>
  <c r="CC60" i="3"/>
  <c r="CC59" i="3"/>
  <c r="BX61" i="3"/>
  <c r="BX60" i="3"/>
  <c r="BX59" i="3"/>
  <c r="BS59" i="3"/>
  <c r="BS58" i="3"/>
  <c r="BN59" i="3"/>
  <c r="BI59" i="3"/>
  <c r="BD59" i="3"/>
  <c r="AY59" i="3"/>
  <c r="AT59" i="3"/>
  <c r="AO59" i="3"/>
  <c r="AJ59" i="3"/>
  <c r="CL58" i="3"/>
  <c r="CK58" i="3"/>
  <c r="CJ58" i="3"/>
  <c r="CI58" i="3"/>
  <c r="CG58" i="3"/>
  <c r="CF58" i="3"/>
  <c r="CE58" i="3"/>
  <c r="CD58" i="3"/>
  <c r="CB58" i="3"/>
  <c r="CA58" i="3"/>
  <c r="BZ58" i="3"/>
  <c r="BY58" i="3"/>
  <c r="BW58" i="3"/>
  <c r="BV58" i="3"/>
  <c r="BU58" i="3"/>
  <c r="BT58" i="3"/>
  <c r="CH56" i="3"/>
  <c r="CH55" i="3"/>
  <c r="CH54" i="3"/>
  <c r="CC56" i="3"/>
  <c r="CC55" i="3"/>
  <c r="CC54" i="3"/>
  <c r="BX56" i="3"/>
  <c r="BX55" i="3"/>
  <c r="BX54" i="3"/>
  <c r="BS54" i="3"/>
  <c r="BS53" i="3"/>
  <c r="BN54" i="3"/>
  <c r="BI54" i="3"/>
  <c r="BD54" i="3"/>
  <c r="AY54" i="3"/>
  <c r="AT54" i="3"/>
  <c r="AO54" i="3"/>
  <c r="AJ54" i="3"/>
  <c r="CI53" i="3"/>
  <c r="CG53" i="3"/>
  <c r="CF53" i="3"/>
  <c r="CE53" i="3"/>
  <c r="CD53" i="3"/>
  <c r="CB53" i="3"/>
  <c r="CA53" i="3"/>
  <c r="BZ53" i="3"/>
  <c r="BY53" i="3"/>
  <c r="BW53" i="3"/>
  <c r="BV53" i="3"/>
  <c r="BU53" i="3"/>
  <c r="BT53" i="3"/>
  <c r="EZ46" i="3"/>
  <c r="EU46" i="3"/>
  <c r="EP46" i="3"/>
  <c r="EK46" i="3"/>
  <c r="EF46" i="3"/>
  <c r="EA46" i="3"/>
  <c r="DV46" i="3"/>
  <c r="DQ46" i="3"/>
  <c r="DL46" i="3"/>
  <c r="DG46" i="3"/>
  <c r="DB46" i="3"/>
  <c r="CW46" i="3"/>
  <c r="CR46" i="3"/>
  <c r="CM46" i="3"/>
  <c r="CH46" i="3"/>
  <c r="CC46" i="3"/>
  <c r="BX46" i="3"/>
  <c r="BS46" i="3"/>
  <c r="AO45" i="3"/>
  <c r="AJ45" i="3"/>
  <c r="BW44" i="3"/>
  <c r="BV44" i="3"/>
  <c r="BU44" i="3"/>
  <c r="BT44" i="3"/>
  <c r="BR44" i="3"/>
  <c r="BQ44" i="3"/>
  <c r="BP44" i="3"/>
  <c r="BO44" i="3"/>
  <c r="BM44" i="3"/>
  <c r="BM45" i="3" s="1"/>
  <c r="BL44" i="3"/>
  <c r="BL45" i="3" s="1"/>
  <c r="BK44" i="3"/>
  <c r="BK45" i="3" s="1"/>
  <c r="BJ44" i="3"/>
  <c r="BJ45" i="3" s="1"/>
  <c r="BH44" i="3"/>
  <c r="BH45" i="3" s="1"/>
  <c r="BG44" i="3"/>
  <c r="BG45" i="3" s="1"/>
  <c r="BF44" i="3"/>
  <c r="BF45" i="3" s="1"/>
  <c r="BE44" i="3"/>
  <c r="BE45" i="3" s="1"/>
  <c r="BC44" i="3"/>
  <c r="BC45" i="3" s="1"/>
  <c r="BB44" i="3"/>
  <c r="BB45" i="3" s="1"/>
  <c r="BA44" i="3"/>
  <c r="BA45" i="3" s="1"/>
  <c r="AZ44" i="3"/>
  <c r="AZ45" i="3" s="1"/>
  <c r="AX44" i="3"/>
  <c r="AX45" i="3" s="1"/>
  <c r="AW44" i="3"/>
  <c r="AW45" i="3" s="1"/>
  <c r="AV44" i="3"/>
  <c r="AV45" i="3" s="1"/>
  <c r="AU44" i="3"/>
  <c r="AU45" i="3" s="1"/>
  <c r="AS44" i="3"/>
  <c r="AS45" i="3" s="1"/>
  <c r="AR44" i="3"/>
  <c r="AR45" i="3" s="1"/>
  <c r="AQ44" i="3"/>
  <c r="AQ45" i="3" s="1"/>
  <c r="AP44" i="3"/>
  <c r="AP45" i="3" s="1"/>
  <c r="AN44" i="3"/>
  <c r="AN45" i="3" s="1"/>
  <c r="AM44" i="3"/>
  <c r="AM45" i="3" s="1"/>
  <c r="AL44" i="3"/>
  <c r="AL45" i="3" s="1"/>
  <c r="AK44" i="3"/>
  <c r="AK45" i="3" s="1"/>
  <c r="AI44" i="3"/>
  <c r="AI45" i="3" s="1"/>
  <c r="AH44" i="3"/>
  <c r="AH45" i="3" s="1"/>
  <c r="AG44" i="3"/>
  <c r="AG45" i="3" s="1"/>
  <c r="AF44" i="3"/>
  <c r="AF45" i="3" s="1"/>
  <c r="BI44" i="3" l="1"/>
  <c r="BI45" i="3" s="1"/>
  <c r="BX44" i="3"/>
  <c r="X91" i="16" s="1"/>
  <c r="O66" i="19"/>
  <c r="V149" i="19"/>
  <c r="W152" i="19" s="1"/>
  <c r="AA161" i="19"/>
  <c r="Z180" i="19"/>
  <c r="Z243" i="19" s="1"/>
  <c r="W161" i="19"/>
  <c r="X161" i="19" s="1"/>
  <c r="X220" i="19" s="1"/>
  <c r="W171" i="19"/>
  <c r="W230" i="19" s="1"/>
  <c r="W163" i="19"/>
  <c r="X163" i="19" s="1"/>
  <c r="Y163" i="19" s="1"/>
  <c r="Y222" i="19" s="1"/>
  <c r="W167" i="19"/>
  <c r="X167" i="19" s="1"/>
  <c r="Y167" i="19" s="1"/>
  <c r="Y226" i="19" s="1"/>
  <c r="W159" i="19"/>
  <c r="W218" i="19" s="1"/>
  <c r="W169" i="19"/>
  <c r="X169" i="19" s="1"/>
  <c r="Y169" i="19" s="1"/>
  <c r="Y228" i="19" s="1"/>
  <c r="AD42" i="19"/>
  <c r="AD112" i="19" s="1"/>
  <c r="AT44" i="3"/>
  <c r="AT45" i="3" s="1"/>
  <c r="BN44" i="3"/>
  <c r="BN45" i="3" s="1"/>
  <c r="CM88" i="3"/>
  <c r="BD44" i="3"/>
  <c r="BD45" i="3" s="1"/>
  <c r="CP80" i="2"/>
  <c r="CI99" i="2"/>
  <c r="CI118" i="2" s="1"/>
  <c r="CR99" i="2"/>
  <c r="CX77" i="2"/>
  <c r="CY77" i="2" s="1"/>
  <c r="CZ77" i="2" s="1"/>
  <c r="DA77" i="2" s="1"/>
  <c r="AY44" i="3"/>
  <c r="AY45" i="3" s="1"/>
  <c r="BW111" i="3"/>
  <c r="CH88" i="3"/>
  <c r="BO118" i="3"/>
  <c r="BS118" i="3" s="1"/>
  <c r="W82" i="16" s="1"/>
  <c r="W96" i="16" s="1"/>
  <c r="W99" i="16" s="1"/>
  <c r="W101" i="16" s="1"/>
  <c r="H21" i="32"/>
  <c r="I14" i="32"/>
  <c r="G11" i="32"/>
  <c r="AO118" i="2"/>
  <c r="J5" i="15"/>
  <c r="H4" i="15"/>
  <c r="G4" i="15" s="1"/>
  <c r="F4" i="15" s="1"/>
  <c r="E4" i="15" s="1"/>
  <c r="D4" i="15" s="1"/>
  <c r="C4" i="15" s="1"/>
  <c r="C8" i="15" s="1"/>
  <c r="J27" i="15"/>
  <c r="K14" i="15"/>
  <c r="M99" i="18"/>
  <c r="Q99" i="18"/>
  <c r="U99" i="18"/>
  <c r="Y99" i="18"/>
  <c r="H47" i="15"/>
  <c r="G47" i="15" s="1"/>
  <c r="F47" i="15" s="1"/>
  <c r="E47" i="15" s="1"/>
  <c r="D47" i="15" s="1"/>
  <c r="C47" i="15" s="1"/>
  <c r="C51" i="15" s="1"/>
  <c r="J48" i="15"/>
  <c r="K99" i="18"/>
  <c r="O99" i="18"/>
  <c r="S99" i="18"/>
  <c r="W99" i="18"/>
  <c r="R171" i="18"/>
  <c r="R176" i="18" s="1"/>
  <c r="V171" i="18"/>
  <c r="V176" i="18" s="1"/>
  <c r="Z171" i="18"/>
  <c r="Z56" i="16"/>
  <c r="Y74" i="19"/>
  <c r="T66" i="19"/>
  <c r="S136" i="19"/>
  <c r="S138" i="19" s="1"/>
  <c r="N275" i="19"/>
  <c r="O12" i="15"/>
  <c r="P12" i="15" s="1"/>
  <c r="Q12" i="15" s="1"/>
  <c r="R12" i="15" s="1"/>
  <c r="S12" i="15" s="1"/>
  <c r="T12" i="15" s="1"/>
  <c r="U12" i="15" s="1"/>
  <c r="V12" i="15" s="1"/>
  <c r="W12" i="15" s="1"/>
  <c r="X12" i="15" s="1"/>
  <c r="Y12" i="15" s="1"/>
  <c r="Z12" i="15" s="1"/>
  <c r="M12" i="15"/>
  <c r="I27" i="15"/>
  <c r="I39" i="15" s="1"/>
  <c r="I57" i="15" s="1"/>
  <c r="G43" i="15"/>
  <c r="D85" i="15"/>
  <c r="H85" i="15"/>
  <c r="E19" i="61"/>
  <c r="E21" i="61" s="1"/>
  <c r="E23" i="61" s="1"/>
  <c r="D42" i="22"/>
  <c r="D44" i="22" s="1"/>
  <c r="BT111" i="3"/>
  <c r="CC118" i="2"/>
  <c r="CH14" i="2"/>
  <c r="BS43" i="2"/>
  <c r="CA107" i="2"/>
  <c r="CC129" i="2"/>
  <c r="K176" i="18"/>
  <c r="S275" i="19"/>
  <c r="E18" i="22"/>
  <c r="E19" i="22" s="1"/>
  <c r="E21" i="22" s="1"/>
  <c r="D65" i="22"/>
  <c r="E65" i="22" s="1"/>
  <c r="J65" i="22" s="1"/>
  <c r="K65" i="22" s="1"/>
  <c r="L65" i="22" s="1"/>
  <c r="M65" i="22" s="1"/>
  <c r="N65" i="22" s="1"/>
  <c r="O65" i="22" s="1"/>
  <c r="P65" i="22" s="1"/>
  <c r="Q65" i="22" s="1"/>
  <c r="C75" i="22"/>
  <c r="C79" i="22"/>
  <c r="E135" i="22"/>
  <c r="BS26" i="2"/>
  <c r="CC26" i="2"/>
  <c r="BN43" i="2"/>
  <c r="CC43" i="2"/>
  <c r="CH43" i="2" s="1"/>
  <c r="Q66" i="19"/>
  <c r="BX78" i="3"/>
  <c r="CF111" i="3"/>
  <c r="BX22" i="2"/>
  <c r="CH15" i="2"/>
  <c r="CH141" i="2" s="1"/>
  <c r="BW54" i="2"/>
  <c r="AO64" i="2"/>
  <c r="I99" i="18"/>
  <c r="J136" i="18"/>
  <c r="J105" i="18" s="1"/>
  <c r="K105" i="18" s="1"/>
  <c r="L105" i="18" s="1"/>
  <c r="M105" i="18" s="1"/>
  <c r="N105" i="18" s="1"/>
  <c r="O105" i="18" s="1"/>
  <c r="P105" i="18" s="1"/>
  <c r="Q105" i="18" s="1"/>
  <c r="R105" i="18" s="1"/>
  <c r="S105" i="18" s="1"/>
  <c r="T105" i="18" s="1"/>
  <c r="U105" i="18" s="1"/>
  <c r="V105" i="18" s="1"/>
  <c r="W105" i="18" s="1"/>
  <c r="X105" i="18" s="1"/>
  <c r="Y105" i="18" s="1"/>
  <c r="Z105" i="18" s="1"/>
  <c r="AA105" i="18" s="1"/>
  <c r="AB105" i="18" s="1"/>
  <c r="AC105" i="18" s="1"/>
  <c r="AD105" i="18" s="1"/>
  <c r="AE105" i="18" s="1"/>
  <c r="AF105" i="18" s="1"/>
  <c r="AG105" i="18" s="1"/>
  <c r="AH105" i="18" s="1"/>
  <c r="AI105" i="18" s="1"/>
  <c r="AJ105" i="18" s="1"/>
  <c r="AK105" i="18" s="1"/>
  <c r="AL105" i="18" s="1"/>
  <c r="AM105" i="18" s="1"/>
  <c r="AN105" i="18" s="1"/>
  <c r="T156" i="18"/>
  <c r="T171" i="18"/>
  <c r="T176" i="18" s="1"/>
  <c r="K56" i="16"/>
  <c r="AB63" i="16"/>
  <c r="Y85" i="16"/>
  <c r="AC40" i="19"/>
  <c r="AC127" i="19" s="1"/>
  <c r="AD59" i="19"/>
  <c r="AD131" i="19" s="1"/>
  <c r="U136" i="19"/>
  <c r="U138" i="19" s="1"/>
  <c r="V275" i="19"/>
  <c r="V279" i="19" s="1"/>
  <c r="Z159" i="19"/>
  <c r="Z218" i="19" s="1"/>
  <c r="X176" i="19"/>
  <c r="Y176" i="19" s="1"/>
  <c r="Z178" i="19"/>
  <c r="AB186" i="19"/>
  <c r="AC186" i="19" s="1"/>
  <c r="AD186" i="19" s="1"/>
  <c r="Y189" i="19"/>
  <c r="Y248" i="19" s="1"/>
  <c r="Y213" i="19"/>
  <c r="G14" i="15"/>
  <c r="G27" i="15" s="1"/>
  <c r="G39" i="15" s="1"/>
  <c r="G57" i="15" s="1"/>
  <c r="E43" i="15"/>
  <c r="I43" i="15"/>
  <c r="D23" i="22"/>
  <c r="D24" i="22" s="1"/>
  <c r="D66" i="22"/>
  <c r="CD111" i="3"/>
  <c r="BX72" i="3"/>
  <c r="CE111" i="3"/>
  <c r="BI26" i="2"/>
  <c r="BI43" i="2"/>
  <c r="BX43" i="2"/>
  <c r="AE4" i="18"/>
  <c r="AB26" i="18"/>
  <c r="BU111" i="3"/>
  <c r="X99" i="16"/>
  <c r="X101" i="16" s="1"/>
  <c r="BS7" i="2"/>
  <c r="BS139" i="2" s="1"/>
  <c r="AY11" i="2"/>
  <c r="BS22" i="2"/>
  <c r="CC22" i="2"/>
  <c r="CH22" i="2" s="1"/>
  <c r="CR22" i="2" s="1"/>
  <c r="CH10" i="2"/>
  <c r="F16" i="18"/>
  <c r="F39" i="18" s="1"/>
  <c r="F38" i="18"/>
  <c r="Q91" i="18"/>
  <c r="M31" i="18"/>
  <c r="M38" i="18" s="1"/>
  <c r="P156" i="18"/>
  <c r="X156" i="18"/>
  <c r="L171" i="18"/>
  <c r="P171" i="18"/>
  <c r="X171" i="18"/>
  <c r="Z101" i="16"/>
  <c r="S99" i="16"/>
  <c r="AC28" i="19"/>
  <c r="AC86" i="19" s="1"/>
  <c r="Y64" i="19"/>
  <c r="BX66" i="3"/>
  <c r="BX63" i="3" s="1"/>
  <c r="P7" i="2"/>
  <c r="BD7" i="2"/>
  <c r="BD139" i="2" s="1"/>
  <c r="U11" i="2"/>
  <c r="AJ11" i="2"/>
  <c r="BI11" i="2"/>
  <c r="BX11" i="2"/>
  <c r="BX140" i="2" s="1"/>
  <c r="Z15" i="2"/>
  <c r="BN15" i="2"/>
  <c r="AY19" i="2"/>
  <c r="BN22" i="2"/>
  <c r="AY23" i="2"/>
  <c r="BD31" i="2"/>
  <c r="BD122" i="2" s="1"/>
  <c r="BS23" i="2"/>
  <c r="BI38" i="2"/>
  <c r="BN38" i="2"/>
  <c r="BS38" i="2"/>
  <c r="BX38" i="2"/>
  <c r="CC38" i="2"/>
  <c r="BD40" i="2"/>
  <c r="BD124" i="2" s="1"/>
  <c r="BI40" i="2"/>
  <c r="BI124" i="2" s="1"/>
  <c r="BI48" i="2"/>
  <c r="BN48" i="2"/>
  <c r="BS48" i="2"/>
  <c r="BX48" i="2"/>
  <c r="CH54" i="2"/>
  <c r="AT64" i="2"/>
  <c r="BX64" i="2"/>
  <c r="CO80" i="2"/>
  <c r="CQ80" i="2" s="1"/>
  <c r="G38" i="18"/>
  <c r="G39" i="18" s="1"/>
  <c r="M55" i="18"/>
  <c r="Q55" i="18"/>
  <c r="U55" i="18"/>
  <c r="O139" i="18"/>
  <c r="S139" i="18"/>
  <c r="Z47" i="18"/>
  <c r="J95" i="18"/>
  <c r="J99" i="18" s="1"/>
  <c r="Z98" i="18"/>
  <c r="Z99" i="18" s="1"/>
  <c r="P137" i="18"/>
  <c r="T137" i="18"/>
  <c r="X137" i="18"/>
  <c r="M156" i="18"/>
  <c r="Q156" i="18"/>
  <c r="U156" i="18"/>
  <c r="Y156" i="18"/>
  <c r="M171" i="18"/>
  <c r="M176" i="18" s="1"/>
  <c r="Q171" i="18"/>
  <c r="U171" i="18"/>
  <c r="Y171" i="18"/>
  <c r="L175" i="18"/>
  <c r="P175" i="18"/>
  <c r="T175" i="18"/>
  <c r="M175" i="18"/>
  <c r="Q175" i="18"/>
  <c r="U175" i="18"/>
  <c r="K175" i="18"/>
  <c r="L56" i="16"/>
  <c r="D32" i="16"/>
  <c r="E32" i="16"/>
  <c r="AA58" i="16"/>
  <c r="N85" i="16"/>
  <c r="V85" i="16"/>
  <c r="Z85" i="16"/>
  <c r="U99" i="16"/>
  <c r="T99" i="16"/>
  <c r="AC45" i="19"/>
  <c r="AC129" i="19" s="1"/>
  <c r="Z48" i="19"/>
  <c r="M66" i="19"/>
  <c r="S66" i="19"/>
  <c r="R65" i="19"/>
  <c r="R66" i="19" s="1"/>
  <c r="X171" i="19"/>
  <c r="W165" i="19"/>
  <c r="X165" i="19" s="1"/>
  <c r="Y165" i="19" s="1"/>
  <c r="Y224" i="19" s="1"/>
  <c r="W173" i="19"/>
  <c r="Z193" i="19"/>
  <c r="Z252" i="19" s="1"/>
  <c r="T275" i="19"/>
  <c r="L55" i="15"/>
  <c r="M55" i="15" s="1"/>
  <c r="O55" i="15" s="1"/>
  <c r="P55" i="15" s="1"/>
  <c r="Q55" i="15" s="1"/>
  <c r="R55" i="15" s="1"/>
  <c r="D19" i="61"/>
  <c r="D21" i="61" s="1"/>
  <c r="D23" i="61" s="1"/>
  <c r="C14" i="22"/>
  <c r="E64" i="22"/>
  <c r="D75" i="22"/>
  <c r="D79" i="22"/>
  <c r="E133" i="22"/>
  <c r="J133" i="22" s="1"/>
  <c r="J134" i="22" s="1"/>
  <c r="F134" i="22" s="1"/>
  <c r="G134" i="22" s="1"/>
  <c r="H134" i="22" s="1"/>
  <c r="I134" i="22" s="1"/>
  <c r="C138" i="22"/>
  <c r="U85" i="16"/>
  <c r="D41" i="67"/>
  <c r="CR72" i="2"/>
  <c r="CW72" i="2" s="1"/>
  <c r="DB72" i="2" s="1"/>
  <c r="DG72" i="2" s="1"/>
  <c r="DL72" i="2" s="1"/>
  <c r="DQ72" i="2" s="1"/>
  <c r="DV72" i="2" s="1"/>
  <c r="EA72" i="2" s="1"/>
  <c r="EF72" i="2" s="1"/>
  <c r="EK72" i="2" s="1"/>
  <c r="EP72" i="2" s="1"/>
  <c r="EU72" i="2" s="1"/>
  <c r="EZ72" i="2" s="1"/>
  <c r="CM64" i="2"/>
  <c r="CC44" i="3"/>
  <c r="Y91" i="16" s="1"/>
  <c r="BX53" i="3"/>
  <c r="BS74" i="3"/>
  <c r="M24" i="61"/>
  <c r="G24" i="61"/>
  <c r="F149" i="25"/>
  <c r="E149" i="25"/>
  <c r="G149" i="25"/>
  <c r="G29" i="25"/>
  <c r="I29" i="25"/>
  <c r="C65" i="25"/>
  <c r="E65" i="25"/>
  <c r="G65" i="25"/>
  <c r="D73" i="25"/>
  <c r="F73" i="25"/>
  <c r="H73" i="25"/>
  <c r="J73" i="25"/>
  <c r="L73" i="25"/>
  <c r="N73" i="25"/>
  <c r="P73" i="25"/>
  <c r="R73" i="25"/>
  <c r="T73" i="25"/>
  <c r="V73" i="25"/>
  <c r="X73" i="25"/>
  <c r="F81" i="25"/>
  <c r="J81" i="25"/>
  <c r="N81" i="25"/>
  <c r="R81" i="25"/>
  <c r="V81" i="25"/>
  <c r="F124" i="25"/>
  <c r="F138" i="25" s="1"/>
  <c r="H124" i="25"/>
  <c r="G135" i="25"/>
  <c r="I135" i="25"/>
  <c r="D160" i="25"/>
  <c r="F29" i="25"/>
  <c r="F43" i="25" s="1"/>
  <c r="H29" i="25"/>
  <c r="D65" i="25"/>
  <c r="F65" i="25"/>
  <c r="C73" i="25"/>
  <c r="E73" i="25"/>
  <c r="G73" i="25"/>
  <c r="I73" i="25"/>
  <c r="K73" i="25"/>
  <c r="M73" i="25"/>
  <c r="O73" i="25"/>
  <c r="Q73" i="25"/>
  <c r="S73" i="25"/>
  <c r="U73" i="25"/>
  <c r="W73" i="25"/>
  <c r="G124" i="25"/>
  <c r="I124" i="25"/>
  <c r="C160" i="25"/>
  <c r="S31" i="67"/>
  <c r="CX24" i="2" s="1"/>
  <c r="I36" i="67"/>
  <c r="BC31" i="67"/>
  <c r="EH24" i="2" s="1"/>
  <c r="AS36" i="67"/>
  <c r="AK31" i="67"/>
  <c r="DP24" i="2" s="1"/>
  <c r="BJ36" i="67"/>
  <c r="BT31" i="67"/>
  <c r="EY24" i="2" s="1"/>
  <c r="AA36" i="67"/>
  <c r="BU31" i="67"/>
  <c r="BA31" i="67"/>
  <c r="AG31" i="67"/>
  <c r="M31" i="67"/>
  <c r="CH63" i="3"/>
  <c r="CC53" i="3"/>
  <c r="CC58" i="3"/>
  <c r="CH44" i="3"/>
  <c r="CE44" i="3" s="1"/>
  <c r="BS72" i="3"/>
  <c r="M60" i="18"/>
  <c r="Q60" i="18"/>
  <c r="U60" i="18"/>
  <c r="O62" i="18"/>
  <c r="S62" i="18"/>
  <c r="M64" i="18"/>
  <c r="Q64" i="18"/>
  <c r="U64" i="18"/>
  <c r="O66" i="18"/>
  <c r="S66" i="18"/>
  <c r="Y57" i="16"/>
  <c r="Y59" i="16" s="1"/>
  <c r="W85" i="16"/>
  <c r="K78" i="18"/>
  <c r="O78" i="18"/>
  <c r="S78" i="18"/>
  <c r="Z57" i="16"/>
  <c r="Z59" i="16" s="1"/>
  <c r="Z60" i="16" s="1"/>
  <c r="X85" i="16"/>
  <c r="X94" i="16"/>
  <c r="O60" i="18"/>
  <c r="S60" i="18"/>
  <c r="M62" i="18"/>
  <c r="Q62" i="18"/>
  <c r="U62" i="18"/>
  <c r="O64" i="18"/>
  <c r="S64" i="18"/>
  <c r="M66" i="18"/>
  <c r="Q66" i="18"/>
  <c r="U66" i="18"/>
  <c r="X87" i="16"/>
  <c r="Y86" i="16" s="1"/>
  <c r="Y87" i="16" s="1"/>
  <c r="Z86" i="16" s="1"/>
  <c r="Z87" i="16" s="1"/>
  <c r="AA86" i="16" s="1"/>
  <c r="BX58" i="3"/>
  <c r="CC63" i="3"/>
  <c r="U91" i="16"/>
  <c r="R91" i="16"/>
  <c r="V91" i="16"/>
  <c r="S91" i="16"/>
  <c r="CH53" i="3"/>
  <c r="CH58" i="3"/>
  <c r="T91" i="16"/>
  <c r="T31" i="67"/>
  <c r="CY24" i="2" s="1"/>
  <c r="AL31" i="67"/>
  <c r="BD31" i="67"/>
  <c r="EI24" i="2" s="1"/>
  <c r="M36" i="67"/>
  <c r="AG36" i="67"/>
  <c r="DL28" i="2" s="1"/>
  <c r="DL29" i="2" s="1"/>
  <c r="DL27" i="2" s="1"/>
  <c r="DL121" i="2" s="1"/>
  <c r="BA36" i="67"/>
  <c r="EF28" i="2" s="1"/>
  <c r="BU36" i="67"/>
  <c r="EZ28" i="2" s="1"/>
  <c r="O36" i="67"/>
  <c r="AF36" i="67"/>
  <c r="AX36" i="67"/>
  <c r="BP36" i="67"/>
  <c r="EU28" i="2" s="1"/>
  <c r="D46" i="67"/>
  <c r="J31" i="67"/>
  <c r="CO24" i="2" s="1"/>
  <c r="AB31" i="67"/>
  <c r="AT31" i="67"/>
  <c r="DY24" i="2" s="1"/>
  <c r="BL31" i="67"/>
  <c r="EQ24" i="2" s="1"/>
  <c r="R36" i="67"/>
  <c r="CW28" i="2" s="1"/>
  <c r="CW29" i="2" s="1"/>
  <c r="CW27" i="2" s="1"/>
  <c r="CW121" i="2" s="1"/>
  <c r="AJ36" i="67"/>
  <c r="BB36" i="67"/>
  <c r="BS36" i="67"/>
  <c r="K31" i="67"/>
  <c r="CP24" i="2" s="1"/>
  <c r="AC31" i="67"/>
  <c r="DH24" i="2" s="1"/>
  <c r="AU31" i="67"/>
  <c r="DZ24" i="2" s="1"/>
  <c r="BM31" i="67"/>
  <c r="ER24" i="2" s="1"/>
  <c r="F36" i="67"/>
  <c r="X36" i="67"/>
  <c r="AO36" i="67"/>
  <c r="BG36" i="67"/>
  <c r="F31" i="67"/>
  <c r="O31" i="67"/>
  <c r="CT24" i="2" s="1"/>
  <c r="X31" i="67"/>
  <c r="DC24" i="2" s="1"/>
  <c r="AF31" i="67"/>
  <c r="DK24" i="2" s="1"/>
  <c r="AO31" i="67"/>
  <c r="DT24" i="2" s="1"/>
  <c r="AX31" i="67"/>
  <c r="EC24" i="2" s="1"/>
  <c r="BG31" i="67"/>
  <c r="EL24" i="2" s="1"/>
  <c r="BP31" i="67"/>
  <c r="J36" i="67"/>
  <c r="CO28" i="2" s="1"/>
  <c r="CO29" i="2" s="1"/>
  <c r="CO27" i="2" s="1"/>
  <c r="CO121" i="2" s="1"/>
  <c r="S36" i="67"/>
  <c r="AB36" i="67"/>
  <c r="DG28" i="2" s="1"/>
  <c r="DG29" i="2" s="1"/>
  <c r="DG27" i="2" s="1"/>
  <c r="DG121" i="2" s="1"/>
  <c r="AK36" i="67"/>
  <c r="AT36" i="67"/>
  <c r="BC36" i="67"/>
  <c r="BL36" i="67"/>
  <c r="BT36" i="67"/>
  <c r="G31" i="67"/>
  <c r="P31" i="67"/>
  <c r="CU24" i="2" s="1"/>
  <c r="Y31" i="67"/>
  <c r="DD24" i="2" s="1"/>
  <c r="AH31" i="67"/>
  <c r="DM24" i="2" s="1"/>
  <c r="AP31" i="67"/>
  <c r="DU24" i="2" s="1"/>
  <c r="AY31" i="67"/>
  <c r="ED24" i="2" s="1"/>
  <c r="BH31" i="67"/>
  <c r="EM24" i="2" s="1"/>
  <c r="BQ31" i="67"/>
  <c r="EV24" i="2" s="1"/>
  <c r="E36" i="67"/>
  <c r="N36" i="67"/>
  <c r="V36" i="67"/>
  <c r="AE36" i="67"/>
  <c r="AN36" i="67"/>
  <c r="AW36" i="67"/>
  <c r="BF36" i="67"/>
  <c r="EK28" i="2" s="1"/>
  <c r="BO36" i="67"/>
  <c r="W31" i="67"/>
  <c r="AQ31" i="67"/>
  <c r="BK31" i="67"/>
  <c r="D31" i="67"/>
  <c r="H31" i="67"/>
  <c r="L31" i="67"/>
  <c r="CQ24" i="2" s="1"/>
  <c r="Q31" i="67"/>
  <c r="CV24" i="2" s="1"/>
  <c r="U31" i="67"/>
  <c r="CZ24" i="2" s="1"/>
  <c r="Z31" i="67"/>
  <c r="DE24" i="2" s="1"/>
  <c r="AD31" i="67"/>
  <c r="DI24" i="2" s="1"/>
  <c r="AI31" i="67"/>
  <c r="DN24" i="2" s="1"/>
  <c r="AM31" i="67"/>
  <c r="DR24" i="2" s="1"/>
  <c r="AR31" i="67"/>
  <c r="DW24" i="2" s="1"/>
  <c r="AV31" i="67"/>
  <c r="AZ31" i="67"/>
  <c r="EE24" i="2" s="1"/>
  <c r="BE31" i="67"/>
  <c r="EJ24" i="2" s="1"/>
  <c r="BI31" i="67"/>
  <c r="EN24" i="2" s="1"/>
  <c r="BN31" i="67"/>
  <c r="ES24" i="2" s="1"/>
  <c r="BR31" i="67"/>
  <c r="EW24" i="2" s="1"/>
  <c r="G36" i="67"/>
  <c r="K36" i="67"/>
  <c r="CP28" i="2" s="1"/>
  <c r="CP29" i="2" s="1"/>
  <c r="CP27" i="2" s="1"/>
  <c r="CP121" i="2" s="1"/>
  <c r="P36" i="67"/>
  <c r="T36" i="67"/>
  <c r="Y36" i="67"/>
  <c r="AC36" i="67"/>
  <c r="AH36" i="67"/>
  <c r="AL36" i="67"/>
  <c r="DQ28" i="2" s="1"/>
  <c r="DQ29" i="2" s="1"/>
  <c r="DQ27" i="2" s="1"/>
  <c r="DQ121" i="2" s="1"/>
  <c r="AP36" i="67"/>
  <c r="AU36" i="67"/>
  <c r="AY36" i="67"/>
  <c r="BD36" i="67"/>
  <c r="BH36" i="67"/>
  <c r="BM36" i="67"/>
  <c r="BQ36" i="67"/>
  <c r="D51" i="67"/>
  <c r="E31" i="67"/>
  <c r="I31" i="67"/>
  <c r="N31" i="67"/>
  <c r="CS24" i="2" s="1"/>
  <c r="R31" i="67"/>
  <c r="V31" i="67"/>
  <c r="DA24" i="2" s="1"/>
  <c r="AA31" i="67"/>
  <c r="DF24" i="2" s="1"/>
  <c r="AE31" i="67"/>
  <c r="DJ24" i="2" s="1"/>
  <c r="AJ31" i="67"/>
  <c r="DO24" i="2" s="1"/>
  <c r="AN31" i="67"/>
  <c r="DS24" i="2" s="1"/>
  <c r="AS31" i="67"/>
  <c r="DX24" i="2" s="1"/>
  <c r="AW31" i="67"/>
  <c r="EB24" i="2" s="1"/>
  <c r="BB31" i="67"/>
  <c r="EG24" i="2" s="1"/>
  <c r="BF31" i="67"/>
  <c r="BJ31" i="67"/>
  <c r="EO24" i="2" s="1"/>
  <c r="BO31" i="67"/>
  <c r="ET24" i="2" s="1"/>
  <c r="BS31" i="67"/>
  <c r="EX24" i="2" s="1"/>
  <c r="W36" i="67"/>
  <c r="DB28" i="2" s="1"/>
  <c r="DB29" i="2" s="1"/>
  <c r="DB27" i="2" s="1"/>
  <c r="DB121" i="2" s="1"/>
  <c r="AQ36" i="67"/>
  <c r="DV28" i="2" s="1"/>
  <c r="BK36" i="67"/>
  <c r="EP28" i="2" s="1"/>
  <c r="EP29" i="2" s="1"/>
  <c r="EP27" i="2" s="1"/>
  <c r="EP121" i="2" s="1"/>
  <c r="D36" i="67"/>
  <c r="H36" i="67"/>
  <c r="L36" i="67"/>
  <c r="CQ28" i="2" s="1"/>
  <c r="Q36" i="67"/>
  <c r="U36" i="67"/>
  <c r="Z36" i="67"/>
  <c r="AD36" i="67"/>
  <c r="AI36" i="67"/>
  <c r="AM36" i="67"/>
  <c r="AR36" i="67"/>
  <c r="AV36" i="67"/>
  <c r="EA28" i="2" s="1"/>
  <c r="AZ36" i="67"/>
  <c r="BE36" i="67"/>
  <c r="BI36" i="67"/>
  <c r="BN36" i="67"/>
  <c r="BR36" i="67"/>
  <c r="F24" i="61"/>
  <c r="F13" i="61"/>
  <c r="N24" i="61"/>
  <c r="M13" i="61"/>
  <c r="D56" i="67"/>
  <c r="J24" i="61"/>
  <c r="C13" i="61"/>
  <c r="G13" i="61"/>
  <c r="O13" i="61"/>
  <c r="H13" i="61"/>
  <c r="L13" i="61"/>
  <c r="P13" i="61"/>
  <c r="C24" i="61"/>
  <c r="C28" i="61" s="1"/>
  <c r="K24" i="61"/>
  <c r="P24" i="61"/>
  <c r="O24" i="61"/>
  <c r="S24" i="61"/>
  <c r="D13" i="61"/>
  <c r="I13" i="61"/>
  <c r="Q13" i="61"/>
  <c r="D24" i="61"/>
  <c r="D28" i="61" s="1"/>
  <c r="H24" i="61"/>
  <c r="L24" i="61"/>
  <c r="R24" i="61"/>
  <c r="E13" i="61"/>
  <c r="K13" i="61"/>
  <c r="S13" i="61"/>
  <c r="J13" i="61"/>
  <c r="N13" i="61"/>
  <c r="R13" i="61"/>
  <c r="E24" i="61"/>
  <c r="E28" i="61" s="1"/>
  <c r="I24" i="61"/>
  <c r="Q24" i="61"/>
  <c r="C26" i="22"/>
  <c r="E24" i="22"/>
  <c r="C46" i="22"/>
  <c r="C47" i="22" s="1"/>
  <c r="C37" i="22"/>
  <c r="D8" i="22"/>
  <c r="J11" i="22"/>
  <c r="E13" i="22"/>
  <c r="E89" i="22" s="1"/>
  <c r="J18" i="22"/>
  <c r="E32" i="22"/>
  <c r="D35" i="22"/>
  <c r="E41" i="22"/>
  <c r="C68" i="22"/>
  <c r="J76" i="22"/>
  <c r="E75" i="22"/>
  <c r="J80" i="22"/>
  <c r="E79" i="22"/>
  <c r="J103" i="22"/>
  <c r="K101" i="22"/>
  <c r="D63" i="22"/>
  <c r="D68" i="22" s="1"/>
  <c r="E61" i="22"/>
  <c r="E66" i="22"/>
  <c r="J64" i="22"/>
  <c r="K87" i="22"/>
  <c r="L85" i="22"/>
  <c r="K102" i="22"/>
  <c r="O109" i="22"/>
  <c r="F133" i="22"/>
  <c r="G133" i="22" s="1"/>
  <c r="H133" i="22" s="1"/>
  <c r="I133" i="22" s="1"/>
  <c r="D137" i="22"/>
  <c r="D138" i="22" s="1"/>
  <c r="K133" i="22"/>
  <c r="E134" i="22"/>
  <c r="J135" i="22"/>
  <c r="E136" i="22"/>
  <c r="G142" i="22"/>
  <c r="I142" i="22"/>
  <c r="K142" i="22"/>
  <c r="P149" i="22"/>
  <c r="F3" i="61"/>
  <c r="C8" i="61"/>
  <c r="C10" i="61" s="1"/>
  <c r="C12" i="61" s="1"/>
  <c r="D5" i="61"/>
  <c r="O39" i="61"/>
  <c r="E35" i="61"/>
  <c r="J35" i="61"/>
  <c r="E41" i="61"/>
  <c r="J41" i="61"/>
  <c r="J29" i="25"/>
  <c r="X156" i="25"/>
  <c r="V156" i="25"/>
  <c r="T156" i="25"/>
  <c r="R156" i="25"/>
  <c r="P156" i="25"/>
  <c r="N156" i="25"/>
  <c r="L156" i="25"/>
  <c r="J156" i="25"/>
  <c r="W146" i="25"/>
  <c r="W149" i="25" s="1"/>
  <c r="U146" i="25"/>
  <c r="U149" i="25" s="1"/>
  <c r="S146" i="25"/>
  <c r="S149" i="25" s="1"/>
  <c r="Q146" i="25"/>
  <c r="Q149" i="25" s="1"/>
  <c r="O146" i="25"/>
  <c r="O149" i="25" s="1"/>
  <c r="M146" i="25"/>
  <c r="M149" i="25" s="1"/>
  <c r="K146" i="25"/>
  <c r="K149" i="25" s="1"/>
  <c r="I146" i="25"/>
  <c r="I149" i="25" s="1"/>
  <c r="W156" i="25"/>
  <c r="U156" i="25"/>
  <c r="S156" i="25"/>
  <c r="Q156" i="25"/>
  <c r="O156" i="25"/>
  <c r="M156" i="25"/>
  <c r="K156" i="25"/>
  <c r="I156" i="25"/>
  <c r="X146" i="25"/>
  <c r="X149" i="25" s="1"/>
  <c r="V146" i="25"/>
  <c r="V149" i="25" s="1"/>
  <c r="T146" i="25"/>
  <c r="T149" i="25" s="1"/>
  <c r="R146" i="25"/>
  <c r="R149" i="25" s="1"/>
  <c r="P146" i="25"/>
  <c r="P149" i="25" s="1"/>
  <c r="N146" i="25"/>
  <c r="N149" i="25" s="1"/>
  <c r="L146" i="25"/>
  <c r="L149" i="25" s="1"/>
  <c r="J146" i="25"/>
  <c r="J149" i="25" s="1"/>
  <c r="H146" i="25"/>
  <c r="X130" i="25"/>
  <c r="V130" i="25"/>
  <c r="T130" i="25"/>
  <c r="R130" i="25"/>
  <c r="P130" i="25"/>
  <c r="N130" i="25"/>
  <c r="L130" i="25"/>
  <c r="W110" i="25"/>
  <c r="W112" i="25" s="1"/>
  <c r="W123" i="25" s="1"/>
  <c r="W124" i="25" s="1"/>
  <c r="U110" i="25"/>
  <c r="U112" i="25" s="1"/>
  <c r="U123" i="25" s="1"/>
  <c r="U124" i="25" s="1"/>
  <c r="S110" i="25"/>
  <c r="S112" i="25" s="1"/>
  <c r="S123" i="25" s="1"/>
  <c r="S124" i="25" s="1"/>
  <c r="Q110" i="25"/>
  <c r="Q112" i="25" s="1"/>
  <c r="Q123" i="25" s="1"/>
  <c r="Q124" i="25" s="1"/>
  <c r="O110" i="25"/>
  <c r="O112" i="25" s="1"/>
  <c r="O123" i="25" s="1"/>
  <c r="O124" i="25" s="1"/>
  <c r="M110" i="25"/>
  <c r="M112" i="25" s="1"/>
  <c r="M123" i="25" s="1"/>
  <c r="M124" i="25" s="1"/>
  <c r="K110" i="25"/>
  <c r="K112" i="25" s="1"/>
  <c r="K123" i="25" s="1"/>
  <c r="K124" i="25" s="1"/>
  <c r="W130" i="25"/>
  <c r="U130" i="25"/>
  <c r="S130" i="25"/>
  <c r="Q130" i="25"/>
  <c r="O130" i="25"/>
  <c r="M130" i="25"/>
  <c r="K130" i="25"/>
  <c r="X110" i="25"/>
  <c r="X112" i="25" s="1"/>
  <c r="X123" i="25" s="1"/>
  <c r="X124" i="25" s="1"/>
  <c r="V110" i="25"/>
  <c r="V112" i="25" s="1"/>
  <c r="V123" i="25" s="1"/>
  <c r="V124" i="25" s="1"/>
  <c r="T110" i="25"/>
  <c r="T112" i="25" s="1"/>
  <c r="T123" i="25" s="1"/>
  <c r="T124" i="25" s="1"/>
  <c r="R110" i="25"/>
  <c r="R112" i="25" s="1"/>
  <c r="R123" i="25" s="1"/>
  <c r="R124" i="25" s="1"/>
  <c r="P110" i="25"/>
  <c r="P112" i="25" s="1"/>
  <c r="P123" i="25" s="1"/>
  <c r="P124" i="25" s="1"/>
  <c r="N110" i="25"/>
  <c r="N112" i="25" s="1"/>
  <c r="N123" i="25" s="1"/>
  <c r="N124" i="25" s="1"/>
  <c r="L110" i="25"/>
  <c r="L112" i="25" s="1"/>
  <c r="L123" i="25" s="1"/>
  <c r="L124" i="25" s="1"/>
  <c r="X61" i="25"/>
  <c r="V61" i="25"/>
  <c r="T61" i="25"/>
  <c r="R61" i="25"/>
  <c r="P61" i="25"/>
  <c r="N61" i="25"/>
  <c r="L61" i="25"/>
  <c r="J61" i="25"/>
  <c r="W51" i="25"/>
  <c r="W54" i="25" s="1"/>
  <c r="U51" i="25"/>
  <c r="U54" i="25" s="1"/>
  <c r="S51" i="25"/>
  <c r="S54" i="25" s="1"/>
  <c r="Q51" i="25"/>
  <c r="Q54" i="25" s="1"/>
  <c r="O51" i="25"/>
  <c r="O54" i="25" s="1"/>
  <c r="M51" i="25"/>
  <c r="M54" i="25" s="1"/>
  <c r="K51" i="25"/>
  <c r="K54" i="25" s="1"/>
  <c r="I51" i="25"/>
  <c r="I54" i="25" s="1"/>
  <c r="X35" i="25"/>
  <c r="V35" i="25"/>
  <c r="T35" i="25"/>
  <c r="R35" i="25"/>
  <c r="P35" i="25"/>
  <c r="N35" i="25"/>
  <c r="L35" i="25"/>
  <c r="W61" i="25"/>
  <c r="U61" i="25"/>
  <c r="S61" i="25"/>
  <c r="Q61" i="25"/>
  <c r="O61" i="25"/>
  <c r="M61" i="25"/>
  <c r="K61" i="25"/>
  <c r="I61" i="25"/>
  <c r="X51" i="25"/>
  <c r="X54" i="25" s="1"/>
  <c r="V51" i="25"/>
  <c r="V54" i="25" s="1"/>
  <c r="T51" i="25"/>
  <c r="T54" i="25" s="1"/>
  <c r="R51" i="25"/>
  <c r="R54" i="25" s="1"/>
  <c r="P51" i="25"/>
  <c r="P54" i="25" s="1"/>
  <c r="N51" i="25"/>
  <c r="N54" i="25" s="1"/>
  <c r="L51" i="25"/>
  <c r="L54" i="25" s="1"/>
  <c r="J51" i="25"/>
  <c r="J54" i="25" s="1"/>
  <c r="H51" i="25"/>
  <c r="W35" i="25"/>
  <c r="U35" i="25"/>
  <c r="S35" i="25"/>
  <c r="Q35" i="25"/>
  <c r="O35" i="25"/>
  <c r="M35" i="25"/>
  <c r="K35" i="25"/>
  <c r="L15" i="25"/>
  <c r="L17" i="25" s="1"/>
  <c r="L28" i="25" s="1"/>
  <c r="L29" i="25" s="1"/>
  <c r="N15" i="25"/>
  <c r="N17" i="25" s="1"/>
  <c r="N28" i="25" s="1"/>
  <c r="N29" i="25" s="1"/>
  <c r="P15" i="25"/>
  <c r="P17" i="25" s="1"/>
  <c r="P28" i="25" s="1"/>
  <c r="P29" i="25" s="1"/>
  <c r="R15" i="25"/>
  <c r="R17" i="25" s="1"/>
  <c r="R28" i="25" s="1"/>
  <c r="R29" i="25" s="1"/>
  <c r="T15" i="25"/>
  <c r="T17" i="25" s="1"/>
  <c r="T28" i="25" s="1"/>
  <c r="T29" i="25" s="1"/>
  <c r="V15" i="25"/>
  <c r="V17" i="25" s="1"/>
  <c r="V28" i="25" s="1"/>
  <c r="V29" i="25" s="1"/>
  <c r="X15" i="25"/>
  <c r="X17" i="25" s="1"/>
  <c r="X28" i="25" s="1"/>
  <c r="X29" i="25" s="1"/>
  <c r="G40" i="25"/>
  <c r="I40" i="25"/>
  <c r="I41" i="25" s="1"/>
  <c r="I43" i="25" s="1"/>
  <c r="K15" i="25"/>
  <c r="K17" i="25" s="1"/>
  <c r="K28" i="25" s="1"/>
  <c r="K29" i="25" s="1"/>
  <c r="M15" i="25"/>
  <c r="M17" i="25" s="1"/>
  <c r="M28" i="25" s="1"/>
  <c r="M29" i="25" s="1"/>
  <c r="O15" i="25"/>
  <c r="O17" i="25" s="1"/>
  <c r="O28" i="25" s="1"/>
  <c r="O29" i="25" s="1"/>
  <c r="Q15" i="25"/>
  <c r="Q17" i="25" s="1"/>
  <c r="Q28" i="25" s="1"/>
  <c r="Q29" i="25" s="1"/>
  <c r="S15" i="25"/>
  <c r="S17" i="25" s="1"/>
  <c r="S28" i="25" s="1"/>
  <c r="S29" i="25" s="1"/>
  <c r="U15" i="25"/>
  <c r="U17" i="25" s="1"/>
  <c r="U28" i="25" s="1"/>
  <c r="U29" i="25" s="1"/>
  <c r="W15" i="25"/>
  <c r="W17" i="25" s="1"/>
  <c r="W28" i="25" s="1"/>
  <c r="W29" i="25" s="1"/>
  <c r="H40" i="25"/>
  <c r="H41" i="25" s="1"/>
  <c r="H43" i="25" s="1"/>
  <c r="J40" i="25"/>
  <c r="C54" i="25"/>
  <c r="E54" i="25"/>
  <c r="G54" i="25"/>
  <c r="C70" i="25"/>
  <c r="E70" i="25"/>
  <c r="G70" i="25"/>
  <c r="I70" i="25"/>
  <c r="K70" i="25"/>
  <c r="M70" i="25"/>
  <c r="O70" i="25"/>
  <c r="Q70" i="25"/>
  <c r="S70" i="25"/>
  <c r="U70" i="25"/>
  <c r="W70" i="25"/>
  <c r="R78" i="25"/>
  <c r="V78" i="25"/>
  <c r="D81" i="25"/>
  <c r="H81" i="25"/>
  <c r="L81" i="25"/>
  <c r="P81" i="25"/>
  <c r="T81" i="25"/>
  <c r="X81" i="25"/>
  <c r="D54" i="25"/>
  <c r="F54" i="25"/>
  <c r="D70" i="25"/>
  <c r="F70" i="25"/>
  <c r="H70" i="25"/>
  <c r="J70" i="25"/>
  <c r="L70" i="25"/>
  <c r="N70" i="25"/>
  <c r="P70" i="25"/>
  <c r="R70" i="25"/>
  <c r="T70" i="25"/>
  <c r="V70" i="25"/>
  <c r="X70" i="25"/>
  <c r="C81" i="25"/>
  <c r="E81" i="25"/>
  <c r="G81" i="25"/>
  <c r="I81" i="25"/>
  <c r="K81" i="25"/>
  <c r="M81" i="25"/>
  <c r="O81" i="25"/>
  <c r="Q81" i="25"/>
  <c r="Q78" i="25"/>
  <c r="S81" i="25"/>
  <c r="S78" i="25"/>
  <c r="U81" i="25"/>
  <c r="U78" i="25"/>
  <c r="W81" i="25"/>
  <c r="W78" i="25"/>
  <c r="F78" i="25"/>
  <c r="J78" i="25"/>
  <c r="N78" i="25"/>
  <c r="J124" i="25"/>
  <c r="J195" i="25"/>
  <c r="H135" i="25"/>
  <c r="J135" i="25"/>
  <c r="C149" i="25"/>
  <c r="F160" i="25"/>
  <c r="D168" i="25"/>
  <c r="F168" i="25"/>
  <c r="H168" i="25"/>
  <c r="J168" i="25"/>
  <c r="L168" i="25"/>
  <c r="N168" i="25"/>
  <c r="P168" i="25"/>
  <c r="R168" i="25"/>
  <c r="T168" i="25"/>
  <c r="V168" i="25"/>
  <c r="X168" i="25"/>
  <c r="C176" i="25"/>
  <c r="E176" i="25"/>
  <c r="G176" i="25"/>
  <c r="I176" i="25"/>
  <c r="K176" i="25"/>
  <c r="M176" i="25"/>
  <c r="O176" i="25"/>
  <c r="Q176" i="25"/>
  <c r="S176" i="25"/>
  <c r="U176" i="25"/>
  <c r="W176" i="25"/>
  <c r="E160" i="25"/>
  <c r="G160" i="25"/>
  <c r="D149" i="25"/>
  <c r="C168" i="25"/>
  <c r="E168" i="25"/>
  <c r="G168" i="25"/>
  <c r="I168" i="25"/>
  <c r="K168" i="25"/>
  <c r="M168" i="25"/>
  <c r="O168" i="25"/>
  <c r="Q168" i="25"/>
  <c r="S168" i="25"/>
  <c r="U168" i="25"/>
  <c r="W168" i="25"/>
  <c r="D176" i="25"/>
  <c r="F176" i="25"/>
  <c r="H176" i="25"/>
  <c r="J176" i="25"/>
  <c r="L176" i="25"/>
  <c r="N176" i="25"/>
  <c r="P176" i="25"/>
  <c r="R176" i="25"/>
  <c r="T176" i="25"/>
  <c r="V176" i="25"/>
  <c r="X176" i="25"/>
  <c r="C165" i="25"/>
  <c r="E165" i="25"/>
  <c r="G165" i="25"/>
  <c r="I165" i="25"/>
  <c r="K165" i="25"/>
  <c r="M165" i="25"/>
  <c r="O165" i="25"/>
  <c r="Q165" i="25"/>
  <c r="S165" i="25"/>
  <c r="U165" i="25"/>
  <c r="W165" i="25"/>
  <c r="C173" i="25"/>
  <c r="E173" i="25"/>
  <c r="G173" i="25"/>
  <c r="I173" i="25"/>
  <c r="K173" i="25"/>
  <c r="M173" i="25"/>
  <c r="O173" i="25"/>
  <c r="Q173" i="25"/>
  <c r="S173" i="25"/>
  <c r="U173" i="25"/>
  <c r="W173" i="25"/>
  <c r="D165" i="25"/>
  <c r="F165" i="25"/>
  <c r="H165" i="25"/>
  <c r="J165" i="25"/>
  <c r="L165" i="25"/>
  <c r="N165" i="25"/>
  <c r="P165" i="25"/>
  <c r="R165" i="25"/>
  <c r="T165" i="25"/>
  <c r="V165" i="25"/>
  <c r="X165" i="25"/>
  <c r="D173" i="25"/>
  <c r="F173" i="25"/>
  <c r="H173" i="25"/>
  <c r="J173" i="25"/>
  <c r="L173" i="25"/>
  <c r="N173" i="25"/>
  <c r="P173" i="25"/>
  <c r="R173" i="25"/>
  <c r="T173" i="25"/>
  <c r="V173" i="25"/>
  <c r="X173" i="25"/>
  <c r="I69" i="15"/>
  <c r="C20" i="15"/>
  <c r="C21" i="15" s="1"/>
  <c r="C10" i="15"/>
  <c r="D8" i="15"/>
  <c r="L14" i="15"/>
  <c r="K27" i="15"/>
  <c r="D27" i="15"/>
  <c r="C14" i="15"/>
  <c r="F39" i="15"/>
  <c r="F57" i="15" s="1"/>
  <c r="H27" i="15"/>
  <c r="J39" i="15"/>
  <c r="F19" i="15"/>
  <c r="E69" i="15"/>
  <c r="H34" i="15"/>
  <c r="K48" i="15"/>
  <c r="L48" i="15" s="1"/>
  <c r="M48" i="15" s="1"/>
  <c r="N48" i="15" s="1"/>
  <c r="O48" i="15" s="1"/>
  <c r="P48" i="15" s="1"/>
  <c r="Q48" i="15" s="1"/>
  <c r="R48" i="15" s="1"/>
  <c r="S48" i="15" s="1"/>
  <c r="T48" i="15" s="1"/>
  <c r="U48" i="15" s="1"/>
  <c r="V48" i="15" s="1"/>
  <c r="W48" i="15" s="1"/>
  <c r="X48" i="15" s="1"/>
  <c r="Y48" i="15" s="1"/>
  <c r="Z48" i="15" s="1"/>
  <c r="J47" i="15"/>
  <c r="F49" i="15"/>
  <c r="E51" i="15"/>
  <c r="D45" i="15"/>
  <c r="E2" i="15"/>
  <c r="E8" i="15"/>
  <c r="E10" i="15" s="1"/>
  <c r="E16" i="15" s="1"/>
  <c r="F6" i="15"/>
  <c r="E22" i="15"/>
  <c r="C62" i="15"/>
  <c r="C63" i="15" s="1"/>
  <c r="C53" i="15"/>
  <c r="F9" i="15"/>
  <c r="G69" i="15"/>
  <c r="E31" i="15"/>
  <c r="E52" i="15"/>
  <c r="E62" i="15"/>
  <c r="E63" i="15" s="1"/>
  <c r="E65" i="15" s="1"/>
  <c r="F61" i="15"/>
  <c r="E73" i="15"/>
  <c r="D51" i="15"/>
  <c r="D62" i="15" s="1"/>
  <c r="D63" i="15" s="1"/>
  <c r="D65" i="15" s="1"/>
  <c r="G64" i="15"/>
  <c r="F76" i="15"/>
  <c r="L87" i="15"/>
  <c r="Y66" i="19"/>
  <c r="W91" i="18"/>
  <c r="X65" i="19"/>
  <c r="X66" i="19" s="1"/>
  <c r="X237" i="19"/>
  <c r="X103" i="19"/>
  <c r="W103" i="19"/>
  <c r="W81" i="19"/>
  <c r="AC93" i="19"/>
  <c r="AC107" i="19"/>
  <c r="AB107" i="19"/>
  <c r="AB255" i="19"/>
  <c r="AB121" i="19"/>
  <c r="AC101" i="19"/>
  <c r="AC105" i="19"/>
  <c r="X243" i="19"/>
  <c r="X105" i="19"/>
  <c r="W105" i="19"/>
  <c r="AC114" i="19"/>
  <c r="AC108" i="19"/>
  <c r="AC256" i="19"/>
  <c r="AC122" i="19"/>
  <c r="AC94" i="19"/>
  <c r="AC87" i="19"/>
  <c r="AC106" i="19"/>
  <c r="AD100" i="19"/>
  <c r="AC115" i="19"/>
  <c r="W50" i="19"/>
  <c r="W87" i="19"/>
  <c r="X244" i="19"/>
  <c r="W106" i="19"/>
  <c r="F271" i="19"/>
  <c r="F275" i="19" s="1"/>
  <c r="E132" i="19"/>
  <c r="H271" i="19"/>
  <c r="G132" i="19"/>
  <c r="G136" i="19" s="1"/>
  <c r="G138" i="19" s="1"/>
  <c r="J271" i="19"/>
  <c r="J275" i="19" s="1"/>
  <c r="I132" i="19"/>
  <c r="L271" i="19"/>
  <c r="K132" i="19"/>
  <c r="O271" i="19"/>
  <c r="N132" i="19"/>
  <c r="N136" i="19" s="1"/>
  <c r="N138" i="19" s="1"/>
  <c r="Q271" i="19"/>
  <c r="P132" i="19"/>
  <c r="AB108" i="19"/>
  <c r="AB256" i="19"/>
  <c r="AB122" i="19"/>
  <c r="AB271" i="19"/>
  <c r="AB132" i="19"/>
  <c r="E64" i="19"/>
  <c r="E66" i="19" s="1"/>
  <c r="G64" i="19"/>
  <c r="G66" i="19" s="1"/>
  <c r="I64" i="19"/>
  <c r="I66" i="19" s="1"/>
  <c r="K64" i="19"/>
  <c r="K66" i="19" s="1"/>
  <c r="U66" i="19"/>
  <c r="Y71" i="19"/>
  <c r="Y73" i="19" s="1"/>
  <c r="Z72" i="19"/>
  <c r="E136" i="19"/>
  <c r="E138" i="19" s="1"/>
  <c r="I136" i="19"/>
  <c r="I138" i="19" s="1"/>
  <c r="K136" i="19"/>
  <c r="K138" i="19" s="1"/>
  <c r="V81" i="19"/>
  <c r="V84" i="19"/>
  <c r="V86" i="19"/>
  <c r="V92" i="19"/>
  <c r="V94" i="19"/>
  <c r="X81" i="19"/>
  <c r="Z96" i="19"/>
  <c r="Y97" i="19"/>
  <c r="AB84" i="19"/>
  <c r="AD85" i="19"/>
  <c r="AD92" i="19"/>
  <c r="AB93" i="19"/>
  <c r="AB95" i="19"/>
  <c r="AB100" i="19"/>
  <c r="AA1" i="19"/>
  <c r="X238" i="19"/>
  <c r="W104" i="19"/>
  <c r="W17" i="19"/>
  <c r="W18" i="19"/>
  <c r="AB257" i="19"/>
  <c r="AC123" i="19"/>
  <c r="AB123" i="19"/>
  <c r="W82" i="19"/>
  <c r="AC24" i="19"/>
  <c r="AC26" i="19"/>
  <c r="W27" i="19"/>
  <c r="W28" i="19"/>
  <c r="AC27" i="19"/>
  <c r="AD28" i="19"/>
  <c r="AC29" i="19"/>
  <c r="AB101" i="19"/>
  <c r="AD32" i="19"/>
  <c r="AB105" i="19"/>
  <c r="AD33" i="19"/>
  <c r="AD34" i="19"/>
  <c r="X235" i="19"/>
  <c r="X101" i="19"/>
  <c r="W101" i="19"/>
  <c r="AB114" i="19"/>
  <c r="AD35" i="19"/>
  <c r="AC36" i="19"/>
  <c r="AD37" i="19"/>
  <c r="AI37" i="19"/>
  <c r="AJ39" i="19"/>
  <c r="AD39" i="19"/>
  <c r="AE42" i="19"/>
  <c r="AD43" i="19"/>
  <c r="AD44" i="19"/>
  <c r="AM43" i="19"/>
  <c r="AD47" i="19"/>
  <c r="AA48" i="19"/>
  <c r="AC85" i="19"/>
  <c r="AE49" i="19"/>
  <c r="AD50" i="19"/>
  <c r="AC84" i="19"/>
  <c r="AE51" i="19"/>
  <c r="AD52" i="19"/>
  <c r="AC92" i="19"/>
  <c r="AE53" i="19"/>
  <c r="AD54" i="19"/>
  <c r="AC100" i="19"/>
  <c r="AE55" i="19"/>
  <c r="AD56" i="19"/>
  <c r="AD58" i="19"/>
  <c r="AE59" i="19"/>
  <c r="AC61" i="19"/>
  <c r="AD62" i="19"/>
  <c r="W49" i="19"/>
  <c r="W51" i="19"/>
  <c r="W53" i="19"/>
  <c r="X234" i="19"/>
  <c r="W100" i="19"/>
  <c r="W97" i="19"/>
  <c r="Z60" i="19"/>
  <c r="Z64" i="19" s="1"/>
  <c r="G271" i="19"/>
  <c r="F132" i="19"/>
  <c r="I271" i="19"/>
  <c r="H132" i="19"/>
  <c r="H136" i="19" s="1"/>
  <c r="H138" i="19" s="1"/>
  <c r="K271" i="19"/>
  <c r="K275" i="19" s="1"/>
  <c r="J132" i="19"/>
  <c r="M271" i="19"/>
  <c r="M132" i="19"/>
  <c r="M136" i="19" s="1"/>
  <c r="M138" i="19" s="1"/>
  <c r="L132" i="19"/>
  <c r="P271" i="19"/>
  <c r="O132" i="19"/>
  <c r="O136" i="19" s="1"/>
  <c r="O138" i="19" s="1"/>
  <c r="R271" i="19"/>
  <c r="R275" i="19" s="1"/>
  <c r="Q132" i="19"/>
  <c r="Q136" i="19" s="1"/>
  <c r="Q138" i="19" s="1"/>
  <c r="R132" i="19"/>
  <c r="AB106" i="19"/>
  <c r="AB115" i="19"/>
  <c r="D64" i="19"/>
  <c r="D66" i="19" s="1"/>
  <c r="F64" i="19"/>
  <c r="F66" i="19" s="1"/>
  <c r="H64" i="19"/>
  <c r="H66" i="19" s="1"/>
  <c r="J64" i="19"/>
  <c r="J66" i="19" s="1"/>
  <c r="L64" i="19"/>
  <c r="L66" i="19" s="1"/>
  <c r="N64" i="19"/>
  <c r="N66" i="19" s="1"/>
  <c r="P64" i="19"/>
  <c r="P66" i="19" s="1"/>
  <c r="V64" i="19"/>
  <c r="F136" i="19"/>
  <c r="F138" i="19" s="1"/>
  <c r="J136" i="19"/>
  <c r="J138" i="19" s="1"/>
  <c r="L136" i="19"/>
  <c r="L138" i="19" s="1"/>
  <c r="P136" i="19"/>
  <c r="P138" i="19" s="1"/>
  <c r="R136" i="19"/>
  <c r="R138" i="19" s="1"/>
  <c r="T136" i="19"/>
  <c r="T138" i="19" s="1"/>
  <c r="V80" i="19"/>
  <c r="V82" i="19"/>
  <c r="V85" i="19"/>
  <c r="V93" i="19"/>
  <c r="V95" i="19"/>
  <c r="V97" i="19"/>
  <c r="X87" i="19"/>
  <c r="Y96" i="19"/>
  <c r="X106" i="19"/>
  <c r="AB82" i="19"/>
  <c r="AD84" i="19"/>
  <c r="AB85" i="19"/>
  <c r="AB92" i="19"/>
  <c r="AB94" i="19"/>
  <c r="Q143" i="19"/>
  <c r="R146" i="19" s="1"/>
  <c r="Q149" i="19"/>
  <c r="R152" i="19" s="1"/>
  <c r="V151" i="19"/>
  <c r="X217" i="19"/>
  <c r="Y158" i="19"/>
  <c r="Z163" i="19"/>
  <c r="Z169" i="19"/>
  <c r="Z175" i="19"/>
  <c r="Z179" i="19"/>
  <c r="AD188" i="19"/>
  <c r="AC259" i="19"/>
  <c r="AD200" i="19"/>
  <c r="AD202" i="19"/>
  <c r="AD204" i="19"/>
  <c r="AA220" i="19"/>
  <c r="AB161" i="19"/>
  <c r="X230" i="19"/>
  <c r="Y171" i="19"/>
  <c r="Z171" i="19" s="1"/>
  <c r="AA171" i="19" s="1"/>
  <c r="AB171" i="19" s="1"/>
  <c r="AC171" i="19" s="1"/>
  <c r="AD171" i="19" s="1"/>
  <c r="AE171" i="19" s="1"/>
  <c r="AF171" i="19" s="1"/>
  <c r="AG171" i="19" s="1"/>
  <c r="AH171" i="19" s="1"/>
  <c r="AI171" i="19" s="1"/>
  <c r="AJ171" i="19" s="1"/>
  <c r="AK171" i="19" s="1"/>
  <c r="AL171" i="19" s="1"/>
  <c r="AM171" i="19" s="1"/>
  <c r="AN171" i="19" s="1"/>
  <c r="AO171" i="19" s="1"/>
  <c r="X236" i="19"/>
  <c r="Y177" i="19"/>
  <c r="Z237" i="19"/>
  <c r="AA178" i="19"/>
  <c r="AA180" i="19"/>
  <c r="Y244" i="19"/>
  <c r="Z181" i="19"/>
  <c r="AC239" i="19"/>
  <c r="AD185" i="19"/>
  <c r="AC258" i="19"/>
  <c r="AD199" i="19"/>
  <c r="AC260" i="19"/>
  <c r="AD201" i="19"/>
  <c r="AC262" i="19"/>
  <c r="AD203" i="19"/>
  <c r="AC264" i="19"/>
  <c r="AD205" i="19"/>
  <c r="Y182" i="19"/>
  <c r="Y183" i="19"/>
  <c r="Y184" i="19"/>
  <c r="W160" i="19"/>
  <c r="X160" i="19" s="1"/>
  <c r="Y160" i="19" s="1"/>
  <c r="W162" i="19"/>
  <c r="X162" i="19" s="1"/>
  <c r="W164" i="19"/>
  <c r="X164" i="19" s="1"/>
  <c r="Y164" i="19" s="1"/>
  <c r="W166" i="19"/>
  <c r="W168" i="19"/>
  <c r="X168" i="19" s="1"/>
  <c r="Y168" i="19" s="1"/>
  <c r="W170" i="19"/>
  <c r="X170" i="19" s="1"/>
  <c r="Y170" i="19" s="1"/>
  <c r="W172" i="19"/>
  <c r="X172" i="19" s="1"/>
  <c r="W174" i="19"/>
  <c r="AB187" i="19"/>
  <c r="AA242" i="19"/>
  <c r="Y190" i="19"/>
  <c r="Z191" i="19"/>
  <c r="AA193" i="19"/>
  <c r="AB265" i="19"/>
  <c r="AB239" i="19"/>
  <c r="AB242" i="19"/>
  <c r="AB258" i="19"/>
  <c r="AB259" i="19"/>
  <c r="AB260" i="19"/>
  <c r="AB261" i="19"/>
  <c r="AB262" i="19"/>
  <c r="AB263" i="19"/>
  <c r="AB264" i="19"/>
  <c r="AC265" i="19"/>
  <c r="AD206" i="19"/>
  <c r="Y272" i="19"/>
  <c r="Z213" i="19"/>
  <c r="H275" i="19"/>
  <c r="L275" i="19"/>
  <c r="N279" i="19"/>
  <c r="N276" i="19"/>
  <c r="E275" i="19"/>
  <c r="G275" i="19"/>
  <c r="I275" i="19"/>
  <c r="M275" i="19"/>
  <c r="O275" i="19"/>
  <c r="Q275" i="19"/>
  <c r="S279" i="19"/>
  <c r="S276" i="19"/>
  <c r="U275" i="19"/>
  <c r="P275" i="19"/>
  <c r="T279" i="19"/>
  <c r="T276" i="19"/>
  <c r="L3" i="32"/>
  <c r="H8" i="32"/>
  <c r="H11" i="32" s="1"/>
  <c r="CC62" i="2" s="1"/>
  <c r="CC75" i="2" s="1"/>
  <c r="CC84" i="2" s="1"/>
  <c r="J14" i="32"/>
  <c r="D6" i="67"/>
  <c r="D11" i="67"/>
  <c r="D16" i="67"/>
  <c r="D21" i="67"/>
  <c r="D26" i="67"/>
  <c r="M53" i="16"/>
  <c r="M56" i="16" s="1"/>
  <c r="M47" i="18"/>
  <c r="V53" i="16"/>
  <c r="V56" i="16" s="1"/>
  <c r="V47" i="18"/>
  <c r="V89" i="18" s="1"/>
  <c r="X53" i="16"/>
  <c r="X56" i="16" s="1"/>
  <c r="X47" i="18"/>
  <c r="W53" i="16"/>
  <c r="W56" i="16" s="1"/>
  <c r="W47" i="18"/>
  <c r="W90" i="18" s="1"/>
  <c r="Y53" i="16"/>
  <c r="Y56" i="16" s="1"/>
  <c r="Y47" i="18"/>
  <c r="AF4" i="18"/>
  <c r="AG4" i="18" s="1"/>
  <c r="AH4" i="18" s="1"/>
  <c r="AI4" i="18" s="1"/>
  <c r="AJ4" i="18" s="1"/>
  <c r="AK4" i="18" s="1"/>
  <c r="AL4" i="18" s="1"/>
  <c r="AM4" i="18" s="1"/>
  <c r="AN4" i="18" s="1"/>
  <c r="Z102" i="16"/>
  <c r="Z104" i="16" s="1"/>
  <c r="Z105" i="16" s="1"/>
  <c r="C109" i="16"/>
  <c r="C45" i="16"/>
  <c r="E109" i="16"/>
  <c r="E45" i="16"/>
  <c r="Z47" i="16"/>
  <c r="K47" i="16"/>
  <c r="M47" i="16"/>
  <c r="W47" i="16"/>
  <c r="D109" i="16"/>
  <c r="D45" i="16"/>
  <c r="Y47" i="16"/>
  <c r="L47" i="16"/>
  <c r="V47" i="16"/>
  <c r="X47" i="16"/>
  <c r="AE69" i="16"/>
  <c r="AE77" i="16"/>
  <c r="P45" i="16"/>
  <c r="AC63" i="16"/>
  <c r="N170" i="18"/>
  <c r="N171" i="18" s="1"/>
  <c r="N176" i="18" s="1"/>
  <c r="N153" i="18"/>
  <c r="N16" i="18"/>
  <c r="T91" i="18"/>
  <c r="J31" i="18"/>
  <c r="J38" i="18" s="1"/>
  <c r="J39" i="18" s="1"/>
  <c r="J73" i="18"/>
  <c r="J69" i="18"/>
  <c r="L31" i="18"/>
  <c r="L38" i="18" s="1"/>
  <c r="L73" i="18"/>
  <c r="L69" i="18"/>
  <c r="N31" i="18"/>
  <c r="N38" i="18" s="1"/>
  <c r="N73" i="18"/>
  <c r="P31" i="18"/>
  <c r="P38" i="18" s="1"/>
  <c r="P39" i="18" s="1"/>
  <c r="P73" i="18"/>
  <c r="R31" i="18"/>
  <c r="R38" i="18" s="1"/>
  <c r="R73" i="18"/>
  <c r="T24" i="18"/>
  <c r="T72" i="18" s="1"/>
  <c r="V31" i="18"/>
  <c r="V38" i="18" s="1"/>
  <c r="V73" i="18"/>
  <c r="X31" i="18"/>
  <c r="X38" i="18" s="1"/>
  <c r="X73" i="18"/>
  <c r="Z31" i="18"/>
  <c r="Z38" i="18" s="1"/>
  <c r="Z73" i="18"/>
  <c r="O87" i="18"/>
  <c r="O91" i="18"/>
  <c r="Q87" i="18"/>
  <c r="U87" i="18"/>
  <c r="AA174" i="18"/>
  <c r="AB30" i="18"/>
  <c r="AB10" i="16" s="1"/>
  <c r="Q31" i="18"/>
  <c r="Q38" i="18" s="1"/>
  <c r="U31" i="18"/>
  <c r="U38" i="18" s="1"/>
  <c r="Y31" i="18"/>
  <c r="Y38" i="18" s="1"/>
  <c r="L39" i="18"/>
  <c r="X39" i="18"/>
  <c r="J80" i="18"/>
  <c r="J101" i="18"/>
  <c r="J64" i="18"/>
  <c r="J62" i="18"/>
  <c r="J59" i="18"/>
  <c r="L159" i="18"/>
  <c r="L177" i="18" s="1"/>
  <c r="L80" i="18"/>
  <c r="L101" i="18"/>
  <c r="L64" i="18"/>
  <c r="L62" i="18"/>
  <c r="L59" i="18"/>
  <c r="N159" i="18"/>
  <c r="N177" i="18" s="1"/>
  <c r="N80" i="18"/>
  <c r="N101" i="18"/>
  <c r="P159" i="18"/>
  <c r="P177" i="18" s="1"/>
  <c r="P80" i="18"/>
  <c r="P101" i="18"/>
  <c r="R159" i="18"/>
  <c r="R80" i="18"/>
  <c r="R101" i="18"/>
  <c r="T159" i="18"/>
  <c r="T177" i="18" s="1"/>
  <c r="T80" i="18"/>
  <c r="T101" i="18"/>
  <c r="V159" i="18"/>
  <c r="V80" i="18"/>
  <c r="V101" i="18"/>
  <c r="V54" i="18"/>
  <c r="J78" i="18"/>
  <c r="L78" i="18"/>
  <c r="N78" i="18"/>
  <c r="N55" i="18"/>
  <c r="P78" i="18"/>
  <c r="P55" i="18"/>
  <c r="R78" i="18"/>
  <c r="R55" i="18"/>
  <c r="T78" i="18"/>
  <c r="T55" i="18"/>
  <c r="V78" i="18"/>
  <c r="V55" i="18"/>
  <c r="J68" i="18"/>
  <c r="J66" i="18"/>
  <c r="J60" i="18"/>
  <c r="L139" i="18"/>
  <c r="L68" i="18"/>
  <c r="L66" i="18"/>
  <c r="L60" i="18"/>
  <c r="N139" i="18"/>
  <c r="N57" i="18"/>
  <c r="P139" i="18"/>
  <c r="P57" i="18"/>
  <c r="R139" i="18"/>
  <c r="R57" i="18"/>
  <c r="T139" i="18"/>
  <c r="T57" i="18"/>
  <c r="V139" i="18"/>
  <c r="V57" i="18"/>
  <c r="L90" i="18"/>
  <c r="L88" i="18"/>
  <c r="V90" i="18"/>
  <c r="V88" i="18"/>
  <c r="X90" i="18"/>
  <c r="X88" i="18"/>
  <c r="Z90" i="18"/>
  <c r="Z88" i="18"/>
  <c r="Z89" i="18"/>
  <c r="L51" i="18"/>
  <c r="L56" i="18" s="1"/>
  <c r="L52" i="18"/>
  <c r="L53" i="18"/>
  <c r="L54" i="18"/>
  <c r="L55" i="18"/>
  <c r="L57" i="18"/>
  <c r="P51" i="18"/>
  <c r="P56" i="18" s="1"/>
  <c r="T51" i="18"/>
  <c r="T56" i="18" s="1"/>
  <c r="P52" i="18"/>
  <c r="T52" i="18"/>
  <c r="P53" i="18"/>
  <c r="T53" i="18"/>
  <c r="P54" i="18"/>
  <c r="T54" i="18"/>
  <c r="N60" i="18"/>
  <c r="P60" i="18"/>
  <c r="R60" i="18"/>
  <c r="T60" i="18"/>
  <c r="V60" i="18"/>
  <c r="N62" i="18"/>
  <c r="P62" i="18"/>
  <c r="R62" i="18"/>
  <c r="T62" i="18"/>
  <c r="V62" i="18"/>
  <c r="N64" i="18"/>
  <c r="P64" i="18"/>
  <c r="R64" i="18"/>
  <c r="T64" i="18"/>
  <c r="V64" i="18"/>
  <c r="N66" i="18"/>
  <c r="P66" i="18"/>
  <c r="R66" i="18"/>
  <c r="T66" i="18"/>
  <c r="V66" i="18"/>
  <c r="N69" i="18"/>
  <c r="P69" i="18"/>
  <c r="R69" i="18"/>
  <c r="V69" i="18"/>
  <c r="X69" i="18"/>
  <c r="Z69" i="18"/>
  <c r="J72" i="18"/>
  <c r="L72" i="18"/>
  <c r="N72" i="18"/>
  <c r="P72" i="18"/>
  <c r="R72" i="18"/>
  <c r="V72" i="18"/>
  <c r="X72" i="18"/>
  <c r="Z72" i="18"/>
  <c r="AB15" i="18"/>
  <c r="I16" i="18"/>
  <c r="I39" i="18" s="1"/>
  <c r="K16" i="18"/>
  <c r="K81" i="18" s="1"/>
  <c r="M16" i="18"/>
  <c r="N81" i="18" s="1"/>
  <c r="O16" i="18"/>
  <c r="Q16" i="18"/>
  <c r="R82" i="18" s="1"/>
  <c r="S16" i="18"/>
  <c r="S81" i="18" s="1"/>
  <c r="U16" i="18"/>
  <c r="V82" i="18" s="1"/>
  <c r="W16" i="18"/>
  <c r="Y16" i="18"/>
  <c r="Z82" i="18" s="1"/>
  <c r="I73" i="18"/>
  <c r="I69" i="18"/>
  <c r="K73" i="18"/>
  <c r="K69" i="18"/>
  <c r="K31" i="18"/>
  <c r="K38" i="18" s="1"/>
  <c r="O31" i="18"/>
  <c r="O38" i="18" s="1"/>
  <c r="S31" i="18"/>
  <c r="S38" i="18" s="1"/>
  <c r="W31" i="18"/>
  <c r="W38" i="18" s="1"/>
  <c r="J91" i="18"/>
  <c r="J87" i="18"/>
  <c r="L91" i="18"/>
  <c r="L87" i="18"/>
  <c r="N91" i="18"/>
  <c r="N87" i="18"/>
  <c r="R91" i="18"/>
  <c r="R87" i="18"/>
  <c r="V91" i="18"/>
  <c r="V87" i="18"/>
  <c r="X91" i="18"/>
  <c r="X87" i="18"/>
  <c r="Z91" i="18"/>
  <c r="Z87" i="18"/>
  <c r="R39" i="18"/>
  <c r="V39" i="18"/>
  <c r="Z39" i="18"/>
  <c r="J51" i="18"/>
  <c r="J56" i="18" s="1"/>
  <c r="J52" i="18"/>
  <c r="J53" i="18"/>
  <c r="J54" i="18"/>
  <c r="J55" i="18"/>
  <c r="J57" i="18"/>
  <c r="N51" i="18"/>
  <c r="N56" i="18" s="1"/>
  <c r="R51" i="18"/>
  <c r="R56" i="18" s="1"/>
  <c r="V51" i="18"/>
  <c r="V56" i="18" s="1"/>
  <c r="N52" i="18"/>
  <c r="R52" i="18"/>
  <c r="V52" i="18"/>
  <c r="N53" i="18"/>
  <c r="R53" i="18"/>
  <c r="V53" i="18"/>
  <c r="N54" i="18"/>
  <c r="R54" i="18"/>
  <c r="M69" i="18"/>
  <c r="O69" i="18"/>
  <c r="Q69" i="18"/>
  <c r="S69" i="18"/>
  <c r="U69" i="18"/>
  <c r="W69" i="18"/>
  <c r="Y69" i="18"/>
  <c r="N59" i="18"/>
  <c r="P59" i="18"/>
  <c r="R59" i="18"/>
  <c r="T59" i="18"/>
  <c r="V59" i="18"/>
  <c r="N68" i="18"/>
  <c r="P68" i="18"/>
  <c r="R68" i="18"/>
  <c r="T68" i="18"/>
  <c r="V68" i="18"/>
  <c r="M78" i="18"/>
  <c r="Q78" i="18"/>
  <c r="U78" i="18"/>
  <c r="I78" i="18"/>
  <c r="K88" i="18"/>
  <c r="W88" i="18"/>
  <c r="K91" i="18"/>
  <c r="J97" i="18"/>
  <c r="L97" i="18"/>
  <c r="N97" i="18"/>
  <c r="P97" i="18"/>
  <c r="R97" i="18"/>
  <c r="T97" i="18"/>
  <c r="V97" i="18"/>
  <c r="P91" i="18"/>
  <c r="U91" i="18"/>
  <c r="S87" i="18"/>
  <c r="S91" i="18"/>
  <c r="Y87" i="18"/>
  <c r="Y91" i="18"/>
  <c r="K159" i="18"/>
  <c r="K101" i="18"/>
  <c r="K97" i="18"/>
  <c r="M159" i="18"/>
  <c r="M101" i="18"/>
  <c r="M97" i="18"/>
  <c r="O159" i="18"/>
  <c r="O101" i="18"/>
  <c r="O81" i="18"/>
  <c r="O97" i="18"/>
  <c r="Q159" i="18"/>
  <c r="Q101" i="18"/>
  <c r="Q97" i="18"/>
  <c r="S159" i="18"/>
  <c r="S177" i="18" s="1"/>
  <c r="S101" i="18"/>
  <c r="S97" i="18"/>
  <c r="U159" i="18"/>
  <c r="U177" i="18" s="1"/>
  <c r="U101" i="18"/>
  <c r="U97" i="18"/>
  <c r="K89" i="18"/>
  <c r="M89" i="18"/>
  <c r="Y89" i="18"/>
  <c r="I51" i="18"/>
  <c r="I56" i="18" s="1"/>
  <c r="K51" i="18"/>
  <c r="K56" i="18" s="1"/>
  <c r="I52" i="18"/>
  <c r="K52" i="18"/>
  <c r="I53" i="18"/>
  <c r="K53" i="18"/>
  <c r="I54" i="18"/>
  <c r="K54" i="18"/>
  <c r="I55" i="18"/>
  <c r="K55" i="18"/>
  <c r="K57" i="18"/>
  <c r="M51" i="18"/>
  <c r="M56" i="18" s="1"/>
  <c r="O51" i="18"/>
  <c r="O56" i="18" s="1"/>
  <c r="Q51" i="18"/>
  <c r="Q56" i="18" s="1"/>
  <c r="S51" i="18"/>
  <c r="S56" i="18" s="1"/>
  <c r="U51" i="18"/>
  <c r="U56" i="18" s="1"/>
  <c r="M52" i="18"/>
  <c r="O52" i="18"/>
  <c r="Q52" i="18"/>
  <c r="S52" i="18"/>
  <c r="U52" i="18"/>
  <c r="M53" i="18"/>
  <c r="O53" i="18"/>
  <c r="Q53" i="18"/>
  <c r="S53" i="18"/>
  <c r="U53" i="18"/>
  <c r="M54" i="18"/>
  <c r="O54" i="18"/>
  <c r="Q54" i="18"/>
  <c r="S54" i="18"/>
  <c r="U54" i="18"/>
  <c r="O55" i="18"/>
  <c r="S55" i="18"/>
  <c r="M57" i="18"/>
  <c r="O57" i="18"/>
  <c r="Q57" i="18"/>
  <c r="S57" i="18"/>
  <c r="U57" i="18"/>
  <c r="M59" i="18"/>
  <c r="O59" i="18"/>
  <c r="Q59" i="18"/>
  <c r="S59" i="18"/>
  <c r="U59" i="18"/>
  <c r="I59" i="18"/>
  <c r="K59" i="18"/>
  <c r="I60" i="18"/>
  <c r="K60" i="18"/>
  <c r="I62" i="18"/>
  <c r="K62" i="18"/>
  <c r="K64" i="18"/>
  <c r="I66" i="18"/>
  <c r="K66" i="18"/>
  <c r="M68" i="18"/>
  <c r="O68" i="18"/>
  <c r="Q68" i="18"/>
  <c r="S68" i="18"/>
  <c r="U68" i="18"/>
  <c r="M80" i="18"/>
  <c r="Q80" i="18"/>
  <c r="U80" i="18"/>
  <c r="P87" i="18"/>
  <c r="M88" i="18"/>
  <c r="Y88" i="18"/>
  <c r="M90" i="18"/>
  <c r="Y90" i="18"/>
  <c r="I91" i="18"/>
  <c r="M91" i="18"/>
  <c r="I97" i="18"/>
  <c r="K104" i="18"/>
  <c r="M138" i="18"/>
  <c r="O138" i="18"/>
  <c r="Q138" i="18"/>
  <c r="S138" i="18"/>
  <c r="U138" i="18"/>
  <c r="L138" i="18"/>
  <c r="AB155" i="18"/>
  <c r="AB7" i="16" s="1"/>
  <c r="M137" i="18"/>
  <c r="O137" i="18"/>
  <c r="Q137" i="18"/>
  <c r="S137" i="18"/>
  <c r="U137" i="18"/>
  <c r="W137" i="18"/>
  <c r="Y137" i="18"/>
  <c r="N138" i="18"/>
  <c r="P138" i="18"/>
  <c r="R138" i="18"/>
  <c r="T138" i="18"/>
  <c r="V138" i="18"/>
  <c r="W145" i="18"/>
  <c r="Y145" i="18"/>
  <c r="X148" i="18"/>
  <c r="Z148" i="18"/>
  <c r="X150" i="18"/>
  <c r="X151" i="18" s="1"/>
  <c r="Z150" i="18"/>
  <c r="Z151" i="18" s="1"/>
  <c r="W148" i="18"/>
  <c r="Y148" i="18"/>
  <c r="Z176" i="18"/>
  <c r="Y175" i="18"/>
  <c r="Y176" i="18" s="1"/>
  <c r="X175" i="18"/>
  <c r="X176" i="18" s="1"/>
  <c r="Z175" i="18"/>
  <c r="BN141" i="2"/>
  <c r="BN118" i="2"/>
  <c r="CW18" i="2"/>
  <c r="CW14" i="2"/>
  <c r="BD141" i="2"/>
  <c r="BD118" i="2"/>
  <c r="AY149" i="2"/>
  <c r="AY138" i="2"/>
  <c r="AY115" i="2"/>
  <c r="BI149" i="2"/>
  <c r="BI138" i="2"/>
  <c r="BI115" i="2"/>
  <c r="BS149" i="2"/>
  <c r="BS138" i="2"/>
  <c r="BS115" i="2"/>
  <c r="E112" i="2"/>
  <c r="E84" i="2"/>
  <c r="AY141" i="2"/>
  <c r="AY118" i="2"/>
  <c r="BI141" i="2"/>
  <c r="BI118" i="2"/>
  <c r="BS141" i="2"/>
  <c r="BS118" i="2"/>
  <c r="BY119" i="2"/>
  <c r="BY89" i="2"/>
  <c r="CA119" i="2"/>
  <c r="CA89" i="2"/>
  <c r="CA92" i="2" s="1"/>
  <c r="CD119" i="2"/>
  <c r="CD89" i="2"/>
  <c r="CF119" i="2"/>
  <c r="CF89" i="2"/>
  <c r="BT92" i="2"/>
  <c r="BX89" i="2"/>
  <c r="AY142" i="2"/>
  <c r="AY119" i="2"/>
  <c r="BS142" i="2"/>
  <c r="BS143" i="2" s="1"/>
  <c r="BS119" i="2"/>
  <c r="CP38" i="2"/>
  <c r="CQ38" i="2" s="1"/>
  <c r="CW38" i="2"/>
  <c r="AY125" i="2"/>
  <c r="AY75" i="2"/>
  <c r="CR48" i="2"/>
  <c r="CI48" i="2"/>
  <c r="CJ48" i="2" s="1"/>
  <c r="CK48" i="2" s="1"/>
  <c r="CL48" i="2" s="1"/>
  <c r="CL54" i="2"/>
  <c r="CM54" i="2"/>
  <c r="BD149" i="2"/>
  <c r="BD138" i="2"/>
  <c r="BD115" i="2"/>
  <c r="BN149" i="2"/>
  <c r="BN138" i="2"/>
  <c r="BN115" i="2"/>
  <c r="BX149" i="2"/>
  <c r="BX138" i="2"/>
  <c r="BX143" i="2" s="1"/>
  <c r="D112" i="2"/>
  <c r="D84" i="2"/>
  <c r="F112" i="2"/>
  <c r="F84" i="2"/>
  <c r="BZ119" i="2"/>
  <c r="BZ89" i="2"/>
  <c r="BZ92" i="2" s="1"/>
  <c r="CB119" i="2"/>
  <c r="CB89" i="2"/>
  <c r="CB92" i="2" s="1"/>
  <c r="BR89" i="2"/>
  <c r="BW92" i="2" s="1"/>
  <c r="BI142" i="2"/>
  <c r="BI119" i="2"/>
  <c r="CC143" i="2"/>
  <c r="CR43" i="2"/>
  <c r="CM58" i="2"/>
  <c r="AT130" i="2"/>
  <c r="AT75" i="2"/>
  <c r="AT112" i="2" s="1"/>
  <c r="BD142" i="2"/>
  <c r="BD119" i="2"/>
  <c r="BN142" i="2"/>
  <c r="BN143" i="2" s="1"/>
  <c r="BN119" i="2"/>
  <c r="CC10" i="2"/>
  <c r="CC14" i="2"/>
  <c r="CC18" i="2"/>
  <c r="CH143" i="2"/>
  <c r="BE75" i="2"/>
  <c r="BE84" i="2" s="1"/>
  <c r="AV75" i="2"/>
  <c r="AV84" i="2" s="1"/>
  <c r="AX75" i="2"/>
  <c r="AX84" i="2" s="1"/>
  <c r="BA75" i="2"/>
  <c r="BA84" i="2" s="1"/>
  <c r="BC75" i="2"/>
  <c r="BC84" i="2" s="1"/>
  <c r="BD125" i="2"/>
  <c r="BD75" i="2"/>
  <c r="BD84" i="2" s="1"/>
  <c r="H75" i="2"/>
  <c r="J130" i="2"/>
  <c r="J75" i="2"/>
  <c r="M75" i="2"/>
  <c r="M84" i="2" s="1"/>
  <c r="O75" i="2"/>
  <c r="O84" i="2" s="1"/>
  <c r="R75" i="2"/>
  <c r="R84" i="2" s="1"/>
  <c r="T75" i="2"/>
  <c r="T84" i="2" s="1"/>
  <c r="W75" i="2"/>
  <c r="W84" i="2" s="1"/>
  <c r="Y75" i="2"/>
  <c r="Y84" i="2" s="1"/>
  <c r="AB75" i="2"/>
  <c r="AB84" i="2" s="1"/>
  <c r="AD75" i="2"/>
  <c r="AD84" i="2" s="1"/>
  <c r="AG75" i="2"/>
  <c r="AG84" i="2" s="1"/>
  <c r="AI75" i="2"/>
  <c r="AI84" i="2" s="1"/>
  <c r="AL75" i="2"/>
  <c r="AL84" i="2" s="1"/>
  <c r="AN75" i="2"/>
  <c r="AN84" i="2" s="1"/>
  <c r="AQ75" i="2"/>
  <c r="AQ84" i="2" s="1"/>
  <c r="AS75" i="2"/>
  <c r="AS84" i="2" s="1"/>
  <c r="BF75" i="2"/>
  <c r="BF84" i="2" s="1"/>
  <c r="BH75" i="2"/>
  <c r="BH84" i="2" s="1"/>
  <c r="BJ75" i="2"/>
  <c r="BJ84" i="2" s="1"/>
  <c r="BL75" i="2"/>
  <c r="BL84" i="2" s="1"/>
  <c r="BN130" i="2"/>
  <c r="BN75" i="2"/>
  <c r="BN84" i="2" s="1"/>
  <c r="BP75" i="2"/>
  <c r="BP84" i="2" s="1"/>
  <c r="BR75" i="2"/>
  <c r="BR84" i="2" s="1"/>
  <c r="BT75" i="2"/>
  <c r="BV75" i="2"/>
  <c r="BY75" i="2"/>
  <c r="CA75" i="2"/>
  <c r="CE75" i="2"/>
  <c r="CE84" i="2" s="1"/>
  <c r="CG75" i="2"/>
  <c r="CG84" i="2" s="1"/>
  <c r="CJ64" i="2"/>
  <c r="K75" i="2"/>
  <c r="U75" i="2"/>
  <c r="AE75" i="2"/>
  <c r="AO75" i="2"/>
  <c r="CH75" i="2"/>
  <c r="CH84" i="2" s="1"/>
  <c r="DB66" i="2"/>
  <c r="CW65" i="2"/>
  <c r="DB70" i="2"/>
  <c r="AU75" i="2"/>
  <c r="AU84" i="2" s="1"/>
  <c r="AW75" i="2"/>
  <c r="AW84" i="2" s="1"/>
  <c r="AZ75" i="2"/>
  <c r="AZ84" i="2" s="1"/>
  <c r="BB75" i="2"/>
  <c r="BB84" i="2" s="1"/>
  <c r="CC128" i="2"/>
  <c r="G75" i="2"/>
  <c r="I75" i="2"/>
  <c r="L75" i="2"/>
  <c r="L84" i="2" s="1"/>
  <c r="N75" i="2"/>
  <c r="N84" i="2" s="1"/>
  <c r="Q75" i="2"/>
  <c r="Q84" i="2" s="1"/>
  <c r="S75" i="2"/>
  <c r="S84" i="2" s="1"/>
  <c r="V75" i="2"/>
  <c r="V84" i="2" s="1"/>
  <c r="X75" i="2"/>
  <c r="X84" i="2" s="1"/>
  <c r="AA75" i="2"/>
  <c r="AA84" i="2" s="1"/>
  <c r="AC75" i="2"/>
  <c r="AC84" i="2" s="1"/>
  <c r="AF75" i="2"/>
  <c r="AF84" i="2" s="1"/>
  <c r="AH75" i="2"/>
  <c r="AH84" i="2" s="1"/>
  <c r="AK75" i="2"/>
  <c r="AK84" i="2" s="1"/>
  <c r="AM75" i="2"/>
  <c r="AM84" i="2" s="1"/>
  <c r="AP75" i="2"/>
  <c r="AP84" i="2" s="1"/>
  <c r="AR75" i="2"/>
  <c r="AR84" i="2" s="1"/>
  <c r="BG75" i="2"/>
  <c r="BG84" i="2" s="1"/>
  <c r="BI130" i="2"/>
  <c r="BI75" i="2"/>
  <c r="BK75" i="2"/>
  <c r="BK84" i="2" s="1"/>
  <c r="BM75" i="2"/>
  <c r="BM84" i="2" s="1"/>
  <c r="BO75" i="2"/>
  <c r="BO84" i="2" s="1"/>
  <c r="BQ75" i="2"/>
  <c r="BQ84" i="2" s="1"/>
  <c r="BS130" i="2"/>
  <c r="BS75" i="2"/>
  <c r="BU75" i="2"/>
  <c r="BW75" i="2"/>
  <c r="BZ75" i="2"/>
  <c r="CB75" i="2"/>
  <c r="CD75" i="2"/>
  <c r="CD84" i="2" s="1"/>
  <c r="CF130" i="2"/>
  <c r="CF75" i="2"/>
  <c r="CF84" i="2" s="1"/>
  <c r="CI75" i="2"/>
  <c r="CK64" i="2"/>
  <c r="P75" i="2"/>
  <c r="P112" i="2" s="1"/>
  <c r="Z75" i="2"/>
  <c r="Z112" i="2" s="1"/>
  <c r="AJ75" i="2"/>
  <c r="AJ112" i="2" s="1"/>
  <c r="BX75" i="2"/>
  <c r="BX150" i="2" s="1"/>
  <c r="AO90" i="2"/>
  <c r="AY90" i="2"/>
  <c r="BI90" i="2"/>
  <c r="BT115" i="2"/>
  <c r="BU96" i="2"/>
  <c r="BY115" i="2"/>
  <c r="CJ99" i="2"/>
  <c r="P117" i="2"/>
  <c r="U98" i="2"/>
  <c r="AY117" i="2"/>
  <c r="CD96" i="2"/>
  <c r="BT119" i="2"/>
  <c r="BU100" i="2"/>
  <c r="CF118" i="2"/>
  <c r="CH118" i="2"/>
  <c r="CA122" i="2"/>
  <c r="CB103" i="2"/>
  <c r="CB122" i="2" s="1"/>
  <c r="BZ123" i="2"/>
  <c r="CA104" i="2"/>
  <c r="CA124" i="2"/>
  <c r="CB105" i="2"/>
  <c r="CB124" i="2" s="1"/>
  <c r="CE125" i="2"/>
  <c r="CF106" i="2"/>
  <c r="BU122" i="2"/>
  <c r="BV103" i="2"/>
  <c r="BT125" i="2"/>
  <c r="BU106" i="2"/>
  <c r="BY125" i="2"/>
  <c r="BY127" i="2"/>
  <c r="BZ108" i="2"/>
  <c r="CE128" i="2"/>
  <c r="CF109" i="2"/>
  <c r="BY130" i="2"/>
  <c r="BZ111" i="2"/>
  <c r="CR65" i="2"/>
  <c r="Z84" i="2"/>
  <c r="AT84" i="2"/>
  <c r="BX84" i="2"/>
  <c r="AT90" i="2"/>
  <c r="BD90" i="2"/>
  <c r="BN90" i="2"/>
  <c r="BZ96" i="2"/>
  <c r="CG99" i="2"/>
  <c r="P115" i="2"/>
  <c r="U96" i="2"/>
  <c r="BD98" i="2"/>
  <c r="Z118" i="2"/>
  <c r="BU118" i="2"/>
  <c r="BV99" i="2"/>
  <c r="CE119" i="2"/>
  <c r="AJ120" i="2"/>
  <c r="AO101" i="2"/>
  <c r="CC103" i="2"/>
  <c r="CH103" i="2" s="1"/>
  <c r="BT123" i="2"/>
  <c r="BU104" i="2"/>
  <c r="BU124" i="2"/>
  <c r="BV105" i="2"/>
  <c r="BZ106" i="2"/>
  <c r="CW80" i="2"/>
  <c r="CG119" i="2"/>
  <c r="BT118" i="2"/>
  <c r="CE118" i="2"/>
  <c r="AE120" i="2"/>
  <c r="BZ122" i="2"/>
  <c r="BZ124" i="2"/>
  <c r="CC124" i="2" s="1"/>
  <c r="BT122" i="2"/>
  <c r="BT124" i="2"/>
  <c r="CA126" i="2"/>
  <c r="CB107" i="2"/>
  <c r="BU127" i="2"/>
  <c r="BV108" i="2"/>
  <c r="CJ128" i="2"/>
  <c r="CK109" i="2"/>
  <c r="BU130" i="2"/>
  <c r="BV111" i="2"/>
  <c r="BT127" i="2"/>
  <c r="CA110" i="2"/>
  <c r="CB110" i="2" s="1"/>
  <c r="K130" i="2"/>
  <c r="K116" i="2" s="1"/>
  <c r="P111" i="2"/>
  <c r="CD128" i="2"/>
  <c r="CI128" i="2"/>
  <c r="BT130" i="2"/>
  <c r="DL109" i="2"/>
  <c r="J117" i="2"/>
  <c r="J98" i="2" s="1"/>
  <c r="CR59" i="3"/>
  <c r="CM58" i="3"/>
  <c r="BS44" i="3"/>
  <c r="W91" i="16" s="1"/>
  <c r="CR80" i="3"/>
  <c r="CW80" i="3" s="1"/>
  <c r="DB80" i="3" s="1"/>
  <c r="DG80" i="3" s="1"/>
  <c r="DL80" i="3" s="1"/>
  <c r="DQ80" i="3" s="1"/>
  <c r="DV80" i="3" s="1"/>
  <c r="EA80" i="3" s="1"/>
  <c r="EF80" i="3" s="1"/>
  <c r="EK80" i="3" s="1"/>
  <c r="EP80" i="3" s="1"/>
  <c r="EU80" i="3" s="1"/>
  <c r="EZ80" i="3" s="1"/>
  <c r="CM86" i="3"/>
  <c r="BX88" i="3"/>
  <c r="BR111" i="3"/>
  <c r="CB111" i="3"/>
  <c r="BZ111" i="3"/>
  <c r="CA111" i="3"/>
  <c r="BQ134" i="3"/>
  <c r="CB134" i="3"/>
  <c r="CI34" i="3"/>
  <c r="CG34" i="3"/>
  <c r="CF34" i="3"/>
  <c r="CE34" i="3"/>
  <c r="CD34" i="3"/>
  <c r="CB34" i="3"/>
  <c r="CA34" i="3"/>
  <c r="BZ34" i="3"/>
  <c r="BY34" i="3"/>
  <c r="BW34" i="3"/>
  <c r="BV34" i="3"/>
  <c r="BU34" i="3"/>
  <c r="BT34" i="3"/>
  <c r="BR34" i="3"/>
  <c r="BQ34" i="3"/>
  <c r="BP34" i="3"/>
  <c r="BO34" i="3"/>
  <c r="CH32" i="3"/>
  <c r="AA278" i="19" s="1"/>
  <c r="CH31" i="3"/>
  <c r="CC32" i="3"/>
  <c r="Z278" i="19" s="1"/>
  <c r="CC31" i="3"/>
  <c r="BX32" i="3"/>
  <c r="Y278" i="19" s="1"/>
  <c r="BX31" i="3"/>
  <c r="BS31" i="3"/>
  <c r="BQ32" i="3"/>
  <c r="BO32" i="3"/>
  <c r="EZ28" i="3"/>
  <c r="EZ27" i="3"/>
  <c r="EU28" i="3"/>
  <c r="EU27" i="3"/>
  <c r="EP28" i="3"/>
  <c r="EP27" i="3"/>
  <c r="EK28" i="3"/>
  <c r="EK27" i="3"/>
  <c r="EF28" i="3"/>
  <c r="EF27" i="3"/>
  <c r="EA28" i="3"/>
  <c r="EA27" i="3"/>
  <c r="DV28" i="3"/>
  <c r="DV27" i="3"/>
  <c r="DQ28" i="3"/>
  <c r="DQ27" i="3"/>
  <c r="DL28" i="3"/>
  <c r="DL27" i="3"/>
  <c r="DG28" i="3"/>
  <c r="DG27" i="3"/>
  <c r="DB28" i="3"/>
  <c r="DB27" i="3"/>
  <c r="CW28" i="3"/>
  <c r="CW27" i="3"/>
  <c r="CR28" i="3"/>
  <c r="CR27" i="3"/>
  <c r="CR24" i="3"/>
  <c r="CM28" i="3"/>
  <c r="CM27" i="3"/>
  <c r="CM25" i="3"/>
  <c r="CH28" i="3"/>
  <c r="CH27" i="3"/>
  <c r="CH24" i="3"/>
  <c r="CH25" i="3" s="1"/>
  <c r="CC28" i="3"/>
  <c r="CC27" i="3"/>
  <c r="CC25" i="3"/>
  <c r="BW28" i="3"/>
  <c r="BV28" i="3"/>
  <c r="BU28" i="3"/>
  <c r="BT28" i="3"/>
  <c r="BS28" i="3"/>
  <c r="BX27" i="3"/>
  <c r="BS27" i="3"/>
  <c r="CI26" i="3"/>
  <c r="CG26" i="3"/>
  <c r="CF26" i="3"/>
  <c r="CE26" i="3"/>
  <c r="CD26" i="3"/>
  <c r="CB26" i="3"/>
  <c r="CA26" i="3"/>
  <c r="BZ26" i="3"/>
  <c r="BY26" i="3"/>
  <c r="BW26" i="3"/>
  <c r="BV26" i="3"/>
  <c r="BU26" i="3"/>
  <c r="BT26" i="3"/>
  <c r="BR26" i="3"/>
  <c r="BQ26" i="3"/>
  <c r="BP26" i="3"/>
  <c r="BO26" i="3"/>
  <c r="CC23" i="3"/>
  <c r="BN22" i="3"/>
  <c r="BN21" i="3"/>
  <c r="BN20" i="3"/>
  <c r="BI22" i="3"/>
  <c r="BI21" i="3"/>
  <c r="BI20" i="3"/>
  <c r="BD22" i="3"/>
  <c r="BD21" i="3"/>
  <c r="BD20" i="3"/>
  <c r="CI19" i="3"/>
  <c r="CG19" i="3"/>
  <c r="CF19" i="3"/>
  <c r="CE19" i="3"/>
  <c r="CD19" i="3"/>
  <c r="CB19" i="3"/>
  <c r="CA19" i="3"/>
  <c r="BZ19" i="3"/>
  <c r="BY19" i="3"/>
  <c r="BW19" i="3"/>
  <c r="BV19" i="3"/>
  <c r="BU19" i="3"/>
  <c r="BT19" i="3"/>
  <c r="BR19" i="3"/>
  <c r="BQ19" i="3"/>
  <c r="BP19" i="3"/>
  <c r="BO19" i="3"/>
  <c r="BO45" i="3" s="1"/>
  <c r="CM18" i="3"/>
  <c r="BN15" i="3"/>
  <c r="BI15" i="3"/>
  <c r="BN10" i="3"/>
  <c r="BN92" i="3" s="1"/>
  <c r="BM10" i="3"/>
  <c r="BM92" i="3" s="1"/>
  <c r="BL10" i="3"/>
  <c r="BL92" i="3" s="1"/>
  <c r="BK10" i="3"/>
  <c r="BK92" i="3" s="1"/>
  <c r="BJ10" i="3"/>
  <c r="BJ92" i="3" s="1"/>
  <c r="BI10" i="3"/>
  <c r="BI92" i="3" s="1"/>
  <c r="BH10" i="3"/>
  <c r="BH92" i="3" s="1"/>
  <c r="BG10" i="3"/>
  <c r="BG92" i="3" s="1"/>
  <c r="BF10" i="3"/>
  <c r="BF92" i="3" s="1"/>
  <c r="BE10" i="3"/>
  <c r="BE92" i="3" s="1"/>
  <c r="BD10" i="3"/>
  <c r="BD92" i="3" s="1"/>
  <c r="BC10" i="3"/>
  <c r="BC92" i="3" s="1"/>
  <c r="BB10" i="3"/>
  <c r="BB92" i="3" s="1"/>
  <c r="BA10" i="3"/>
  <c r="BA92" i="3" s="1"/>
  <c r="AZ10" i="3"/>
  <c r="AZ92" i="3" s="1"/>
  <c r="AY10" i="3"/>
  <c r="AY92" i="3" s="1"/>
  <c r="AX10" i="3"/>
  <c r="AX92" i="3" s="1"/>
  <c r="AW10" i="3"/>
  <c r="AW92" i="3" s="1"/>
  <c r="AV10" i="3"/>
  <c r="AV92" i="3" s="1"/>
  <c r="AU10" i="3"/>
  <c r="AU92" i="3" s="1"/>
  <c r="AT10" i="3"/>
  <c r="AT92" i="3" s="1"/>
  <c r="AS10" i="3"/>
  <c r="AS92" i="3" s="1"/>
  <c r="AR10" i="3"/>
  <c r="AR92" i="3" s="1"/>
  <c r="AQ10" i="3"/>
  <c r="AQ92" i="3" s="1"/>
  <c r="AP10" i="3"/>
  <c r="AP92" i="3" s="1"/>
  <c r="AO10" i="3"/>
  <c r="AO92" i="3" s="1"/>
  <c r="AN10" i="3"/>
  <c r="AN92" i="3" s="1"/>
  <c r="AM10" i="3"/>
  <c r="AM92" i="3" s="1"/>
  <c r="AL10" i="3"/>
  <c r="AL92" i="3" s="1"/>
  <c r="AK10" i="3"/>
  <c r="AK92" i="3" s="1"/>
  <c r="AJ10" i="3"/>
  <c r="AJ92" i="3" s="1"/>
  <c r="AI10" i="3"/>
  <c r="AI92" i="3" s="1"/>
  <c r="AH10" i="3"/>
  <c r="AH92" i="3" s="1"/>
  <c r="AG10" i="3"/>
  <c r="AG92" i="3" s="1"/>
  <c r="AF10" i="3"/>
  <c r="AF92" i="3" s="1"/>
  <c r="AE10" i="3"/>
  <c r="AE92" i="3" s="1"/>
  <c r="AD10" i="3"/>
  <c r="AD92" i="3" s="1"/>
  <c r="AC10" i="3"/>
  <c r="AC92" i="3" s="1"/>
  <c r="AB10" i="3"/>
  <c r="AB92" i="3" s="1"/>
  <c r="AA10" i="3"/>
  <c r="AA92" i="3" s="1"/>
  <c r="Z10" i="3"/>
  <c r="Z92" i="3" s="1"/>
  <c r="Y10" i="3"/>
  <c r="Y92" i="3" s="1"/>
  <c r="X10" i="3"/>
  <c r="X92" i="3" s="1"/>
  <c r="W10" i="3"/>
  <c r="W92" i="3" s="1"/>
  <c r="V10" i="3"/>
  <c r="V92" i="3" s="1"/>
  <c r="U10" i="3"/>
  <c r="U92" i="3" s="1"/>
  <c r="T10" i="3"/>
  <c r="T92" i="3" s="1"/>
  <c r="S10" i="3"/>
  <c r="S92" i="3" s="1"/>
  <c r="R10" i="3"/>
  <c r="R92" i="3" s="1"/>
  <c r="Q10" i="3"/>
  <c r="Q92" i="3" s="1"/>
  <c r="P10" i="3"/>
  <c r="P92" i="3" s="1"/>
  <c r="O10" i="3"/>
  <c r="O92" i="3" s="1"/>
  <c r="N10" i="3"/>
  <c r="N92" i="3" s="1"/>
  <c r="M10" i="3"/>
  <c r="M92" i="3" s="1"/>
  <c r="L10" i="3"/>
  <c r="L92" i="3" s="1"/>
  <c r="K10" i="3"/>
  <c r="K92" i="3" s="1"/>
  <c r="J10" i="3"/>
  <c r="J92" i="3" s="1"/>
  <c r="I10" i="3"/>
  <c r="I92" i="3" s="1"/>
  <c r="H10" i="3"/>
  <c r="H92" i="3" s="1"/>
  <c r="G10" i="3"/>
  <c r="G92" i="3" s="1"/>
  <c r="F10" i="3"/>
  <c r="F92" i="3" s="1"/>
  <c r="E10" i="3"/>
  <c r="E92" i="3" s="1"/>
  <c r="D10" i="3"/>
  <c r="D92" i="3" s="1"/>
  <c r="C10" i="3"/>
  <c r="C92" i="3" s="1"/>
  <c r="CI9" i="3"/>
  <c r="CG9" i="3"/>
  <c r="CF9" i="3"/>
  <c r="CE9" i="3"/>
  <c r="CD9" i="3"/>
  <c r="CD131" i="2" s="1"/>
  <c r="CB9" i="3"/>
  <c r="CB131" i="2" s="1"/>
  <c r="CA9" i="3"/>
  <c r="CA131" i="2" s="1"/>
  <c r="BZ9" i="3"/>
  <c r="BZ131" i="2" s="1"/>
  <c r="BY9" i="3"/>
  <c r="BY131" i="2" s="1"/>
  <c r="BW9" i="3"/>
  <c r="BW131" i="2" s="1"/>
  <c r="BV9" i="3"/>
  <c r="BV131" i="2" s="1"/>
  <c r="BU9" i="3"/>
  <c r="BU131" i="2" s="1"/>
  <c r="BT9" i="3"/>
  <c r="BT131" i="2" s="1"/>
  <c r="BR9" i="3"/>
  <c r="BQ9" i="3"/>
  <c r="BP9" i="3"/>
  <c r="BP10" i="3" s="1"/>
  <c r="BO9" i="3"/>
  <c r="CM19" i="3" l="1"/>
  <c r="CR17" i="3" s="1"/>
  <c r="CW17" i="3" s="1"/>
  <c r="CM26" i="3"/>
  <c r="J136" i="25"/>
  <c r="J138" i="25" s="1"/>
  <c r="G136" i="25"/>
  <c r="G138" i="25" s="1"/>
  <c r="AC240" i="19"/>
  <c r="AC263" i="19"/>
  <c r="Z167" i="19"/>
  <c r="Z226" i="19" s="1"/>
  <c r="W226" i="19"/>
  <c r="W220" i="19"/>
  <c r="Z189" i="19"/>
  <c r="AC261" i="19"/>
  <c r="AA159" i="19"/>
  <c r="AD45" i="19"/>
  <c r="AD40" i="19"/>
  <c r="W222" i="19"/>
  <c r="Z165" i="19"/>
  <c r="V276" i="19"/>
  <c r="AB240" i="19"/>
  <c r="W228" i="19"/>
  <c r="W150" i="19"/>
  <c r="S55" i="15"/>
  <c r="T55" i="15" s="1"/>
  <c r="U55" i="15" s="1"/>
  <c r="V55" i="15" s="1"/>
  <c r="W55" i="15" s="1"/>
  <c r="X55" i="15" s="1"/>
  <c r="Y55" i="15" s="1"/>
  <c r="Z55" i="15" s="1"/>
  <c r="EA29" i="2"/>
  <c r="EA27" i="2" s="1"/>
  <c r="EA121" i="2" s="1"/>
  <c r="CQ29" i="2"/>
  <c r="CQ27" i="2" s="1"/>
  <c r="CQ121" i="2" s="1"/>
  <c r="DV29" i="2"/>
  <c r="DV27" i="2" s="1"/>
  <c r="DV121" i="2" s="1"/>
  <c r="EK29" i="2"/>
  <c r="EK27" i="2" s="1"/>
  <c r="EK121" i="2" s="1"/>
  <c r="EF29" i="2"/>
  <c r="EF27" i="2" s="1"/>
  <c r="EF121" i="2" s="1"/>
  <c r="EU29" i="2"/>
  <c r="EU27" i="2" s="1"/>
  <c r="EU121" i="2" s="1"/>
  <c r="EZ29" i="2"/>
  <c r="EZ27" i="2" s="1"/>
  <c r="EZ121" i="2" s="1"/>
  <c r="CR28" i="2"/>
  <c r="CW69" i="2"/>
  <c r="CW64" i="2" s="1"/>
  <c r="CW99" i="2"/>
  <c r="DB99" i="2" s="1"/>
  <c r="DG99" i="2" s="1"/>
  <c r="CN99" i="2"/>
  <c r="CO99" i="2" s="1"/>
  <c r="CP99" i="2" s="1"/>
  <c r="CQ99" i="2" s="1"/>
  <c r="CR69" i="2"/>
  <c r="T69" i="18"/>
  <c r="Y136" i="19"/>
  <c r="Y138" i="19" s="1"/>
  <c r="J41" i="25"/>
  <c r="J43" i="25" s="1"/>
  <c r="F91" i="25"/>
  <c r="F94" i="25" s="1"/>
  <c r="W232" i="19"/>
  <c r="X173" i="19"/>
  <c r="U176" i="18"/>
  <c r="V177" i="18" s="1"/>
  <c r="L176" i="18"/>
  <c r="AC26" i="18"/>
  <c r="AB11" i="16"/>
  <c r="Y235" i="19"/>
  <c r="Z176" i="19"/>
  <c r="AB153" i="18"/>
  <c r="M177" i="18"/>
  <c r="W224" i="19"/>
  <c r="Q176" i="18"/>
  <c r="R177" i="18" s="1"/>
  <c r="CW22" i="2"/>
  <c r="CP22" i="2"/>
  <c r="CQ22" i="2" s="1"/>
  <c r="CC122" i="2"/>
  <c r="W89" i="18"/>
  <c r="U81" i="18"/>
  <c r="Q81" i="18"/>
  <c r="M81" i="18"/>
  <c r="V136" i="19"/>
  <c r="V138" i="19" s="1"/>
  <c r="BI140" i="2"/>
  <c r="BI143" i="2" s="1"/>
  <c r="P176" i="18"/>
  <c r="Q177" i="18" s="1"/>
  <c r="AY140" i="2"/>
  <c r="AY143" i="2" s="1"/>
  <c r="AA96" i="16"/>
  <c r="AB79" i="16"/>
  <c r="AB58" i="16"/>
  <c r="AB82" i="16"/>
  <c r="J4" i="15"/>
  <c r="K4" i="15" s="1"/>
  <c r="L4" i="15" s="1"/>
  <c r="M4" i="15" s="1"/>
  <c r="N4" i="15" s="1"/>
  <c r="O4" i="15" s="1"/>
  <c r="P4" i="15" s="1"/>
  <c r="Q4" i="15" s="1"/>
  <c r="R4" i="15" s="1"/>
  <c r="S4" i="15" s="1"/>
  <c r="T4" i="15" s="1"/>
  <c r="U4" i="15" s="1"/>
  <c r="V4" i="15" s="1"/>
  <c r="W4" i="15" s="1"/>
  <c r="X4" i="15" s="1"/>
  <c r="Y4" i="15" s="1"/>
  <c r="Z4" i="15" s="1"/>
  <c r="K5" i="15"/>
  <c r="L5" i="15" s="1"/>
  <c r="M5" i="15" s="1"/>
  <c r="N5" i="15" s="1"/>
  <c r="O5" i="15" s="1"/>
  <c r="P5" i="15" s="1"/>
  <c r="Q5" i="15" s="1"/>
  <c r="R5" i="15" s="1"/>
  <c r="S5" i="15" s="1"/>
  <c r="T5" i="15" s="1"/>
  <c r="U5" i="15" s="1"/>
  <c r="V5" i="15" s="1"/>
  <c r="W5" i="15" s="1"/>
  <c r="X5" i="15" s="1"/>
  <c r="Y5" i="15" s="1"/>
  <c r="Z5" i="15" s="1"/>
  <c r="CF131" i="2"/>
  <c r="CK53" i="3"/>
  <c r="CK9" i="3"/>
  <c r="I136" i="25"/>
  <c r="I138" i="25" s="1"/>
  <c r="H136" i="25"/>
  <c r="H138" i="25" s="1"/>
  <c r="G91" i="25"/>
  <c r="G41" i="25"/>
  <c r="G43" i="25" s="1"/>
  <c r="G186" i="25"/>
  <c r="G189" i="25" s="1"/>
  <c r="F186" i="25"/>
  <c r="F189" i="25" s="1"/>
  <c r="EK24" i="2"/>
  <c r="CM24" i="2"/>
  <c r="CR24" i="2"/>
  <c r="EU24" i="2"/>
  <c r="DV24" i="2"/>
  <c r="DQ24" i="2"/>
  <c r="DB24" i="2"/>
  <c r="C17" i="61"/>
  <c r="C30" i="61" s="1"/>
  <c r="C33" i="61" s="1"/>
  <c r="C36" i="61" s="1"/>
  <c r="EZ24" i="2"/>
  <c r="CL80" i="3"/>
  <c r="CI131" i="2"/>
  <c r="CI112" i="2" s="1"/>
  <c r="BS32" i="3"/>
  <c r="X278" i="19" s="1"/>
  <c r="Z91" i="16"/>
  <c r="CD44" i="3"/>
  <c r="CD45" i="3" s="1"/>
  <c r="CF44" i="3"/>
  <c r="CF45" i="3" s="1"/>
  <c r="BX34" i="3"/>
  <c r="X45" i="18" s="1"/>
  <c r="CH34" i="3"/>
  <c r="Z45" i="18" s="1"/>
  <c r="CL53" i="3"/>
  <c r="CE131" i="2"/>
  <c r="BU45" i="3"/>
  <c r="BX28" i="3"/>
  <c r="EP24" i="2"/>
  <c r="EA24" i="2"/>
  <c r="DG24" i="2"/>
  <c r="EF24" i="2"/>
  <c r="CW24" i="2"/>
  <c r="DL24" i="2"/>
  <c r="P115" i="25"/>
  <c r="P134" i="25" s="1"/>
  <c r="S115" i="25"/>
  <c r="S134" i="25" s="1"/>
  <c r="X115" i="25"/>
  <c r="X134" i="25" s="1"/>
  <c r="K115" i="25"/>
  <c r="K134" i="25" s="1"/>
  <c r="L115" i="25"/>
  <c r="L134" i="25" s="1"/>
  <c r="W115" i="25"/>
  <c r="W134" i="25" s="1"/>
  <c r="T115" i="25"/>
  <c r="T134" i="25" s="1"/>
  <c r="O115" i="25"/>
  <c r="O134" i="25" s="1"/>
  <c r="V115" i="25"/>
  <c r="V134" i="25" s="1"/>
  <c r="N115" i="25"/>
  <c r="N134" i="25" s="1"/>
  <c r="Q115" i="25"/>
  <c r="Q134" i="25" s="1"/>
  <c r="R115" i="25"/>
  <c r="R134" i="25" s="1"/>
  <c r="U115" i="25"/>
  <c r="U134" i="25" s="1"/>
  <c r="M115" i="25"/>
  <c r="M134" i="25" s="1"/>
  <c r="Q149" i="22"/>
  <c r="E137" i="22"/>
  <c r="E138" i="22" s="1"/>
  <c r="E140" i="22" s="1"/>
  <c r="E145" i="22" s="1"/>
  <c r="E148" i="22" s="1"/>
  <c r="E151" i="22" s="1"/>
  <c r="P109" i="22"/>
  <c r="K106" i="22"/>
  <c r="K107" i="22" s="1"/>
  <c r="L102" i="22"/>
  <c r="J105" i="22"/>
  <c r="J108" i="22" s="1"/>
  <c r="J104" i="22"/>
  <c r="J79" i="22"/>
  <c r="K80" i="22"/>
  <c r="J75" i="22"/>
  <c r="K76" i="22"/>
  <c r="D36" i="22"/>
  <c r="E35" i="22"/>
  <c r="K18" i="22"/>
  <c r="J19" i="22"/>
  <c r="J21" i="22" s="1"/>
  <c r="K11" i="22"/>
  <c r="J23" i="22"/>
  <c r="J13" i="22"/>
  <c r="C49" i="22"/>
  <c r="L142" i="22"/>
  <c r="J136" i="22"/>
  <c r="K135" i="22"/>
  <c r="F135" i="22"/>
  <c r="G135" i="22" s="1"/>
  <c r="H135" i="22" s="1"/>
  <c r="I135" i="22" s="1"/>
  <c r="K134" i="22"/>
  <c r="L133" i="22"/>
  <c r="L87" i="22"/>
  <c r="M85" i="22"/>
  <c r="J66" i="22"/>
  <c r="K64" i="22"/>
  <c r="E63" i="22"/>
  <c r="E68" i="22" s="1"/>
  <c r="J61" i="22"/>
  <c r="K103" i="22"/>
  <c r="L101" i="22"/>
  <c r="E42" i="22"/>
  <c r="E44" i="22" s="1"/>
  <c r="J41" i="22"/>
  <c r="J32" i="22"/>
  <c r="E8" i="22"/>
  <c r="D14" i="22"/>
  <c r="D26" i="22" s="1"/>
  <c r="K41" i="61"/>
  <c r="K35" i="61"/>
  <c r="P39" i="61"/>
  <c r="F19" i="61"/>
  <c r="F21" i="61" s="1"/>
  <c r="F23" i="61" s="1"/>
  <c r="F28" i="61" s="1"/>
  <c r="G3" i="61"/>
  <c r="F41" i="61"/>
  <c r="F35" i="61"/>
  <c r="D8" i="61"/>
  <c r="D10" i="61" s="1"/>
  <c r="D12" i="61" s="1"/>
  <c r="D17" i="61" s="1"/>
  <c r="D30" i="61" s="1"/>
  <c r="D33" i="61" s="1"/>
  <c r="E5" i="61"/>
  <c r="N37" i="25"/>
  <c r="O38" i="25"/>
  <c r="M36" i="25"/>
  <c r="M31" i="25"/>
  <c r="R37" i="25"/>
  <c r="S38" i="25"/>
  <c r="Q36" i="25"/>
  <c r="Q31" i="25"/>
  <c r="V37" i="25"/>
  <c r="W38" i="25"/>
  <c r="U36" i="25"/>
  <c r="U31" i="25"/>
  <c r="H65" i="25"/>
  <c r="H91" i="25" s="1"/>
  <c r="H94" i="25" s="1"/>
  <c r="H54" i="25"/>
  <c r="K65" i="25"/>
  <c r="K91" i="25" s="1"/>
  <c r="K62" i="25"/>
  <c r="O65" i="25"/>
  <c r="O91" i="25" s="1"/>
  <c r="O62" i="25"/>
  <c r="S65" i="25"/>
  <c r="S91" i="25" s="1"/>
  <c r="S62" i="25"/>
  <c r="W65" i="25"/>
  <c r="W91" i="25" s="1"/>
  <c r="W62" i="25"/>
  <c r="P38" i="25"/>
  <c r="N36" i="25"/>
  <c r="N31" i="25"/>
  <c r="O37" i="25"/>
  <c r="T38" i="25"/>
  <c r="R36" i="25"/>
  <c r="R31" i="25"/>
  <c r="S37" i="25"/>
  <c r="X38" i="25"/>
  <c r="V36" i="25"/>
  <c r="V31" i="25"/>
  <c r="W37" i="25"/>
  <c r="J65" i="25"/>
  <c r="J91" i="25" s="1"/>
  <c r="J94" i="25" s="1"/>
  <c r="J62" i="25"/>
  <c r="N65" i="25"/>
  <c r="N91" i="25" s="1"/>
  <c r="N62" i="25"/>
  <c r="R65" i="25"/>
  <c r="R91" i="25" s="1"/>
  <c r="R62" i="25"/>
  <c r="V65" i="25"/>
  <c r="V91" i="25" s="1"/>
  <c r="V62" i="25"/>
  <c r="O133" i="25"/>
  <c r="N132" i="25"/>
  <c r="M131" i="25"/>
  <c r="M126" i="25"/>
  <c r="S133" i="25"/>
  <c r="R132" i="25"/>
  <c r="Q131" i="25"/>
  <c r="Q126" i="25"/>
  <c r="W133" i="25"/>
  <c r="V132" i="25"/>
  <c r="U131" i="25"/>
  <c r="U126" i="25"/>
  <c r="P133" i="25"/>
  <c r="N131" i="25"/>
  <c r="N126" i="25"/>
  <c r="O132" i="25"/>
  <c r="T133" i="25"/>
  <c r="R131" i="25"/>
  <c r="R126" i="25"/>
  <c r="S132" i="25"/>
  <c r="X133" i="25"/>
  <c r="V131" i="25"/>
  <c r="V126" i="25"/>
  <c r="W132" i="25"/>
  <c r="H160" i="25"/>
  <c r="H186" i="25" s="1"/>
  <c r="H149" i="25"/>
  <c r="K160" i="25"/>
  <c r="K186" i="25" s="1"/>
  <c r="K157" i="25"/>
  <c r="O160" i="25"/>
  <c r="O186" i="25" s="1"/>
  <c r="O157" i="25"/>
  <c r="S160" i="25"/>
  <c r="S186" i="25" s="1"/>
  <c r="S157" i="25"/>
  <c r="W160" i="25"/>
  <c r="W186" i="25" s="1"/>
  <c r="W157" i="25"/>
  <c r="L160" i="25"/>
  <c r="L186" i="25" s="1"/>
  <c r="L157" i="25"/>
  <c r="P160" i="25"/>
  <c r="P186" i="25" s="1"/>
  <c r="P157" i="25"/>
  <c r="T160" i="25"/>
  <c r="T186" i="25" s="1"/>
  <c r="T157" i="25"/>
  <c r="X160" i="25"/>
  <c r="X186" i="25" s="1"/>
  <c r="X157" i="25"/>
  <c r="U20" i="25"/>
  <c r="U39" i="25" s="1"/>
  <c r="Q20" i="25"/>
  <c r="Q39" i="25" s="1"/>
  <c r="M20" i="25"/>
  <c r="M39" i="25" s="1"/>
  <c r="V20" i="25"/>
  <c r="V39" i="25" s="1"/>
  <c r="R20" i="25"/>
  <c r="R39" i="25" s="1"/>
  <c r="N20" i="25"/>
  <c r="N39" i="25" s="1"/>
  <c r="L37" i="25"/>
  <c r="M38" i="25"/>
  <c r="K36" i="25"/>
  <c r="K31" i="25"/>
  <c r="P37" i="25"/>
  <c r="Q38" i="25"/>
  <c r="O36" i="25"/>
  <c r="O31" i="25"/>
  <c r="T37" i="25"/>
  <c r="U38" i="25"/>
  <c r="S36" i="25"/>
  <c r="S31" i="25"/>
  <c r="X37" i="25"/>
  <c r="W36" i="25"/>
  <c r="W31" i="25"/>
  <c r="I65" i="25"/>
  <c r="I91" i="25" s="1"/>
  <c r="I94" i="25" s="1"/>
  <c r="I62" i="25"/>
  <c r="M65" i="25"/>
  <c r="M91" i="25" s="1"/>
  <c r="M62" i="25"/>
  <c r="Q65" i="25"/>
  <c r="Q91" i="25" s="1"/>
  <c r="Q62" i="25"/>
  <c r="U65" i="25"/>
  <c r="U91" i="25" s="1"/>
  <c r="U62" i="25"/>
  <c r="N38" i="25"/>
  <c r="L36" i="25"/>
  <c r="L31" i="25"/>
  <c r="M37" i="25"/>
  <c r="R38" i="25"/>
  <c r="P36" i="25"/>
  <c r="P31" i="25"/>
  <c r="Q37" i="25"/>
  <c r="V38" i="25"/>
  <c r="T36" i="25"/>
  <c r="T31" i="25"/>
  <c r="U37" i="25"/>
  <c r="X36" i="25"/>
  <c r="X31" i="25"/>
  <c r="L65" i="25"/>
  <c r="L91" i="25" s="1"/>
  <c r="L62" i="25"/>
  <c r="P65" i="25"/>
  <c r="P91" i="25" s="1"/>
  <c r="P62" i="25"/>
  <c r="T65" i="25"/>
  <c r="T91" i="25" s="1"/>
  <c r="T62" i="25"/>
  <c r="X65" i="25"/>
  <c r="X91" i="25" s="1"/>
  <c r="X62" i="25"/>
  <c r="L132" i="25"/>
  <c r="M133" i="25"/>
  <c r="K131" i="25"/>
  <c r="K126" i="25"/>
  <c r="P132" i="25"/>
  <c r="Q133" i="25"/>
  <c r="O131" i="25"/>
  <c r="O126" i="25"/>
  <c r="T132" i="25"/>
  <c r="U133" i="25"/>
  <c r="S131" i="25"/>
  <c r="S126" i="25"/>
  <c r="X132" i="25"/>
  <c r="W131" i="25"/>
  <c r="W126" i="25"/>
  <c r="N133" i="25"/>
  <c r="L131" i="25"/>
  <c r="L126" i="25"/>
  <c r="M132" i="25"/>
  <c r="R133" i="25"/>
  <c r="P131" i="25"/>
  <c r="P126" i="25"/>
  <c r="Q132" i="25"/>
  <c r="V133" i="25"/>
  <c r="T131" i="25"/>
  <c r="T126" i="25"/>
  <c r="U132" i="25"/>
  <c r="X131" i="25"/>
  <c r="X126" i="25"/>
  <c r="I160" i="25"/>
  <c r="I186" i="25" s="1"/>
  <c r="I157" i="25"/>
  <c r="M160" i="25"/>
  <c r="M186" i="25" s="1"/>
  <c r="M157" i="25"/>
  <c r="Q160" i="25"/>
  <c r="Q186" i="25" s="1"/>
  <c r="Q157" i="25"/>
  <c r="U160" i="25"/>
  <c r="U186" i="25" s="1"/>
  <c r="U157" i="25"/>
  <c r="J157" i="25"/>
  <c r="J160" i="25"/>
  <c r="J186" i="25" s="1"/>
  <c r="J189" i="25" s="1"/>
  <c r="N157" i="25"/>
  <c r="N160" i="25"/>
  <c r="N186" i="25" s="1"/>
  <c r="R157" i="25"/>
  <c r="R160" i="25"/>
  <c r="R186" i="25" s="1"/>
  <c r="V157" i="25"/>
  <c r="V160" i="25"/>
  <c r="V186" i="25" s="1"/>
  <c r="W20" i="25"/>
  <c r="W39" i="25" s="1"/>
  <c r="S20" i="25"/>
  <c r="S39" i="25" s="1"/>
  <c r="O20" i="25"/>
  <c r="O39" i="25" s="1"/>
  <c r="K20" i="25"/>
  <c r="K39" i="25" s="1"/>
  <c r="X20" i="25"/>
  <c r="X39" i="25" s="1"/>
  <c r="T20" i="25"/>
  <c r="T39" i="25" s="1"/>
  <c r="P20" i="25"/>
  <c r="P39" i="25" s="1"/>
  <c r="L20" i="25"/>
  <c r="L39" i="25" s="1"/>
  <c r="F73" i="15"/>
  <c r="E74" i="15"/>
  <c r="E75" i="15" s="1"/>
  <c r="E77" i="15" s="1"/>
  <c r="G61" i="15"/>
  <c r="F62" i="15"/>
  <c r="F63" i="15" s="1"/>
  <c r="F65" i="15" s="1"/>
  <c r="E53" i="15"/>
  <c r="E58" i="15" s="1"/>
  <c r="F52" i="15"/>
  <c r="F31" i="15"/>
  <c r="G81" i="15"/>
  <c r="G9" i="15"/>
  <c r="F51" i="15"/>
  <c r="G49" i="15"/>
  <c r="I34" i="15"/>
  <c r="E81" i="15"/>
  <c r="E70" i="15"/>
  <c r="E20" i="15"/>
  <c r="E21" i="15" s="1"/>
  <c r="E32" i="15" s="1"/>
  <c r="E33" i="15" s="1"/>
  <c r="E35" i="15" s="1"/>
  <c r="D39" i="15"/>
  <c r="D57" i="15" s="1"/>
  <c r="L27" i="15"/>
  <c r="M14" i="15"/>
  <c r="D20" i="15"/>
  <c r="D21" i="15" s="1"/>
  <c r="D10" i="15"/>
  <c r="D16" i="15" s="1"/>
  <c r="M87" i="15"/>
  <c r="G76" i="15"/>
  <c r="H64" i="15"/>
  <c r="D74" i="15"/>
  <c r="D75" i="15" s="1"/>
  <c r="D77" i="15" s="1"/>
  <c r="D53" i="15"/>
  <c r="C65" i="15"/>
  <c r="C74" i="15"/>
  <c r="C75" i="15" s="1"/>
  <c r="C77" i="15" s="1"/>
  <c r="F22" i="15"/>
  <c r="G6" i="15"/>
  <c r="F8" i="15"/>
  <c r="F10" i="15" s="1"/>
  <c r="F16" i="15" s="1"/>
  <c r="F2" i="15"/>
  <c r="E45" i="15"/>
  <c r="K47" i="15"/>
  <c r="L47" i="15" s="1"/>
  <c r="M47" i="15" s="1"/>
  <c r="N47" i="15" s="1"/>
  <c r="O47" i="15" s="1"/>
  <c r="P47" i="15" s="1"/>
  <c r="Q47" i="15" s="1"/>
  <c r="R47" i="15" s="1"/>
  <c r="S47" i="15" s="1"/>
  <c r="T47" i="15" s="1"/>
  <c r="U47" i="15" s="1"/>
  <c r="V47" i="15" s="1"/>
  <c r="W47" i="15" s="1"/>
  <c r="X47" i="15" s="1"/>
  <c r="Y47" i="15" s="1"/>
  <c r="Z47" i="15" s="1"/>
  <c r="G19" i="15"/>
  <c r="J57" i="15"/>
  <c r="H39" i="15"/>
  <c r="H57" i="15" s="1"/>
  <c r="F69" i="15"/>
  <c r="C16" i="15"/>
  <c r="C27" i="15"/>
  <c r="K39" i="15"/>
  <c r="C23" i="15"/>
  <c r="C32" i="15"/>
  <c r="C33" i="15" s="1"/>
  <c r="C35" i="15" s="1"/>
  <c r="I81" i="15"/>
  <c r="R279" i="19"/>
  <c r="R276" i="19"/>
  <c r="U279" i="19"/>
  <c r="U276" i="19"/>
  <c r="O279" i="19"/>
  <c r="O276" i="19"/>
  <c r="K279" i="19"/>
  <c r="K276" i="19"/>
  <c r="G279" i="19"/>
  <c r="G276" i="19"/>
  <c r="L279" i="19"/>
  <c r="L276" i="19"/>
  <c r="H279" i="19"/>
  <c r="H276" i="19"/>
  <c r="Z272" i="19"/>
  <c r="AA213" i="19"/>
  <c r="AD265" i="19"/>
  <c r="AE206" i="19"/>
  <c r="Z250" i="19"/>
  <c r="AA191" i="19"/>
  <c r="Z248" i="19"/>
  <c r="AA189" i="19"/>
  <c r="AB241" i="19"/>
  <c r="AC187" i="19"/>
  <c r="X231" i="19"/>
  <c r="Y172" i="19"/>
  <c r="Y227" i="19"/>
  <c r="Z168" i="19"/>
  <c r="Y223" i="19"/>
  <c r="Z164" i="19"/>
  <c r="Y219" i="19"/>
  <c r="Z160" i="19"/>
  <c r="Y246" i="19"/>
  <c r="Z183" i="19"/>
  <c r="AD264" i="19"/>
  <c r="AE205" i="19"/>
  <c r="AD262" i="19"/>
  <c r="AE203" i="19"/>
  <c r="AD260" i="19"/>
  <c r="AE201" i="19"/>
  <c r="AD258" i="19"/>
  <c r="AE199" i="19"/>
  <c r="AE186" i="19"/>
  <c r="Z244" i="19"/>
  <c r="AA181" i="19"/>
  <c r="AA243" i="19"/>
  <c r="AB180" i="19"/>
  <c r="AA237" i="19"/>
  <c r="AB178" i="19"/>
  <c r="Y236" i="19"/>
  <c r="Z177" i="19"/>
  <c r="AB220" i="19"/>
  <c r="AC161" i="19"/>
  <c r="AD263" i="19"/>
  <c r="AE204" i="19"/>
  <c r="AD261" i="19"/>
  <c r="AE202" i="19"/>
  <c r="AD259" i="19"/>
  <c r="AE200" i="19"/>
  <c r="AE188" i="19"/>
  <c r="Z238" i="19"/>
  <c r="AA179" i="19"/>
  <c r="Z228" i="19"/>
  <c r="AA169" i="19"/>
  <c r="Z224" i="19"/>
  <c r="AA165" i="19"/>
  <c r="AA218" i="19"/>
  <c r="AB159" i="19"/>
  <c r="V66" i="19"/>
  <c r="Z97" i="19"/>
  <c r="Z136" i="19" s="1"/>
  <c r="Z138" i="19" s="1"/>
  <c r="AA60" i="19"/>
  <c r="AA64" i="19" s="1"/>
  <c r="W231" i="19"/>
  <c r="X222" i="19"/>
  <c r="W84" i="19"/>
  <c r="X84" i="19"/>
  <c r="W223" i="19"/>
  <c r="AC271" i="19"/>
  <c r="AC132" i="19"/>
  <c r="AD61" i="19"/>
  <c r="AD130" i="19"/>
  <c r="AE58" i="19"/>
  <c r="AE100" i="19"/>
  <c r="AF55" i="19"/>
  <c r="AE92" i="19"/>
  <c r="AF53" i="19"/>
  <c r="AE84" i="19"/>
  <c r="AF51" i="19"/>
  <c r="AE85" i="19"/>
  <c r="AF49" i="19"/>
  <c r="Y230" i="19"/>
  <c r="AM128" i="19"/>
  <c r="AN43" i="19"/>
  <c r="AD108" i="19"/>
  <c r="AE44" i="19"/>
  <c r="AE112" i="19"/>
  <c r="AF42" i="19"/>
  <c r="AD126" i="19"/>
  <c r="AE39" i="19"/>
  <c r="AI125" i="19"/>
  <c r="AJ37" i="19"/>
  <c r="AC111" i="19"/>
  <c r="AD36" i="19"/>
  <c r="AD240" i="19" s="1"/>
  <c r="AD105" i="19"/>
  <c r="AE33" i="19"/>
  <c r="AC110" i="19"/>
  <c r="AD29" i="19"/>
  <c r="X224" i="19"/>
  <c r="W86" i="19"/>
  <c r="X86" i="19"/>
  <c r="AC255" i="19"/>
  <c r="AC121" i="19"/>
  <c r="AD121" i="19"/>
  <c r="X219" i="19"/>
  <c r="W80" i="19"/>
  <c r="X80" i="19"/>
  <c r="W64" i="19"/>
  <c r="W229" i="19"/>
  <c r="W219" i="19"/>
  <c r="W74" i="19"/>
  <c r="P279" i="19"/>
  <c r="P276" i="19"/>
  <c r="Q279" i="19"/>
  <c r="Q276" i="19"/>
  <c r="M279" i="19"/>
  <c r="M276" i="19"/>
  <c r="I279" i="19"/>
  <c r="I276" i="19"/>
  <c r="E279" i="19"/>
  <c r="E276" i="19"/>
  <c r="J279" i="19"/>
  <c r="J276" i="19"/>
  <c r="F279" i="19"/>
  <c r="F276" i="19"/>
  <c r="AA252" i="19"/>
  <c r="AB193" i="19"/>
  <c r="Y249" i="19"/>
  <c r="Z190" i="19"/>
  <c r="W233" i="19"/>
  <c r="X174" i="19"/>
  <c r="Y229" i="19"/>
  <c r="Z170" i="19"/>
  <c r="W225" i="19"/>
  <c r="X166" i="19"/>
  <c r="X221" i="19"/>
  <c r="Y162" i="19"/>
  <c r="Y247" i="19"/>
  <c r="Z184" i="19"/>
  <c r="Y245" i="19"/>
  <c r="Z182" i="19"/>
  <c r="Z234" i="19"/>
  <c r="AA175" i="19"/>
  <c r="Z222" i="19"/>
  <c r="AA163" i="19"/>
  <c r="Y217" i="19"/>
  <c r="Z158" i="19"/>
  <c r="Z66" i="19"/>
  <c r="X226" i="19"/>
  <c r="W92" i="19"/>
  <c r="X92" i="19"/>
  <c r="X223" i="19"/>
  <c r="W85" i="19"/>
  <c r="X85" i="19"/>
  <c r="AD135" i="19"/>
  <c r="AE62" i="19"/>
  <c r="AE131" i="19"/>
  <c r="AF59" i="19"/>
  <c r="AD115" i="19"/>
  <c r="AE56" i="19"/>
  <c r="AD106" i="19"/>
  <c r="AE54" i="19"/>
  <c r="AD87" i="19"/>
  <c r="AE52" i="19"/>
  <c r="AD94" i="19"/>
  <c r="AE50" i="19"/>
  <c r="AA230" i="19"/>
  <c r="AA96" i="19"/>
  <c r="AB48" i="19"/>
  <c r="AD256" i="19"/>
  <c r="AD122" i="19"/>
  <c r="AE47" i="19"/>
  <c r="AD129" i="19"/>
  <c r="AE45" i="19"/>
  <c r="AD128" i="19"/>
  <c r="AE43" i="19"/>
  <c r="AD127" i="19"/>
  <c r="AE40" i="19"/>
  <c r="AJ126" i="19"/>
  <c r="AK39" i="19"/>
  <c r="AD125" i="19"/>
  <c r="AE37" i="19"/>
  <c r="AD114" i="19"/>
  <c r="AE35" i="19"/>
  <c r="AD124" i="19"/>
  <c r="AE34" i="19"/>
  <c r="AD101" i="19"/>
  <c r="AE32" i="19"/>
  <c r="AE86" i="19"/>
  <c r="AD86" i="19"/>
  <c r="AC95" i="19"/>
  <c r="AD27" i="19"/>
  <c r="X229" i="19"/>
  <c r="W95" i="19"/>
  <c r="X95" i="19"/>
  <c r="AC82" i="19"/>
  <c r="AD82" i="19"/>
  <c r="W221" i="19"/>
  <c r="X227" i="19"/>
  <c r="W93" i="19"/>
  <c r="X93" i="19"/>
  <c r="AA72" i="19"/>
  <c r="AA71" i="19"/>
  <c r="AA73" i="19" s="1"/>
  <c r="AB1" i="19"/>
  <c r="Z74" i="19"/>
  <c r="AB113" i="19"/>
  <c r="AC57" i="19"/>
  <c r="X228" i="19"/>
  <c r="W94" i="19"/>
  <c r="X94" i="19"/>
  <c r="Z230" i="19"/>
  <c r="W227" i="19"/>
  <c r="M3" i="32"/>
  <c r="K14" i="32"/>
  <c r="AC79" i="16"/>
  <c r="AD63" i="16"/>
  <c r="AC58" i="16"/>
  <c r="AB64" i="16"/>
  <c r="AB70" i="16" s="1"/>
  <c r="AF77" i="16"/>
  <c r="AF69" i="16"/>
  <c r="AC82" i="16"/>
  <c r="AA87" i="16"/>
  <c r="AB86" i="16" s="1"/>
  <c r="AC71" i="16"/>
  <c r="Y102" i="16"/>
  <c r="Y104" i="16" s="1"/>
  <c r="Y105" i="16" s="1"/>
  <c r="Y60" i="16"/>
  <c r="W102" i="16"/>
  <c r="W104" i="16" s="1"/>
  <c r="W105" i="16" s="1"/>
  <c r="W60" i="16"/>
  <c r="X102" i="16"/>
  <c r="X104" i="16" s="1"/>
  <c r="X105" i="16" s="1"/>
  <c r="X60" i="16"/>
  <c r="V102" i="16"/>
  <c r="V104" i="16" s="1"/>
  <c r="V105" i="16" s="1"/>
  <c r="V60" i="16"/>
  <c r="W82" i="18"/>
  <c r="W39" i="18"/>
  <c r="S82" i="18"/>
  <c r="S39" i="18"/>
  <c r="O82" i="18"/>
  <c r="O39" i="18"/>
  <c r="K82" i="18"/>
  <c r="K39" i="18"/>
  <c r="AB169" i="18"/>
  <c r="AC15" i="18"/>
  <c r="X89" i="18"/>
  <c r="L89" i="18"/>
  <c r="V81" i="18"/>
  <c r="T81" i="18"/>
  <c r="R81" i="18"/>
  <c r="P81" i="18"/>
  <c r="J81" i="18"/>
  <c r="AB174" i="18"/>
  <c r="AC30" i="18"/>
  <c r="AC10" i="16" s="1"/>
  <c r="T31" i="18"/>
  <c r="T73" i="18"/>
  <c r="N82" i="18"/>
  <c r="N39" i="18"/>
  <c r="J82" i="18"/>
  <c r="AA156" i="18"/>
  <c r="AB154" i="18"/>
  <c r="AA170" i="18"/>
  <c r="AC155" i="18"/>
  <c r="AC7" i="16" s="1"/>
  <c r="L104" i="18"/>
  <c r="K106" i="18"/>
  <c r="L106" i="18" s="1"/>
  <c r="M106" i="18" s="1"/>
  <c r="N106" i="18" s="1"/>
  <c r="O106" i="18" s="1"/>
  <c r="P106" i="18" s="1"/>
  <c r="Q106" i="18" s="1"/>
  <c r="R106" i="18" s="1"/>
  <c r="S106" i="18" s="1"/>
  <c r="T106" i="18" s="1"/>
  <c r="U106" i="18" s="1"/>
  <c r="V106" i="18" s="1"/>
  <c r="W106" i="18" s="1"/>
  <c r="X106" i="18" s="1"/>
  <c r="Y106" i="18" s="1"/>
  <c r="Z106" i="18" s="1"/>
  <c r="AA106" i="18" s="1"/>
  <c r="AB106" i="18" s="1"/>
  <c r="AC106" i="18" s="1"/>
  <c r="AD106" i="18" s="1"/>
  <c r="AE106" i="18" s="1"/>
  <c r="AF106" i="18" s="1"/>
  <c r="AG106" i="18" s="1"/>
  <c r="AH106" i="18" s="1"/>
  <c r="AI106" i="18" s="1"/>
  <c r="AJ106" i="18" s="1"/>
  <c r="AK106" i="18" s="1"/>
  <c r="AL106" i="18" s="1"/>
  <c r="AM106" i="18" s="1"/>
  <c r="AN106" i="18" s="1"/>
  <c r="O177" i="18"/>
  <c r="Y39" i="18"/>
  <c r="Y82" i="18"/>
  <c r="U39" i="18"/>
  <c r="U82" i="18"/>
  <c r="Q39" i="18"/>
  <c r="Q82" i="18"/>
  <c r="M39" i="18"/>
  <c r="M82" i="18"/>
  <c r="L81" i="18"/>
  <c r="X82" i="18"/>
  <c r="T82" i="18"/>
  <c r="P82" i="18"/>
  <c r="L82" i="18"/>
  <c r="BX144" i="2"/>
  <c r="BX145" i="2"/>
  <c r="CK128" i="2"/>
  <c r="CL109" i="2"/>
  <c r="CL128" i="2" s="1"/>
  <c r="DB80" i="2"/>
  <c r="CV80" i="2"/>
  <c r="CT80" i="2"/>
  <c r="CU80" i="2"/>
  <c r="CS80" i="2"/>
  <c r="CH122" i="2"/>
  <c r="CM103" i="2"/>
  <c r="CD103" i="2"/>
  <c r="BV118" i="2"/>
  <c r="BX118" i="2" s="1"/>
  <c r="BW99" i="2"/>
  <c r="BW118" i="2" s="1"/>
  <c r="U115" i="2"/>
  <c r="Z96" i="2"/>
  <c r="BV124" i="2"/>
  <c r="BX124" i="2" s="1"/>
  <c r="BW105" i="2"/>
  <c r="BW124" i="2" s="1"/>
  <c r="BU123" i="2"/>
  <c r="BV104" i="2"/>
  <c r="CC105" i="2"/>
  <c r="CH105" i="2" s="1"/>
  <c r="AO120" i="2"/>
  <c r="AT101" i="2"/>
  <c r="BD117" i="2"/>
  <c r="BI98" i="2"/>
  <c r="BZ115" i="2"/>
  <c r="CA96" i="2"/>
  <c r="AJ84" i="2"/>
  <c r="P84" i="2"/>
  <c r="CP65" i="2"/>
  <c r="CR64" i="2"/>
  <c r="CO65" i="2"/>
  <c r="BZ130" i="2"/>
  <c r="CA111" i="2"/>
  <c r="CC110" i="2"/>
  <c r="CG118" i="2"/>
  <c r="BU119" i="2"/>
  <c r="BV100" i="2"/>
  <c r="CD115" i="2"/>
  <c r="CI96" i="2"/>
  <c r="CE96" i="2"/>
  <c r="U117" i="2"/>
  <c r="Z98" i="2"/>
  <c r="CK99" i="2"/>
  <c r="BU115" i="2"/>
  <c r="BV96" i="2"/>
  <c r="BZ112" i="2"/>
  <c r="BZ84" i="2"/>
  <c r="BU112" i="2"/>
  <c r="BU84" i="2"/>
  <c r="I112" i="2"/>
  <c r="I84" i="2"/>
  <c r="CT69" i="2"/>
  <c r="CU65" i="2"/>
  <c r="CS65" i="2"/>
  <c r="CT65" i="2"/>
  <c r="AE112" i="2"/>
  <c r="AE84" i="2"/>
  <c r="K112" i="2"/>
  <c r="K84" i="2"/>
  <c r="CL64" i="2"/>
  <c r="BY112" i="2"/>
  <c r="BY84" i="2"/>
  <c r="BT112" i="2"/>
  <c r="BT84" i="2"/>
  <c r="CH144" i="2"/>
  <c r="CH145" i="2"/>
  <c r="BN145" i="2"/>
  <c r="BD143" i="2"/>
  <c r="AY150" i="2"/>
  <c r="AY112" i="2"/>
  <c r="AY84" i="2"/>
  <c r="CK23" i="2"/>
  <c r="CW10" i="2"/>
  <c r="BX92" i="2"/>
  <c r="BX94" i="2" s="1"/>
  <c r="CH119" i="2"/>
  <c r="CH100" i="2" s="1"/>
  <c r="CM100" i="2" s="1"/>
  <c r="CC119" i="2"/>
  <c r="CO14" i="2"/>
  <c r="CJ23" i="2"/>
  <c r="CO18" i="2"/>
  <c r="DQ109" i="2"/>
  <c r="P130" i="2"/>
  <c r="U111" i="2"/>
  <c r="BV130" i="2"/>
  <c r="BW111" i="2"/>
  <c r="BW130" i="2" s="1"/>
  <c r="BV127" i="2"/>
  <c r="BX127" i="2" s="1"/>
  <c r="BW108" i="2"/>
  <c r="BW127" i="2" s="1"/>
  <c r="CB126" i="2"/>
  <c r="CC126" i="2" s="1"/>
  <c r="CC107" i="2"/>
  <c r="CH107" i="2" s="1"/>
  <c r="BZ125" i="2"/>
  <c r="CA106" i="2"/>
  <c r="CO69" i="2"/>
  <c r="CP69" i="2"/>
  <c r="CF128" i="2"/>
  <c r="CG128" i="2" s="1"/>
  <c r="CG109" i="2"/>
  <c r="BZ127" i="2"/>
  <c r="CA108" i="2"/>
  <c r="BU125" i="2"/>
  <c r="BV106" i="2"/>
  <c r="BV122" i="2"/>
  <c r="BX122" i="2" s="1"/>
  <c r="BW103" i="2"/>
  <c r="BW122" i="2" s="1"/>
  <c r="CF125" i="2"/>
  <c r="CG106" i="2"/>
  <c r="CA123" i="2"/>
  <c r="CC123" i="2" s="1"/>
  <c r="CB104" i="2"/>
  <c r="CB123" i="2" s="1"/>
  <c r="P116" i="2"/>
  <c r="P97" i="2" s="1"/>
  <c r="CI84" i="2"/>
  <c r="CB112" i="2"/>
  <c r="CB84" i="2"/>
  <c r="BW112" i="2"/>
  <c r="BW84" i="2"/>
  <c r="BS150" i="2"/>
  <c r="BS151" i="2" s="1"/>
  <c r="BS84" i="2"/>
  <c r="BI150" i="2"/>
  <c r="BI112" i="2"/>
  <c r="BI84" i="2"/>
  <c r="G112" i="2"/>
  <c r="G84" i="2"/>
  <c r="DG70" i="2"/>
  <c r="DB69" i="2"/>
  <c r="DG66" i="2"/>
  <c r="DB65" i="2"/>
  <c r="AO112" i="2"/>
  <c r="AO84" i="2"/>
  <c r="U112" i="2"/>
  <c r="U84" i="2"/>
  <c r="CA112" i="2"/>
  <c r="CA84" i="2"/>
  <c r="BV112" i="2"/>
  <c r="BV84" i="2"/>
  <c r="BN150" i="2"/>
  <c r="BN112" i="2"/>
  <c r="J112" i="2"/>
  <c r="J84" i="2"/>
  <c r="H112" i="2"/>
  <c r="H84" i="2"/>
  <c r="BD150" i="2"/>
  <c r="BD112" i="2"/>
  <c r="CM128" i="2"/>
  <c r="CR58" i="2"/>
  <c r="CW43" i="2"/>
  <c r="CC145" i="2"/>
  <c r="CC144" i="2"/>
  <c r="BR92" i="2"/>
  <c r="BS92" i="2" s="1"/>
  <c r="BR90" i="2"/>
  <c r="BS89" i="2"/>
  <c r="BS90" i="2" s="1"/>
  <c r="CW48" i="2"/>
  <c r="DB38" i="2"/>
  <c r="CS38" i="2"/>
  <c r="BS145" i="2"/>
  <c r="BS144" i="2"/>
  <c r="BX90" i="2"/>
  <c r="CH89" i="2"/>
  <c r="CC89" i="2"/>
  <c r="CC92" i="2" s="1"/>
  <c r="CC94" i="2" s="1"/>
  <c r="BY92" i="2"/>
  <c r="CS14" i="2"/>
  <c r="DB14" i="2"/>
  <c r="CS18" i="2"/>
  <c r="DB18" i="2"/>
  <c r="DB17" i="3"/>
  <c r="BP92" i="3"/>
  <c r="BP29" i="3"/>
  <c r="BO103" i="3"/>
  <c r="BS9" i="3"/>
  <c r="BW103" i="3"/>
  <c r="BY103" i="3"/>
  <c r="CA103" i="3"/>
  <c r="CC9" i="3"/>
  <c r="CE103" i="3"/>
  <c r="CG103" i="3"/>
  <c r="CI103" i="3"/>
  <c r="BP104" i="3"/>
  <c r="BP94" i="3"/>
  <c r="BR104" i="3"/>
  <c r="BT104" i="3"/>
  <c r="BV104" i="3"/>
  <c r="BX19" i="3"/>
  <c r="BZ104" i="3"/>
  <c r="CB104" i="3"/>
  <c r="CD104" i="3"/>
  <c r="CK104" i="3"/>
  <c r="CF104" i="3"/>
  <c r="CH19" i="3"/>
  <c r="CL104" i="3"/>
  <c r="BO105" i="3"/>
  <c r="BO93" i="3"/>
  <c r="BQ105" i="3"/>
  <c r="BQ93" i="3"/>
  <c r="BT105" i="3"/>
  <c r="BV105" i="3"/>
  <c r="BY105" i="3"/>
  <c r="CA105" i="3"/>
  <c r="CD105" i="3"/>
  <c r="CK105" i="3"/>
  <c r="CF105" i="3"/>
  <c r="CI105" i="3"/>
  <c r="BS26" i="3"/>
  <c r="CC26" i="3"/>
  <c r="CH26" i="3"/>
  <c r="CM105" i="3" s="1"/>
  <c r="D29" i="3"/>
  <c r="F29" i="3"/>
  <c r="H29" i="3"/>
  <c r="J29" i="3"/>
  <c r="L29" i="3"/>
  <c r="N29" i="3"/>
  <c r="P29" i="3"/>
  <c r="L160" i="18" s="1"/>
  <c r="R29" i="3"/>
  <c r="T29" i="3"/>
  <c r="V29" i="3"/>
  <c r="X29" i="3"/>
  <c r="Z29" i="3"/>
  <c r="N160" i="18" s="1"/>
  <c r="AB29" i="3"/>
  <c r="AD29" i="3"/>
  <c r="AF29" i="3"/>
  <c r="AH29" i="3"/>
  <c r="AJ29" i="3"/>
  <c r="P160" i="18" s="1"/>
  <c r="AL29" i="3"/>
  <c r="AN29" i="3"/>
  <c r="AP29" i="3"/>
  <c r="AR29" i="3"/>
  <c r="AT29" i="3"/>
  <c r="R160" i="18" s="1"/>
  <c r="AV29" i="3"/>
  <c r="AX29" i="3"/>
  <c r="AZ29" i="3"/>
  <c r="BB29" i="3"/>
  <c r="BD29" i="3"/>
  <c r="T160" i="18" s="1"/>
  <c r="BF29" i="3"/>
  <c r="BH29" i="3"/>
  <c r="BJ29" i="3"/>
  <c r="BL29" i="3"/>
  <c r="BN29" i="3"/>
  <c r="V160" i="18" s="1"/>
  <c r="CW24" i="3"/>
  <c r="BS34" i="3"/>
  <c r="W45" i="18" s="1"/>
  <c r="CC34" i="3"/>
  <c r="Y45" i="18" s="1"/>
  <c r="BR134" i="3"/>
  <c r="BS134" i="3" s="1"/>
  <c r="CM87" i="3"/>
  <c r="CM63" i="3"/>
  <c r="CR64" i="3"/>
  <c r="CW59" i="3"/>
  <c r="CR58" i="3"/>
  <c r="BV45" i="3"/>
  <c r="BW45" i="3" s="1"/>
  <c r="BQ103" i="3"/>
  <c r="BU103" i="3"/>
  <c r="BP103" i="3"/>
  <c r="BR103" i="3"/>
  <c r="BT103" i="3"/>
  <c r="BV103" i="3"/>
  <c r="BX9" i="3"/>
  <c r="BZ103" i="3"/>
  <c r="CB103" i="3"/>
  <c r="CD103" i="3"/>
  <c r="CF103" i="3"/>
  <c r="CH9" i="3"/>
  <c r="BO10" i="3"/>
  <c r="BQ10" i="3"/>
  <c r="BO94" i="3"/>
  <c r="BO104" i="3"/>
  <c r="BQ94" i="3"/>
  <c r="BQ104" i="3"/>
  <c r="BS19" i="3"/>
  <c r="BS45" i="3" s="1"/>
  <c r="BU104" i="3"/>
  <c r="BW104" i="3"/>
  <c r="BY104" i="3"/>
  <c r="CA104" i="3"/>
  <c r="CC19" i="3"/>
  <c r="CJ104" i="3"/>
  <c r="CE104" i="3"/>
  <c r="CG104" i="3"/>
  <c r="CI104" i="3"/>
  <c r="BP93" i="3"/>
  <c r="BP105" i="3"/>
  <c r="BR105" i="3"/>
  <c r="BU105" i="3"/>
  <c r="BW105" i="3"/>
  <c r="BZ105" i="3"/>
  <c r="CB105" i="3"/>
  <c r="CE105" i="3"/>
  <c r="CJ105" i="3"/>
  <c r="CG105" i="3"/>
  <c r="BX26" i="3"/>
  <c r="CH23" i="3"/>
  <c r="CM23" i="3" s="1"/>
  <c r="CR23" i="3" s="1"/>
  <c r="CW23" i="3" s="1"/>
  <c r="DB23" i="3" s="1"/>
  <c r="DG23" i="3" s="1"/>
  <c r="DL23" i="3" s="1"/>
  <c r="DQ23" i="3" s="1"/>
  <c r="DV23" i="3" s="1"/>
  <c r="EA23" i="3" s="1"/>
  <c r="EF23" i="3" s="1"/>
  <c r="EK23" i="3" s="1"/>
  <c r="EP23" i="3" s="1"/>
  <c r="EU23" i="3" s="1"/>
  <c r="EZ23" i="3" s="1"/>
  <c r="C29" i="3"/>
  <c r="E29" i="3"/>
  <c r="G29" i="3"/>
  <c r="I29" i="3"/>
  <c r="K29" i="3"/>
  <c r="K160" i="18" s="1"/>
  <c r="M29" i="3"/>
  <c r="O29" i="3"/>
  <c r="Q29" i="3"/>
  <c r="S29" i="3"/>
  <c r="U29" i="3"/>
  <c r="M160" i="18" s="1"/>
  <c r="W29" i="3"/>
  <c r="Y29" i="3"/>
  <c r="AA29" i="3"/>
  <c r="AC29" i="3"/>
  <c r="AE29" i="3"/>
  <c r="O160" i="18" s="1"/>
  <c r="AG29" i="3"/>
  <c r="AI29" i="3"/>
  <c r="AK29" i="3"/>
  <c r="AM29" i="3"/>
  <c r="AO29" i="3"/>
  <c r="Q160" i="18" s="1"/>
  <c r="AQ29" i="3"/>
  <c r="AS29" i="3"/>
  <c r="AU29" i="3"/>
  <c r="AW29" i="3"/>
  <c r="AY29" i="3"/>
  <c r="S160" i="18" s="1"/>
  <c r="BA29" i="3"/>
  <c r="BC29" i="3"/>
  <c r="BE29" i="3"/>
  <c r="BG29" i="3"/>
  <c r="BI29" i="3"/>
  <c r="U160" i="18" s="1"/>
  <c r="BK29" i="3"/>
  <c r="BM29" i="3"/>
  <c r="BQ45" i="3"/>
  <c r="BR45" i="3" s="1"/>
  <c r="CE45" i="3"/>
  <c r="BP45" i="3"/>
  <c r="BT45" i="3"/>
  <c r="CI4" i="3"/>
  <c r="CH4" i="3"/>
  <c r="CG4" i="3"/>
  <c r="CF4" i="3"/>
  <c r="CE4" i="3"/>
  <c r="CD4" i="3"/>
  <c r="CC4" i="3"/>
  <c r="CB4" i="3"/>
  <c r="CA4" i="3"/>
  <c r="BZ4" i="3"/>
  <c r="BY4" i="3"/>
  <c r="BX4" i="3"/>
  <c r="BW4" i="3"/>
  <c r="BV4" i="3"/>
  <c r="BU4" i="3"/>
  <c r="BT4" i="3"/>
  <c r="BS4" i="3"/>
  <c r="BR4" i="3"/>
  <c r="CI3" i="3"/>
  <c r="CH3" i="3"/>
  <c r="CG3" i="3"/>
  <c r="CF3" i="3"/>
  <c r="CE3" i="3"/>
  <c r="CD3" i="3"/>
  <c r="CC3" i="3"/>
  <c r="CB3" i="3"/>
  <c r="CA3" i="3"/>
  <c r="CA91" i="3" s="1"/>
  <c r="BZ3" i="3"/>
  <c r="BY3" i="3"/>
  <c r="BX3" i="3"/>
  <c r="BW3" i="3"/>
  <c r="BW91" i="3" s="1"/>
  <c r="BV3" i="3"/>
  <c r="BU3" i="3"/>
  <c r="BU91" i="3" s="1"/>
  <c r="BT3" i="3"/>
  <c r="BS3" i="3"/>
  <c r="BR3" i="3"/>
  <c r="BQ4" i="3"/>
  <c r="BP4" i="3"/>
  <c r="BO4" i="3"/>
  <c r="BN4" i="3"/>
  <c r="BM4" i="3"/>
  <c r="BL4" i="3"/>
  <c r="BK4" i="3"/>
  <c r="BJ4" i="3"/>
  <c r="BI4" i="3"/>
  <c r="BH4" i="3"/>
  <c r="BG4" i="3"/>
  <c r="BF4" i="3"/>
  <c r="BE4" i="3"/>
  <c r="BD4" i="3"/>
  <c r="BC4" i="3"/>
  <c r="BB4" i="3"/>
  <c r="BA4" i="3"/>
  <c r="AZ4" i="3"/>
  <c r="AY4" i="3"/>
  <c r="AX4" i="3"/>
  <c r="AW4" i="3"/>
  <c r="AV4" i="3"/>
  <c r="AU4" i="3"/>
  <c r="AT4" i="3"/>
  <c r="AS4" i="3"/>
  <c r="AR4" i="3"/>
  <c r="AQ4" i="3"/>
  <c r="AP4" i="3"/>
  <c r="AO4" i="3"/>
  <c r="AN4" i="3"/>
  <c r="AM4" i="3"/>
  <c r="AL4" i="3"/>
  <c r="AK4" i="3"/>
  <c r="AJ4" i="3"/>
  <c r="AI4" i="3"/>
  <c r="AH4" i="3"/>
  <c r="AG4" i="3"/>
  <c r="AF4" i="3"/>
  <c r="AE4" i="3"/>
  <c r="AD4" i="3"/>
  <c r="AC4" i="3"/>
  <c r="AB4" i="3"/>
  <c r="AA4" i="3"/>
  <c r="Z4" i="3"/>
  <c r="Y4" i="3"/>
  <c r="X4" i="3"/>
  <c r="W4" i="3"/>
  <c r="V4" i="3"/>
  <c r="U4" i="3"/>
  <c r="T4" i="3"/>
  <c r="S4" i="3"/>
  <c r="R4" i="3"/>
  <c r="Q4" i="3"/>
  <c r="P4" i="3"/>
  <c r="O4" i="3"/>
  <c r="N4" i="3"/>
  <c r="M4" i="3"/>
  <c r="L4" i="3"/>
  <c r="K4" i="3"/>
  <c r="J4" i="3"/>
  <c r="I4" i="3"/>
  <c r="H4" i="3"/>
  <c r="G4" i="3"/>
  <c r="F4" i="3"/>
  <c r="E4" i="3"/>
  <c r="D4" i="3"/>
  <c r="C4" i="3"/>
  <c r="BQ3" i="3"/>
  <c r="BP3" i="3"/>
  <c r="BO3" i="3"/>
  <c r="BN3" i="3"/>
  <c r="BM3" i="3"/>
  <c r="BL3" i="3"/>
  <c r="BK3" i="3"/>
  <c r="BJ3" i="3"/>
  <c r="BI3" i="3"/>
  <c r="BH3" i="3"/>
  <c r="BG3" i="3"/>
  <c r="BF3" i="3"/>
  <c r="BE3" i="3"/>
  <c r="BD3" i="3"/>
  <c r="BC3" i="3"/>
  <c r="BB3" i="3"/>
  <c r="BA3" i="3"/>
  <c r="AZ3" i="3"/>
  <c r="AY3" i="3"/>
  <c r="AX3" i="3"/>
  <c r="AW3" i="3"/>
  <c r="AV3" i="3"/>
  <c r="AU3" i="3"/>
  <c r="AT3" i="3"/>
  <c r="AS3" i="3"/>
  <c r="AR3" i="3"/>
  <c r="AQ3" i="3"/>
  <c r="AP3" i="3"/>
  <c r="AO3" i="3"/>
  <c r="AN3" i="3"/>
  <c r="AM3" i="3"/>
  <c r="AL3" i="3"/>
  <c r="AK3" i="3"/>
  <c r="AJ3" i="3"/>
  <c r="AI3" i="3"/>
  <c r="AH3" i="3"/>
  <c r="AG3" i="3"/>
  <c r="AF3" i="3"/>
  <c r="AE3" i="3"/>
  <c r="AD3" i="3"/>
  <c r="AC3" i="3"/>
  <c r="AB3" i="3"/>
  <c r="AA3" i="3"/>
  <c r="Z3" i="3"/>
  <c r="Y3" i="3"/>
  <c r="X3" i="3"/>
  <c r="W3" i="3"/>
  <c r="V3" i="3"/>
  <c r="U3" i="3"/>
  <c r="T3" i="3"/>
  <c r="S3" i="3"/>
  <c r="R3" i="3"/>
  <c r="Q3" i="3"/>
  <c r="P3" i="3"/>
  <c r="O3" i="3"/>
  <c r="N3" i="3"/>
  <c r="M3" i="3"/>
  <c r="L3" i="3"/>
  <c r="K3" i="3"/>
  <c r="J3" i="3"/>
  <c r="I3" i="3"/>
  <c r="H3" i="3"/>
  <c r="G3" i="3"/>
  <c r="F3" i="3"/>
  <c r="E3" i="3"/>
  <c r="D3" i="3"/>
  <c r="C3" i="3"/>
  <c r="F6" i="23"/>
  <c r="E6" i="23"/>
  <c r="E11" i="23" s="1"/>
  <c r="D6" i="23"/>
  <c r="D11" i="23" s="1"/>
  <c r="E5" i="23"/>
  <c r="F5" i="23" s="1"/>
  <c r="G5" i="23" s="1"/>
  <c r="H5" i="23" s="1"/>
  <c r="I5" i="23" s="1"/>
  <c r="J5" i="23" s="1"/>
  <c r="K5" i="23" s="1"/>
  <c r="L5" i="23" s="1"/>
  <c r="M5" i="23" s="1"/>
  <c r="N5" i="23" s="1"/>
  <c r="O5" i="23" s="1"/>
  <c r="P5" i="23" s="1"/>
  <c r="Q5" i="23" s="1"/>
  <c r="R5" i="23" s="1"/>
  <c r="S5" i="23" s="1"/>
  <c r="T5" i="23" s="1"/>
  <c r="AA167" i="19" l="1"/>
  <c r="AA74" i="19"/>
  <c r="W154" i="19"/>
  <c r="W275" i="19" s="1"/>
  <c r="W149" i="19"/>
  <c r="W151" i="19"/>
  <c r="CS69" i="2"/>
  <c r="CU69" i="2"/>
  <c r="CL130" i="2"/>
  <c r="CM130" i="2" s="1"/>
  <c r="CN88" i="3"/>
  <c r="CR29" i="2"/>
  <c r="CR27" i="2" s="1"/>
  <c r="CR121" i="2" s="1"/>
  <c r="CN27" i="2"/>
  <c r="CN121" i="2" s="1"/>
  <c r="CK131" i="2"/>
  <c r="CQ65" i="2"/>
  <c r="CT64" i="2"/>
  <c r="CV69" i="2"/>
  <c r="BI145" i="2"/>
  <c r="BN144" i="2"/>
  <c r="BI144" i="2"/>
  <c r="AY145" i="2"/>
  <c r="AY144" i="2"/>
  <c r="CS22" i="2"/>
  <c r="CT22" i="2" s="1"/>
  <c r="DB22" i="2"/>
  <c r="E23" i="15"/>
  <c r="E28" i="15" s="1"/>
  <c r="E40" i="15" s="1"/>
  <c r="AB96" i="16"/>
  <c r="AB37" i="16"/>
  <c r="Y173" i="19"/>
  <c r="X232" i="19"/>
  <c r="BX130" i="2"/>
  <c r="AC153" i="18"/>
  <c r="AB13" i="18"/>
  <c r="AD26" i="18"/>
  <c r="AC11" i="16"/>
  <c r="E82" i="15"/>
  <c r="Z235" i="19"/>
  <c r="AA176" i="19"/>
  <c r="I189" i="25"/>
  <c r="CQ69" i="2"/>
  <c r="CU64" i="2"/>
  <c r="H189" i="25"/>
  <c r="G94" i="25"/>
  <c r="W40" i="25"/>
  <c r="W41" i="25" s="1"/>
  <c r="W43" i="25" s="1"/>
  <c r="W94" i="25" s="1"/>
  <c r="EU55" i="2" s="1"/>
  <c r="K135" i="25"/>
  <c r="K136" i="25" s="1"/>
  <c r="K138" i="25" s="1"/>
  <c r="K189" i="25" s="1"/>
  <c r="L135" i="25"/>
  <c r="L136" i="25" s="1"/>
  <c r="L138" i="25" s="1"/>
  <c r="L189" i="25" s="1"/>
  <c r="CR56" i="2" s="1"/>
  <c r="CQ56" i="2" s="1"/>
  <c r="CG44" i="3"/>
  <c r="CG45" i="3" s="1"/>
  <c r="AA94" i="16"/>
  <c r="AA57" i="16"/>
  <c r="AA59" i="16" s="1"/>
  <c r="X43" i="18"/>
  <c r="X44" i="18"/>
  <c r="Y43" i="18"/>
  <c r="Y44" i="18"/>
  <c r="W44" i="18"/>
  <c r="BS131" i="2"/>
  <c r="BS112" i="2" s="1"/>
  <c r="W43" i="18"/>
  <c r="Z44" i="18"/>
  <c r="Z43" i="18"/>
  <c r="W135" i="25"/>
  <c r="W136" i="25" s="1"/>
  <c r="W138" i="25" s="1"/>
  <c r="W189" i="25" s="1"/>
  <c r="EU56" i="2" s="1"/>
  <c r="C38" i="61"/>
  <c r="C42" i="61" s="1"/>
  <c r="K40" i="25"/>
  <c r="K41" i="25" s="1"/>
  <c r="K43" i="25" s="1"/>
  <c r="K94" i="25" s="1"/>
  <c r="P40" i="25"/>
  <c r="P41" i="25" s="1"/>
  <c r="P43" i="25" s="1"/>
  <c r="P94" i="25" s="1"/>
  <c r="DL55" i="2" s="1"/>
  <c r="O40" i="25"/>
  <c r="O41" i="25" s="1"/>
  <c r="O43" i="25" s="1"/>
  <c r="O94" i="25" s="1"/>
  <c r="DG55" i="2" s="1"/>
  <c r="X135" i="25"/>
  <c r="X136" i="25" s="1"/>
  <c r="X138" i="25" s="1"/>
  <c r="X189" i="25" s="1"/>
  <c r="EZ56" i="2" s="1"/>
  <c r="P135" i="25"/>
  <c r="P136" i="25" s="1"/>
  <c r="P138" i="25" s="1"/>
  <c r="P189" i="25" s="1"/>
  <c r="DL56" i="2" s="1"/>
  <c r="X40" i="25"/>
  <c r="X41" i="25" s="1"/>
  <c r="X43" i="25" s="1"/>
  <c r="X94" i="25" s="1"/>
  <c r="EZ55" i="2" s="1"/>
  <c r="O135" i="25"/>
  <c r="O136" i="25" s="1"/>
  <c r="O138" i="25" s="1"/>
  <c r="O189" i="25" s="1"/>
  <c r="DG56" i="2" s="1"/>
  <c r="T40" i="25"/>
  <c r="T41" i="25" s="1"/>
  <c r="T43" i="25" s="1"/>
  <c r="T94" i="25" s="1"/>
  <c r="EF55" i="2" s="1"/>
  <c r="S40" i="25"/>
  <c r="S41" i="25" s="1"/>
  <c r="S43" i="25" s="1"/>
  <c r="S94" i="25" s="1"/>
  <c r="EA55" i="2" s="1"/>
  <c r="S135" i="25"/>
  <c r="S136" i="25" s="1"/>
  <c r="S138" i="25" s="1"/>
  <c r="S189" i="25" s="1"/>
  <c r="EA56" i="2" s="1"/>
  <c r="U135" i="25"/>
  <c r="U136" i="25" s="1"/>
  <c r="U138" i="25" s="1"/>
  <c r="U189" i="25" s="1"/>
  <c r="EK56" i="2" s="1"/>
  <c r="Q135" i="25"/>
  <c r="Q136" i="25" s="1"/>
  <c r="Q138" i="25" s="1"/>
  <c r="Q189" i="25" s="1"/>
  <c r="DQ56" i="2" s="1"/>
  <c r="M135" i="25"/>
  <c r="M136" i="25" s="1"/>
  <c r="M138" i="25" s="1"/>
  <c r="M189" i="25" s="1"/>
  <c r="CW56" i="2" s="1"/>
  <c r="L40" i="25"/>
  <c r="L41" i="25" s="1"/>
  <c r="L43" i="25" s="1"/>
  <c r="L94" i="25" s="1"/>
  <c r="CR55" i="2" s="1"/>
  <c r="CQ55" i="2" s="1"/>
  <c r="T135" i="25"/>
  <c r="T136" i="25" s="1"/>
  <c r="T138" i="25" s="1"/>
  <c r="T189" i="25" s="1"/>
  <c r="EF56" i="2" s="1"/>
  <c r="V135" i="25"/>
  <c r="V136" i="25" s="1"/>
  <c r="V138" i="25" s="1"/>
  <c r="V189" i="25" s="1"/>
  <c r="EP56" i="2" s="1"/>
  <c r="R135" i="25"/>
  <c r="R136" i="25" s="1"/>
  <c r="R138" i="25" s="1"/>
  <c r="R189" i="25" s="1"/>
  <c r="DV56" i="2" s="1"/>
  <c r="N135" i="25"/>
  <c r="N136" i="25" s="1"/>
  <c r="N138" i="25" s="1"/>
  <c r="N189" i="25" s="1"/>
  <c r="DB56" i="2" s="1"/>
  <c r="E14" i="22"/>
  <c r="E26" i="22" s="1"/>
  <c r="J8" i="22"/>
  <c r="K105" i="22"/>
  <c r="K108" i="22" s="1"/>
  <c r="K110" i="22" s="1"/>
  <c r="K104" i="22"/>
  <c r="K136" i="22"/>
  <c r="L135" i="22"/>
  <c r="J112" i="22"/>
  <c r="J89" i="22"/>
  <c r="K23" i="22"/>
  <c r="K13" i="22"/>
  <c r="L11" i="22"/>
  <c r="K19" i="22"/>
  <c r="K21" i="22" s="1"/>
  <c r="K24" i="22" s="1"/>
  <c r="L18" i="22"/>
  <c r="D46" i="22"/>
  <c r="D47" i="22" s="1"/>
  <c r="D49" i="22" s="1"/>
  <c r="D37" i="22"/>
  <c r="Q109" i="22"/>
  <c r="K32" i="22"/>
  <c r="J42" i="22"/>
  <c r="J44" i="22" s="1"/>
  <c r="K41" i="22"/>
  <c r="L103" i="22"/>
  <c r="M101" i="22"/>
  <c r="J63" i="22"/>
  <c r="J68" i="22" s="1"/>
  <c r="K61" i="22"/>
  <c r="K66" i="22"/>
  <c r="L64" i="22"/>
  <c r="M87" i="22"/>
  <c r="N85" i="22"/>
  <c r="M133" i="22"/>
  <c r="L134" i="22"/>
  <c r="J137" i="22"/>
  <c r="F137" i="22" s="1"/>
  <c r="G137" i="22" s="1"/>
  <c r="H137" i="22" s="1"/>
  <c r="I137" i="22" s="1"/>
  <c r="F136" i="22"/>
  <c r="G136" i="22" s="1"/>
  <c r="H136" i="22" s="1"/>
  <c r="I136" i="22" s="1"/>
  <c r="M142" i="22"/>
  <c r="C53" i="22"/>
  <c r="C119" i="22" s="1"/>
  <c r="C123" i="22" s="1"/>
  <c r="J24" i="22"/>
  <c r="J35" i="22"/>
  <c r="E36" i="22"/>
  <c r="L76" i="22"/>
  <c r="K75" i="22"/>
  <c r="L80" i="22"/>
  <c r="K79" i="22"/>
  <c r="L106" i="22"/>
  <c r="L107" i="22" s="1"/>
  <c r="M102" i="22"/>
  <c r="E8" i="61"/>
  <c r="E10" i="61" s="1"/>
  <c r="E12" i="61" s="1"/>
  <c r="E17" i="61" s="1"/>
  <c r="E30" i="61" s="1"/>
  <c r="E33" i="61" s="1"/>
  <c r="F5" i="61"/>
  <c r="G19" i="61"/>
  <c r="G21" i="61" s="1"/>
  <c r="G23" i="61" s="1"/>
  <c r="G28" i="61" s="1"/>
  <c r="H3" i="61"/>
  <c r="Q39" i="61"/>
  <c r="L35" i="61"/>
  <c r="L41" i="61"/>
  <c r="D38" i="61"/>
  <c r="D42" i="61" s="1"/>
  <c r="D36" i="61"/>
  <c r="N40" i="25"/>
  <c r="N41" i="25" s="1"/>
  <c r="N43" i="25" s="1"/>
  <c r="N94" i="25" s="1"/>
  <c r="DB55" i="2" s="1"/>
  <c r="V40" i="25"/>
  <c r="V41" i="25" s="1"/>
  <c r="V43" i="25" s="1"/>
  <c r="V94" i="25" s="1"/>
  <c r="EP55" i="2" s="1"/>
  <c r="Q40" i="25"/>
  <c r="Q41" i="25" s="1"/>
  <c r="Q43" i="25" s="1"/>
  <c r="Q94" i="25" s="1"/>
  <c r="DQ55" i="2" s="1"/>
  <c r="R40" i="25"/>
  <c r="R41" i="25" s="1"/>
  <c r="R43" i="25" s="1"/>
  <c r="R94" i="25" s="1"/>
  <c r="DV55" i="2" s="1"/>
  <c r="M40" i="25"/>
  <c r="M41" i="25" s="1"/>
  <c r="M43" i="25" s="1"/>
  <c r="M94" i="25" s="1"/>
  <c r="CW55" i="2" s="1"/>
  <c r="U40" i="25"/>
  <c r="U41" i="25" s="1"/>
  <c r="U43" i="25" s="1"/>
  <c r="U94" i="25" s="1"/>
  <c r="EK55" i="2" s="1"/>
  <c r="K57" i="15"/>
  <c r="F81" i="15"/>
  <c r="F70" i="15"/>
  <c r="H69" i="15"/>
  <c r="J69" i="15"/>
  <c r="H19" i="15"/>
  <c r="G22" i="15"/>
  <c r="I64" i="15"/>
  <c r="H76" i="15"/>
  <c r="N87" i="15"/>
  <c r="N14" i="15"/>
  <c r="M27" i="15"/>
  <c r="L39" i="15"/>
  <c r="D69" i="15"/>
  <c r="D58" i="15"/>
  <c r="E84" i="15"/>
  <c r="E79" i="15"/>
  <c r="J34" i="15"/>
  <c r="H49" i="15"/>
  <c r="G51" i="15"/>
  <c r="G62" i="15" s="1"/>
  <c r="G63" i="15" s="1"/>
  <c r="G65" i="15" s="1"/>
  <c r="G70" i="15" s="1"/>
  <c r="H9" i="15"/>
  <c r="G31" i="15"/>
  <c r="F53" i="15"/>
  <c r="F58" i="15" s="1"/>
  <c r="G52" i="15"/>
  <c r="C39" i="15"/>
  <c r="C40" i="15" s="1"/>
  <c r="C28" i="15"/>
  <c r="F20" i="15"/>
  <c r="F21" i="15" s="1"/>
  <c r="F23" i="15" s="1"/>
  <c r="F28" i="15" s="1"/>
  <c r="F40" i="15" s="1"/>
  <c r="F45" i="15"/>
  <c r="G2" i="15"/>
  <c r="G8" i="15"/>
  <c r="G20" i="15" s="1"/>
  <c r="G21" i="15" s="1"/>
  <c r="H6" i="15"/>
  <c r="E37" i="15"/>
  <c r="E42" i="15"/>
  <c r="D32" i="15"/>
  <c r="D33" i="15" s="1"/>
  <c r="D35" i="15" s="1"/>
  <c r="D23" i="15"/>
  <c r="D28" i="15" s="1"/>
  <c r="D40" i="15" s="1"/>
  <c r="H61" i="15"/>
  <c r="F74" i="15"/>
  <c r="F75" i="15" s="1"/>
  <c r="F77" i="15" s="1"/>
  <c r="G73" i="15"/>
  <c r="AB71" i="19"/>
  <c r="AC1" i="19"/>
  <c r="AB72" i="19"/>
  <c r="AE95" i="19"/>
  <c r="AD95" i="19"/>
  <c r="AE101" i="19"/>
  <c r="AF101" i="19"/>
  <c r="AE125" i="19"/>
  <c r="AF37" i="19"/>
  <c r="AK126" i="19"/>
  <c r="AL39" i="19"/>
  <c r="AE127" i="19"/>
  <c r="AF40" i="19"/>
  <c r="AE128" i="19"/>
  <c r="AF43" i="19"/>
  <c r="AE129" i="19"/>
  <c r="AF45" i="19"/>
  <c r="AE256" i="19"/>
  <c r="AE122" i="19"/>
  <c r="AF47" i="19"/>
  <c r="AB230" i="19"/>
  <c r="AB96" i="19"/>
  <c r="AC48" i="19"/>
  <c r="AE87" i="19"/>
  <c r="AF52" i="19"/>
  <c r="AE115" i="19"/>
  <c r="AF56" i="19"/>
  <c r="W66" i="19"/>
  <c r="W136" i="19"/>
  <c r="W138" i="19" s="1"/>
  <c r="AE110" i="19"/>
  <c r="AD110" i="19"/>
  <c r="AE105" i="19"/>
  <c r="AF105" i="19"/>
  <c r="AE126" i="19"/>
  <c r="AF39" i="19"/>
  <c r="AF112" i="19"/>
  <c r="AG42" i="19"/>
  <c r="AE108" i="19"/>
  <c r="AF44" i="19"/>
  <c r="AF85" i="19"/>
  <c r="AG49" i="19"/>
  <c r="AF92" i="19"/>
  <c r="AG53" i="19"/>
  <c r="AE130" i="19"/>
  <c r="AF58" i="19"/>
  <c r="AD271" i="19"/>
  <c r="AD132" i="19"/>
  <c r="AE61" i="19"/>
  <c r="AA97" i="19"/>
  <c r="AB60" i="19"/>
  <c r="AB218" i="19"/>
  <c r="AC159" i="19"/>
  <c r="AA224" i="19"/>
  <c r="AB165" i="19"/>
  <c r="AA228" i="19"/>
  <c r="AB169" i="19"/>
  <c r="AA238" i="19"/>
  <c r="AB179" i="19"/>
  <c r="AF188" i="19"/>
  <c r="AE259" i="19"/>
  <c r="AF200" i="19"/>
  <c r="AE261" i="19"/>
  <c r="AF202" i="19"/>
  <c r="AE263" i="19"/>
  <c r="AF204" i="19"/>
  <c r="AC220" i="19"/>
  <c r="AD161" i="19"/>
  <c r="Z236" i="19"/>
  <c r="AA177" i="19"/>
  <c r="AB237" i="19"/>
  <c r="AC178" i="19"/>
  <c r="AC180" i="19"/>
  <c r="AB243" i="19"/>
  <c r="AA244" i="19"/>
  <c r="AB181" i="19"/>
  <c r="AD239" i="19"/>
  <c r="AC113" i="19"/>
  <c r="AD57" i="19"/>
  <c r="AC242" i="19"/>
  <c r="AE124" i="19"/>
  <c r="AF124" i="19"/>
  <c r="AE114" i="19"/>
  <c r="AF35" i="19"/>
  <c r="AA66" i="19"/>
  <c r="AA136" i="19"/>
  <c r="AA138" i="19" s="1"/>
  <c r="AE94" i="19"/>
  <c r="AF50" i="19"/>
  <c r="AE106" i="19"/>
  <c r="AF54" i="19"/>
  <c r="AF131" i="19"/>
  <c r="AG59" i="19"/>
  <c r="AE135" i="19"/>
  <c r="AF62" i="19"/>
  <c r="Z217" i="19"/>
  <c r="AA158" i="19"/>
  <c r="AA222" i="19"/>
  <c r="AB163" i="19"/>
  <c r="AA226" i="19"/>
  <c r="AB167" i="19"/>
  <c r="AA234" i="19"/>
  <c r="AB175" i="19"/>
  <c r="Z245" i="19"/>
  <c r="AA182" i="19"/>
  <c r="Z247" i="19"/>
  <c r="AA184" i="19"/>
  <c r="Y221" i="19"/>
  <c r="Z162" i="19"/>
  <c r="Y166" i="19"/>
  <c r="X225" i="19"/>
  <c r="Z229" i="19"/>
  <c r="AA170" i="19"/>
  <c r="X233" i="19"/>
  <c r="Y174" i="19"/>
  <c r="Z249" i="19"/>
  <c r="AA190" i="19"/>
  <c r="AB252" i="19"/>
  <c r="AC193" i="19"/>
  <c r="X136" i="19"/>
  <c r="X138" i="19" s="1"/>
  <c r="AD111" i="19"/>
  <c r="AE36" i="19"/>
  <c r="AE240" i="19" s="1"/>
  <c r="AJ125" i="19"/>
  <c r="AK37" i="19"/>
  <c r="AN128" i="19"/>
  <c r="AO43" i="19"/>
  <c r="AO128" i="19" s="1"/>
  <c r="AG51" i="19"/>
  <c r="AF84" i="19"/>
  <c r="AF100" i="19"/>
  <c r="AG55" i="19"/>
  <c r="AF186" i="19"/>
  <c r="AE258" i="19"/>
  <c r="AF199" i="19"/>
  <c r="AE260" i="19"/>
  <c r="AF201" i="19"/>
  <c r="AE262" i="19"/>
  <c r="AF203" i="19"/>
  <c r="AE264" i="19"/>
  <c r="AF205" i="19"/>
  <c r="Z246" i="19"/>
  <c r="AA183" i="19"/>
  <c r="Z219" i="19"/>
  <c r="AA160" i="19"/>
  <c r="Z223" i="19"/>
  <c r="AA164" i="19"/>
  <c r="Z227" i="19"/>
  <c r="AA168" i="19"/>
  <c r="Z172" i="19"/>
  <c r="Y231" i="19"/>
  <c r="AC241" i="19"/>
  <c r="AD187" i="19"/>
  <c r="AA248" i="19"/>
  <c r="AB189" i="19"/>
  <c r="AA250" i="19"/>
  <c r="AB191" i="19"/>
  <c r="AE265" i="19"/>
  <c r="AF206" i="19"/>
  <c r="AA272" i="19"/>
  <c r="AB213" i="19"/>
  <c r="L14" i="32"/>
  <c r="N3" i="32"/>
  <c r="AB74" i="16"/>
  <c r="AB87" i="16"/>
  <c r="AC86" i="16" s="1"/>
  <c r="AC96" i="16"/>
  <c r="AC37" i="16"/>
  <c r="AA65" i="16"/>
  <c r="AB76" i="16"/>
  <c r="AB68" i="16"/>
  <c r="AD71" i="16"/>
  <c r="AD82" i="16"/>
  <c r="AG69" i="16"/>
  <c r="AG77" i="16"/>
  <c r="AD79" i="16"/>
  <c r="AE63" i="16"/>
  <c r="AD58" i="16"/>
  <c r="AD155" i="18"/>
  <c r="AD7" i="16" s="1"/>
  <c r="AB156" i="18"/>
  <c r="AC154" i="18"/>
  <c r="AB12" i="18"/>
  <c r="T38" i="18"/>
  <c r="T39" i="18" s="1"/>
  <c r="M104" i="18"/>
  <c r="L107" i="18"/>
  <c r="M107" i="18" s="1"/>
  <c r="N107" i="18" s="1"/>
  <c r="O107" i="18" s="1"/>
  <c r="P107" i="18" s="1"/>
  <c r="Q107" i="18" s="1"/>
  <c r="R107" i="18" s="1"/>
  <c r="S107" i="18" s="1"/>
  <c r="T107" i="18" s="1"/>
  <c r="U107" i="18" s="1"/>
  <c r="V107" i="18" s="1"/>
  <c r="W107" i="18" s="1"/>
  <c r="X107" i="18" s="1"/>
  <c r="Y107" i="18" s="1"/>
  <c r="Z107" i="18" s="1"/>
  <c r="AA107" i="18" s="1"/>
  <c r="AB107" i="18" s="1"/>
  <c r="AC107" i="18" s="1"/>
  <c r="AD107" i="18" s="1"/>
  <c r="AE107" i="18" s="1"/>
  <c r="AF107" i="18" s="1"/>
  <c r="AG107" i="18" s="1"/>
  <c r="AH107" i="18" s="1"/>
  <c r="AI107" i="18" s="1"/>
  <c r="AJ107" i="18" s="1"/>
  <c r="AK107" i="18" s="1"/>
  <c r="AL107" i="18" s="1"/>
  <c r="AM107" i="18" s="1"/>
  <c r="AN107" i="18" s="1"/>
  <c r="AC174" i="18"/>
  <c r="AD30" i="18"/>
  <c r="AD10" i="16" s="1"/>
  <c r="AC169" i="18"/>
  <c r="AD15" i="18"/>
  <c r="DG18" i="2"/>
  <c r="CX18" i="2"/>
  <c r="DG14" i="2"/>
  <c r="CX14" i="2"/>
  <c r="CH90" i="2"/>
  <c r="CM92" i="2"/>
  <c r="DB26" i="2"/>
  <c r="CS26" i="2"/>
  <c r="CX38" i="2"/>
  <c r="DG38" i="2"/>
  <c r="CO48" i="2"/>
  <c r="CO43" i="2"/>
  <c r="CZ65" i="2"/>
  <c r="CX65" i="2"/>
  <c r="DB64" i="2"/>
  <c r="CY65" i="2"/>
  <c r="CY69" i="2"/>
  <c r="CZ69" i="2"/>
  <c r="CX69" i="2"/>
  <c r="BV125" i="2"/>
  <c r="BX125" i="2" s="1"/>
  <c r="BW106" i="2"/>
  <c r="BW125" i="2" s="1"/>
  <c r="CH126" i="2"/>
  <c r="CD107" i="2"/>
  <c r="CM107" i="2"/>
  <c r="U130" i="2"/>
  <c r="Z111" i="2"/>
  <c r="DV109" i="2"/>
  <c r="CP18" i="2"/>
  <c r="CP14" i="2"/>
  <c r="CS10" i="2"/>
  <c r="DB10" i="2"/>
  <c r="BD144" i="2"/>
  <c r="BD145" i="2"/>
  <c r="CL99" i="2"/>
  <c r="Z117" i="2"/>
  <c r="AE98" i="2"/>
  <c r="CE115" i="2"/>
  <c r="CF96" i="2"/>
  <c r="CA130" i="2"/>
  <c r="CB111" i="2"/>
  <c r="CB130" i="2" s="1"/>
  <c r="CP64" i="2"/>
  <c r="CA115" i="2"/>
  <c r="CB96" i="2"/>
  <c r="BI117" i="2"/>
  <c r="BN98" i="2"/>
  <c r="AT120" i="2"/>
  <c r="AT116" i="2" s="1"/>
  <c r="AT97" i="2" s="1"/>
  <c r="AY101" i="2"/>
  <c r="CH124" i="2"/>
  <c r="CM105" i="2"/>
  <c r="CD105" i="2"/>
  <c r="CR103" i="2"/>
  <c r="CN103" i="2" s="1"/>
  <c r="CO103" i="2" s="1"/>
  <c r="CP103" i="2" s="1"/>
  <c r="CQ103" i="2" s="1"/>
  <c r="CI103" i="2"/>
  <c r="CT18" i="2"/>
  <c r="CT14" i="2"/>
  <c r="CH92" i="2"/>
  <c r="CH94" i="2" s="1"/>
  <c r="CC90" i="2"/>
  <c r="CO26" i="2"/>
  <c r="CN23" i="2"/>
  <c r="CT38" i="2"/>
  <c r="DB48" i="2"/>
  <c r="CS48" i="2"/>
  <c r="DB43" i="2"/>
  <c r="CS43" i="2"/>
  <c r="CR128" i="2"/>
  <c r="CW58" i="2"/>
  <c r="CR59" i="2"/>
  <c r="DL66" i="2"/>
  <c r="DG65" i="2"/>
  <c r="DL70" i="2"/>
  <c r="DG69" i="2"/>
  <c r="CA127" i="2"/>
  <c r="CB108" i="2"/>
  <c r="CB127" i="2" s="1"/>
  <c r="CA125" i="2"/>
  <c r="CB106" i="2"/>
  <c r="CU22" i="2"/>
  <c r="CR100" i="2"/>
  <c r="CN100" i="2" s="1"/>
  <c r="CO100" i="2" s="1"/>
  <c r="CP100" i="2" s="1"/>
  <c r="CQ100" i="2" s="1"/>
  <c r="CI100" i="2"/>
  <c r="CM25" i="2"/>
  <c r="CM23" i="2" s="1"/>
  <c r="CL23" i="2"/>
  <c r="CC112" i="2"/>
  <c r="CV65" i="2"/>
  <c r="CV64" i="2" s="1"/>
  <c r="CS64" i="2"/>
  <c r="BV115" i="2"/>
  <c r="BW96" i="2"/>
  <c r="BW115" i="2" s="1"/>
  <c r="U116" i="2"/>
  <c r="U97" i="2" s="1"/>
  <c r="CI115" i="2"/>
  <c r="CJ96" i="2"/>
  <c r="BV119" i="2"/>
  <c r="BW100" i="2"/>
  <c r="BW119" i="2" s="1"/>
  <c r="CO64" i="2"/>
  <c r="CN64" i="2"/>
  <c r="BV123" i="2"/>
  <c r="BW104" i="2"/>
  <c r="BW123" i="2" s="1"/>
  <c r="Z115" i="2"/>
  <c r="AE96" i="2"/>
  <c r="AE115" i="2" s="1"/>
  <c r="CD122" i="2"/>
  <c r="CE103" i="2"/>
  <c r="DG80" i="2"/>
  <c r="DA80" i="2"/>
  <c r="CY80" i="2"/>
  <c r="CZ80" i="2"/>
  <c r="CX80" i="2"/>
  <c r="CC108" i="2"/>
  <c r="CH108" i="2" s="1"/>
  <c r="CC104" i="2"/>
  <c r="CH104" i="2" s="1"/>
  <c r="C131" i="3"/>
  <c r="C91" i="3"/>
  <c r="E131" i="3"/>
  <c r="E101" i="3"/>
  <c r="E91" i="3"/>
  <c r="G131" i="3"/>
  <c r="G101" i="3"/>
  <c r="G91" i="3"/>
  <c r="I131" i="3"/>
  <c r="I101" i="3"/>
  <c r="I91" i="3"/>
  <c r="K131" i="3"/>
  <c r="K101" i="3"/>
  <c r="K91" i="3"/>
  <c r="M131" i="3"/>
  <c r="M91" i="3"/>
  <c r="O131" i="3"/>
  <c r="O91" i="3"/>
  <c r="Q131" i="3"/>
  <c r="Q101" i="3"/>
  <c r="Q91" i="3"/>
  <c r="S131" i="3"/>
  <c r="S101" i="3"/>
  <c r="S91" i="3"/>
  <c r="U131" i="3"/>
  <c r="U101" i="3"/>
  <c r="U91" i="3"/>
  <c r="W131" i="3"/>
  <c r="W101" i="3"/>
  <c r="W91" i="3"/>
  <c r="Y131" i="3"/>
  <c r="Y101" i="3"/>
  <c r="Y91" i="3"/>
  <c r="AA131" i="3"/>
  <c r="AA101" i="3"/>
  <c r="AA91" i="3"/>
  <c r="AC131" i="3"/>
  <c r="AC101" i="3"/>
  <c r="AC91" i="3"/>
  <c r="AE131" i="3"/>
  <c r="AE101" i="3"/>
  <c r="AE91" i="3"/>
  <c r="AG131" i="3"/>
  <c r="AG101" i="3"/>
  <c r="AG91" i="3"/>
  <c r="AI131" i="3"/>
  <c r="AI101" i="3"/>
  <c r="AI91" i="3"/>
  <c r="AK131" i="3"/>
  <c r="AK101" i="3"/>
  <c r="AK91" i="3"/>
  <c r="AM131" i="3"/>
  <c r="AM101" i="3"/>
  <c r="AM91" i="3"/>
  <c r="AO131" i="3"/>
  <c r="AO101" i="3"/>
  <c r="AO91" i="3"/>
  <c r="AQ131" i="3"/>
  <c r="AQ101" i="3"/>
  <c r="AQ91" i="3"/>
  <c r="AS131" i="3"/>
  <c r="AS101" i="3"/>
  <c r="AS91" i="3"/>
  <c r="AU131" i="3"/>
  <c r="AU101" i="3"/>
  <c r="AU91" i="3"/>
  <c r="AW131" i="3"/>
  <c r="AW101" i="3"/>
  <c r="AW91" i="3"/>
  <c r="AY131" i="3"/>
  <c r="AY101" i="3"/>
  <c r="AY91" i="3"/>
  <c r="BA131" i="3"/>
  <c r="BA91" i="3"/>
  <c r="BA101" i="3"/>
  <c r="BC131" i="3"/>
  <c r="BC101" i="3"/>
  <c r="BC91" i="3"/>
  <c r="BE131" i="3"/>
  <c r="BE101" i="3"/>
  <c r="BE91" i="3"/>
  <c r="BG131" i="3"/>
  <c r="BG101" i="3"/>
  <c r="BG91" i="3"/>
  <c r="BI131" i="3"/>
  <c r="BI91" i="3"/>
  <c r="BI101" i="3"/>
  <c r="BK131" i="3"/>
  <c r="BK91" i="3"/>
  <c r="BK101" i="3"/>
  <c r="BM131" i="3"/>
  <c r="BM101" i="3"/>
  <c r="BM91" i="3"/>
  <c r="BO131" i="3"/>
  <c r="BO101" i="3"/>
  <c r="BQ131" i="3"/>
  <c r="BQ101" i="3"/>
  <c r="BR101" i="3"/>
  <c r="BR131" i="3"/>
  <c r="BT101" i="3"/>
  <c r="BV101" i="3"/>
  <c r="BX101" i="3"/>
  <c r="BZ101" i="3"/>
  <c r="CB101" i="3"/>
  <c r="CD101" i="3"/>
  <c r="CF101" i="3"/>
  <c r="CH101" i="3"/>
  <c r="BR5" i="3"/>
  <c r="BT5" i="3"/>
  <c r="BV5" i="3"/>
  <c r="BX5" i="3"/>
  <c r="X42" i="18" s="1"/>
  <c r="BZ5" i="3"/>
  <c r="CB5" i="3"/>
  <c r="CD5" i="3"/>
  <c r="CF5" i="3"/>
  <c r="CH5" i="3"/>
  <c r="Z42" i="18" s="1"/>
  <c r="BM112" i="3"/>
  <c r="BM97" i="3" s="1"/>
  <c r="BM95" i="3"/>
  <c r="BM33" i="3"/>
  <c r="BI112" i="3"/>
  <c r="BI95" i="3"/>
  <c r="BI33" i="3"/>
  <c r="BE112" i="3"/>
  <c r="BE97" i="3" s="1"/>
  <c r="BE95" i="3"/>
  <c r="BE33" i="3"/>
  <c r="BA112" i="3"/>
  <c r="BA97" i="3" s="1"/>
  <c r="BA95" i="3"/>
  <c r="BA33" i="3"/>
  <c r="AW112" i="3"/>
  <c r="AW97" i="3" s="1"/>
  <c r="AW95" i="3"/>
  <c r="AW33" i="3"/>
  <c r="AS112" i="3"/>
  <c r="AS97" i="3" s="1"/>
  <c r="AS95" i="3"/>
  <c r="AS33" i="3"/>
  <c r="AO112" i="3"/>
  <c r="AO95" i="3"/>
  <c r="AO33" i="3"/>
  <c r="AK112" i="3"/>
  <c r="AK97" i="3" s="1"/>
  <c r="AK95" i="3"/>
  <c r="AK33" i="3"/>
  <c r="AG112" i="3"/>
  <c r="AG97" i="3" s="1"/>
  <c r="AG95" i="3"/>
  <c r="AG33" i="3"/>
  <c r="AC112" i="3"/>
  <c r="AC97" i="3" s="1"/>
  <c r="AC95" i="3"/>
  <c r="AC33" i="3"/>
  <c r="Y112" i="3"/>
  <c r="Y97" i="3" s="1"/>
  <c r="Y95" i="3"/>
  <c r="Y33" i="3"/>
  <c r="U112" i="3"/>
  <c r="U95" i="3"/>
  <c r="U33" i="3"/>
  <c r="Q112" i="3"/>
  <c r="Q97" i="3" s="1"/>
  <c r="Q95" i="3"/>
  <c r="Q33" i="3"/>
  <c r="M112" i="3"/>
  <c r="M97" i="3" s="1"/>
  <c r="M95" i="3"/>
  <c r="M33" i="3"/>
  <c r="I112" i="3"/>
  <c r="I95" i="3"/>
  <c r="I33" i="3"/>
  <c r="E112" i="3"/>
  <c r="E97" i="3" s="1"/>
  <c r="E95" i="3"/>
  <c r="E33" i="3"/>
  <c r="CL105" i="3"/>
  <c r="BS104" i="3"/>
  <c r="BS15" i="3"/>
  <c r="BO92" i="3"/>
  <c r="BO29" i="3"/>
  <c r="CF91" i="3"/>
  <c r="CD91" i="3"/>
  <c r="CB91" i="3"/>
  <c r="BZ91" i="3"/>
  <c r="BX103" i="3"/>
  <c r="BX91" i="3"/>
  <c r="BQ91" i="3"/>
  <c r="DB59" i="3"/>
  <c r="CW58" i="3"/>
  <c r="CR63" i="3"/>
  <c r="CW64" i="3"/>
  <c r="DB24" i="3"/>
  <c r="DG24" i="3" s="1"/>
  <c r="DL24" i="3" s="1"/>
  <c r="BL112" i="3"/>
  <c r="BL97" i="3" s="1"/>
  <c r="BL95" i="3"/>
  <c r="BL33" i="3"/>
  <c r="BH112" i="3"/>
  <c r="BH97" i="3" s="1"/>
  <c r="BH95" i="3"/>
  <c r="BH33" i="3"/>
  <c r="BD112" i="3"/>
  <c r="BD95" i="3"/>
  <c r="BD33" i="3"/>
  <c r="AZ112" i="3"/>
  <c r="AZ97" i="3" s="1"/>
  <c r="AZ95" i="3"/>
  <c r="AZ33" i="3"/>
  <c r="AV112" i="3"/>
  <c r="AV97" i="3" s="1"/>
  <c r="AV95" i="3"/>
  <c r="AV33" i="3"/>
  <c r="AR112" i="3"/>
  <c r="AR97" i="3" s="1"/>
  <c r="AR95" i="3"/>
  <c r="AR33" i="3"/>
  <c r="AN112" i="3"/>
  <c r="AN97" i="3" s="1"/>
  <c r="AN95" i="3"/>
  <c r="AN33" i="3"/>
  <c r="AJ112" i="3"/>
  <c r="AJ95" i="3"/>
  <c r="AJ33" i="3"/>
  <c r="AF112" i="3"/>
  <c r="AF97" i="3" s="1"/>
  <c r="AF95" i="3"/>
  <c r="AF33" i="3"/>
  <c r="AB112" i="3"/>
  <c r="AB97" i="3" s="1"/>
  <c r="AB95" i="3"/>
  <c r="AB33" i="3"/>
  <c r="X112" i="3"/>
  <c r="X97" i="3" s="1"/>
  <c r="X95" i="3"/>
  <c r="X33" i="3"/>
  <c r="T112" i="3"/>
  <c r="T97" i="3" s="1"/>
  <c r="T95" i="3"/>
  <c r="T33" i="3"/>
  <c r="P112" i="3"/>
  <c r="P95" i="3"/>
  <c r="P33" i="3"/>
  <c r="L112" i="3"/>
  <c r="L97" i="3" s="1"/>
  <c r="L95" i="3"/>
  <c r="L33" i="3"/>
  <c r="H112" i="3"/>
  <c r="H97" i="3" s="1"/>
  <c r="H95" i="3"/>
  <c r="H33" i="3"/>
  <c r="D112" i="3"/>
  <c r="D97" i="3" s="1"/>
  <c r="D95" i="3"/>
  <c r="D33" i="3"/>
  <c r="CC105" i="3"/>
  <c r="CM104" i="3"/>
  <c r="CH104" i="3"/>
  <c r="CH45" i="3"/>
  <c r="BX104" i="3"/>
  <c r="BX45" i="3"/>
  <c r="BX15" i="3"/>
  <c r="BS103" i="3"/>
  <c r="BS91" i="3"/>
  <c r="DG17" i="3"/>
  <c r="D131" i="3"/>
  <c r="D101" i="3"/>
  <c r="D91" i="3"/>
  <c r="F131" i="3"/>
  <c r="F101" i="3"/>
  <c r="F91" i="3"/>
  <c r="H131" i="3"/>
  <c r="H101" i="3"/>
  <c r="H91" i="3"/>
  <c r="J131" i="3"/>
  <c r="J101" i="3"/>
  <c r="J91" i="3"/>
  <c r="L131" i="3"/>
  <c r="L91" i="3"/>
  <c r="N131" i="3"/>
  <c r="N91" i="3"/>
  <c r="P131" i="3"/>
  <c r="P101" i="3"/>
  <c r="P91" i="3"/>
  <c r="R131" i="3"/>
  <c r="R101" i="3"/>
  <c r="R91" i="3"/>
  <c r="T131" i="3"/>
  <c r="T101" i="3"/>
  <c r="T91" i="3"/>
  <c r="V131" i="3"/>
  <c r="V101" i="3"/>
  <c r="V91" i="3"/>
  <c r="X131" i="3"/>
  <c r="X101" i="3"/>
  <c r="X91" i="3"/>
  <c r="Z131" i="3"/>
  <c r="Z101" i="3"/>
  <c r="Z91" i="3"/>
  <c r="AB131" i="3"/>
  <c r="AB101" i="3"/>
  <c r="AB91" i="3"/>
  <c r="AD131" i="3"/>
  <c r="AD101" i="3"/>
  <c r="AD91" i="3"/>
  <c r="AF131" i="3"/>
  <c r="AF101" i="3"/>
  <c r="AF91" i="3"/>
  <c r="AH131" i="3"/>
  <c r="AH101" i="3"/>
  <c r="AH91" i="3"/>
  <c r="AJ131" i="3"/>
  <c r="AJ101" i="3"/>
  <c r="AJ91" i="3"/>
  <c r="AL131" i="3"/>
  <c r="AL101" i="3"/>
  <c r="AL91" i="3"/>
  <c r="AN131" i="3"/>
  <c r="AN101" i="3"/>
  <c r="AN91" i="3"/>
  <c r="AP131" i="3"/>
  <c r="AP101" i="3"/>
  <c r="AP91" i="3"/>
  <c r="AR131" i="3"/>
  <c r="AR101" i="3"/>
  <c r="AR91" i="3"/>
  <c r="AT131" i="3"/>
  <c r="AT101" i="3"/>
  <c r="AT91" i="3"/>
  <c r="AV131" i="3"/>
  <c r="AV101" i="3"/>
  <c r="AV91" i="3"/>
  <c r="AX131" i="3"/>
  <c r="AX101" i="3"/>
  <c r="AX91" i="3"/>
  <c r="AZ131" i="3"/>
  <c r="AZ101" i="3"/>
  <c r="AZ91" i="3"/>
  <c r="BB131" i="3"/>
  <c r="BB101" i="3"/>
  <c r="BB91" i="3"/>
  <c r="BD131" i="3"/>
  <c r="BD101" i="3"/>
  <c r="BD91" i="3"/>
  <c r="BF131" i="3"/>
  <c r="BF101" i="3"/>
  <c r="BF91" i="3"/>
  <c r="BH131" i="3"/>
  <c r="BH101" i="3"/>
  <c r="BH91" i="3"/>
  <c r="BJ131" i="3"/>
  <c r="BJ101" i="3"/>
  <c r="BJ91" i="3"/>
  <c r="BL131" i="3"/>
  <c r="BL101" i="3"/>
  <c r="BL91" i="3"/>
  <c r="BN131" i="3"/>
  <c r="BN101" i="3"/>
  <c r="BN91" i="3"/>
  <c r="BP131" i="3"/>
  <c r="BP101" i="3"/>
  <c r="BS131" i="3"/>
  <c r="BS101" i="3"/>
  <c r="BU101" i="3"/>
  <c r="BW101" i="3"/>
  <c r="BY101" i="3"/>
  <c r="CA101" i="3"/>
  <c r="CC101" i="3"/>
  <c r="CE101" i="3"/>
  <c r="CG101" i="3"/>
  <c r="CI101" i="3"/>
  <c r="BS5" i="3"/>
  <c r="W42" i="18" s="1"/>
  <c r="BU5" i="3"/>
  <c r="BW5" i="3"/>
  <c r="BY5" i="3"/>
  <c r="CA5" i="3"/>
  <c r="CC5" i="3"/>
  <c r="Y42" i="18" s="1"/>
  <c r="CE5" i="3"/>
  <c r="CG5" i="3"/>
  <c r="CI5" i="3"/>
  <c r="BK112" i="3"/>
  <c r="BK97" i="3" s="1"/>
  <c r="BK95" i="3"/>
  <c r="BK33" i="3"/>
  <c r="BG112" i="3"/>
  <c r="BG97" i="3" s="1"/>
  <c r="BG95" i="3"/>
  <c r="BG33" i="3"/>
  <c r="BC112" i="3"/>
  <c r="BC97" i="3" s="1"/>
  <c r="BC95" i="3"/>
  <c r="BC33" i="3"/>
  <c r="AY112" i="3"/>
  <c r="AY95" i="3"/>
  <c r="AY33" i="3"/>
  <c r="AU112" i="3"/>
  <c r="AU97" i="3" s="1"/>
  <c r="AU95" i="3"/>
  <c r="AU33" i="3"/>
  <c r="AQ112" i="3"/>
  <c r="AQ97" i="3" s="1"/>
  <c r="AQ95" i="3"/>
  <c r="AQ33" i="3"/>
  <c r="AM112" i="3"/>
  <c r="AM97" i="3" s="1"/>
  <c r="AM95" i="3"/>
  <c r="AM33" i="3"/>
  <c r="AI112" i="3"/>
  <c r="AI97" i="3" s="1"/>
  <c r="AI95" i="3"/>
  <c r="AI33" i="3"/>
  <c r="AE112" i="3"/>
  <c r="AE95" i="3"/>
  <c r="AE33" i="3"/>
  <c r="AA112" i="3"/>
  <c r="AA97" i="3" s="1"/>
  <c r="AA95" i="3"/>
  <c r="AA33" i="3"/>
  <c r="W112" i="3"/>
  <c r="W97" i="3" s="1"/>
  <c r="W95" i="3"/>
  <c r="W33" i="3"/>
  <c r="S112" i="3"/>
  <c r="S97" i="3" s="1"/>
  <c r="S95" i="3"/>
  <c r="S33" i="3"/>
  <c r="O112" i="3"/>
  <c r="O97" i="3" s="1"/>
  <c r="O95" i="3"/>
  <c r="O33" i="3"/>
  <c r="K112" i="3"/>
  <c r="K95" i="3"/>
  <c r="K33" i="3"/>
  <c r="G112" i="3"/>
  <c r="G97" i="3" s="1"/>
  <c r="G95" i="3"/>
  <c r="G33" i="3"/>
  <c r="C112" i="3"/>
  <c r="C97" i="3" s="1"/>
  <c r="C95" i="3"/>
  <c r="C33" i="3"/>
  <c r="BX105" i="3"/>
  <c r="CC104" i="3"/>
  <c r="CC45" i="3"/>
  <c r="CH17" i="3"/>
  <c r="BQ92" i="3"/>
  <c r="BQ29" i="3"/>
  <c r="CH103" i="3"/>
  <c r="CH91" i="3"/>
  <c r="BV91" i="3"/>
  <c r="BT91" i="3"/>
  <c r="BR91" i="3"/>
  <c r="BP91" i="3"/>
  <c r="BN112" i="3"/>
  <c r="W67" i="19" s="1"/>
  <c r="BN95" i="3"/>
  <c r="BN33" i="3"/>
  <c r="BJ112" i="3"/>
  <c r="BJ97" i="3" s="1"/>
  <c r="BJ95" i="3"/>
  <c r="BJ107" i="3" s="1"/>
  <c r="BJ33" i="3"/>
  <c r="BF112" i="3"/>
  <c r="BF97" i="3" s="1"/>
  <c r="BF95" i="3"/>
  <c r="BF33" i="3"/>
  <c r="BB112" i="3"/>
  <c r="BB97" i="3" s="1"/>
  <c r="BB95" i="3"/>
  <c r="BB33" i="3"/>
  <c r="AX112" i="3"/>
  <c r="AX97" i="3" s="1"/>
  <c r="AX108" i="3" s="1"/>
  <c r="AX95" i="3"/>
  <c r="AX33" i="3"/>
  <c r="AT112" i="3"/>
  <c r="AT95" i="3"/>
  <c r="AT107" i="3" s="1"/>
  <c r="AT33" i="3"/>
  <c r="AP112" i="3"/>
  <c r="AP97" i="3" s="1"/>
  <c r="AP95" i="3"/>
  <c r="AP33" i="3"/>
  <c r="AL112" i="3"/>
  <c r="AL97" i="3" s="1"/>
  <c r="AL95" i="3"/>
  <c r="AL33" i="3"/>
  <c r="AH112" i="3"/>
  <c r="AH97" i="3" s="1"/>
  <c r="AH108" i="3" s="1"/>
  <c r="AH95" i="3"/>
  <c r="AH33" i="3"/>
  <c r="AD112" i="3"/>
  <c r="AD97" i="3" s="1"/>
  <c r="AD95" i="3"/>
  <c r="AD107" i="3" s="1"/>
  <c r="AD33" i="3"/>
  <c r="Z112" i="3"/>
  <c r="Z95" i="3"/>
  <c r="Z33" i="3"/>
  <c r="V112" i="3"/>
  <c r="V97" i="3" s="1"/>
  <c r="V95" i="3"/>
  <c r="V33" i="3"/>
  <c r="R112" i="3"/>
  <c r="R97" i="3" s="1"/>
  <c r="R108" i="3" s="1"/>
  <c r="R95" i="3"/>
  <c r="R33" i="3"/>
  <c r="N112" i="3"/>
  <c r="N97" i="3" s="1"/>
  <c r="N95" i="3"/>
  <c r="N33" i="3"/>
  <c r="J112" i="3"/>
  <c r="J95" i="3"/>
  <c r="J107" i="3" s="1"/>
  <c r="J33" i="3"/>
  <c r="F112" i="3"/>
  <c r="F97" i="3" s="1"/>
  <c r="F108" i="3" s="1"/>
  <c r="F95" i="3"/>
  <c r="F33" i="3"/>
  <c r="CH105" i="3"/>
  <c r="BS105" i="3"/>
  <c r="BX24" i="3"/>
  <c r="CI91" i="3"/>
  <c r="CG91" i="3"/>
  <c r="CE91" i="3"/>
  <c r="CC91" i="3"/>
  <c r="CC103" i="3"/>
  <c r="BY91" i="3"/>
  <c r="BO91" i="3"/>
  <c r="BP112" i="3"/>
  <c r="BP97" i="3" s="1"/>
  <c r="BP95" i="3"/>
  <c r="BP33" i="3"/>
  <c r="F11" i="23"/>
  <c r="F8" i="23"/>
  <c r="E8" i="23"/>
  <c r="AB170" i="18" l="1"/>
  <c r="CR60" i="2"/>
  <c r="CQ59" i="2"/>
  <c r="CO88" i="3"/>
  <c r="CQ54" i="2"/>
  <c r="CQ64" i="2"/>
  <c r="CC127" i="2"/>
  <c r="F107" i="3"/>
  <c r="Y232" i="19"/>
  <c r="Z173" i="19"/>
  <c r="AD153" i="18"/>
  <c r="AC13" i="18"/>
  <c r="BS93" i="3"/>
  <c r="CH94" i="3"/>
  <c r="BX123" i="2"/>
  <c r="AC64" i="16"/>
  <c r="C42" i="15"/>
  <c r="J138" i="22"/>
  <c r="F138" i="22" s="1"/>
  <c r="AA235" i="19"/>
  <c r="AB176" i="19"/>
  <c r="DG22" i="2"/>
  <c r="CX22" i="2"/>
  <c r="CY22" i="2" s="1"/>
  <c r="CH93" i="3"/>
  <c r="BX93" i="3"/>
  <c r="BX115" i="2"/>
  <c r="X275" i="19"/>
  <c r="X276" i="19" s="1"/>
  <c r="G10" i="15"/>
  <c r="G16" i="15" s="1"/>
  <c r="AE26" i="18"/>
  <c r="AD11" i="16"/>
  <c r="V107" i="3"/>
  <c r="AP108" i="3"/>
  <c r="BB107" i="3"/>
  <c r="Z107" i="3"/>
  <c r="AD108" i="3"/>
  <c r="AP107" i="3"/>
  <c r="BF107" i="3"/>
  <c r="BJ108" i="3"/>
  <c r="AL107" i="3"/>
  <c r="BF108" i="3"/>
  <c r="BP108" i="3"/>
  <c r="BX94" i="3"/>
  <c r="DA69" i="2"/>
  <c r="CX64" i="2"/>
  <c r="CY64" i="2"/>
  <c r="R107" i="3"/>
  <c r="V108" i="3"/>
  <c r="AH107" i="3"/>
  <c r="AL108" i="3"/>
  <c r="AX107" i="3"/>
  <c r="BB108" i="3"/>
  <c r="BN107" i="3"/>
  <c r="BP107" i="3"/>
  <c r="AT97" i="3"/>
  <c r="R85" i="18"/>
  <c r="BD97" i="3"/>
  <c r="T85" i="18"/>
  <c r="U67" i="19"/>
  <c r="J97" i="3"/>
  <c r="J85" i="18"/>
  <c r="Z97" i="3"/>
  <c r="N85" i="18"/>
  <c r="AY97" i="3"/>
  <c r="S86" i="18"/>
  <c r="S85" i="18"/>
  <c r="AJ97" i="3"/>
  <c r="AJ108" i="3" s="1"/>
  <c r="P85" i="18"/>
  <c r="BI97" i="3"/>
  <c r="BI108" i="3" s="1"/>
  <c r="U86" i="18"/>
  <c r="U85" i="18"/>
  <c r="V67" i="19"/>
  <c r="Z80" i="18"/>
  <c r="Z59" i="18"/>
  <c r="Z101" i="18"/>
  <c r="Z64" i="18"/>
  <c r="Z97" i="18"/>
  <c r="Z51" i="18"/>
  <c r="Z54" i="18"/>
  <c r="Z62" i="18"/>
  <c r="Z159" i="18"/>
  <c r="Z177" i="18" s="1"/>
  <c r="Z81" i="18"/>
  <c r="AE97" i="3"/>
  <c r="O85" i="18"/>
  <c r="P97" i="3"/>
  <c r="L85" i="18"/>
  <c r="I97" i="3"/>
  <c r="I108" i="3" s="1"/>
  <c r="I85" i="18"/>
  <c r="AO97" i="3"/>
  <c r="Q85" i="18"/>
  <c r="X80" i="18"/>
  <c r="X64" i="18"/>
  <c r="X101" i="18"/>
  <c r="X62" i="18"/>
  <c r="X54" i="18"/>
  <c r="X159" i="18"/>
  <c r="X177" i="18" s="1"/>
  <c r="X59" i="18"/>
  <c r="X51" i="18"/>
  <c r="X56" i="18" s="1"/>
  <c r="X97" i="18"/>
  <c r="X81" i="18"/>
  <c r="BN97" i="3"/>
  <c r="BN108" i="3" s="1"/>
  <c r="V86" i="18"/>
  <c r="V85" i="18"/>
  <c r="K97" i="3"/>
  <c r="K85" i="18"/>
  <c r="W80" i="18"/>
  <c r="W81" i="18"/>
  <c r="W59" i="18"/>
  <c r="W97" i="18"/>
  <c r="W64" i="18"/>
  <c r="W62" i="18"/>
  <c r="W159" i="18"/>
  <c r="W177" i="18" s="1"/>
  <c r="W101" i="18"/>
  <c r="W51" i="18"/>
  <c r="W56" i="18" s="1"/>
  <c r="W54" i="18"/>
  <c r="U97" i="3"/>
  <c r="M85" i="18"/>
  <c r="W78" i="18"/>
  <c r="W53" i="18"/>
  <c r="W52" i="18"/>
  <c r="W55" i="18"/>
  <c r="Y55" i="18"/>
  <c r="Y52" i="18"/>
  <c r="Y53" i="18"/>
  <c r="Z55" i="18"/>
  <c r="Z52" i="18"/>
  <c r="Z78" i="18"/>
  <c r="Z53" i="18"/>
  <c r="W139" i="18"/>
  <c r="W66" i="18"/>
  <c r="W138" i="18"/>
  <c r="W60" i="18"/>
  <c r="W57" i="18"/>
  <c r="W68" i="18"/>
  <c r="X60" i="18"/>
  <c r="X138" i="18"/>
  <c r="X66" i="18"/>
  <c r="X139" i="18"/>
  <c r="X68" i="18"/>
  <c r="X57" i="18"/>
  <c r="Z57" i="18"/>
  <c r="Z60" i="18"/>
  <c r="Z138" i="18"/>
  <c r="Z66" i="18"/>
  <c r="Z68" i="18"/>
  <c r="Z139" i="18"/>
  <c r="Y139" i="18"/>
  <c r="Y60" i="18"/>
  <c r="Y68" i="18"/>
  <c r="Y138" i="18"/>
  <c r="Y66" i="18"/>
  <c r="Y57" i="18"/>
  <c r="X78" i="18"/>
  <c r="X53" i="18"/>
  <c r="X55" i="18"/>
  <c r="X52" i="18"/>
  <c r="DV54" i="2"/>
  <c r="DR54" i="2" s="1"/>
  <c r="DS54" i="2" s="1"/>
  <c r="DT54" i="2" s="1"/>
  <c r="EA54" i="2"/>
  <c r="DW54" i="2" s="1"/>
  <c r="DX54" i="2" s="1"/>
  <c r="DY54" i="2" s="1"/>
  <c r="CC94" i="3"/>
  <c r="DB54" i="2"/>
  <c r="CX54" i="2" s="1"/>
  <c r="CY54" i="2" s="1"/>
  <c r="CZ54" i="2" s="1"/>
  <c r="EK54" i="2"/>
  <c r="EG54" i="2" s="1"/>
  <c r="CW54" i="2"/>
  <c r="CS54" i="2" s="1"/>
  <c r="CT54" i="2" s="1"/>
  <c r="CU54" i="2" s="1"/>
  <c r="DQ54" i="2"/>
  <c r="DM54" i="2" s="1"/>
  <c r="EP54" i="2"/>
  <c r="EL54" i="2" s="1"/>
  <c r="EM54" i="2" s="1"/>
  <c r="EN54" i="2" s="1"/>
  <c r="H68" i="22"/>
  <c r="F68" i="22"/>
  <c r="F55" i="22" s="1"/>
  <c r="I68" i="22"/>
  <c r="G68" i="22"/>
  <c r="G55" i="22" s="1"/>
  <c r="M106" i="22"/>
  <c r="M107" i="22" s="1"/>
  <c r="N102" i="22"/>
  <c r="E46" i="22"/>
  <c r="E47" i="22" s="1"/>
  <c r="E37" i="22"/>
  <c r="N87" i="22"/>
  <c r="O85" i="22"/>
  <c r="L66" i="22"/>
  <c r="M64" i="22"/>
  <c r="L61" i="22"/>
  <c r="K63" i="22"/>
  <c r="M103" i="22"/>
  <c r="N101" i="22"/>
  <c r="L41" i="22"/>
  <c r="K42" i="22"/>
  <c r="K44" i="22" s="1"/>
  <c r="L32" i="22"/>
  <c r="D53" i="22"/>
  <c r="D119" i="22" s="1"/>
  <c r="D123" i="22" s="1"/>
  <c r="K112" i="22"/>
  <c r="K113" i="22" s="1"/>
  <c r="K114" i="22" s="1"/>
  <c r="K89" i="22"/>
  <c r="K90" i="22" s="1"/>
  <c r="K91" i="22" s="1"/>
  <c r="L136" i="22"/>
  <c r="M135" i="22"/>
  <c r="L79" i="22"/>
  <c r="M80" i="22"/>
  <c r="L75" i="22"/>
  <c r="M76" i="22"/>
  <c r="K35" i="22"/>
  <c r="J36" i="22"/>
  <c r="C56" i="22"/>
  <c r="C120" i="22" s="1"/>
  <c r="C122" i="22" s="1"/>
  <c r="N142" i="22"/>
  <c r="F140" i="22"/>
  <c r="G138" i="22"/>
  <c r="M134" i="22"/>
  <c r="N133" i="22"/>
  <c r="K68" i="22"/>
  <c r="L105" i="22"/>
  <c r="L108" i="22" s="1"/>
  <c r="L110" i="22" s="1"/>
  <c r="L104" i="22"/>
  <c r="M18" i="22"/>
  <c r="L19" i="22"/>
  <c r="L21" i="22" s="1"/>
  <c r="M11" i="22"/>
  <c r="L23" i="22"/>
  <c r="L13" i="22"/>
  <c r="K138" i="22"/>
  <c r="K140" i="22" s="1"/>
  <c r="K145" i="22" s="1"/>
  <c r="K137" i="22"/>
  <c r="K8" i="22"/>
  <c r="J14" i="22"/>
  <c r="J26" i="22" s="1"/>
  <c r="M41" i="61"/>
  <c r="M35" i="61"/>
  <c r="H19" i="61"/>
  <c r="H21" i="61" s="1"/>
  <c r="H23" i="61" s="1"/>
  <c r="H28" i="61" s="1"/>
  <c r="I3" i="61"/>
  <c r="F8" i="61"/>
  <c r="F10" i="61" s="1"/>
  <c r="F12" i="61" s="1"/>
  <c r="F17" i="61" s="1"/>
  <c r="F30" i="61" s="1"/>
  <c r="F33" i="61" s="1"/>
  <c r="G5" i="61"/>
  <c r="R39" i="61"/>
  <c r="E38" i="61"/>
  <c r="E42" i="61" s="1"/>
  <c r="I7" i="32"/>
  <c r="E36" i="61"/>
  <c r="DL54" i="2"/>
  <c r="EZ54" i="2"/>
  <c r="DG54" i="2"/>
  <c r="EU54" i="2"/>
  <c r="CR54" i="2"/>
  <c r="EF54" i="2"/>
  <c r="F42" i="15"/>
  <c r="G74" i="15"/>
  <c r="G75" i="15" s="1"/>
  <c r="G77" i="15" s="1"/>
  <c r="H73" i="15"/>
  <c r="I61" i="15"/>
  <c r="D42" i="15"/>
  <c r="D37" i="15"/>
  <c r="I6" i="15"/>
  <c r="H8" i="15"/>
  <c r="H20" i="15" s="1"/>
  <c r="H21" i="15" s="1"/>
  <c r="G45" i="15"/>
  <c r="H2" i="15"/>
  <c r="F32" i="15"/>
  <c r="F33" i="15" s="1"/>
  <c r="F35" i="15" s="1"/>
  <c r="F37" i="15" s="1"/>
  <c r="H51" i="15"/>
  <c r="H62" i="15" s="1"/>
  <c r="H63" i="15" s="1"/>
  <c r="H65" i="15" s="1"/>
  <c r="H70" i="15" s="1"/>
  <c r="I49" i="15"/>
  <c r="K34" i="15"/>
  <c r="D81" i="15"/>
  <c r="D70" i="15"/>
  <c r="D82" i="15" s="1"/>
  <c r="L57" i="15"/>
  <c r="N27" i="15"/>
  <c r="O14" i="15"/>
  <c r="O87" i="15"/>
  <c r="I76" i="15"/>
  <c r="I19" i="15"/>
  <c r="F82" i="15"/>
  <c r="G82" i="15"/>
  <c r="G53" i="15"/>
  <c r="G58" i="15" s="1"/>
  <c r="H52" i="15"/>
  <c r="H31" i="15"/>
  <c r="G32" i="15"/>
  <c r="G33" i="15" s="1"/>
  <c r="G35" i="15" s="1"/>
  <c r="I9" i="15"/>
  <c r="M39" i="15"/>
  <c r="J64" i="15"/>
  <c r="G23" i="15"/>
  <c r="G28" i="15" s="1"/>
  <c r="G40" i="15" s="1"/>
  <c r="H22" i="15"/>
  <c r="J81" i="15"/>
  <c r="H81" i="15"/>
  <c r="K69" i="15"/>
  <c r="AA172" i="19"/>
  <c r="Z231" i="19"/>
  <c r="AE111" i="19"/>
  <c r="AF36" i="19"/>
  <c r="AF240" i="19" s="1"/>
  <c r="Y225" i="19"/>
  <c r="Z166" i="19"/>
  <c r="AF94" i="19"/>
  <c r="AG50" i="19"/>
  <c r="AG114" i="19"/>
  <c r="AF114" i="19"/>
  <c r="AC181" i="19"/>
  <c r="AB244" i="19"/>
  <c r="AC237" i="19"/>
  <c r="AD178" i="19"/>
  <c r="AA236" i="19"/>
  <c r="AB177" i="19"/>
  <c r="AD220" i="19"/>
  <c r="AE161" i="19"/>
  <c r="AF263" i="19"/>
  <c r="AG204" i="19"/>
  <c r="AF261" i="19"/>
  <c r="AG202" i="19"/>
  <c r="AF259" i="19"/>
  <c r="AG200" i="19"/>
  <c r="AG188" i="19"/>
  <c r="AB238" i="19"/>
  <c r="AC179" i="19"/>
  <c r="AC169" i="19"/>
  <c r="AB228" i="19"/>
  <c r="AC165" i="19"/>
  <c r="AB224" i="19"/>
  <c r="AC218" i="19"/>
  <c r="AD159" i="19"/>
  <c r="AB97" i="19"/>
  <c r="AB136" i="19" s="1"/>
  <c r="AC60" i="19"/>
  <c r="AC64" i="19" s="1"/>
  <c r="AF130" i="19"/>
  <c r="AG58" i="19"/>
  <c r="AG92" i="19"/>
  <c r="AH53" i="19"/>
  <c r="AG85" i="19"/>
  <c r="AH49" i="19"/>
  <c r="AG112" i="19"/>
  <c r="AH42" i="19"/>
  <c r="AF126" i="19"/>
  <c r="AG39" i="19"/>
  <c r="W279" i="19"/>
  <c r="W276" i="19"/>
  <c r="AF115" i="19"/>
  <c r="AG56" i="19"/>
  <c r="AB64" i="19"/>
  <c r="AF256" i="19"/>
  <c r="AF122" i="19"/>
  <c r="AG47" i="19"/>
  <c r="AB74" i="19"/>
  <c r="AB73" i="19"/>
  <c r="AB272" i="19"/>
  <c r="AC213" i="19"/>
  <c r="AF265" i="19"/>
  <c r="AG206" i="19"/>
  <c r="AB250" i="19"/>
  <c r="AC191" i="19"/>
  <c r="AC189" i="19"/>
  <c r="AB248" i="19"/>
  <c r="AD241" i="19"/>
  <c r="AE187" i="19"/>
  <c r="AA227" i="19"/>
  <c r="AB168" i="19"/>
  <c r="AA223" i="19"/>
  <c r="AB164" i="19"/>
  <c r="AA219" i="19"/>
  <c r="AB160" i="19"/>
  <c r="AA246" i="19"/>
  <c r="AB183" i="19"/>
  <c r="AF264" i="19"/>
  <c r="AG205" i="19"/>
  <c r="AF262" i="19"/>
  <c r="AG203" i="19"/>
  <c r="AF260" i="19"/>
  <c r="AG201" i="19"/>
  <c r="AF258" i="19"/>
  <c r="AG199" i="19"/>
  <c r="AG186" i="19"/>
  <c r="AG100" i="19"/>
  <c r="AH55" i="19"/>
  <c r="AG84" i="19"/>
  <c r="AH51" i="19"/>
  <c r="AK125" i="19"/>
  <c r="AL37" i="19"/>
  <c r="AC252" i="19"/>
  <c r="AD193" i="19"/>
  <c r="AA249" i="19"/>
  <c r="AB190" i="19"/>
  <c r="Y233" i="19"/>
  <c r="Z174" i="19"/>
  <c r="AA229" i="19"/>
  <c r="AB170" i="19"/>
  <c r="Z221" i="19"/>
  <c r="AA162" i="19"/>
  <c r="AA247" i="19"/>
  <c r="AB184" i="19"/>
  <c r="AA245" i="19"/>
  <c r="AB182" i="19"/>
  <c r="AC175" i="19"/>
  <c r="AB234" i="19"/>
  <c r="AC167" i="19"/>
  <c r="AB226" i="19"/>
  <c r="AC163" i="19"/>
  <c r="AB222" i="19"/>
  <c r="AA217" i="19"/>
  <c r="AB158" i="19"/>
  <c r="AF135" i="19"/>
  <c r="AG62" i="19"/>
  <c r="AG131" i="19"/>
  <c r="AH59" i="19"/>
  <c r="AF106" i="19"/>
  <c r="AG54" i="19"/>
  <c r="AD113" i="19"/>
  <c r="AE57" i="19"/>
  <c r="AD242" i="19"/>
  <c r="AD180" i="19"/>
  <c r="AC243" i="19"/>
  <c r="AE271" i="19"/>
  <c r="AE132" i="19"/>
  <c r="AF61" i="19"/>
  <c r="AF108" i="19"/>
  <c r="AG44" i="19"/>
  <c r="AF87" i="19"/>
  <c r="AG52" i="19"/>
  <c r="AC230" i="19"/>
  <c r="AC96" i="19"/>
  <c r="AD48" i="19"/>
  <c r="AF129" i="19"/>
  <c r="AG45" i="19"/>
  <c r="AF128" i="19"/>
  <c r="AG43" i="19"/>
  <c r="AF127" i="19"/>
  <c r="AG40" i="19"/>
  <c r="AL126" i="19"/>
  <c r="AM39" i="19"/>
  <c r="AG125" i="19"/>
  <c r="AF125" i="19"/>
  <c r="AC72" i="19"/>
  <c r="AC71" i="19"/>
  <c r="AD1" i="19"/>
  <c r="Y64" i="18"/>
  <c r="Y78" i="18"/>
  <c r="Y101" i="18"/>
  <c r="Y97" i="18"/>
  <c r="Y51" i="18"/>
  <c r="Y56" i="18" s="1"/>
  <c r="Y59" i="18"/>
  <c r="Y80" i="18"/>
  <c r="Y62" i="18"/>
  <c r="Y159" i="18"/>
  <c r="Y177" i="18" s="1"/>
  <c r="Y81" i="18"/>
  <c r="Y54" i="18"/>
  <c r="O3" i="32"/>
  <c r="M14" i="32"/>
  <c r="AB65" i="16"/>
  <c r="AC68" i="16"/>
  <c r="AC76" i="16"/>
  <c r="AC70" i="16"/>
  <c r="AC87" i="16" s="1"/>
  <c r="AD86" i="16" s="1"/>
  <c r="AD96" i="16"/>
  <c r="AD37" i="16"/>
  <c r="AE71" i="16"/>
  <c r="AE79" i="16"/>
  <c r="AF63" i="16"/>
  <c r="AE58" i="16"/>
  <c r="AA109" i="16"/>
  <c r="AH77" i="16"/>
  <c r="AH69" i="16"/>
  <c r="AE82" i="16"/>
  <c r="AB36" i="16"/>
  <c r="AD174" i="18"/>
  <c r="AE30" i="18"/>
  <c r="AE10" i="16" s="1"/>
  <c r="AE155" i="18"/>
  <c r="AE7" i="16" s="1"/>
  <c r="AD169" i="18"/>
  <c r="AE15" i="18"/>
  <c r="M108" i="18"/>
  <c r="N108" i="18" s="1"/>
  <c r="O108" i="18" s="1"/>
  <c r="P108" i="18" s="1"/>
  <c r="Q108" i="18" s="1"/>
  <c r="R108" i="18" s="1"/>
  <c r="S108" i="18" s="1"/>
  <c r="T108" i="18" s="1"/>
  <c r="U108" i="18" s="1"/>
  <c r="V108" i="18" s="1"/>
  <c r="W108" i="18" s="1"/>
  <c r="X108" i="18" s="1"/>
  <c r="Y108" i="18" s="1"/>
  <c r="Z108" i="18" s="1"/>
  <c r="AA108" i="18" s="1"/>
  <c r="AB108" i="18" s="1"/>
  <c r="AC108" i="18" s="1"/>
  <c r="AD108" i="18" s="1"/>
  <c r="AE108" i="18" s="1"/>
  <c r="AF108" i="18" s="1"/>
  <c r="AG108" i="18" s="1"/>
  <c r="AH108" i="18" s="1"/>
  <c r="AI108" i="18" s="1"/>
  <c r="AJ108" i="18" s="1"/>
  <c r="AK108" i="18" s="1"/>
  <c r="AL108" i="18" s="1"/>
  <c r="AM108" i="18" s="1"/>
  <c r="AN108" i="18" s="1"/>
  <c r="N104" i="18"/>
  <c r="AC156" i="18"/>
  <c r="AD154" i="18"/>
  <c r="AC12" i="18"/>
  <c r="AC170" i="18" s="1"/>
  <c r="CH123" i="2"/>
  <c r="CM104" i="2"/>
  <c r="CD104" i="2"/>
  <c r="DL80" i="2"/>
  <c r="DF80" i="2"/>
  <c r="DF83" i="2" s="1"/>
  <c r="DD80" i="2"/>
  <c r="DD83" i="2" s="1"/>
  <c r="DC80" i="2"/>
  <c r="DC83" i="2" s="1"/>
  <c r="DE80" i="2"/>
  <c r="DE83" i="2" s="1"/>
  <c r="CK96" i="2"/>
  <c r="CP10" i="2"/>
  <c r="CI119" i="2"/>
  <c r="CJ100" i="2"/>
  <c r="CV22" i="2"/>
  <c r="CB125" i="2"/>
  <c r="CC125" i="2" s="1"/>
  <c r="CC106" i="2"/>
  <c r="CH106" i="2" s="1"/>
  <c r="DD69" i="2"/>
  <c r="DE69" i="2"/>
  <c r="DC69" i="2"/>
  <c r="DG64" i="2"/>
  <c r="DE65" i="2"/>
  <c r="DC65" i="2"/>
  <c r="DD65" i="2"/>
  <c r="CT43" i="2"/>
  <c r="CT48" i="2"/>
  <c r="CI122" i="2"/>
  <c r="CJ103" i="2"/>
  <c r="CR105" i="2"/>
  <c r="CN105" i="2" s="1"/>
  <c r="CO105" i="2" s="1"/>
  <c r="CP105" i="2" s="1"/>
  <c r="CQ105" i="2" s="1"/>
  <c r="CI105" i="2"/>
  <c r="AY120" i="2"/>
  <c r="AY116" i="2" s="1"/>
  <c r="AY97" i="2" s="1"/>
  <c r="BD101" i="2"/>
  <c r="BN117" i="2"/>
  <c r="BS98" i="2"/>
  <c r="CB115" i="2"/>
  <c r="CC96" i="2"/>
  <c r="CH96" i="2" s="1"/>
  <c r="CF115" i="2"/>
  <c r="CG96" i="2"/>
  <c r="AE117" i="2"/>
  <c r="AJ98" i="2"/>
  <c r="DG10" i="2"/>
  <c r="CX10" i="2"/>
  <c r="EA109" i="2"/>
  <c r="Z130" i="2"/>
  <c r="Z116" i="2" s="1"/>
  <c r="Z97" i="2" s="1"/>
  <c r="AE111" i="2"/>
  <c r="CR107" i="2"/>
  <c r="CN107" i="2" s="1"/>
  <c r="CI107" i="2"/>
  <c r="DL38" i="2"/>
  <c r="DC38" i="2"/>
  <c r="CT26" i="2"/>
  <c r="CS25" i="2"/>
  <c r="CS23" i="2" s="1"/>
  <c r="CY14" i="2"/>
  <c r="CY18" i="2"/>
  <c r="CH127" i="2"/>
  <c r="CD108" i="2"/>
  <c r="CM108" i="2"/>
  <c r="CE122" i="2"/>
  <c r="CF103" i="2"/>
  <c r="BX119" i="2"/>
  <c r="CW100" i="2"/>
  <c r="DQ70" i="2"/>
  <c r="DL69" i="2"/>
  <c r="DQ66" i="2"/>
  <c r="DL65" i="2"/>
  <c r="CW128" i="2"/>
  <c r="DB58" i="2"/>
  <c r="CW59" i="2"/>
  <c r="CW60" i="2" s="1"/>
  <c r="CX43" i="2"/>
  <c r="DG43" i="2"/>
  <c r="CX48" i="2"/>
  <c r="DG48" i="2"/>
  <c r="CU38" i="2"/>
  <c r="CP26" i="2"/>
  <c r="CO23" i="2"/>
  <c r="CU14" i="2"/>
  <c r="CU18" i="2"/>
  <c r="CW103" i="2"/>
  <c r="CD124" i="2"/>
  <c r="CE105" i="2"/>
  <c r="CC115" i="2"/>
  <c r="CC111" i="2"/>
  <c r="CH111" i="2" s="1"/>
  <c r="CC130" i="2"/>
  <c r="CT10" i="2"/>
  <c r="CQ14" i="2"/>
  <c r="CQ18" i="2"/>
  <c r="CD126" i="2"/>
  <c r="CE107" i="2"/>
  <c r="DA65" i="2"/>
  <c r="DA64" i="2" s="1"/>
  <c r="CZ64" i="2"/>
  <c r="CP43" i="2"/>
  <c r="CP48" i="2"/>
  <c r="CY38" i="2"/>
  <c r="CX26" i="2"/>
  <c r="DG26" i="2"/>
  <c r="CZ22" i="2"/>
  <c r="DC14" i="2"/>
  <c r="DL14" i="2"/>
  <c r="DC18" i="2"/>
  <c r="DL18" i="2"/>
  <c r="BP37" i="3"/>
  <c r="BP35" i="3"/>
  <c r="BX25" i="3"/>
  <c r="BX23" i="3"/>
  <c r="J37" i="3"/>
  <c r="J46" i="18" s="1"/>
  <c r="J35" i="3"/>
  <c r="J73" i="16" s="1"/>
  <c r="R37" i="3"/>
  <c r="R35" i="3"/>
  <c r="Z37" i="3"/>
  <c r="N46" i="18" s="1"/>
  <c r="Z35" i="3"/>
  <c r="AH37" i="3"/>
  <c r="AH35" i="3"/>
  <c r="AP37" i="3"/>
  <c r="AP35" i="3"/>
  <c r="AX37" i="3"/>
  <c r="AX35" i="3"/>
  <c r="BF37" i="3"/>
  <c r="BF35" i="3"/>
  <c r="BN37" i="3"/>
  <c r="V46" i="18" s="1"/>
  <c r="BN35" i="3"/>
  <c r="CA45" i="3"/>
  <c r="BY45" i="3"/>
  <c r="BY44" i="3" s="1"/>
  <c r="CB44" i="3" s="1"/>
  <c r="CB45" i="3" s="1"/>
  <c r="BZ45" i="3"/>
  <c r="G37" i="3"/>
  <c r="G35" i="3"/>
  <c r="G108" i="3"/>
  <c r="K107" i="3"/>
  <c r="O37" i="3"/>
  <c r="O35" i="3"/>
  <c r="S107" i="3"/>
  <c r="W37" i="3"/>
  <c r="W35" i="3"/>
  <c r="W108" i="3"/>
  <c r="AA107" i="3"/>
  <c r="AE37" i="3"/>
  <c r="O46" i="18" s="1"/>
  <c r="AE35" i="3"/>
  <c r="AI107" i="3"/>
  <c r="AM37" i="3"/>
  <c r="AM35" i="3"/>
  <c r="AM108" i="3"/>
  <c r="AQ107" i="3"/>
  <c r="AU37" i="3"/>
  <c r="AU35" i="3"/>
  <c r="AU108" i="3"/>
  <c r="AY107" i="3"/>
  <c r="BC37" i="3"/>
  <c r="BC35" i="3"/>
  <c r="BC108" i="3"/>
  <c r="BG107" i="3"/>
  <c r="BK37" i="3"/>
  <c r="BK35" i="3"/>
  <c r="BK108" i="3"/>
  <c r="CG102" i="3"/>
  <c r="CG10" i="3"/>
  <c r="CG93" i="3"/>
  <c r="CG94" i="3"/>
  <c r="CC102" i="3"/>
  <c r="CC10" i="3"/>
  <c r="BY102" i="3"/>
  <c r="BY10" i="3"/>
  <c r="BY93" i="3"/>
  <c r="BY94" i="3"/>
  <c r="BU102" i="3"/>
  <c r="BU10" i="3"/>
  <c r="BU94" i="3"/>
  <c r="BU93" i="3"/>
  <c r="DL17" i="3"/>
  <c r="D107" i="3"/>
  <c r="H37" i="3"/>
  <c r="H35" i="3"/>
  <c r="H108" i="3"/>
  <c r="P37" i="3"/>
  <c r="L46" i="18" s="1"/>
  <c r="P35" i="3"/>
  <c r="T107" i="3"/>
  <c r="X37" i="3"/>
  <c r="X35" i="3"/>
  <c r="X108" i="3"/>
  <c r="AB107" i="3"/>
  <c r="AF37" i="3"/>
  <c r="AF35" i="3"/>
  <c r="AF108" i="3"/>
  <c r="AJ107" i="3"/>
  <c r="AN37" i="3"/>
  <c r="AN35" i="3"/>
  <c r="AN108" i="3"/>
  <c r="AR107" i="3"/>
  <c r="AV37" i="3"/>
  <c r="AV35" i="3"/>
  <c r="AV108" i="3"/>
  <c r="AZ107" i="3"/>
  <c r="BD37" i="3"/>
  <c r="T46" i="18" s="1"/>
  <c r="BD35" i="3"/>
  <c r="BH107" i="3"/>
  <c r="BL37" i="3"/>
  <c r="BL35" i="3"/>
  <c r="BL108" i="3"/>
  <c r="E37" i="3"/>
  <c r="E35" i="3"/>
  <c r="E108" i="3"/>
  <c r="I107" i="3"/>
  <c r="M37" i="3"/>
  <c r="M35" i="3"/>
  <c r="Q107" i="3"/>
  <c r="U37" i="3"/>
  <c r="M46" i="18" s="1"/>
  <c r="U35" i="3"/>
  <c r="Y107" i="3"/>
  <c r="AC37" i="3"/>
  <c r="AC35" i="3"/>
  <c r="AC108" i="3"/>
  <c r="AG107" i="3"/>
  <c r="AK37" i="3"/>
  <c r="AK35" i="3"/>
  <c r="AK108" i="3"/>
  <c r="AO107" i="3"/>
  <c r="AS37" i="3"/>
  <c r="AS35" i="3"/>
  <c r="AS108" i="3"/>
  <c r="AW107" i="3"/>
  <c r="BA37" i="3"/>
  <c r="BA35" i="3"/>
  <c r="BA108" i="3"/>
  <c r="BE107" i="3"/>
  <c r="BI37" i="3"/>
  <c r="U46" i="18" s="1"/>
  <c r="BI35" i="3"/>
  <c r="BM107" i="3"/>
  <c r="CH102" i="3"/>
  <c r="CH10" i="3"/>
  <c r="CD102" i="3"/>
  <c r="CD10" i="3"/>
  <c r="CD93" i="3"/>
  <c r="CD94" i="3"/>
  <c r="BZ102" i="3"/>
  <c r="BZ10" i="3"/>
  <c r="BZ94" i="3"/>
  <c r="BZ93" i="3"/>
  <c r="BV102" i="3"/>
  <c r="BV10" i="3"/>
  <c r="BV94" i="3"/>
  <c r="BV93" i="3"/>
  <c r="BR102" i="3"/>
  <c r="BR10" i="3"/>
  <c r="BR94" i="3"/>
  <c r="BR93" i="3"/>
  <c r="F37" i="3"/>
  <c r="F35" i="3"/>
  <c r="N37" i="3"/>
  <c r="N35" i="3"/>
  <c r="V37" i="3"/>
  <c r="V35" i="3"/>
  <c r="AD37" i="3"/>
  <c r="AD35" i="3"/>
  <c r="AL37" i="3"/>
  <c r="AL35" i="3"/>
  <c r="AT37" i="3"/>
  <c r="R46" i="18" s="1"/>
  <c r="AT35" i="3"/>
  <c r="BB37" i="3"/>
  <c r="BB35" i="3"/>
  <c r="BJ37" i="3"/>
  <c r="BJ35" i="3"/>
  <c r="BQ112" i="3"/>
  <c r="BQ97" i="3" s="1"/>
  <c r="BQ108" i="3" s="1"/>
  <c r="BQ95" i="3"/>
  <c r="BQ107" i="3" s="1"/>
  <c r="BQ33" i="3"/>
  <c r="CH18" i="3"/>
  <c r="CH16" i="3"/>
  <c r="CM16" i="3" s="1"/>
  <c r="CR16" i="3" s="1"/>
  <c r="CW16" i="3" s="1"/>
  <c r="DB16" i="3" s="1"/>
  <c r="DG16" i="3" s="1"/>
  <c r="DL16" i="3" s="1"/>
  <c r="DQ16" i="3" s="1"/>
  <c r="DV16" i="3" s="1"/>
  <c r="EA16" i="3" s="1"/>
  <c r="EF16" i="3" s="1"/>
  <c r="EK16" i="3" s="1"/>
  <c r="EP16" i="3" s="1"/>
  <c r="EU16" i="3" s="1"/>
  <c r="EZ16" i="3" s="1"/>
  <c r="C37" i="3"/>
  <c r="C35" i="3"/>
  <c r="G107" i="3"/>
  <c r="K37" i="3"/>
  <c r="K46" i="18" s="1"/>
  <c r="K35" i="3"/>
  <c r="S37" i="3"/>
  <c r="S35" i="3"/>
  <c r="S108" i="3"/>
  <c r="W107" i="3"/>
  <c r="AA37" i="3"/>
  <c r="AA35" i="3"/>
  <c r="AA108" i="3"/>
  <c r="AE107" i="3"/>
  <c r="AI37" i="3"/>
  <c r="AI35" i="3"/>
  <c r="AI108" i="3"/>
  <c r="AM107" i="3"/>
  <c r="AQ37" i="3"/>
  <c r="AQ35" i="3"/>
  <c r="AQ108" i="3"/>
  <c r="AU107" i="3"/>
  <c r="AY37" i="3"/>
  <c r="S46" i="18" s="1"/>
  <c r="AY35" i="3"/>
  <c r="BC107" i="3"/>
  <c r="BG37" i="3"/>
  <c r="BG35" i="3"/>
  <c r="BG108" i="3"/>
  <c r="BK107" i="3"/>
  <c r="CI102" i="3"/>
  <c r="CI10" i="3"/>
  <c r="CI93" i="3"/>
  <c r="CI94" i="3"/>
  <c r="CE102" i="3"/>
  <c r="CE10" i="3"/>
  <c r="CE94" i="3"/>
  <c r="CE93" i="3"/>
  <c r="CA102" i="3"/>
  <c r="CA10" i="3"/>
  <c r="CA93" i="3"/>
  <c r="CA94" i="3"/>
  <c r="BW102" i="3"/>
  <c r="BW10" i="3"/>
  <c r="BW94" i="3"/>
  <c r="BW93" i="3"/>
  <c r="BS102" i="3"/>
  <c r="BS10" i="3"/>
  <c r="CC93" i="3"/>
  <c r="D37" i="3"/>
  <c r="D35" i="3"/>
  <c r="D108" i="3"/>
  <c r="H107" i="3"/>
  <c r="L37" i="3"/>
  <c r="L35" i="3"/>
  <c r="P107" i="3"/>
  <c r="T37" i="3"/>
  <c r="T35" i="3"/>
  <c r="T108" i="3"/>
  <c r="X107" i="3"/>
  <c r="AB37" i="3"/>
  <c r="AB35" i="3"/>
  <c r="AB108" i="3"/>
  <c r="AF107" i="3"/>
  <c r="AJ37" i="3"/>
  <c r="P46" i="18" s="1"/>
  <c r="AJ35" i="3"/>
  <c r="AN107" i="3"/>
  <c r="AR37" i="3"/>
  <c r="AR35" i="3"/>
  <c r="AR108" i="3"/>
  <c r="AV107" i="3"/>
  <c r="AZ37" i="3"/>
  <c r="AZ35" i="3"/>
  <c r="AZ108" i="3"/>
  <c r="BD107" i="3"/>
  <c r="BH37" i="3"/>
  <c r="BH35" i="3"/>
  <c r="BH108" i="3"/>
  <c r="BL107" i="3"/>
  <c r="CW63" i="3"/>
  <c r="DB64" i="3"/>
  <c r="DG59" i="3"/>
  <c r="DB58" i="3"/>
  <c r="BO112" i="3"/>
  <c r="BO97" i="3" s="1"/>
  <c r="BO108" i="3" s="1"/>
  <c r="BO95" i="3"/>
  <c r="BO107" i="3" s="1"/>
  <c r="BO33" i="3"/>
  <c r="BS94" i="3"/>
  <c r="E107" i="3"/>
  <c r="I37" i="3"/>
  <c r="I46" i="18" s="1"/>
  <c r="I79" i="18" s="1"/>
  <c r="I35" i="3"/>
  <c r="Q37" i="3"/>
  <c r="Q35" i="3"/>
  <c r="Q108" i="3"/>
  <c r="U107" i="3"/>
  <c r="Y37" i="3"/>
  <c r="Y35" i="3"/>
  <c r="Y108" i="3"/>
  <c r="AC107" i="3"/>
  <c r="AG37" i="3"/>
  <c r="AG35" i="3"/>
  <c r="AG108" i="3"/>
  <c r="AK107" i="3"/>
  <c r="AO37" i="3"/>
  <c r="Q46" i="18" s="1"/>
  <c r="AO35" i="3"/>
  <c r="AS107" i="3"/>
  <c r="AW37" i="3"/>
  <c r="AW35" i="3"/>
  <c r="AW108" i="3"/>
  <c r="BA107" i="3"/>
  <c r="BE37" i="3"/>
  <c r="BE35" i="3"/>
  <c r="BE108" i="3"/>
  <c r="BI107" i="3"/>
  <c r="BM37" i="3"/>
  <c r="BM35" i="3"/>
  <c r="BM108" i="3"/>
  <c r="CF102" i="3"/>
  <c r="CF10" i="3"/>
  <c r="CF94" i="3"/>
  <c r="CF93" i="3"/>
  <c r="CB102" i="3"/>
  <c r="CB10" i="3"/>
  <c r="CB93" i="3"/>
  <c r="CB94" i="3"/>
  <c r="BX102" i="3"/>
  <c r="BX10" i="3"/>
  <c r="BT102" i="3"/>
  <c r="BT10" i="3"/>
  <c r="BT94" i="3"/>
  <c r="BT93" i="3"/>
  <c r="X279" i="19" l="1"/>
  <c r="CQ58" i="2"/>
  <c r="CQ128" i="2" s="1"/>
  <c r="CP88" i="3"/>
  <c r="CQ87" i="3"/>
  <c r="CO107" i="2"/>
  <c r="U108" i="3"/>
  <c r="P108" i="3"/>
  <c r="BD108" i="3"/>
  <c r="AO108" i="3"/>
  <c r="AB12" i="16"/>
  <c r="AF26" i="18"/>
  <c r="AE11" i="16"/>
  <c r="Y275" i="19"/>
  <c r="DC22" i="2"/>
  <c r="DD22" i="2" s="1"/>
  <c r="DL22" i="2"/>
  <c r="AC176" i="19"/>
  <c r="AB235" i="19"/>
  <c r="AA173" i="19"/>
  <c r="Z232" i="19"/>
  <c r="AD64" i="16"/>
  <c r="AE153" i="18"/>
  <c r="AD13" i="18"/>
  <c r="K108" i="3"/>
  <c r="AY108" i="3"/>
  <c r="DE64" i="2"/>
  <c r="DF69" i="2"/>
  <c r="AE108" i="3"/>
  <c r="DF65" i="2"/>
  <c r="E6" i="67"/>
  <c r="Q73" i="16"/>
  <c r="Q161" i="18"/>
  <c r="Q162" i="18" s="1"/>
  <c r="Q163" i="18" s="1"/>
  <c r="Q164" i="18" s="1"/>
  <c r="Q158" i="18" s="1"/>
  <c r="K73" i="16"/>
  <c r="K161" i="18"/>
  <c r="K162" i="18" s="1"/>
  <c r="K163" i="18" s="1"/>
  <c r="K164" i="18" s="1"/>
  <c r="K158" i="18" s="1"/>
  <c r="R73" i="16"/>
  <c r="R161" i="18"/>
  <c r="R162" i="18" s="1"/>
  <c r="R163" i="18" s="1"/>
  <c r="R164" i="18" s="1"/>
  <c r="R158" i="18" s="1"/>
  <c r="U73" i="16"/>
  <c r="U161" i="18"/>
  <c r="U162" i="18" s="1"/>
  <c r="U163" i="18" s="1"/>
  <c r="U164" i="18" s="1"/>
  <c r="U158" i="18" s="1"/>
  <c r="M73" i="16"/>
  <c r="M161" i="18"/>
  <c r="M162" i="18" s="1"/>
  <c r="M163" i="18" s="1"/>
  <c r="M164" i="18" s="1"/>
  <c r="M158" i="18" s="1"/>
  <c r="T79" i="18"/>
  <c r="T76" i="18"/>
  <c r="T77" i="18"/>
  <c r="L79" i="18"/>
  <c r="L76" i="18"/>
  <c r="L77" i="18"/>
  <c r="N76" i="18"/>
  <c r="N79" i="18"/>
  <c r="N77" i="18"/>
  <c r="J76" i="18"/>
  <c r="J79" i="18"/>
  <c r="J77" i="18"/>
  <c r="Z56" i="18"/>
  <c r="Z108" i="3"/>
  <c r="S73" i="16"/>
  <c r="S161" i="18"/>
  <c r="S162" i="18" s="1"/>
  <c r="S163" i="18" s="1"/>
  <c r="S164" i="18" s="1"/>
  <c r="S158" i="18" s="1"/>
  <c r="K77" i="18"/>
  <c r="K76" i="18"/>
  <c r="K79" i="18"/>
  <c r="R76" i="18"/>
  <c r="R79" i="18"/>
  <c r="R77" i="18"/>
  <c r="U76" i="18"/>
  <c r="U79" i="18"/>
  <c r="U77" i="18"/>
  <c r="M76" i="18"/>
  <c r="M79" i="18"/>
  <c r="M77" i="18"/>
  <c r="O73" i="16"/>
  <c r="O161" i="18"/>
  <c r="O162" i="18" s="1"/>
  <c r="O163" i="18" s="1"/>
  <c r="O164" i="18" s="1"/>
  <c r="O158" i="18" s="1"/>
  <c r="V73" i="16"/>
  <c r="V161" i="18"/>
  <c r="V162" i="18" s="1"/>
  <c r="V163" i="18" s="1"/>
  <c r="V164" i="18" s="1"/>
  <c r="V158" i="18" s="1"/>
  <c r="P161" i="18"/>
  <c r="P162" i="18" s="1"/>
  <c r="P163" i="18" s="1"/>
  <c r="P164" i="18" s="1"/>
  <c r="P158" i="18" s="1"/>
  <c r="P73" i="16"/>
  <c r="S77" i="18"/>
  <c r="S76" i="18"/>
  <c r="S79" i="18"/>
  <c r="O79" i="18"/>
  <c r="O76" i="18"/>
  <c r="O77" i="18"/>
  <c r="V76" i="18"/>
  <c r="V79" i="18"/>
  <c r="V77" i="18"/>
  <c r="J108" i="3"/>
  <c r="Q79" i="18"/>
  <c r="Q76" i="18"/>
  <c r="Q77" i="18"/>
  <c r="P79" i="18"/>
  <c r="P76" i="18"/>
  <c r="P77" i="18"/>
  <c r="T73" i="16"/>
  <c r="T161" i="18"/>
  <c r="T162" i="18" s="1"/>
  <c r="T163" i="18" s="1"/>
  <c r="T164" i="18" s="1"/>
  <c r="T158" i="18" s="1"/>
  <c r="L161" i="18"/>
  <c r="L162" i="18" s="1"/>
  <c r="L163" i="18" s="1"/>
  <c r="L164" i="18" s="1"/>
  <c r="L158" i="18" s="1"/>
  <c r="L73" i="16"/>
  <c r="N73" i="16"/>
  <c r="N161" i="18"/>
  <c r="N162" i="18" s="1"/>
  <c r="N163" i="18" s="1"/>
  <c r="N164" i="18" s="1"/>
  <c r="N158" i="18" s="1"/>
  <c r="AT108" i="3"/>
  <c r="EO54" i="2"/>
  <c r="DN54" i="2"/>
  <c r="DO54" i="2" s="1"/>
  <c r="EH54" i="2"/>
  <c r="EI54" i="2" s="1"/>
  <c r="DZ54" i="2"/>
  <c r="DU54" i="2"/>
  <c r="DA54" i="2"/>
  <c r="H26" i="22"/>
  <c r="F26" i="22"/>
  <c r="I26" i="22"/>
  <c r="G26" i="22"/>
  <c r="K14" i="22"/>
  <c r="K26" i="22" s="1"/>
  <c r="L8" i="22"/>
  <c r="K146" i="22"/>
  <c r="K148" i="22"/>
  <c r="K151" i="22" s="1"/>
  <c r="K153" i="22" s="1"/>
  <c r="BX79" i="2" s="1"/>
  <c r="BT79" i="2" s="1"/>
  <c r="BU79" i="2" s="1"/>
  <c r="BV79" i="2" s="1"/>
  <c r="BW79" i="2" s="1"/>
  <c r="L24" i="22"/>
  <c r="N134" i="22"/>
  <c r="O133" i="22"/>
  <c r="H138" i="22"/>
  <c r="G140" i="22"/>
  <c r="G145" i="22" s="1"/>
  <c r="G148" i="22" s="1"/>
  <c r="G151" i="22" s="1"/>
  <c r="O142" i="22"/>
  <c r="K36" i="22"/>
  <c r="L35" i="22"/>
  <c r="L138" i="22"/>
  <c r="L140" i="22" s="1"/>
  <c r="L145" i="22" s="1"/>
  <c r="L137" i="22"/>
  <c r="K116" i="22"/>
  <c r="L115" i="22"/>
  <c r="M32" i="22"/>
  <c r="O101" i="22"/>
  <c r="N103" i="22"/>
  <c r="M66" i="22"/>
  <c r="N64" i="22"/>
  <c r="O87" i="22"/>
  <c r="P85" i="22"/>
  <c r="C124" i="22"/>
  <c r="O102" i="22"/>
  <c r="N106" i="22"/>
  <c r="N107" i="22" s="1"/>
  <c r="L112" i="22"/>
  <c r="L113" i="22" s="1"/>
  <c r="L114" i="22" s="1"/>
  <c r="L89" i="22"/>
  <c r="L90" i="22" s="1"/>
  <c r="L91" i="22" s="1"/>
  <c r="M23" i="22"/>
  <c r="M13" i="22"/>
  <c r="N11" i="22"/>
  <c r="M19" i="22"/>
  <c r="M21" i="22" s="1"/>
  <c r="N18" i="22"/>
  <c r="F145" i="22"/>
  <c r="F148" i="22" s="1"/>
  <c r="F151" i="22" s="1"/>
  <c r="J46" i="22"/>
  <c r="J47" i="22" s="1"/>
  <c r="J37" i="22"/>
  <c r="N76" i="22"/>
  <c r="M75" i="22"/>
  <c r="N80" i="22"/>
  <c r="M79" i="22"/>
  <c r="M136" i="22"/>
  <c r="N135" i="22"/>
  <c r="K92" i="22"/>
  <c r="K95" i="22" s="1"/>
  <c r="L92" i="22"/>
  <c r="D56" i="22"/>
  <c r="D120" i="22" s="1"/>
  <c r="D122" i="22" s="1"/>
  <c r="L42" i="22"/>
  <c r="L44" i="22" s="1"/>
  <c r="M41" i="22"/>
  <c r="M105" i="22"/>
  <c r="M108" i="22" s="1"/>
  <c r="M110" i="22" s="1"/>
  <c r="M104" i="22"/>
  <c r="L63" i="22"/>
  <c r="M61" i="22"/>
  <c r="L68" i="22"/>
  <c r="E49" i="22"/>
  <c r="I9" i="32"/>
  <c r="I21" i="32"/>
  <c r="CH129" i="2" s="1"/>
  <c r="CH110" i="2" s="1"/>
  <c r="CD110" i="2" s="1"/>
  <c r="S39" i="61"/>
  <c r="G8" i="61"/>
  <c r="G10" i="61" s="1"/>
  <c r="G12" i="61" s="1"/>
  <c r="G17" i="61" s="1"/>
  <c r="G30" i="61" s="1"/>
  <c r="G33" i="61" s="1"/>
  <c r="H5" i="61"/>
  <c r="I19" i="61"/>
  <c r="I21" i="61" s="1"/>
  <c r="I23" i="61" s="1"/>
  <c r="I28" i="61" s="1"/>
  <c r="J3" i="61"/>
  <c r="N35" i="61"/>
  <c r="N41" i="61"/>
  <c r="J7" i="32"/>
  <c r="F38" i="61"/>
  <c r="F42" i="61" s="1"/>
  <c r="CM81" i="2" s="1"/>
  <c r="F36" i="61"/>
  <c r="EB54" i="2"/>
  <c r="EC54" i="2" s="1"/>
  <c r="ED54" i="2" s="1"/>
  <c r="EQ54" i="2"/>
  <c r="ER54" i="2" s="1"/>
  <c r="ES54" i="2" s="1"/>
  <c r="EV54" i="2"/>
  <c r="EW54" i="2" s="1"/>
  <c r="EX54" i="2" s="1"/>
  <c r="DC54" i="2"/>
  <c r="DD54" i="2" s="1"/>
  <c r="DE54" i="2" s="1"/>
  <c r="DH54" i="2"/>
  <c r="DI54" i="2" s="1"/>
  <c r="DJ54" i="2" s="1"/>
  <c r="CV54" i="2"/>
  <c r="I22" i="15"/>
  <c r="H23" i="15"/>
  <c r="H28" i="15" s="1"/>
  <c r="K64" i="15"/>
  <c r="J9" i="15"/>
  <c r="H53" i="15"/>
  <c r="H58" i="15" s="1"/>
  <c r="H82" i="15" s="1"/>
  <c r="I52" i="15"/>
  <c r="G84" i="15"/>
  <c r="G79" i="15"/>
  <c r="J19" i="15"/>
  <c r="J76" i="15"/>
  <c r="P87" i="15"/>
  <c r="P14" i="15"/>
  <c r="O27" i="15"/>
  <c r="N39" i="15"/>
  <c r="L69" i="15"/>
  <c r="H45" i="15"/>
  <c r="I2" i="15"/>
  <c r="J61" i="15"/>
  <c r="H74" i="15"/>
  <c r="H75" i="15" s="1"/>
  <c r="H77" i="15" s="1"/>
  <c r="I73" i="15"/>
  <c r="K81" i="15"/>
  <c r="G37" i="15"/>
  <c r="G42" i="15"/>
  <c r="M57" i="15"/>
  <c r="H10" i="15"/>
  <c r="H16" i="15" s="1"/>
  <c r="H32" i="15"/>
  <c r="H33" i="15" s="1"/>
  <c r="H35" i="15" s="1"/>
  <c r="I31" i="15"/>
  <c r="F79" i="15"/>
  <c r="F84" i="15"/>
  <c r="F88" i="15" s="1"/>
  <c r="D79" i="15"/>
  <c r="D84" i="15"/>
  <c r="L34" i="15"/>
  <c r="J49" i="15"/>
  <c r="I51" i="15"/>
  <c r="I62" i="15" s="1"/>
  <c r="I63" i="15" s="1"/>
  <c r="I65" i="15" s="1"/>
  <c r="I70" i="15" s="1"/>
  <c r="I8" i="15"/>
  <c r="I10" i="15" s="1"/>
  <c r="I16" i="15" s="1"/>
  <c r="J6" i="15"/>
  <c r="E46" i="67"/>
  <c r="CJ35" i="2" s="1"/>
  <c r="E51" i="67"/>
  <c r="CJ45" i="2" s="1"/>
  <c r="Y279" i="19"/>
  <c r="Y276" i="19"/>
  <c r="AD71" i="19"/>
  <c r="AE1" i="19"/>
  <c r="AD72" i="19"/>
  <c r="AC74" i="19"/>
  <c r="AB29" i="18" s="1"/>
  <c r="AB23" i="18"/>
  <c r="AD230" i="19"/>
  <c r="AD96" i="19"/>
  <c r="AE48" i="19"/>
  <c r="AG108" i="19"/>
  <c r="AH44" i="19"/>
  <c r="AF271" i="19"/>
  <c r="AF132" i="19"/>
  <c r="AG61" i="19"/>
  <c r="AE180" i="19"/>
  <c r="AD243" i="19"/>
  <c r="AE113" i="19"/>
  <c r="AF57" i="19"/>
  <c r="AE242" i="19"/>
  <c r="AG106" i="19"/>
  <c r="AH54" i="19"/>
  <c r="AD163" i="19"/>
  <c r="AC222" i="19"/>
  <c r="AD167" i="19"/>
  <c r="AC226" i="19"/>
  <c r="AD175" i="19"/>
  <c r="AC234" i="19"/>
  <c r="AH84" i="19"/>
  <c r="AI51" i="19"/>
  <c r="AG240" i="19"/>
  <c r="AH186" i="19"/>
  <c r="AG258" i="19"/>
  <c r="AH199" i="19"/>
  <c r="AG260" i="19"/>
  <c r="AH201" i="19"/>
  <c r="AG262" i="19"/>
  <c r="AH203" i="19"/>
  <c r="AG264" i="19"/>
  <c r="AH205" i="19"/>
  <c r="AC183" i="19"/>
  <c r="AB246" i="19"/>
  <c r="AB219" i="19"/>
  <c r="AC160" i="19"/>
  <c r="AC164" i="19"/>
  <c r="AB223" i="19"/>
  <c r="AC168" i="19"/>
  <c r="AB227" i="19"/>
  <c r="AE241" i="19"/>
  <c r="AF187" i="19"/>
  <c r="AC250" i="19"/>
  <c r="AD191" i="19"/>
  <c r="AG265" i="19"/>
  <c r="AH206" i="19"/>
  <c r="AC272" i="19"/>
  <c r="AD213" i="19"/>
  <c r="AG115" i="19"/>
  <c r="AH56" i="19"/>
  <c r="AI53" i="19"/>
  <c r="AH92" i="19"/>
  <c r="AD218" i="19"/>
  <c r="AE159" i="19"/>
  <c r="AC238" i="19"/>
  <c r="AD179" i="19"/>
  <c r="AH188" i="19"/>
  <c r="AG259" i="19"/>
  <c r="AH200" i="19"/>
  <c r="AG261" i="19"/>
  <c r="AH202" i="19"/>
  <c r="AG263" i="19"/>
  <c r="AH204" i="19"/>
  <c r="AE220" i="19"/>
  <c r="AF161" i="19"/>
  <c r="AB236" i="19"/>
  <c r="AC177" i="19"/>
  <c r="AD237" i="19"/>
  <c r="AE178" i="19"/>
  <c r="AG94" i="19"/>
  <c r="AH50" i="19"/>
  <c r="Z225" i="19"/>
  <c r="AA166" i="19"/>
  <c r="AG111" i="19"/>
  <c r="AF111" i="19"/>
  <c r="AB172" i="19"/>
  <c r="AA231" i="19"/>
  <c r="AB22" i="18"/>
  <c r="AC73" i="19"/>
  <c r="AB28" i="18" s="1"/>
  <c r="AM126" i="19"/>
  <c r="AN39" i="19"/>
  <c r="AG127" i="19"/>
  <c r="AH127" i="19"/>
  <c r="AG128" i="19"/>
  <c r="AH43" i="19"/>
  <c r="AG129" i="19"/>
  <c r="AH45" i="19"/>
  <c r="AG87" i="19"/>
  <c r="AH52" i="19"/>
  <c r="AH131" i="19"/>
  <c r="AI59" i="19"/>
  <c r="AG135" i="19"/>
  <c r="AH62" i="19"/>
  <c r="AB217" i="19"/>
  <c r="AC158" i="19"/>
  <c r="AC182" i="19"/>
  <c r="AB245" i="19"/>
  <c r="AB247" i="19"/>
  <c r="AC184" i="19"/>
  <c r="AA221" i="19"/>
  <c r="AB162" i="19"/>
  <c r="AC170" i="19"/>
  <c r="AB229" i="19"/>
  <c r="Z233" i="19"/>
  <c r="AA174" i="19"/>
  <c r="AC190" i="19"/>
  <c r="AB249" i="19"/>
  <c r="AD252" i="19"/>
  <c r="AE193" i="19"/>
  <c r="AL125" i="19"/>
  <c r="AM37" i="19"/>
  <c r="AH100" i="19"/>
  <c r="AI55" i="19"/>
  <c r="AD189" i="19"/>
  <c r="AC248" i="19"/>
  <c r="AB65" i="19"/>
  <c r="AB66" i="19" s="1"/>
  <c r="AG256" i="19"/>
  <c r="AG122" i="19"/>
  <c r="AH47" i="19"/>
  <c r="AB137" i="19"/>
  <c r="AB138" i="19" s="1"/>
  <c r="AG126" i="19"/>
  <c r="AH126" i="19"/>
  <c r="AH112" i="19"/>
  <c r="AI42" i="19"/>
  <c r="AI49" i="19"/>
  <c r="AH85" i="19"/>
  <c r="AG130" i="19"/>
  <c r="AH58" i="19"/>
  <c r="AC97" i="19"/>
  <c r="AB43" i="16" s="1"/>
  <c r="AD60" i="19"/>
  <c r="AD165" i="19"/>
  <c r="AC224" i="19"/>
  <c r="AD169" i="19"/>
  <c r="AC228" i="19"/>
  <c r="AD181" i="19"/>
  <c r="AC244" i="19"/>
  <c r="N14" i="32"/>
  <c r="P3" i="32"/>
  <c r="AC65" i="16"/>
  <c r="AD68" i="16"/>
  <c r="AD76" i="16"/>
  <c r="AD70" i="16"/>
  <c r="AD87" i="16" s="1"/>
  <c r="AE86" i="16" s="1"/>
  <c r="AB109" i="16"/>
  <c r="AE96" i="16"/>
  <c r="AE37" i="16"/>
  <c r="AI69" i="16"/>
  <c r="AI77" i="16"/>
  <c r="AF71" i="16"/>
  <c r="AF82" i="16"/>
  <c r="AF79" i="16"/>
  <c r="AG63" i="16"/>
  <c r="AF58" i="16"/>
  <c r="AC74" i="16"/>
  <c r="AD156" i="18"/>
  <c r="AE154" i="18"/>
  <c r="AD12" i="18"/>
  <c r="AD170" i="18" s="1"/>
  <c r="AE169" i="18"/>
  <c r="AF15" i="18"/>
  <c r="AE174" i="18"/>
  <c r="AF30" i="18"/>
  <c r="AF10" i="16" s="1"/>
  <c r="N109" i="18"/>
  <c r="O109" i="18" s="1"/>
  <c r="P109" i="18" s="1"/>
  <c r="Q109" i="18" s="1"/>
  <c r="R109" i="18" s="1"/>
  <c r="S109" i="18" s="1"/>
  <c r="T109" i="18" s="1"/>
  <c r="U109" i="18" s="1"/>
  <c r="V109" i="18" s="1"/>
  <c r="W109" i="18" s="1"/>
  <c r="X109" i="18" s="1"/>
  <c r="Y109" i="18" s="1"/>
  <c r="Z109" i="18" s="1"/>
  <c r="AA109" i="18" s="1"/>
  <c r="AB109" i="18" s="1"/>
  <c r="AC109" i="18" s="1"/>
  <c r="AD109" i="18" s="1"/>
  <c r="AE109" i="18" s="1"/>
  <c r="AF109" i="18" s="1"/>
  <c r="AG109" i="18" s="1"/>
  <c r="AH109" i="18" s="1"/>
  <c r="AI109" i="18" s="1"/>
  <c r="AJ109" i="18" s="1"/>
  <c r="AK109" i="18" s="1"/>
  <c r="AL109" i="18" s="1"/>
  <c r="AM109" i="18" s="1"/>
  <c r="AN109" i="18" s="1"/>
  <c r="O104" i="18"/>
  <c r="AF155" i="18"/>
  <c r="DQ18" i="2"/>
  <c r="DH18" i="2"/>
  <c r="DQ14" i="2"/>
  <c r="DH14" i="2"/>
  <c r="DL26" i="2"/>
  <c r="DC26" i="2"/>
  <c r="DL48" i="2"/>
  <c r="DC48" i="2"/>
  <c r="DL43" i="2"/>
  <c r="DC43" i="2"/>
  <c r="DB128" i="2"/>
  <c r="DB59" i="2"/>
  <c r="DG59" i="2" s="1"/>
  <c r="DJ65" i="2"/>
  <c r="DH65" i="2"/>
  <c r="DL64" i="2"/>
  <c r="DI65" i="2"/>
  <c r="DK69" i="2"/>
  <c r="DI69" i="2"/>
  <c r="DJ69" i="2"/>
  <c r="DH69" i="2"/>
  <c r="DB100" i="2"/>
  <c r="CD127" i="2"/>
  <c r="CE108" i="2"/>
  <c r="CZ18" i="2"/>
  <c r="CZ14" i="2"/>
  <c r="CU26" i="2"/>
  <c r="CT25" i="2"/>
  <c r="CT23" i="2" s="1"/>
  <c r="DH38" i="2"/>
  <c r="DQ38" i="2"/>
  <c r="CI126" i="2"/>
  <c r="CJ107" i="2"/>
  <c r="DC10" i="2"/>
  <c r="DL10" i="2"/>
  <c r="CW105" i="2"/>
  <c r="CK103" i="2"/>
  <c r="DD64" i="2"/>
  <c r="DC64" i="2"/>
  <c r="CQ10" i="2"/>
  <c r="CD123" i="2"/>
  <c r="CE104" i="2"/>
  <c r="DD18" i="2"/>
  <c r="DD14" i="2"/>
  <c r="DA22" i="2"/>
  <c r="CY26" i="2"/>
  <c r="CX25" i="2"/>
  <c r="CX23" i="2" s="1"/>
  <c r="CZ38" i="2"/>
  <c r="CQ48" i="2"/>
  <c r="CQ43" i="2"/>
  <c r="CE126" i="2"/>
  <c r="CF107" i="2"/>
  <c r="CU10" i="2"/>
  <c r="CH130" i="2"/>
  <c r="CD111" i="2"/>
  <c r="CM111" i="2"/>
  <c r="CE124" i="2"/>
  <c r="CF105" i="2"/>
  <c r="DB103" i="2"/>
  <c r="CV18" i="2"/>
  <c r="CV14" i="2"/>
  <c r="CQ26" i="2"/>
  <c r="CP23" i="2"/>
  <c r="CV38" i="2"/>
  <c r="CY48" i="2"/>
  <c r="CY43" i="2"/>
  <c r="DV66" i="2"/>
  <c r="DQ65" i="2"/>
  <c r="DV70" i="2"/>
  <c r="DQ69" i="2"/>
  <c r="CF122" i="2"/>
  <c r="CG122" i="2" s="1"/>
  <c r="CG103" i="2"/>
  <c r="CM127" i="2"/>
  <c r="CR108" i="2"/>
  <c r="CN108" i="2" s="1"/>
  <c r="CO108" i="2" s="1"/>
  <c r="CP108" i="2" s="1"/>
  <c r="CQ108" i="2" s="1"/>
  <c r="CI108" i="2"/>
  <c r="DD38" i="2"/>
  <c r="CW107" i="2"/>
  <c r="AE130" i="2"/>
  <c r="AE116" i="2" s="1"/>
  <c r="AE97" i="2" s="1"/>
  <c r="AJ111" i="2"/>
  <c r="EF109" i="2"/>
  <c r="CY10" i="2"/>
  <c r="DL99" i="2"/>
  <c r="AJ117" i="2"/>
  <c r="AO98" i="2"/>
  <c r="AO117" i="2" s="1"/>
  <c r="CH115" i="2"/>
  <c r="CM96" i="2"/>
  <c r="BS117" i="2"/>
  <c r="BX98" i="2"/>
  <c r="BY98" i="2" s="1"/>
  <c r="BT98" i="2"/>
  <c r="BD120" i="2"/>
  <c r="BD116" i="2" s="1"/>
  <c r="BD97" i="2" s="1"/>
  <c r="BI101" i="2"/>
  <c r="CI124" i="2"/>
  <c r="CJ105" i="2"/>
  <c r="DE22" i="2"/>
  <c r="CU48" i="2"/>
  <c r="CU43" i="2"/>
  <c r="CH125" i="2"/>
  <c r="CG125" i="2" s="1"/>
  <c r="CM106" i="2"/>
  <c r="CK100" i="2"/>
  <c r="CL96" i="2"/>
  <c r="DQ80" i="2"/>
  <c r="DK80" i="2"/>
  <c r="DK83" i="2" s="1"/>
  <c r="DI80" i="2"/>
  <c r="DI83" i="2" s="1"/>
  <c r="DH80" i="2"/>
  <c r="DH83" i="2" s="1"/>
  <c r="DJ80" i="2"/>
  <c r="DJ83" i="2" s="1"/>
  <c r="CR104" i="2"/>
  <c r="CN104" i="2" s="1"/>
  <c r="CO104" i="2" s="1"/>
  <c r="CP104" i="2" s="1"/>
  <c r="CQ104" i="2" s="1"/>
  <c r="CI104" i="2"/>
  <c r="I98" i="3"/>
  <c r="I52" i="3"/>
  <c r="I82" i="3" s="1"/>
  <c r="I47" i="3"/>
  <c r="I48" i="3" s="1"/>
  <c r="I39" i="3"/>
  <c r="DL59" i="3"/>
  <c r="DG58" i="3"/>
  <c r="DB63" i="3"/>
  <c r="DG64" i="3"/>
  <c r="L98" i="3"/>
  <c r="L47" i="3"/>
  <c r="L48" i="3" s="1"/>
  <c r="L52" i="3"/>
  <c r="L82" i="3" s="1"/>
  <c r="L84" i="3" s="1"/>
  <c r="L39" i="3"/>
  <c r="D98" i="3"/>
  <c r="D47" i="3"/>
  <c r="D48" i="3" s="1"/>
  <c r="D52" i="3"/>
  <c r="D82" i="3" s="1"/>
  <c r="D39" i="3"/>
  <c r="BS92" i="3"/>
  <c r="BS29" i="3"/>
  <c r="W160" i="18" s="1"/>
  <c r="BW92" i="3"/>
  <c r="BW29" i="3"/>
  <c r="CA92" i="3"/>
  <c r="CA29" i="3"/>
  <c r="CE92" i="3"/>
  <c r="CE29" i="3"/>
  <c r="CI92" i="3"/>
  <c r="CI29" i="3"/>
  <c r="BG135" i="3"/>
  <c r="BG98" i="3"/>
  <c r="BG52" i="3"/>
  <c r="BG82" i="3" s="1"/>
  <c r="BG84" i="3" s="1"/>
  <c r="BG47" i="3"/>
  <c r="BG48" i="3" s="1"/>
  <c r="BG39" i="3"/>
  <c r="BI135" i="3"/>
  <c r="U98" i="16" s="1"/>
  <c r="AY98" i="3"/>
  <c r="AY52" i="3"/>
  <c r="AY82" i="3" s="1"/>
  <c r="AY47" i="3"/>
  <c r="AY48" i="3" s="1"/>
  <c r="AY39" i="3"/>
  <c r="S90" i="16" s="1"/>
  <c r="S92" i="16" s="1"/>
  <c r="S93" i="16" s="1"/>
  <c r="AQ98" i="3"/>
  <c r="AQ52" i="3"/>
  <c r="AQ82" i="3" s="1"/>
  <c r="AQ84" i="3" s="1"/>
  <c r="AQ47" i="3"/>
  <c r="AQ48" i="3" s="1"/>
  <c r="AQ39" i="3"/>
  <c r="AI98" i="3"/>
  <c r="AI52" i="3"/>
  <c r="AI82" i="3" s="1"/>
  <c r="AI84" i="3" s="1"/>
  <c r="AI47" i="3"/>
  <c r="AI48" i="3" s="1"/>
  <c r="AI39" i="3"/>
  <c r="AA98" i="3"/>
  <c r="AA52" i="3"/>
  <c r="AA82" i="3" s="1"/>
  <c r="AA84" i="3" s="1"/>
  <c r="AA47" i="3"/>
  <c r="AA48" i="3" s="1"/>
  <c r="AA39" i="3"/>
  <c r="S98" i="3"/>
  <c r="S52" i="3"/>
  <c r="S82" i="3" s="1"/>
  <c r="S84" i="3" s="1"/>
  <c r="S47" i="3"/>
  <c r="S48" i="3" s="1"/>
  <c r="S39" i="3"/>
  <c r="C98" i="3"/>
  <c r="C52" i="3"/>
  <c r="C82" i="3" s="1"/>
  <c r="C47" i="3"/>
  <c r="C48" i="3" s="1"/>
  <c r="C39" i="3"/>
  <c r="BJ135" i="3"/>
  <c r="BJ98" i="3"/>
  <c r="BJ47" i="3"/>
  <c r="BJ48" i="3" s="1"/>
  <c r="BJ52" i="3"/>
  <c r="BJ82" i="3" s="1"/>
  <c r="BJ84" i="3" s="1"/>
  <c r="BJ39" i="3"/>
  <c r="BB98" i="3"/>
  <c r="BB47" i="3"/>
  <c r="BB48" i="3" s="1"/>
  <c r="BB52" i="3"/>
  <c r="BB82" i="3" s="1"/>
  <c r="BB84" i="3" s="1"/>
  <c r="BB39" i="3"/>
  <c r="AT98" i="3"/>
  <c r="AT47" i="3"/>
  <c r="AT48" i="3" s="1"/>
  <c r="AT52" i="3"/>
  <c r="AT82" i="3" s="1"/>
  <c r="AT39" i="3"/>
  <c r="R90" i="16" s="1"/>
  <c r="R92" i="16" s="1"/>
  <c r="R93" i="16" s="1"/>
  <c r="AL98" i="3"/>
  <c r="AL47" i="3"/>
  <c r="AL48" i="3" s="1"/>
  <c r="AL52" i="3"/>
  <c r="AL82" i="3" s="1"/>
  <c r="AL84" i="3" s="1"/>
  <c r="AL39" i="3"/>
  <c r="AD98" i="3"/>
  <c r="AD47" i="3"/>
  <c r="AD48" i="3" s="1"/>
  <c r="AD52" i="3"/>
  <c r="AD82" i="3" s="1"/>
  <c r="AD84" i="3" s="1"/>
  <c r="AD39" i="3"/>
  <c r="V98" i="3"/>
  <c r="V47" i="3"/>
  <c r="V48" i="3" s="1"/>
  <c r="V52" i="3"/>
  <c r="V82" i="3" s="1"/>
  <c r="V84" i="3" s="1"/>
  <c r="V39" i="3"/>
  <c r="N98" i="3"/>
  <c r="N47" i="3"/>
  <c r="N48" i="3" s="1"/>
  <c r="N52" i="3"/>
  <c r="N82" i="3" s="1"/>
  <c r="N84" i="3" s="1"/>
  <c r="N39" i="3"/>
  <c r="F98" i="3"/>
  <c r="F47" i="3"/>
  <c r="F48" i="3" s="1"/>
  <c r="F52" i="3"/>
  <c r="F82" i="3" s="1"/>
  <c r="F39" i="3"/>
  <c r="BI98" i="3"/>
  <c r="BI52" i="3"/>
  <c r="BI82" i="3" s="1"/>
  <c r="BI47" i="3"/>
  <c r="BI48" i="3" s="1"/>
  <c r="BI39" i="3"/>
  <c r="U90" i="16" s="1"/>
  <c r="U92" i="16" s="1"/>
  <c r="U93" i="16" s="1"/>
  <c r="BA98" i="3"/>
  <c r="BA52" i="3"/>
  <c r="BA82" i="3" s="1"/>
  <c r="BA84" i="3" s="1"/>
  <c r="BA47" i="3"/>
  <c r="BA48" i="3" s="1"/>
  <c r="BA39" i="3"/>
  <c r="AS98" i="3"/>
  <c r="AS52" i="3"/>
  <c r="AS82" i="3" s="1"/>
  <c r="AS84" i="3" s="1"/>
  <c r="AS47" i="3"/>
  <c r="AS48" i="3" s="1"/>
  <c r="AS39" i="3"/>
  <c r="AK98" i="3"/>
  <c r="AK52" i="3"/>
  <c r="AK82" i="3" s="1"/>
  <c r="AK84" i="3" s="1"/>
  <c r="AK47" i="3"/>
  <c r="AK48" i="3" s="1"/>
  <c r="AK39" i="3"/>
  <c r="AC98" i="3"/>
  <c r="AC52" i="3"/>
  <c r="AC82" i="3" s="1"/>
  <c r="AC84" i="3" s="1"/>
  <c r="AC47" i="3"/>
  <c r="AC48" i="3" s="1"/>
  <c r="AC39" i="3"/>
  <c r="U98" i="3"/>
  <c r="U52" i="3"/>
  <c r="U82" i="3" s="1"/>
  <c r="U47" i="3"/>
  <c r="U48" i="3" s="1"/>
  <c r="U39" i="3"/>
  <c r="BL135" i="3"/>
  <c r="BL98" i="3"/>
  <c r="BL47" i="3"/>
  <c r="BL48" i="3" s="1"/>
  <c r="BL52" i="3"/>
  <c r="BL82" i="3" s="1"/>
  <c r="BL84" i="3" s="1"/>
  <c r="BL39" i="3"/>
  <c r="BD98" i="3"/>
  <c r="BD47" i="3"/>
  <c r="BD48" i="3" s="1"/>
  <c r="BD52" i="3"/>
  <c r="BD82" i="3" s="1"/>
  <c r="BD39" i="3"/>
  <c r="AV98" i="3"/>
  <c r="AV47" i="3"/>
  <c r="AV48" i="3" s="1"/>
  <c r="AV52" i="3"/>
  <c r="AV82" i="3" s="1"/>
  <c r="AV84" i="3" s="1"/>
  <c r="AV39" i="3"/>
  <c r="AN98" i="3"/>
  <c r="AN47" i="3"/>
  <c r="AN48" i="3" s="1"/>
  <c r="AN52" i="3"/>
  <c r="AN82" i="3" s="1"/>
  <c r="AN84" i="3" s="1"/>
  <c r="AN39" i="3"/>
  <c r="AF98" i="3"/>
  <c r="AF47" i="3"/>
  <c r="AF48" i="3" s="1"/>
  <c r="AF52" i="3"/>
  <c r="AF82" i="3" s="1"/>
  <c r="AF84" i="3" s="1"/>
  <c r="AF39" i="3"/>
  <c r="X98" i="3"/>
  <c r="X47" i="3"/>
  <c r="X48" i="3" s="1"/>
  <c r="X52" i="3"/>
  <c r="X82" i="3" s="1"/>
  <c r="X84" i="3" s="1"/>
  <c r="X39" i="3"/>
  <c r="P98" i="3"/>
  <c r="P47" i="3"/>
  <c r="P48" i="3" s="1"/>
  <c r="P52" i="3"/>
  <c r="P82" i="3" s="1"/>
  <c r="P39" i="3"/>
  <c r="DQ17" i="3"/>
  <c r="DV17" i="3" s="1"/>
  <c r="EA17" i="3" s="1"/>
  <c r="EF17" i="3" s="1"/>
  <c r="EK17" i="3" s="1"/>
  <c r="EP17" i="3" s="1"/>
  <c r="EU17" i="3" s="1"/>
  <c r="EZ17" i="3" s="1"/>
  <c r="O98" i="3"/>
  <c r="O52" i="3"/>
  <c r="O82" i="3" s="1"/>
  <c r="O84" i="3" s="1"/>
  <c r="O47" i="3"/>
  <c r="O48" i="3" s="1"/>
  <c r="O39" i="3"/>
  <c r="G98" i="3"/>
  <c r="G52" i="3"/>
  <c r="G82" i="3" s="1"/>
  <c r="G47" i="3"/>
  <c r="G48" i="3" s="1"/>
  <c r="G39" i="3"/>
  <c r="BT92" i="3"/>
  <c r="BT29" i="3"/>
  <c r="BX92" i="3"/>
  <c r="BX29" i="3"/>
  <c r="X160" i="18" s="1"/>
  <c r="CB92" i="3"/>
  <c r="CB29" i="3"/>
  <c r="CF92" i="3"/>
  <c r="CF29" i="3"/>
  <c r="BM135" i="3"/>
  <c r="BM98" i="3"/>
  <c r="BM52" i="3"/>
  <c r="BM82" i="3" s="1"/>
  <c r="BM84" i="3" s="1"/>
  <c r="BM47" i="3"/>
  <c r="BM48" i="3" s="1"/>
  <c r="BM39" i="3"/>
  <c r="BE98" i="3"/>
  <c r="BE52" i="3"/>
  <c r="BE82" i="3" s="1"/>
  <c r="BE84" i="3" s="1"/>
  <c r="BE47" i="3"/>
  <c r="BE48" i="3" s="1"/>
  <c r="BE39" i="3"/>
  <c r="AW98" i="3"/>
  <c r="AW52" i="3"/>
  <c r="AW82" i="3" s="1"/>
  <c r="AW84" i="3" s="1"/>
  <c r="AW47" i="3"/>
  <c r="AW48" i="3" s="1"/>
  <c r="AW39" i="3"/>
  <c r="AO98" i="3"/>
  <c r="AO52" i="3"/>
  <c r="AO82" i="3" s="1"/>
  <c r="AO47" i="3"/>
  <c r="AO48" i="3" s="1"/>
  <c r="AO39" i="3"/>
  <c r="Q90" i="16" s="1"/>
  <c r="Q92" i="16" s="1"/>
  <c r="Q93" i="16" s="1"/>
  <c r="AG98" i="3"/>
  <c r="AG52" i="3"/>
  <c r="AG82" i="3" s="1"/>
  <c r="AG84" i="3" s="1"/>
  <c r="AG47" i="3"/>
  <c r="AG48" i="3" s="1"/>
  <c r="AG39" i="3"/>
  <c r="Y98" i="3"/>
  <c r="Y52" i="3"/>
  <c r="Y82" i="3" s="1"/>
  <c r="Y84" i="3" s="1"/>
  <c r="Y47" i="3"/>
  <c r="Y48" i="3" s="1"/>
  <c r="Y39" i="3"/>
  <c r="Q98" i="3"/>
  <c r="Q52" i="3"/>
  <c r="Q82" i="3" s="1"/>
  <c r="Q84" i="3" s="1"/>
  <c r="Q47" i="3"/>
  <c r="Q48" i="3" s="1"/>
  <c r="Q39" i="3"/>
  <c r="BO37" i="3"/>
  <c r="BO35" i="3"/>
  <c r="BH135" i="3"/>
  <c r="BH98" i="3"/>
  <c r="BH47" i="3"/>
  <c r="BH48" i="3" s="1"/>
  <c r="BH52" i="3"/>
  <c r="BH82" i="3" s="1"/>
  <c r="BH84" i="3" s="1"/>
  <c r="BH39" i="3"/>
  <c r="AZ98" i="3"/>
  <c r="AZ47" i="3"/>
  <c r="AZ48" i="3" s="1"/>
  <c r="AZ52" i="3"/>
  <c r="AZ82" i="3" s="1"/>
  <c r="AZ84" i="3" s="1"/>
  <c r="AZ39" i="3"/>
  <c r="AR98" i="3"/>
  <c r="AR47" i="3"/>
  <c r="AR48" i="3" s="1"/>
  <c r="AR52" i="3"/>
  <c r="AR82" i="3" s="1"/>
  <c r="AR84" i="3" s="1"/>
  <c r="AR39" i="3"/>
  <c r="AJ98" i="3"/>
  <c r="AJ47" i="3"/>
  <c r="AJ48" i="3" s="1"/>
  <c r="AJ52" i="3"/>
  <c r="AJ82" i="3" s="1"/>
  <c r="AJ39" i="3"/>
  <c r="P90" i="16" s="1"/>
  <c r="P92" i="16" s="1"/>
  <c r="P93" i="16" s="1"/>
  <c r="AB98" i="3"/>
  <c r="AB47" i="3"/>
  <c r="AB48" i="3" s="1"/>
  <c r="AB52" i="3"/>
  <c r="AB82" i="3" s="1"/>
  <c r="AB84" i="3" s="1"/>
  <c r="AB39" i="3"/>
  <c r="T98" i="3"/>
  <c r="T47" i="3"/>
  <c r="T48" i="3" s="1"/>
  <c r="T52" i="3"/>
  <c r="T82" i="3" s="1"/>
  <c r="T84" i="3" s="1"/>
  <c r="T39" i="3"/>
  <c r="K98" i="3"/>
  <c r="K52" i="3"/>
  <c r="K82" i="3" s="1"/>
  <c r="K47" i="3"/>
  <c r="K48" i="3" s="1"/>
  <c r="K39" i="3"/>
  <c r="BQ37" i="3"/>
  <c r="BQ35" i="3"/>
  <c r="BR92" i="3"/>
  <c r="BR29" i="3"/>
  <c r="BV92" i="3"/>
  <c r="BV29" i="3"/>
  <c r="BZ92" i="3"/>
  <c r="BZ29" i="3"/>
  <c r="CD92" i="3"/>
  <c r="CD29" i="3"/>
  <c r="CH92" i="3"/>
  <c r="CH29" i="3"/>
  <c r="Z160" i="18" s="1"/>
  <c r="M98" i="3"/>
  <c r="M52" i="3"/>
  <c r="M82" i="3" s="1"/>
  <c r="M84" i="3" s="1"/>
  <c r="M47" i="3"/>
  <c r="M48" i="3" s="1"/>
  <c r="M39" i="3"/>
  <c r="E98" i="3"/>
  <c r="E52" i="3"/>
  <c r="E82" i="3" s="1"/>
  <c r="E47" i="3"/>
  <c r="E48" i="3" s="1"/>
  <c r="E39" i="3"/>
  <c r="H98" i="3"/>
  <c r="H47" i="3"/>
  <c r="H48" i="3" s="1"/>
  <c r="H52" i="3"/>
  <c r="H82" i="3" s="1"/>
  <c r="H39" i="3"/>
  <c r="BU92" i="3"/>
  <c r="BU29" i="3"/>
  <c r="BY92" i="3"/>
  <c r="BY29" i="3"/>
  <c r="CC92" i="3"/>
  <c r="CC29" i="3"/>
  <c r="Y160" i="18" s="1"/>
  <c r="CG92" i="3"/>
  <c r="CG29" i="3"/>
  <c r="BK135" i="3"/>
  <c r="BK98" i="3"/>
  <c r="BK52" i="3"/>
  <c r="BK82" i="3" s="1"/>
  <c r="BK84" i="3" s="1"/>
  <c r="BK47" i="3"/>
  <c r="BK48" i="3" s="1"/>
  <c r="BK39" i="3"/>
  <c r="BC98" i="3"/>
  <c r="BC52" i="3"/>
  <c r="BC82" i="3" s="1"/>
  <c r="BC84" i="3" s="1"/>
  <c r="BC47" i="3"/>
  <c r="BC48" i="3" s="1"/>
  <c r="BC39" i="3"/>
  <c r="AU98" i="3"/>
  <c r="AU52" i="3"/>
  <c r="AU82" i="3" s="1"/>
  <c r="AU84" i="3" s="1"/>
  <c r="AU47" i="3"/>
  <c r="AU48" i="3" s="1"/>
  <c r="AU39" i="3"/>
  <c r="AM98" i="3"/>
  <c r="AM52" i="3"/>
  <c r="AM82" i="3" s="1"/>
  <c r="AM84" i="3" s="1"/>
  <c r="AM47" i="3"/>
  <c r="AM48" i="3" s="1"/>
  <c r="AM39" i="3"/>
  <c r="AE98" i="3"/>
  <c r="AE52" i="3"/>
  <c r="AE82" i="3" s="1"/>
  <c r="AE47" i="3"/>
  <c r="AE48" i="3" s="1"/>
  <c r="AE39" i="3"/>
  <c r="W98" i="3"/>
  <c r="W52" i="3"/>
  <c r="W82" i="3" s="1"/>
  <c r="W84" i="3" s="1"/>
  <c r="W47" i="3"/>
  <c r="W48" i="3" s="1"/>
  <c r="W39" i="3"/>
  <c r="BN135" i="3"/>
  <c r="V98" i="16" s="1"/>
  <c r="BN98" i="3"/>
  <c r="BN47" i="3"/>
  <c r="BN48" i="3" s="1"/>
  <c r="BN52" i="3"/>
  <c r="BN82" i="3" s="1"/>
  <c r="BN39" i="3"/>
  <c r="BF98" i="3"/>
  <c r="BF47" i="3"/>
  <c r="BF48" i="3" s="1"/>
  <c r="BF52" i="3"/>
  <c r="BF82" i="3" s="1"/>
  <c r="BF84" i="3" s="1"/>
  <c r="BF39" i="3"/>
  <c r="AX98" i="3"/>
  <c r="AX47" i="3"/>
  <c r="AX48" i="3" s="1"/>
  <c r="AX52" i="3"/>
  <c r="AX82" i="3" s="1"/>
  <c r="AX84" i="3" s="1"/>
  <c r="AX39" i="3"/>
  <c r="AP98" i="3"/>
  <c r="AP47" i="3"/>
  <c r="AP48" i="3" s="1"/>
  <c r="AP52" i="3"/>
  <c r="AP82" i="3" s="1"/>
  <c r="AP84" i="3" s="1"/>
  <c r="AP39" i="3"/>
  <c r="AH98" i="3"/>
  <c r="AH47" i="3"/>
  <c r="AH48" i="3" s="1"/>
  <c r="AH52" i="3"/>
  <c r="AH82" i="3" s="1"/>
  <c r="AH84" i="3" s="1"/>
  <c r="AH39" i="3"/>
  <c r="Z98" i="3"/>
  <c r="Z47" i="3"/>
  <c r="Z48" i="3" s="1"/>
  <c r="Z52" i="3"/>
  <c r="Z82" i="3" s="1"/>
  <c r="Z39" i="3"/>
  <c r="R98" i="3"/>
  <c r="R47" i="3"/>
  <c r="R48" i="3" s="1"/>
  <c r="R52" i="3"/>
  <c r="R82" i="3" s="1"/>
  <c r="R84" i="3" s="1"/>
  <c r="R39" i="3"/>
  <c r="J98" i="3"/>
  <c r="J47" i="3"/>
  <c r="J48" i="3" s="1"/>
  <c r="J52" i="3"/>
  <c r="J82" i="3" s="1"/>
  <c r="J39" i="3"/>
  <c r="BP98" i="3"/>
  <c r="BP47" i="3"/>
  <c r="BP48" i="3" s="1"/>
  <c r="BP52" i="3"/>
  <c r="BP82" i="3" s="1"/>
  <c r="BP84" i="3" s="1"/>
  <c r="BP135" i="3"/>
  <c r="BP39" i="3"/>
  <c r="CQ88" i="3" l="1"/>
  <c r="CR87" i="3"/>
  <c r="Z275" i="19"/>
  <c r="AC65" i="19"/>
  <c r="AC66" i="19" s="1"/>
  <c r="DF64" i="2"/>
  <c r="CP107" i="2"/>
  <c r="CN127" i="2"/>
  <c r="AC12" i="16"/>
  <c r="AC136" i="19"/>
  <c r="AC235" i="19"/>
  <c r="AD176" i="19"/>
  <c r="AG26" i="18"/>
  <c r="AF11" i="16"/>
  <c r="H40" i="15"/>
  <c r="H37" i="15" s="1"/>
  <c r="M24" i="22"/>
  <c r="AA232" i="19"/>
  <c r="AB173" i="19"/>
  <c r="J49" i="22"/>
  <c r="AF153" i="18"/>
  <c r="AE13" i="18"/>
  <c r="DQ22" i="2"/>
  <c r="DH22" i="2"/>
  <c r="DI22" i="2" s="1"/>
  <c r="BP106" i="3"/>
  <c r="F51" i="67"/>
  <c r="CK45" i="2" s="1"/>
  <c r="DH64" i="2"/>
  <c r="DK65" i="2"/>
  <c r="E11" i="67"/>
  <c r="F46" i="67"/>
  <c r="CK35" i="2" s="1"/>
  <c r="BD106" i="3"/>
  <c r="T90" i="16"/>
  <c r="T92" i="16" s="1"/>
  <c r="T93" i="16" s="1"/>
  <c r="BN106" i="3"/>
  <c r="V90" i="16"/>
  <c r="V92" i="16" s="1"/>
  <c r="V93" i="16" s="1"/>
  <c r="H84" i="3"/>
  <c r="H3" i="16"/>
  <c r="H23" i="16" s="1"/>
  <c r="H111" i="16"/>
  <c r="AJ84" i="3"/>
  <c r="P3" i="16"/>
  <c r="P23" i="16" s="1"/>
  <c r="P111" i="16"/>
  <c r="AO84" i="3"/>
  <c r="Q3" i="16"/>
  <c r="Q23" i="16" s="1"/>
  <c r="Q111" i="16"/>
  <c r="U84" i="3"/>
  <c r="M111" i="16"/>
  <c r="BI84" i="3"/>
  <c r="U3" i="16"/>
  <c r="U111" i="16"/>
  <c r="AE84" i="3"/>
  <c r="O3" i="16"/>
  <c r="O23" i="16" s="1"/>
  <c r="O111" i="16"/>
  <c r="E84" i="3"/>
  <c r="E3" i="16"/>
  <c r="E23" i="16" s="1"/>
  <c r="E111" i="16"/>
  <c r="K84" i="3"/>
  <c r="K111" i="16"/>
  <c r="G84" i="3"/>
  <c r="G3" i="16"/>
  <c r="G23" i="16" s="1"/>
  <c r="G111" i="16"/>
  <c r="P84" i="3"/>
  <c r="L111" i="16"/>
  <c r="BD84" i="3"/>
  <c r="T3" i="16"/>
  <c r="T111" i="16"/>
  <c r="J84" i="3"/>
  <c r="J3" i="16"/>
  <c r="J23" i="16" s="1"/>
  <c r="J111" i="16"/>
  <c r="Z84" i="3"/>
  <c r="N3" i="16"/>
  <c r="N23" i="16" s="1"/>
  <c r="N111" i="16"/>
  <c r="BN84" i="3"/>
  <c r="V111" i="16"/>
  <c r="D84" i="3"/>
  <c r="D3" i="16"/>
  <c r="D23" i="16" s="1"/>
  <c r="D111" i="16"/>
  <c r="F84" i="3"/>
  <c r="F3" i="16"/>
  <c r="F23" i="16" s="1"/>
  <c r="F111" i="16"/>
  <c r="AT84" i="3"/>
  <c r="R3" i="16"/>
  <c r="R23" i="16" s="1"/>
  <c r="R111" i="16"/>
  <c r="C84" i="3"/>
  <c r="C3" i="16"/>
  <c r="C23" i="16" s="1"/>
  <c r="AY84" i="3"/>
  <c r="S3" i="16"/>
  <c r="S111" i="16"/>
  <c r="I84" i="3"/>
  <c r="I3" i="16"/>
  <c r="I23" i="16" s="1"/>
  <c r="I111" i="16"/>
  <c r="DP54" i="2"/>
  <c r="EE54" i="2"/>
  <c r="EJ54" i="2"/>
  <c r="EY54" i="2"/>
  <c r="DF54" i="2"/>
  <c r="DK54" i="2"/>
  <c r="ET54" i="2"/>
  <c r="E53" i="22"/>
  <c r="E56" i="22" s="1"/>
  <c r="E120" i="22" s="1"/>
  <c r="E122" i="22" s="1"/>
  <c r="K96" i="22"/>
  <c r="K93" i="22"/>
  <c r="M138" i="22"/>
  <c r="M140" i="22" s="1"/>
  <c r="M145" i="22" s="1"/>
  <c r="M137" i="22"/>
  <c r="N79" i="22"/>
  <c r="O80" i="22"/>
  <c r="N75" i="22"/>
  <c r="O76" i="22"/>
  <c r="H49" i="22"/>
  <c r="F49" i="22"/>
  <c r="I49" i="22"/>
  <c r="G49" i="22"/>
  <c r="M112" i="22"/>
  <c r="M113" i="22" s="1"/>
  <c r="M114" i="22" s="1"/>
  <c r="M89" i="22"/>
  <c r="M90" i="22" s="1"/>
  <c r="M91" i="22" s="1"/>
  <c r="M92" i="22"/>
  <c r="L95" i="22"/>
  <c r="O103" i="22"/>
  <c r="P101" i="22"/>
  <c r="N32" i="22"/>
  <c r="D124" i="22"/>
  <c r="L148" i="22"/>
  <c r="L151" i="22" s="1"/>
  <c r="L153" i="22" s="1"/>
  <c r="CC79" i="2" s="1"/>
  <c r="L146" i="22"/>
  <c r="K46" i="22"/>
  <c r="K47" i="22" s="1"/>
  <c r="K49" i="22" s="1"/>
  <c r="K37" i="22"/>
  <c r="H140" i="22"/>
  <c r="I138" i="22"/>
  <c r="I140" i="22" s="1"/>
  <c r="I145" i="22" s="1"/>
  <c r="M8" i="22"/>
  <c r="L14" i="22"/>
  <c r="M63" i="22"/>
  <c r="M68" i="22" s="1"/>
  <c r="N61" i="22"/>
  <c r="N41" i="22"/>
  <c r="M42" i="22"/>
  <c r="M44" i="22" s="1"/>
  <c r="O135" i="22"/>
  <c r="N136" i="22"/>
  <c r="O18" i="22"/>
  <c r="N19" i="22"/>
  <c r="N21" i="22" s="1"/>
  <c r="O11" i="22"/>
  <c r="N23" i="22"/>
  <c r="N13" i="22"/>
  <c r="M115" i="22"/>
  <c r="L116" i="22"/>
  <c r="O106" i="22"/>
  <c r="O107" i="22" s="1"/>
  <c r="P102" i="22"/>
  <c r="P87" i="22"/>
  <c r="Q85" i="22"/>
  <c r="Q87" i="22" s="1"/>
  <c r="O64" i="22"/>
  <c r="N66" i="22"/>
  <c r="N105" i="22"/>
  <c r="N108" i="22" s="1"/>
  <c r="N110" i="22" s="1"/>
  <c r="N104" i="22"/>
  <c r="M35" i="22"/>
  <c r="L36" i="22"/>
  <c r="P142" i="22"/>
  <c r="O134" i="22"/>
  <c r="P133" i="22"/>
  <c r="L26" i="22"/>
  <c r="CK81" i="2"/>
  <c r="CI81" i="2"/>
  <c r="CJ81" i="2"/>
  <c r="CL81" i="2"/>
  <c r="O41" i="61"/>
  <c r="O35" i="61"/>
  <c r="J19" i="61"/>
  <c r="J21" i="61" s="1"/>
  <c r="J23" i="61" s="1"/>
  <c r="J28" i="61" s="1"/>
  <c r="K3" i="61"/>
  <c r="H8" i="61"/>
  <c r="H10" i="61" s="1"/>
  <c r="H12" i="61" s="1"/>
  <c r="H17" i="61" s="1"/>
  <c r="H30" i="61" s="1"/>
  <c r="H33" i="61" s="1"/>
  <c r="I5" i="61"/>
  <c r="CE110" i="2"/>
  <c r="CD129" i="2"/>
  <c r="J9" i="32"/>
  <c r="J21" i="32"/>
  <c r="G38" i="61"/>
  <c r="G42" i="61" s="1"/>
  <c r="CR81" i="2" s="1"/>
  <c r="CQ81" i="2" s="1"/>
  <c r="G36" i="61"/>
  <c r="K7" i="32"/>
  <c r="I8" i="32"/>
  <c r="I11" i="32" s="1"/>
  <c r="J51" i="15"/>
  <c r="K49" i="15"/>
  <c r="M34" i="15"/>
  <c r="L81" i="15"/>
  <c r="N57" i="15"/>
  <c r="P27" i="15"/>
  <c r="Q14" i="15"/>
  <c r="Q87" i="15"/>
  <c r="K76" i="15"/>
  <c r="K19" i="15"/>
  <c r="I53" i="15"/>
  <c r="I58" i="15" s="1"/>
  <c r="I82" i="15" s="1"/>
  <c r="J52" i="15"/>
  <c r="K9" i="15"/>
  <c r="H42" i="15"/>
  <c r="H79" i="15"/>
  <c r="H84" i="15"/>
  <c r="K6" i="15"/>
  <c r="J8" i="15"/>
  <c r="J20" i="15" s="1"/>
  <c r="J21" i="15" s="1"/>
  <c r="J31" i="15"/>
  <c r="M69" i="15"/>
  <c r="J73" i="15"/>
  <c r="I74" i="15"/>
  <c r="I75" i="15" s="1"/>
  <c r="I77" i="15" s="1"/>
  <c r="K61" i="15"/>
  <c r="J62" i="15"/>
  <c r="J63" i="15" s="1"/>
  <c r="J65" i="15" s="1"/>
  <c r="J70" i="15" s="1"/>
  <c r="I45" i="15"/>
  <c r="J2" i="15"/>
  <c r="O39" i="15"/>
  <c r="I20" i="15"/>
  <c r="I21" i="15" s="1"/>
  <c r="I32" i="15" s="1"/>
  <c r="I33" i="15" s="1"/>
  <c r="I35" i="15" s="1"/>
  <c r="G88" i="15"/>
  <c r="L64" i="15"/>
  <c r="I23" i="15"/>
  <c r="I28" i="15" s="1"/>
  <c r="I40" i="15" s="1"/>
  <c r="J22" i="15"/>
  <c r="CJ7" i="2"/>
  <c r="Z279" i="19"/>
  <c r="Z276" i="19"/>
  <c r="AE181" i="19"/>
  <c r="AD244" i="19"/>
  <c r="AE169" i="19"/>
  <c r="AD228" i="19"/>
  <c r="AE165" i="19"/>
  <c r="AD224" i="19"/>
  <c r="AH130" i="19"/>
  <c r="AI58" i="19"/>
  <c r="AI112" i="19"/>
  <c r="AJ112" i="19"/>
  <c r="AH256" i="19"/>
  <c r="AH122" i="19"/>
  <c r="AI47" i="19"/>
  <c r="AI100" i="19"/>
  <c r="AJ55" i="19"/>
  <c r="AM125" i="19"/>
  <c r="AN37" i="19"/>
  <c r="AD190" i="19"/>
  <c r="AC249" i="19"/>
  <c r="AD170" i="19"/>
  <c r="AC229" i="19"/>
  <c r="AC245" i="19"/>
  <c r="AD182" i="19"/>
  <c r="AB41" i="16"/>
  <c r="AC137" i="19" s="1"/>
  <c r="AC172" i="19"/>
  <c r="AB231" i="19"/>
  <c r="AE237" i="19"/>
  <c r="AF178" i="19"/>
  <c r="AC236" i="19"/>
  <c r="AD177" i="19"/>
  <c r="AF220" i="19"/>
  <c r="AG161" i="19"/>
  <c r="AH263" i="19"/>
  <c r="AI204" i="19"/>
  <c r="AH261" i="19"/>
  <c r="AI202" i="19"/>
  <c r="AH259" i="19"/>
  <c r="AI200" i="19"/>
  <c r="AI188" i="19"/>
  <c r="AD238" i="19"/>
  <c r="AE179" i="19"/>
  <c r="AE218" i="19"/>
  <c r="AF159" i="19"/>
  <c r="AC227" i="19"/>
  <c r="AD168" i="19"/>
  <c r="AD164" i="19"/>
  <c r="AC223" i="19"/>
  <c r="AD183" i="19"/>
  <c r="AC246" i="19"/>
  <c r="AF180" i="19"/>
  <c r="AE243" i="19"/>
  <c r="AH108" i="19"/>
  <c r="AI44" i="19"/>
  <c r="AE230" i="19"/>
  <c r="AE96" i="19"/>
  <c r="AF48" i="19"/>
  <c r="AE72" i="19"/>
  <c r="AE71" i="19"/>
  <c r="AF1" i="19"/>
  <c r="AD97" i="19"/>
  <c r="AC43" i="16" s="1"/>
  <c r="AE60" i="19"/>
  <c r="AI85" i="19"/>
  <c r="AJ49" i="19"/>
  <c r="AE189" i="19"/>
  <c r="AD248" i="19"/>
  <c r="AE252" i="19"/>
  <c r="AF193" i="19"/>
  <c r="AA233" i="19"/>
  <c r="AB174" i="19"/>
  <c r="AC162" i="19"/>
  <c r="AB221" i="19"/>
  <c r="AC247" i="19"/>
  <c r="AD184" i="19"/>
  <c r="AC217" i="19"/>
  <c r="AD158" i="19"/>
  <c r="AH135" i="19"/>
  <c r="AI62" i="19"/>
  <c r="AI131" i="19"/>
  <c r="AJ59" i="19"/>
  <c r="AH87" i="19"/>
  <c r="AI52" i="19"/>
  <c r="AH129" i="19"/>
  <c r="AI45" i="19"/>
  <c r="AH128" i="19"/>
  <c r="AI43" i="19"/>
  <c r="AN126" i="19"/>
  <c r="AO39" i="19"/>
  <c r="AO126" i="19" s="1"/>
  <c r="AA225" i="19"/>
  <c r="AB166" i="19"/>
  <c r="AH94" i="19"/>
  <c r="AI50" i="19"/>
  <c r="AI92" i="19"/>
  <c r="AJ53" i="19"/>
  <c r="AH115" i="19"/>
  <c r="AI56" i="19"/>
  <c r="AD272" i="19"/>
  <c r="AE213" i="19"/>
  <c r="AH265" i="19"/>
  <c r="AI206" i="19"/>
  <c r="AD250" i="19"/>
  <c r="AE191" i="19"/>
  <c r="AF241" i="19"/>
  <c r="AG187" i="19"/>
  <c r="AC219" i="19"/>
  <c r="AD160" i="19"/>
  <c r="AH264" i="19"/>
  <c r="AI205" i="19"/>
  <c r="AH262" i="19"/>
  <c r="AI203" i="19"/>
  <c r="AH260" i="19"/>
  <c r="AI201" i="19"/>
  <c r="AH258" i="19"/>
  <c r="AI199" i="19"/>
  <c r="AH240" i="19"/>
  <c r="AI186" i="19"/>
  <c r="AI84" i="19"/>
  <c r="AJ51" i="19"/>
  <c r="AE175" i="19"/>
  <c r="AD234" i="19"/>
  <c r="AE167" i="19"/>
  <c r="AD226" i="19"/>
  <c r="AE163" i="19"/>
  <c r="AD222" i="19"/>
  <c r="AH106" i="19"/>
  <c r="AI54" i="19"/>
  <c r="AF113" i="19"/>
  <c r="AG57" i="19"/>
  <c r="AF242" i="19"/>
  <c r="AG271" i="19"/>
  <c r="AG132" i="19"/>
  <c r="AH61" i="19"/>
  <c r="AD64" i="19"/>
  <c r="AD74" i="19"/>
  <c r="AC29" i="18" s="1"/>
  <c r="AC23" i="18"/>
  <c r="AD73" i="19"/>
  <c r="AC28" i="18" s="1"/>
  <c r="AC22" i="18"/>
  <c r="Q3" i="32"/>
  <c r="O14" i="32"/>
  <c r="AF7" i="16"/>
  <c r="AG82" i="16"/>
  <c r="AG71" i="16"/>
  <c r="AD74" i="16"/>
  <c r="AC36" i="16"/>
  <c r="AG79" i="16"/>
  <c r="AH63" i="16"/>
  <c r="AG58" i="16"/>
  <c r="AF96" i="16"/>
  <c r="AF37" i="16"/>
  <c r="AJ77" i="16"/>
  <c r="AJ69" i="16"/>
  <c r="AE64" i="16"/>
  <c r="P104" i="18"/>
  <c r="O110" i="18"/>
  <c r="P110" i="18" s="1"/>
  <c r="Q110" i="18" s="1"/>
  <c r="R110" i="18" s="1"/>
  <c r="S110" i="18" s="1"/>
  <c r="T110" i="18" s="1"/>
  <c r="U110" i="18" s="1"/>
  <c r="V110" i="18" s="1"/>
  <c r="W110" i="18" s="1"/>
  <c r="X110" i="18" s="1"/>
  <c r="Y110" i="18" s="1"/>
  <c r="Z110" i="18" s="1"/>
  <c r="AA110" i="18" s="1"/>
  <c r="AB110" i="18" s="1"/>
  <c r="AC110" i="18" s="1"/>
  <c r="AD110" i="18" s="1"/>
  <c r="AE110" i="18" s="1"/>
  <c r="AF110" i="18" s="1"/>
  <c r="AG110" i="18" s="1"/>
  <c r="AH110" i="18" s="1"/>
  <c r="AI110" i="18" s="1"/>
  <c r="AJ110" i="18" s="1"/>
  <c r="AK110" i="18" s="1"/>
  <c r="AL110" i="18" s="1"/>
  <c r="AM110" i="18" s="1"/>
  <c r="AN110" i="18" s="1"/>
  <c r="AF174" i="18"/>
  <c r="AG30" i="18"/>
  <c r="AG10" i="16" s="1"/>
  <c r="AF169" i="18"/>
  <c r="AG15" i="18"/>
  <c r="AF154" i="18"/>
  <c r="AE12" i="18"/>
  <c r="AE170" i="18" s="1"/>
  <c r="CI123" i="2"/>
  <c r="CJ104" i="2"/>
  <c r="CV43" i="2"/>
  <c r="CV48" i="2"/>
  <c r="DF22" i="2"/>
  <c r="BY117" i="2"/>
  <c r="BZ98" i="2"/>
  <c r="DQ99" i="2"/>
  <c r="CZ10" i="2"/>
  <c r="EK109" i="2"/>
  <c r="AJ130" i="2"/>
  <c r="AO111" i="2"/>
  <c r="AO130" i="2" s="1"/>
  <c r="AO116" i="2" s="1"/>
  <c r="AO97" i="2" s="1"/>
  <c r="DB107" i="2"/>
  <c r="DE38" i="2"/>
  <c r="CI127" i="2"/>
  <c r="CJ108" i="2"/>
  <c r="EA70" i="2"/>
  <c r="DV69" i="2"/>
  <c r="EA66" i="2"/>
  <c r="DV65" i="2"/>
  <c r="CZ43" i="2"/>
  <c r="CZ48" i="2"/>
  <c r="CR25" i="2"/>
  <c r="CR23" i="2" s="1"/>
  <c r="CQ23" i="2"/>
  <c r="CD130" i="2"/>
  <c r="CE111" i="2"/>
  <c r="CE130" i="2" s="1"/>
  <c r="CF126" i="2"/>
  <c r="CG126" i="2" s="1"/>
  <c r="CG107" i="2"/>
  <c r="DE14" i="2"/>
  <c r="DE18" i="2"/>
  <c r="DQ10" i="2"/>
  <c r="DH10" i="2"/>
  <c r="CK107" i="2"/>
  <c r="DV38" i="2"/>
  <c r="DM38" i="2"/>
  <c r="CE127" i="2"/>
  <c r="CF108" i="2"/>
  <c r="DK64" i="2"/>
  <c r="DL59" i="2"/>
  <c r="DH43" i="2"/>
  <c r="DQ43" i="2"/>
  <c r="DH48" i="2"/>
  <c r="DQ48" i="2"/>
  <c r="DJ22" i="2"/>
  <c r="DD26" i="2"/>
  <c r="DC25" i="2"/>
  <c r="DC23" i="2" s="1"/>
  <c r="DI14" i="2"/>
  <c r="DI18" i="2"/>
  <c r="CW104" i="2"/>
  <c r="DV80" i="2"/>
  <c r="CL100" i="2"/>
  <c r="CI106" i="2"/>
  <c r="CK105" i="2"/>
  <c r="BI120" i="2"/>
  <c r="BI116" i="2" s="1"/>
  <c r="BI97" i="2" s="1"/>
  <c r="BN101" i="2"/>
  <c r="BT117" i="2"/>
  <c r="BU98" i="2"/>
  <c r="CG115" i="2"/>
  <c r="AJ116" i="2"/>
  <c r="AJ97" i="2" s="1"/>
  <c r="CR127" i="2"/>
  <c r="CW108" i="2"/>
  <c r="DP69" i="2"/>
  <c r="DN69" i="2"/>
  <c r="DO69" i="2"/>
  <c r="DM69" i="2"/>
  <c r="DQ64" i="2"/>
  <c r="DO65" i="2"/>
  <c r="DM65" i="2"/>
  <c r="DN65" i="2"/>
  <c r="DG103" i="2"/>
  <c r="CF124" i="2"/>
  <c r="CG124" i="2" s="1"/>
  <c r="CG105" i="2"/>
  <c r="CR111" i="2"/>
  <c r="CN111" i="2" s="1"/>
  <c r="CI111" i="2"/>
  <c r="CG130" i="2"/>
  <c r="CV10" i="2"/>
  <c r="DA38" i="2"/>
  <c r="CZ26" i="2"/>
  <c r="CY25" i="2"/>
  <c r="CY23" i="2" s="1"/>
  <c r="CE123" i="2"/>
  <c r="CF104" i="2"/>
  <c r="CL103" i="2"/>
  <c r="DB105" i="2"/>
  <c r="DD10" i="2"/>
  <c r="DI38" i="2"/>
  <c r="CV26" i="2"/>
  <c r="CV25" i="2" s="1"/>
  <c r="CU25" i="2"/>
  <c r="CU23" i="2" s="1"/>
  <c r="DA14" i="2"/>
  <c r="DA18" i="2"/>
  <c r="DG100" i="2"/>
  <c r="DI64" i="2"/>
  <c r="DJ64" i="2"/>
  <c r="DB60" i="2"/>
  <c r="DG60" i="2" s="1"/>
  <c r="DL60" i="2" s="1"/>
  <c r="DQ60" i="2" s="1"/>
  <c r="DV60" i="2" s="1"/>
  <c r="EA60" i="2" s="1"/>
  <c r="EF60" i="2" s="1"/>
  <c r="EK60" i="2" s="1"/>
  <c r="EP60" i="2" s="1"/>
  <c r="EU60" i="2" s="1"/>
  <c r="EZ60" i="2" s="1"/>
  <c r="DD43" i="2"/>
  <c r="DD48" i="2"/>
  <c r="DH26" i="2"/>
  <c r="DQ26" i="2"/>
  <c r="DM14" i="2"/>
  <c r="DV14" i="2"/>
  <c r="DM18" i="2"/>
  <c r="DV18" i="2"/>
  <c r="CG95" i="3"/>
  <c r="CG33" i="3"/>
  <c r="CG112" i="3"/>
  <c r="CG97" i="3" s="1"/>
  <c r="CC95" i="3"/>
  <c r="CC33" i="3"/>
  <c r="CC112" i="3"/>
  <c r="Z67" i="19" s="1"/>
  <c r="BY95" i="3"/>
  <c r="BY112" i="3"/>
  <c r="BY97" i="3" s="1"/>
  <c r="BY33" i="3"/>
  <c r="BU95" i="3"/>
  <c r="BU107" i="3" s="1"/>
  <c r="BU112" i="3"/>
  <c r="BU97" i="3" s="1"/>
  <c r="BU108" i="3" s="1"/>
  <c r="BU33" i="3"/>
  <c r="CH95" i="3"/>
  <c r="CH112" i="3"/>
  <c r="CH33" i="3"/>
  <c r="CD95" i="3"/>
  <c r="CD112" i="3"/>
  <c r="CD97" i="3" s="1"/>
  <c r="CD33" i="3"/>
  <c r="BZ95" i="3"/>
  <c r="BZ33" i="3"/>
  <c r="BZ112" i="3"/>
  <c r="BZ97" i="3" s="1"/>
  <c r="BV95" i="3"/>
  <c r="BV107" i="3" s="1"/>
  <c r="BV112" i="3"/>
  <c r="BV97" i="3" s="1"/>
  <c r="BV108" i="3" s="1"/>
  <c r="BV33" i="3"/>
  <c r="BR95" i="3"/>
  <c r="BR107" i="3" s="1"/>
  <c r="BR33" i="3"/>
  <c r="BR112" i="3"/>
  <c r="BR97" i="3" s="1"/>
  <c r="BR108" i="3" s="1"/>
  <c r="BO135" i="3"/>
  <c r="BO98" i="3"/>
  <c r="BO52" i="3"/>
  <c r="BO82" i="3" s="1"/>
  <c r="BO84" i="3" s="1"/>
  <c r="BO47" i="3"/>
  <c r="BO48" i="3" s="1"/>
  <c r="BO39" i="3"/>
  <c r="BO106" i="3" s="1"/>
  <c r="CF95" i="3"/>
  <c r="CF112" i="3"/>
  <c r="CF97" i="3" s="1"/>
  <c r="CF33" i="3"/>
  <c r="CB95" i="3"/>
  <c r="CB33" i="3"/>
  <c r="CB112" i="3"/>
  <c r="CB97" i="3" s="1"/>
  <c r="BX95" i="3"/>
  <c r="BX112" i="3"/>
  <c r="BX33" i="3"/>
  <c r="BT95" i="3"/>
  <c r="BT107" i="3" s="1"/>
  <c r="BT112" i="3"/>
  <c r="BT97" i="3" s="1"/>
  <c r="BT108" i="3" s="1"/>
  <c r="BT33" i="3"/>
  <c r="DQ24" i="3"/>
  <c r="BQ98" i="3"/>
  <c r="BQ52" i="3"/>
  <c r="BQ82" i="3" s="1"/>
  <c r="BQ84" i="3" s="1"/>
  <c r="BQ47" i="3"/>
  <c r="BQ48" i="3" s="1"/>
  <c r="BQ39" i="3"/>
  <c r="BQ106" i="3" s="1"/>
  <c r="BQ135" i="3"/>
  <c r="BI106" i="3"/>
  <c r="AY106" i="3"/>
  <c r="CI95" i="3"/>
  <c r="CI33" i="3"/>
  <c r="CE95" i="3"/>
  <c r="CE112" i="3"/>
  <c r="CE97" i="3" s="1"/>
  <c r="CE33" i="3"/>
  <c r="CA95" i="3"/>
  <c r="CA33" i="3"/>
  <c r="CA112" i="3"/>
  <c r="CA97" i="3" s="1"/>
  <c r="BW95" i="3"/>
  <c r="BW33" i="3"/>
  <c r="BW112" i="3"/>
  <c r="BW97" i="3" s="1"/>
  <c r="BS95" i="3"/>
  <c r="BS107" i="3" s="1"/>
  <c r="BS112" i="3"/>
  <c r="BS33" i="3"/>
  <c r="DG63" i="3"/>
  <c r="DL64" i="3"/>
  <c r="DQ59" i="3"/>
  <c r="DL58" i="3"/>
  <c r="CI107" i="3" l="1"/>
  <c r="AC138" i="19"/>
  <c r="CA108" i="3"/>
  <c r="CO111" i="2"/>
  <c r="CN130" i="2"/>
  <c r="CQ107" i="2"/>
  <c r="H88" i="15"/>
  <c r="CO127" i="2"/>
  <c r="AD65" i="19"/>
  <c r="AD66" i="19" s="1"/>
  <c r="AA275" i="19"/>
  <c r="AA276" i="19" s="1"/>
  <c r="DM22" i="2"/>
  <c r="DN22" i="2" s="1"/>
  <c r="DV22" i="2"/>
  <c r="AB232" i="19"/>
  <c r="AC173" i="19"/>
  <c r="AE176" i="19"/>
  <c r="AD235" i="19"/>
  <c r="AH26" i="18"/>
  <c r="AG11" i="16"/>
  <c r="CD108" i="3"/>
  <c r="AD136" i="19"/>
  <c r="AG153" i="18"/>
  <c r="AF13" i="18"/>
  <c r="AE27" i="18"/>
  <c r="AD12" i="16"/>
  <c r="DM64" i="2"/>
  <c r="DN64" i="2"/>
  <c r="BW108" i="3"/>
  <c r="CE107" i="3"/>
  <c r="BZ108" i="3"/>
  <c r="CA107" i="3"/>
  <c r="BW107" i="3"/>
  <c r="CE108" i="3"/>
  <c r="BZ107" i="3"/>
  <c r="CH97" i="3"/>
  <c r="Z86" i="18"/>
  <c r="Z85" i="18"/>
  <c r="AA67" i="19"/>
  <c r="R47" i="18"/>
  <c r="R47" i="16"/>
  <c r="R53" i="16"/>
  <c r="R56" i="16" s="1"/>
  <c r="R60" i="16" s="1"/>
  <c r="D53" i="16"/>
  <c r="D56" i="16" s="1"/>
  <c r="D47" i="16"/>
  <c r="D49" i="16" s="1"/>
  <c r="E48" i="16" s="1"/>
  <c r="J53" i="16"/>
  <c r="J56" i="16" s="1"/>
  <c r="J47" i="16"/>
  <c r="J47" i="18"/>
  <c r="G53" i="16"/>
  <c r="G56" i="16" s="1"/>
  <c r="G47" i="16"/>
  <c r="O47" i="18"/>
  <c r="O53" i="16"/>
  <c r="O56" i="16" s="1"/>
  <c r="O47" i="16"/>
  <c r="Q47" i="18"/>
  <c r="Q47" i="16"/>
  <c r="Q53" i="16"/>
  <c r="Q56" i="16" s="1"/>
  <c r="C53" i="16"/>
  <c r="C56" i="16" s="1"/>
  <c r="C47" i="16"/>
  <c r="C49" i="16" s="1"/>
  <c r="N53" i="16"/>
  <c r="N56" i="16" s="1"/>
  <c r="N47" i="18"/>
  <c r="N47" i="16"/>
  <c r="E53" i="16"/>
  <c r="E56" i="16" s="1"/>
  <c r="E47" i="16"/>
  <c r="BS97" i="3"/>
  <c r="BS108" i="3" s="1"/>
  <c r="X67" i="19"/>
  <c r="W85" i="18"/>
  <c r="W86" i="18"/>
  <c r="BX97" i="3"/>
  <c r="BX108" i="3" s="1"/>
  <c r="X86" i="18"/>
  <c r="X85" i="18"/>
  <c r="Y67" i="19"/>
  <c r="I47" i="18"/>
  <c r="I90" i="18" s="1"/>
  <c r="I47" i="16"/>
  <c r="I53" i="16"/>
  <c r="I56" i="16" s="1"/>
  <c r="H53" i="16"/>
  <c r="H56" i="16" s="1"/>
  <c r="H47" i="16"/>
  <c r="S100" i="16"/>
  <c r="S101" i="16" s="1"/>
  <c r="S23" i="16"/>
  <c r="F53" i="16"/>
  <c r="F56" i="16" s="1"/>
  <c r="F47" i="16"/>
  <c r="T100" i="16"/>
  <c r="T101" i="16" s="1"/>
  <c r="T23" i="16"/>
  <c r="U100" i="16"/>
  <c r="U101" i="16" s="1"/>
  <c r="U23" i="16"/>
  <c r="P53" i="16"/>
  <c r="P56" i="16" s="1"/>
  <c r="P47" i="18"/>
  <c r="P47" i="16"/>
  <c r="Q133" i="22"/>
  <c r="Q134" i="22" s="1"/>
  <c r="P134" i="22"/>
  <c r="Q142" i="22"/>
  <c r="L46" i="22"/>
  <c r="L47" i="22" s="1"/>
  <c r="L49" i="22" s="1"/>
  <c r="L37" i="22"/>
  <c r="P106" i="22"/>
  <c r="P107" i="22" s="1"/>
  <c r="Q102" i="22"/>
  <c r="Q106" i="22" s="1"/>
  <c r="Q107" i="22" s="1"/>
  <c r="N112" i="22"/>
  <c r="N113" i="22" s="1"/>
  <c r="N114" i="22" s="1"/>
  <c r="N89" i="22"/>
  <c r="N90" i="22" s="1"/>
  <c r="N91" i="22" s="1"/>
  <c r="O23" i="22"/>
  <c r="O13" i="22"/>
  <c r="P11" i="22"/>
  <c r="O19" i="22"/>
  <c r="O21" i="22" s="1"/>
  <c r="P18" i="22"/>
  <c r="O136" i="22"/>
  <c r="P135" i="22"/>
  <c r="N42" i="22"/>
  <c r="N44" i="22" s="1"/>
  <c r="O41" i="22"/>
  <c r="M14" i="22"/>
  <c r="M26" i="22" s="1"/>
  <c r="N8" i="22"/>
  <c r="H145" i="22"/>
  <c r="J140" i="22"/>
  <c r="BY79" i="2"/>
  <c r="BZ79" i="2" s="1"/>
  <c r="CA79" i="2" s="1"/>
  <c r="O32" i="22"/>
  <c r="Q101" i="22"/>
  <c r="Q103" i="22" s="1"/>
  <c r="P103" i="22"/>
  <c r="L96" i="22"/>
  <c r="L93" i="22"/>
  <c r="M95" i="22"/>
  <c r="N92" i="22"/>
  <c r="M146" i="22"/>
  <c r="M148" i="22" s="1"/>
  <c r="M151" i="22" s="1"/>
  <c r="M153" i="22" s="1"/>
  <c r="CH79" i="2" s="1"/>
  <c r="M36" i="22"/>
  <c r="N35" i="22"/>
  <c r="O66" i="22"/>
  <c r="P64" i="22"/>
  <c r="N24" i="22"/>
  <c r="N137" i="22"/>
  <c r="N138" i="22" s="1"/>
  <c r="N140" i="22" s="1"/>
  <c r="N145" i="22" s="1"/>
  <c r="N63" i="22"/>
  <c r="N68" i="22" s="1"/>
  <c r="O61" i="22"/>
  <c r="O105" i="22"/>
  <c r="O108" i="22" s="1"/>
  <c r="O110" i="22" s="1"/>
  <c r="O104" i="22"/>
  <c r="M116" i="22"/>
  <c r="N115" i="22"/>
  <c r="P76" i="22"/>
  <c r="O75" i="22"/>
  <c r="P80" i="22"/>
  <c r="O79" i="22"/>
  <c r="E119" i="22"/>
  <c r="E123" i="22" s="1"/>
  <c r="E124" i="22" s="1"/>
  <c r="J53" i="22"/>
  <c r="I8" i="61"/>
  <c r="I10" i="61" s="1"/>
  <c r="I12" i="61" s="1"/>
  <c r="I17" i="61" s="1"/>
  <c r="I30" i="61" s="1"/>
  <c r="I33" i="61" s="1"/>
  <c r="J5" i="61"/>
  <c r="K19" i="61"/>
  <c r="K21" i="61" s="1"/>
  <c r="K23" i="61" s="1"/>
  <c r="K28" i="61" s="1"/>
  <c r="L3" i="61"/>
  <c r="P35" i="61"/>
  <c r="P41" i="61"/>
  <c r="K9" i="32"/>
  <c r="K21" i="32"/>
  <c r="J8" i="32"/>
  <c r="J11" i="32" s="1"/>
  <c r="J19" i="32" s="1"/>
  <c r="CF110" i="2"/>
  <c r="CE129" i="2"/>
  <c r="H36" i="61"/>
  <c r="H38" i="61"/>
  <c r="H42" i="61" s="1"/>
  <c r="CW81" i="2" s="1"/>
  <c r="L7" i="32"/>
  <c r="I84" i="15"/>
  <c r="I79" i="15"/>
  <c r="J79" i="15" s="1"/>
  <c r="I37" i="15"/>
  <c r="J37" i="15" s="1"/>
  <c r="I42" i="15"/>
  <c r="O57" i="15"/>
  <c r="L61" i="15"/>
  <c r="J74" i="15"/>
  <c r="J75" i="15" s="1"/>
  <c r="J77" i="15" s="1"/>
  <c r="K73" i="15"/>
  <c r="M81" i="15"/>
  <c r="K8" i="15"/>
  <c r="K20" i="15" s="1"/>
  <c r="K21" i="15" s="1"/>
  <c r="L6" i="15"/>
  <c r="J10" i="15"/>
  <c r="J16" i="15" s="1"/>
  <c r="L19" i="15"/>
  <c r="N34" i="15"/>
  <c r="L49" i="15"/>
  <c r="K51" i="15"/>
  <c r="K62" i="15" s="1"/>
  <c r="K63" i="15" s="1"/>
  <c r="K65" i="15" s="1"/>
  <c r="K70" i="15" s="1"/>
  <c r="K22" i="15"/>
  <c r="J23" i="15"/>
  <c r="J28" i="15" s="1"/>
  <c r="M64" i="15"/>
  <c r="J45" i="15"/>
  <c r="K2" i="15"/>
  <c r="J32" i="15"/>
  <c r="J33" i="15" s="1"/>
  <c r="J35" i="15" s="1"/>
  <c r="K31" i="15"/>
  <c r="L9" i="15"/>
  <c r="J53" i="15"/>
  <c r="J58" i="15" s="1"/>
  <c r="K52" i="15"/>
  <c r="L76" i="15"/>
  <c r="R87" i="15"/>
  <c r="R14" i="15"/>
  <c r="Q27" i="15"/>
  <c r="P39" i="15"/>
  <c r="N69" i="15"/>
  <c r="CJ115" i="2"/>
  <c r="AA279" i="19"/>
  <c r="AK51" i="19"/>
  <c r="AJ84" i="19"/>
  <c r="AJ92" i="19"/>
  <c r="AK53" i="19"/>
  <c r="AC166" i="19"/>
  <c r="AB225" i="19"/>
  <c r="AI128" i="19"/>
  <c r="AJ43" i="19"/>
  <c r="AI129" i="19"/>
  <c r="AJ45" i="19"/>
  <c r="AJ131" i="19"/>
  <c r="AK59" i="19"/>
  <c r="AI135" i="19"/>
  <c r="AJ62" i="19"/>
  <c r="AD217" i="19"/>
  <c r="AE158" i="19"/>
  <c r="AD247" i="19"/>
  <c r="AE184" i="19"/>
  <c r="AB233" i="19"/>
  <c r="AC174" i="19"/>
  <c r="AF252" i="19"/>
  <c r="AG193" i="19"/>
  <c r="AJ85" i="19"/>
  <c r="AK49" i="19"/>
  <c r="AF71" i="19"/>
  <c r="AG1" i="19"/>
  <c r="AF72" i="19"/>
  <c r="AE74" i="19"/>
  <c r="AD29" i="18" s="1"/>
  <c r="AD23" i="18"/>
  <c r="AF230" i="19"/>
  <c r="AF96" i="19"/>
  <c r="AG48" i="19"/>
  <c r="AE183" i="19"/>
  <c r="AD246" i="19"/>
  <c r="AE164" i="19"/>
  <c r="AD223" i="19"/>
  <c r="AD172" i="19"/>
  <c r="AC231" i="19"/>
  <c r="AE170" i="19"/>
  <c r="AD229" i="19"/>
  <c r="AE190" i="19"/>
  <c r="AD249" i="19"/>
  <c r="AJ100" i="19"/>
  <c r="AK55" i="19"/>
  <c r="AE224" i="19"/>
  <c r="AF165" i="19"/>
  <c r="AF169" i="19"/>
  <c r="AE228" i="19"/>
  <c r="AF181" i="19"/>
  <c r="AE244" i="19"/>
  <c r="AC41" i="16"/>
  <c r="AD137" i="19" s="1"/>
  <c r="AH271" i="19"/>
  <c r="AH132" i="19"/>
  <c r="AI61" i="19"/>
  <c r="AG113" i="19"/>
  <c r="AH57" i="19"/>
  <c r="AG242" i="19"/>
  <c r="AI106" i="19"/>
  <c r="AJ54" i="19"/>
  <c r="AF163" i="19"/>
  <c r="AE222" i="19"/>
  <c r="AF167" i="19"/>
  <c r="AE226" i="19"/>
  <c r="AF175" i="19"/>
  <c r="AE234" i="19"/>
  <c r="AI240" i="19"/>
  <c r="AJ186" i="19"/>
  <c r="AI258" i="19"/>
  <c r="AJ199" i="19"/>
  <c r="AI260" i="19"/>
  <c r="AJ201" i="19"/>
  <c r="AI262" i="19"/>
  <c r="AJ203" i="19"/>
  <c r="AI264" i="19"/>
  <c r="AJ205" i="19"/>
  <c r="AD219" i="19"/>
  <c r="AE160" i="19"/>
  <c r="AG241" i="19"/>
  <c r="AH187" i="19"/>
  <c r="AE250" i="19"/>
  <c r="AF191" i="19"/>
  <c r="AI265" i="19"/>
  <c r="AJ206" i="19"/>
  <c r="AE272" i="19"/>
  <c r="AF213" i="19"/>
  <c r="AI115" i="19"/>
  <c r="AJ56" i="19"/>
  <c r="AI94" i="19"/>
  <c r="AJ50" i="19"/>
  <c r="AI87" i="19"/>
  <c r="AJ52" i="19"/>
  <c r="AD162" i="19"/>
  <c r="AC221" i="19"/>
  <c r="AF189" i="19"/>
  <c r="AE248" i="19"/>
  <c r="AE97" i="19"/>
  <c r="AE136" i="19" s="1"/>
  <c r="AF60" i="19"/>
  <c r="AD22" i="18"/>
  <c r="AE73" i="19"/>
  <c r="AD28" i="18" s="1"/>
  <c r="AE64" i="19"/>
  <c r="AI108" i="19"/>
  <c r="AJ44" i="19"/>
  <c r="AF243" i="19"/>
  <c r="AG180" i="19"/>
  <c r="AD227" i="19"/>
  <c r="AE168" i="19"/>
  <c r="AF218" i="19"/>
  <c r="AG159" i="19"/>
  <c r="AE238" i="19"/>
  <c r="AF179" i="19"/>
  <c r="AJ188" i="19"/>
  <c r="AI259" i="19"/>
  <c r="AJ200" i="19"/>
  <c r="AI261" i="19"/>
  <c r="AJ202" i="19"/>
  <c r="AI263" i="19"/>
  <c r="AJ204" i="19"/>
  <c r="AG220" i="19"/>
  <c r="AH161" i="19"/>
  <c r="AD236" i="19"/>
  <c r="AE177" i="19"/>
  <c r="AF237" i="19"/>
  <c r="AG178" i="19"/>
  <c r="AD245" i="19"/>
  <c r="AE182" i="19"/>
  <c r="AN125" i="19"/>
  <c r="AO37" i="19"/>
  <c r="AI256" i="19"/>
  <c r="AI122" i="19"/>
  <c r="AJ47" i="19"/>
  <c r="AI130" i="19"/>
  <c r="AJ58" i="19"/>
  <c r="CH107" i="3"/>
  <c r="P14" i="32"/>
  <c r="CC97" i="3"/>
  <c r="Y86" i="18"/>
  <c r="Y85" i="18"/>
  <c r="R3" i="32"/>
  <c r="AK69" i="16"/>
  <c r="AK77" i="16"/>
  <c r="AH71" i="16"/>
  <c r="AH82" i="16"/>
  <c r="AD65" i="16"/>
  <c r="AE76" i="16"/>
  <c r="AE68" i="16"/>
  <c r="AE70" i="16"/>
  <c r="AH79" i="16"/>
  <c r="AI63" i="16"/>
  <c r="AH58" i="16"/>
  <c r="AC109" i="16"/>
  <c r="AD36" i="16"/>
  <c r="AG96" i="16"/>
  <c r="AG37" i="16"/>
  <c r="AG169" i="18"/>
  <c r="AH15" i="18"/>
  <c r="AG174" i="18"/>
  <c r="AH30" i="18"/>
  <c r="AH10" i="16" s="1"/>
  <c r="Q104" i="18"/>
  <c r="P111" i="18"/>
  <c r="Q111" i="18" s="1"/>
  <c r="R111" i="18" s="1"/>
  <c r="S111" i="18" s="1"/>
  <c r="T111" i="18" s="1"/>
  <c r="U111" i="18" s="1"/>
  <c r="V111" i="18" s="1"/>
  <c r="W111" i="18" s="1"/>
  <c r="X111" i="18" s="1"/>
  <c r="Y111" i="18" s="1"/>
  <c r="Z111" i="18" s="1"/>
  <c r="AA111" i="18" s="1"/>
  <c r="AB111" i="18" s="1"/>
  <c r="AC111" i="18" s="1"/>
  <c r="AD111" i="18" s="1"/>
  <c r="AE111" i="18" s="1"/>
  <c r="AF111" i="18" s="1"/>
  <c r="AG111" i="18" s="1"/>
  <c r="AH111" i="18" s="1"/>
  <c r="AI111" i="18" s="1"/>
  <c r="AJ111" i="18" s="1"/>
  <c r="AK111" i="18" s="1"/>
  <c r="AL111" i="18" s="1"/>
  <c r="AM111" i="18" s="1"/>
  <c r="AN111" i="18" s="1"/>
  <c r="AG155" i="18"/>
  <c r="AF12" i="18"/>
  <c r="AF170" i="18" s="1"/>
  <c r="DN18" i="2"/>
  <c r="DN14" i="2"/>
  <c r="DI26" i="2"/>
  <c r="DH25" i="2"/>
  <c r="DH23" i="2" s="1"/>
  <c r="DE43" i="2"/>
  <c r="DL100" i="2"/>
  <c r="DJ38" i="2"/>
  <c r="DE10" i="2"/>
  <c r="DG105" i="2"/>
  <c r="DA26" i="2"/>
  <c r="DA25" i="2" s="1"/>
  <c r="CZ25" i="2"/>
  <c r="CZ23" i="2" s="1"/>
  <c r="CI130" i="2"/>
  <c r="CJ111" i="2"/>
  <c r="CI125" i="2"/>
  <c r="CJ106" i="2"/>
  <c r="DB104" i="2"/>
  <c r="DJ18" i="2"/>
  <c r="DJ14" i="2"/>
  <c r="DK22" i="2"/>
  <c r="DI48" i="2"/>
  <c r="DI43" i="2"/>
  <c r="DQ59" i="2"/>
  <c r="DL58" i="2"/>
  <c r="DL128" i="2" s="1"/>
  <c r="CF127" i="2"/>
  <c r="CG108" i="2"/>
  <c r="DN38" i="2"/>
  <c r="CL107" i="2"/>
  <c r="DI10" i="2"/>
  <c r="DF18" i="2"/>
  <c r="DF14" i="2"/>
  <c r="DO22" i="2"/>
  <c r="DA48" i="2"/>
  <c r="DA43" i="2"/>
  <c r="EF66" i="2"/>
  <c r="EA65" i="2"/>
  <c r="EF70" i="2"/>
  <c r="EA69" i="2"/>
  <c r="DF38" i="2"/>
  <c r="DA10" i="2"/>
  <c r="CW96" i="2"/>
  <c r="BZ117" i="2"/>
  <c r="CA98" i="2"/>
  <c r="CA117" i="2" s="1"/>
  <c r="CD107" i="3"/>
  <c r="EA18" i="2"/>
  <c r="DR18" i="2"/>
  <c r="EA14" i="2"/>
  <c r="DR14" i="2"/>
  <c r="DV26" i="2"/>
  <c r="DM26" i="2"/>
  <c r="DE48" i="2"/>
  <c r="CW23" i="2"/>
  <c r="CV23" i="2"/>
  <c r="CF123" i="2"/>
  <c r="CG123" i="2" s="1"/>
  <c r="CG104" i="2"/>
  <c r="CR130" i="2"/>
  <c r="CW111" i="2"/>
  <c r="DL103" i="2"/>
  <c r="DP65" i="2"/>
  <c r="DP64" i="2" s="1"/>
  <c r="DO64" i="2"/>
  <c r="CW127" i="2"/>
  <c r="DB108" i="2"/>
  <c r="BU117" i="2"/>
  <c r="BV98" i="2"/>
  <c r="BN120" i="2"/>
  <c r="BN116" i="2" s="1"/>
  <c r="BN97" i="2" s="1"/>
  <c r="BS101" i="2"/>
  <c r="CL105" i="2"/>
  <c r="CW106" i="2"/>
  <c r="EA80" i="2"/>
  <c r="DE26" i="2"/>
  <c r="DD25" i="2"/>
  <c r="DD23" i="2" s="1"/>
  <c r="DV48" i="2"/>
  <c r="DM48" i="2"/>
  <c r="DV43" i="2"/>
  <c r="DM43" i="2"/>
  <c r="DG58" i="2"/>
  <c r="DG128" i="2" s="1"/>
  <c r="CG127" i="2"/>
  <c r="DR38" i="2"/>
  <c r="EA38" i="2"/>
  <c r="DM10" i="2"/>
  <c r="DV10" i="2"/>
  <c r="DT65" i="2"/>
  <c r="DR65" i="2"/>
  <c r="DV64" i="2"/>
  <c r="DS65" i="2"/>
  <c r="DU69" i="2"/>
  <c r="DS69" i="2"/>
  <c r="DT69" i="2"/>
  <c r="DR69" i="2"/>
  <c r="CJ127" i="2"/>
  <c r="CK108" i="2"/>
  <c r="DG107" i="2"/>
  <c r="EP109" i="2"/>
  <c r="DV99" i="2"/>
  <c r="CJ123" i="2"/>
  <c r="CK104" i="2"/>
  <c r="DV59" i="3"/>
  <c r="DQ58" i="3"/>
  <c r="DL63" i="3"/>
  <c r="DQ64" i="3"/>
  <c r="BS37" i="3"/>
  <c r="W46" i="18" s="1"/>
  <c r="BS35" i="3"/>
  <c r="BW37" i="3"/>
  <c r="BW35" i="3"/>
  <c r="CI37" i="3"/>
  <c r="CI35" i="3"/>
  <c r="DV24" i="3"/>
  <c r="BT37" i="3"/>
  <c r="BT35" i="3"/>
  <c r="CB108" i="3"/>
  <c r="CB107" i="3"/>
  <c r="CF108" i="3"/>
  <c r="BR37" i="3"/>
  <c r="BR35" i="3"/>
  <c r="BV37" i="3"/>
  <c r="BV35" i="3"/>
  <c r="BZ37" i="3"/>
  <c r="BZ35" i="3"/>
  <c r="CD37" i="3"/>
  <c r="CD35" i="3"/>
  <c r="BU37" i="3"/>
  <c r="BU35" i="3"/>
  <c r="BY108" i="3"/>
  <c r="CC107" i="3"/>
  <c r="CG37" i="3"/>
  <c r="CG35" i="3"/>
  <c r="CA37" i="3"/>
  <c r="CA35" i="3"/>
  <c r="CE37" i="3"/>
  <c r="CE35" i="3"/>
  <c r="BX37" i="3"/>
  <c r="X46" i="18" s="1"/>
  <c r="BX35" i="3"/>
  <c r="BX107" i="3"/>
  <c r="CB37" i="3"/>
  <c r="CB35" i="3"/>
  <c r="CF37" i="3"/>
  <c r="CF35" i="3"/>
  <c r="CF107" i="3"/>
  <c r="CH37" i="3"/>
  <c r="Z46" i="18" s="1"/>
  <c r="CH35" i="3"/>
  <c r="BY37" i="3"/>
  <c r="BY35" i="3"/>
  <c r="BY107" i="3"/>
  <c r="CC37" i="3"/>
  <c r="Y46" i="18" s="1"/>
  <c r="CC35" i="3"/>
  <c r="CG108" i="3"/>
  <c r="CG107" i="3"/>
  <c r="AD41" i="16" l="1"/>
  <c r="AD138" i="19"/>
  <c r="AF64" i="16"/>
  <c r="CC117" i="2"/>
  <c r="CP111" i="2"/>
  <c r="CO130" i="2"/>
  <c r="I88" i="15"/>
  <c r="CP127" i="2"/>
  <c r="CQ127" i="2"/>
  <c r="CH108" i="3"/>
  <c r="CC98" i="2"/>
  <c r="AD43" i="16"/>
  <c r="AB275" i="19"/>
  <c r="AB276" i="19" s="1"/>
  <c r="AH153" i="18"/>
  <c r="AG13" i="18"/>
  <c r="AC232" i="19"/>
  <c r="AD173" i="19"/>
  <c r="AI26" i="18"/>
  <c r="AH11" i="16"/>
  <c r="AF27" i="18"/>
  <c r="AE12" i="16"/>
  <c r="EA22" i="2"/>
  <c r="DR22" i="2"/>
  <c r="DS22" i="2" s="1"/>
  <c r="AE65" i="19"/>
  <c r="AF176" i="19"/>
  <c r="AE235" i="19"/>
  <c r="DT64" i="2"/>
  <c r="F6" i="67"/>
  <c r="E26" i="67"/>
  <c r="CJ19" i="2" s="1"/>
  <c r="Z76" i="18"/>
  <c r="Z79" i="18"/>
  <c r="Z77" i="18"/>
  <c r="W161" i="18"/>
  <c r="W162" i="18" s="1"/>
  <c r="W163" i="18" s="1"/>
  <c r="W164" i="18" s="1"/>
  <c r="W158" i="18" s="1"/>
  <c r="W73" i="16"/>
  <c r="W77" i="18"/>
  <c r="W76" i="18"/>
  <c r="W79" i="18"/>
  <c r="U53" i="16"/>
  <c r="U56" i="16" s="1"/>
  <c r="U47" i="18"/>
  <c r="U47" i="16"/>
  <c r="N90" i="18"/>
  <c r="N88" i="18"/>
  <c r="N89" i="18"/>
  <c r="J88" i="18"/>
  <c r="J89" i="18"/>
  <c r="J90" i="18"/>
  <c r="Z73" i="16"/>
  <c r="Z161" i="18"/>
  <c r="Z162" i="18" s="1"/>
  <c r="Z163" i="18" s="1"/>
  <c r="Z164" i="18" s="1"/>
  <c r="Z158" i="18" s="1"/>
  <c r="X161" i="18"/>
  <c r="X162" i="18" s="1"/>
  <c r="X163" i="18" s="1"/>
  <c r="X164" i="18" s="1"/>
  <c r="X158" i="18" s="1"/>
  <c r="X73" i="16"/>
  <c r="O90" i="18"/>
  <c r="O89" i="18"/>
  <c r="O88" i="18"/>
  <c r="X79" i="18"/>
  <c r="X76" i="18"/>
  <c r="X77" i="18"/>
  <c r="P88" i="18"/>
  <c r="P90" i="18"/>
  <c r="P89" i="18"/>
  <c r="T53" i="16"/>
  <c r="T56" i="16" s="1"/>
  <c r="T47" i="16"/>
  <c r="T47" i="18"/>
  <c r="S53" i="16"/>
  <c r="S56" i="16" s="1"/>
  <c r="S47" i="16"/>
  <c r="S47" i="18"/>
  <c r="Q89" i="18"/>
  <c r="Q88" i="18"/>
  <c r="Q90" i="18"/>
  <c r="E49" i="16"/>
  <c r="F48" i="16" s="1"/>
  <c r="F49" i="16" s="1"/>
  <c r="G48" i="16" s="1"/>
  <c r="G49" i="16" s="1"/>
  <c r="H48" i="16" s="1"/>
  <c r="H49" i="16" s="1"/>
  <c r="I48" i="16" s="1"/>
  <c r="I49" i="16" s="1"/>
  <c r="J48" i="16" s="1"/>
  <c r="J49" i="16" s="1"/>
  <c r="K48" i="16" s="1"/>
  <c r="K49" i="16" s="1"/>
  <c r="L48" i="16" s="1"/>
  <c r="L49" i="16" s="1"/>
  <c r="M48" i="16" s="1"/>
  <c r="M49" i="16" s="1"/>
  <c r="N48" i="16" s="1"/>
  <c r="N49" i="16" s="1"/>
  <c r="O48" i="16" s="1"/>
  <c r="O49" i="16" s="1"/>
  <c r="P48" i="16" s="1"/>
  <c r="P49" i="16" s="1"/>
  <c r="Q48" i="16" s="1"/>
  <c r="Q49" i="16" s="1"/>
  <c r="R48" i="16" s="1"/>
  <c r="R49" i="16" s="1"/>
  <c r="S48" i="16" s="1"/>
  <c r="R90" i="18"/>
  <c r="R88" i="18"/>
  <c r="R89" i="18"/>
  <c r="CC108" i="3"/>
  <c r="N146" i="22"/>
  <c r="N148" i="22" s="1"/>
  <c r="N151" i="22" s="1"/>
  <c r="N153" i="22" s="1"/>
  <c r="CM79" i="2" s="1"/>
  <c r="CD79" i="2"/>
  <c r="CE79" i="2" s="1"/>
  <c r="CF79" i="2" s="1"/>
  <c r="P79" i="22"/>
  <c r="Q80" i="22"/>
  <c r="Q79" i="22" s="1"/>
  <c r="P75" i="22"/>
  <c r="Q76" i="22"/>
  <c r="Q75" i="22" s="1"/>
  <c r="P61" i="22"/>
  <c r="O63" i="22"/>
  <c r="O68" i="22" s="1"/>
  <c r="M46" i="22"/>
  <c r="M47" i="22" s="1"/>
  <c r="M49" i="22" s="1"/>
  <c r="M37" i="22"/>
  <c r="P105" i="22"/>
  <c r="P108" i="22" s="1"/>
  <c r="P110" i="22" s="1"/>
  <c r="P104" i="22"/>
  <c r="P32" i="22"/>
  <c r="CB79" i="2"/>
  <c r="J139" i="22"/>
  <c r="J145" i="22"/>
  <c r="O8" i="22"/>
  <c r="N14" i="22"/>
  <c r="P41" i="22"/>
  <c r="O42" i="22"/>
  <c r="O44" i="22" s="1"/>
  <c r="P136" i="22"/>
  <c r="Q135" i="22"/>
  <c r="Q136" i="22" s="1"/>
  <c r="Q18" i="22"/>
  <c r="Q19" i="22" s="1"/>
  <c r="Q21" i="22" s="1"/>
  <c r="P19" i="22"/>
  <c r="P21" i="22" s="1"/>
  <c r="Q11" i="22"/>
  <c r="P23" i="22"/>
  <c r="P13" i="22"/>
  <c r="O115" i="22"/>
  <c r="N116" i="22"/>
  <c r="J119" i="22"/>
  <c r="K53" i="22"/>
  <c r="I53" i="22"/>
  <c r="I119" i="22" s="1"/>
  <c r="G53" i="22"/>
  <c r="F53" i="22"/>
  <c r="H53" i="22"/>
  <c r="H119" i="22" s="1"/>
  <c r="N26" i="22"/>
  <c r="Q64" i="22"/>
  <c r="Q66" i="22" s="1"/>
  <c r="P66" i="22"/>
  <c r="O35" i="22"/>
  <c r="N36" i="22"/>
  <c r="M96" i="22"/>
  <c r="M93" i="22"/>
  <c r="Q105" i="22"/>
  <c r="Q108" i="22" s="1"/>
  <c r="Q110" i="22" s="1"/>
  <c r="Q104" i="22"/>
  <c r="O137" i="22"/>
  <c r="O138" i="22" s="1"/>
  <c r="O140" i="22" s="1"/>
  <c r="O145" i="22" s="1"/>
  <c r="O24" i="22"/>
  <c r="O112" i="22"/>
  <c r="O113" i="22" s="1"/>
  <c r="O114" i="22" s="1"/>
  <c r="O89" i="22"/>
  <c r="O90" i="22" s="1"/>
  <c r="O91" i="22" s="1"/>
  <c r="O92" i="22"/>
  <c r="N95" i="22"/>
  <c r="L9" i="32"/>
  <c r="L21" i="32"/>
  <c r="CF129" i="2"/>
  <c r="CG110" i="2"/>
  <c r="CG129" i="2" s="1"/>
  <c r="K8" i="32"/>
  <c r="K11" i="32" s="1"/>
  <c r="K19" i="32" s="1"/>
  <c r="I38" i="61"/>
  <c r="I42" i="61" s="1"/>
  <c r="DB81" i="2" s="1"/>
  <c r="M7" i="32"/>
  <c r="I36" i="61"/>
  <c r="Q41" i="61"/>
  <c r="Q35" i="61"/>
  <c r="L19" i="61"/>
  <c r="L21" i="61" s="1"/>
  <c r="L23" i="61" s="1"/>
  <c r="L28" i="61" s="1"/>
  <c r="M3" i="61"/>
  <c r="J8" i="61"/>
  <c r="J10" i="61" s="1"/>
  <c r="J12" i="61" s="1"/>
  <c r="J17" i="61" s="1"/>
  <c r="J30" i="61" s="1"/>
  <c r="J33" i="61" s="1"/>
  <c r="K5" i="61"/>
  <c r="Q39" i="15"/>
  <c r="K10" i="15"/>
  <c r="K16" i="15" s="1"/>
  <c r="N64" i="15"/>
  <c r="K23" i="15"/>
  <c r="K28" i="15" s="1"/>
  <c r="L22" i="15"/>
  <c r="L51" i="15"/>
  <c r="M49" i="15"/>
  <c r="O34" i="15"/>
  <c r="M6" i="15"/>
  <c r="L8" i="15"/>
  <c r="K74" i="15"/>
  <c r="K75" i="15" s="1"/>
  <c r="K77" i="15" s="1"/>
  <c r="L73" i="15"/>
  <c r="L62" i="15"/>
  <c r="L63" i="15" s="1"/>
  <c r="L65" i="15" s="1"/>
  <c r="L70" i="15" s="1"/>
  <c r="M61" i="15"/>
  <c r="K79" i="15"/>
  <c r="J82" i="15"/>
  <c r="J84" i="15" s="1"/>
  <c r="N81" i="15"/>
  <c r="P57" i="15"/>
  <c r="R27" i="15"/>
  <c r="S14" i="15"/>
  <c r="S87" i="15"/>
  <c r="M76" i="15"/>
  <c r="K53" i="15"/>
  <c r="K58" i="15" s="1"/>
  <c r="L52" i="15"/>
  <c r="L10" i="15"/>
  <c r="L16" i="15" s="1"/>
  <c r="M9" i="15"/>
  <c r="L31" i="15"/>
  <c r="K32" i="15"/>
  <c r="K33" i="15" s="1"/>
  <c r="K35" i="15" s="1"/>
  <c r="K45" i="15"/>
  <c r="L2" i="15"/>
  <c r="L20" i="15"/>
  <c r="L21" i="15" s="1"/>
  <c r="M19" i="15"/>
  <c r="O69" i="15"/>
  <c r="K37" i="15"/>
  <c r="J40" i="15"/>
  <c r="J42" i="15" s="1"/>
  <c r="G46" i="67"/>
  <c r="H44" i="67"/>
  <c r="H46" i="67" s="1"/>
  <c r="AJ130" i="19"/>
  <c r="AK58" i="19"/>
  <c r="AJ256" i="19"/>
  <c r="AJ122" i="19"/>
  <c r="AK47" i="19"/>
  <c r="AE245" i="19"/>
  <c r="AF182" i="19"/>
  <c r="AG237" i="19"/>
  <c r="AH178" i="19"/>
  <c r="AE236" i="19"/>
  <c r="AF177" i="19"/>
  <c r="AH220" i="19"/>
  <c r="AI161" i="19"/>
  <c r="AJ263" i="19"/>
  <c r="AK204" i="19"/>
  <c r="AJ261" i="19"/>
  <c r="AK202" i="19"/>
  <c r="AJ259" i="19"/>
  <c r="AK200" i="19"/>
  <c r="AK188" i="19"/>
  <c r="AF238" i="19"/>
  <c r="AG179" i="19"/>
  <c r="AG218" i="19"/>
  <c r="AH159" i="19"/>
  <c r="AE227" i="19"/>
  <c r="AF168" i="19"/>
  <c r="AG243" i="19"/>
  <c r="AH180" i="19"/>
  <c r="AK108" i="19"/>
  <c r="AJ108" i="19"/>
  <c r="AE66" i="19"/>
  <c r="AJ94" i="19"/>
  <c r="AK50" i="19"/>
  <c r="AF272" i="19"/>
  <c r="AG213" i="19"/>
  <c r="AJ265" i="19"/>
  <c r="AK206" i="19"/>
  <c r="AF250" i="19"/>
  <c r="AG191" i="19"/>
  <c r="AH241" i="19"/>
  <c r="AI187" i="19"/>
  <c r="AE219" i="19"/>
  <c r="AF160" i="19"/>
  <c r="AJ264" i="19"/>
  <c r="AK205" i="19"/>
  <c r="AJ262" i="19"/>
  <c r="AK203" i="19"/>
  <c r="AJ260" i="19"/>
  <c r="AK201" i="19"/>
  <c r="AJ258" i="19"/>
  <c r="AK199" i="19"/>
  <c r="AJ240" i="19"/>
  <c r="AK186" i="19"/>
  <c r="AG175" i="19"/>
  <c r="AF234" i="19"/>
  <c r="AG167" i="19"/>
  <c r="AF226" i="19"/>
  <c r="AG163" i="19"/>
  <c r="AF222" i="19"/>
  <c r="AG181" i="19"/>
  <c r="AF244" i="19"/>
  <c r="AG169" i="19"/>
  <c r="AF228" i="19"/>
  <c r="AK100" i="19"/>
  <c r="AL55" i="19"/>
  <c r="AF190" i="19"/>
  <c r="AE249" i="19"/>
  <c r="AE229" i="19"/>
  <c r="AF170" i="19"/>
  <c r="AE172" i="19"/>
  <c r="AD231" i="19"/>
  <c r="AF164" i="19"/>
  <c r="AE223" i="19"/>
  <c r="AF183" i="19"/>
  <c r="AE246" i="19"/>
  <c r="AG230" i="19"/>
  <c r="AG96" i="19"/>
  <c r="AH48" i="19"/>
  <c r="AG72" i="19"/>
  <c r="AG71" i="19"/>
  <c r="AH1" i="19"/>
  <c r="AK85" i="19"/>
  <c r="AL49" i="19"/>
  <c r="AD166" i="19"/>
  <c r="AC225" i="19"/>
  <c r="AO125" i="19"/>
  <c r="AF97" i="19"/>
  <c r="AE43" i="16" s="1"/>
  <c r="AG60" i="19"/>
  <c r="AG189" i="19"/>
  <c r="AF248" i="19"/>
  <c r="AD221" i="19"/>
  <c r="AE162" i="19"/>
  <c r="AJ87" i="19"/>
  <c r="AK52" i="19"/>
  <c r="AJ115" i="19"/>
  <c r="AK56" i="19"/>
  <c r="AJ106" i="19"/>
  <c r="AK54" i="19"/>
  <c r="AH113" i="19"/>
  <c r="AI57" i="19"/>
  <c r="AH242" i="19"/>
  <c r="AI271" i="19"/>
  <c r="AI132" i="19"/>
  <c r="AJ61" i="19"/>
  <c r="AF224" i="19"/>
  <c r="AG165" i="19"/>
  <c r="AF64" i="19"/>
  <c r="AF74" i="19"/>
  <c r="AE29" i="18" s="1"/>
  <c r="AE23" i="18"/>
  <c r="AF73" i="19"/>
  <c r="AE28" i="18" s="1"/>
  <c r="AE22" i="18"/>
  <c r="AG252" i="19"/>
  <c r="AH193" i="19"/>
  <c r="AC233" i="19"/>
  <c r="AD174" i="19"/>
  <c r="AE247" i="19"/>
  <c r="AF184" i="19"/>
  <c r="AE217" i="19"/>
  <c r="AF158" i="19"/>
  <c r="AJ135" i="19"/>
  <c r="AK62" i="19"/>
  <c r="AK131" i="19"/>
  <c r="AL59" i="19"/>
  <c r="AK129" i="19"/>
  <c r="AJ129" i="19"/>
  <c r="AK128" i="19"/>
  <c r="AJ128" i="19"/>
  <c r="AK92" i="19"/>
  <c r="AL53" i="19"/>
  <c r="AK84" i="19"/>
  <c r="AL51" i="19"/>
  <c r="Y79" i="18"/>
  <c r="Y76" i="18"/>
  <c r="Y77" i="18"/>
  <c r="Q14" i="32"/>
  <c r="Y73" i="16"/>
  <c r="Y161" i="18"/>
  <c r="Y162" i="18" s="1"/>
  <c r="Y163" i="18" s="1"/>
  <c r="Y164" i="18" s="1"/>
  <c r="Y158" i="18" s="1"/>
  <c r="S3" i="32"/>
  <c r="AE65" i="16"/>
  <c r="AF68" i="16"/>
  <c r="AF76" i="16"/>
  <c r="AF70" i="16"/>
  <c r="AG7" i="16"/>
  <c r="AD109" i="16"/>
  <c r="AI82" i="16"/>
  <c r="AI79" i="16"/>
  <c r="AJ63" i="16"/>
  <c r="AI58" i="16"/>
  <c r="AE74" i="16"/>
  <c r="AE87" i="16"/>
  <c r="AF86" i="16" s="1"/>
  <c r="AF87" i="16" s="1"/>
  <c r="AG86" i="16" s="1"/>
  <c r="AH96" i="16"/>
  <c r="AH37" i="16"/>
  <c r="AI71" i="16"/>
  <c r="AL77" i="16"/>
  <c r="AL69" i="16"/>
  <c r="AH174" i="18"/>
  <c r="AI30" i="18"/>
  <c r="AI10" i="16" s="1"/>
  <c r="AH169" i="18"/>
  <c r="AI15" i="18"/>
  <c r="AG154" i="18"/>
  <c r="Q112" i="18"/>
  <c r="R112" i="18" s="1"/>
  <c r="S112" i="18" s="1"/>
  <c r="T112" i="18" s="1"/>
  <c r="U112" i="18" s="1"/>
  <c r="V112" i="18" s="1"/>
  <c r="W112" i="18" s="1"/>
  <c r="X112" i="18" s="1"/>
  <c r="Y112" i="18" s="1"/>
  <c r="Z112" i="18" s="1"/>
  <c r="AA112" i="18" s="1"/>
  <c r="AB112" i="18" s="1"/>
  <c r="R104" i="18"/>
  <c r="CD98" i="2"/>
  <c r="CH98" i="2"/>
  <c r="EA99" i="2"/>
  <c r="EU109" i="2"/>
  <c r="DL107" i="2"/>
  <c r="CK127" i="2"/>
  <c r="CL108" i="2"/>
  <c r="CL127" i="2" s="1"/>
  <c r="DS64" i="2"/>
  <c r="EA10" i="2"/>
  <c r="DR10" i="2"/>
  <c r="EF38" i="2"/>
  <c r="DW38" i="2"/>
  <c r="DN43" i="2"/>
  <c r="DN48" i="2"/>
  <c r="DT22" i="2"/>
  <c r="DF48" i="2"/>
  <c r="DR26" i="2"/>
  <c r="EA26" i="2"/>
  <c r="DW14" i="2"/>
  <c r="EF14" i="2"/>
  <c r="DW18" i="2"/>
  <c r="EF18" i="2"/>
  <c r="DB96" i="2"/>
  <c r="DZ69" i="2"/>
  <c r="DX69" i="2"/>
  <c r="DY69" i="2"/>
  <c r="DW69" i="2"/>
  <c r="EA64" i="2"/>
  <c r="DY65" i="2"/>
  <c r="DW65" i="2"/>
  <c r="DX65" i="2"/>
  <c r="DJ10" i="2"/>
  <c r="DO38" i="2"/>
  <c r="DV59" i="2"/>
  <c r="DQ58" i="2"/>
  <c r="DQ128" i="2" s="1"/>
  <c r="DJ48" i="2"/>
  <c r="DG104" i="2"/>
  <c r="CJ125" i="2"/>
  <c r="CK106" i="2"/>
  <c r="CJ130" i="2"/>
  <c r="CK111" i="2"/>
  <c r="DB23" i="2"/>
  <c r="DA23" i="2"/>
  <c r="DL105" i="2"/>
  <c r="DQ100" i="2"/>
  <c r="DO14" i="2"/>
  <c r="DO18" i="2"/>
  <c r="CK123" i="2"/>
  <c r="CL104" i="2"/>
  <c r="DU65" i="2"/>
  <c r="DU64" i="2" s="1"/>
  <c r="DR64" i="2"/>
  <c r="DN10" i="2"/>
  <c r="DS38" i="2"/>
  <c r="DR43" i="2"/>
  <c r="EA43" i="2"/>
  <c r="DR48" i="2"/>
  <c r="EA48" i="2"/>
  <c r="DF26" i="2"/>
  <c r="DF25" i="2" s="1"/>
  <c r="DE25" i="2"/>
  <c r="DE23" i="2" s="1"/>
  <c r="EF80" i="2"/>
  <c r="DB106" i="2"/>
  <c r="BS120" i="2"/>
  <c r="BS116" i="2" s="1"/>
  <c r="BS97" i="2" s="1"/>
  <c r="BX101" i="2"/>
  <c r="BY101" i="2" s="1"/>
  <c r="BT101" i="2"/>
  <c r="BV117" i="2"/>
  <c r="BW98" i="2"/>
  <c r="BW117" i="2" s="1"/>
  <c r="DB127" i="2"/>
  <c r="DG108" i="2"/>
  <c r="DQ103" i="2"/>
  <c r="CW130" i="2"/>
  <c r="DB111" i="2"/>
  <c r="DN26" i="2"/>
  <c r="DM25" i="2"/>
  <c r="DM23" i="2" s="1"/>
  <c r="DS14" i="2"/>
  <c r="DS18" i="2"/>
  <c r="EK70" i="2"/>
  <c r="EF69" i="2"/>
  <c r="EK66" i="2"/>
  <c r="EF65" i="2"/>
  <c r="DP22" i="2"/>
  <c r="DJ43" i="2"/>
  <c r="DK14" i="2"/>
  <c r="DK18" i="2"/>
  <c r="DF10" i="2"/>
  <c r="DK38" i="2"/>
  <c r="DF43" i="2"/>
  <c r="DJ26" i="2"/>
  <c r="DI25" i="2"/>
  <c r="DI23" i="2" s="1"/>
  <c r="BY98" i="3"/>
  <c r="BY52" i="3"/>
  <c r="BY82" i="3" s="1"/>
  <c r="BY84" i="3" s="1"/>
  <c r="BY47" i="3"/>
  <c r="BY48" i="3" s="1"/>
  <c r="BY135" i="3"/>
  <c r="BY39" i="3"/>
  <c r="CH98" i="3"/>
  <c r="CH52" i="3"/>
  <c r="CH82" i="3" s="1"/>
  <c r="CH47" i="3"/>
  <c r="CH48" i="3" s="1"/>
  <c r="CH39" i="3"/>
  <c r="Z90" i="16" s="1"/>
  <c r="Z92" i="16" s="1"/>
  <c r="Z93" i="16" s="1"/>
  <c r="BX98" i="3"/>
  <c r="BX52" i="3"/>
  <c r="BX82" i="3" s="1"/>
  <c r="BX47" i="3"/>
  <c r="BX48" i="3" s="1"/>
  <c r="BX135" i="3"/>
  <c r="BX39" i="3"/>
  <c r="X90" i="16" s="1"/>
  <c r="X92" i="16" s="1"/>
  <c r="X93" i="16" s="1"/>
  <c r="BU98" i="3"/>
  <c r="BU52" i="3"/>
  <c r="BU82" i="3" s="1"/>
  <c r="BU84" i="3" s="1"/>
  <c r="BU47" i="3"/>
  <c r="BU48" i="3" s="1"/>
  <c r="BU39" i="3"/>
  <c r="BU106" i="3" s="1"/>
  <c r="BU135" i="3"/>
  <c r="CD98" i="3"/>
  <c r="CD52" i="3"/>
  <c r="CD82" i="3" s="1"/>
  <c r="CD84" i="3" s="1"/>
  <c r="CD47" i="3"/>
  <c r="CD48" i="3" s="1"/>
  <c r="CD39" i="3"/>
  <c r="BZ98" i="3"/>
  <c r="BZ47" i="3"/>
  <c r="BZ48" i="3" s="1"/>
  <c r="BZ52" i="3"/>
  <c r="BZ82" i="3" s="1"/>
  <c r="BZ84" i="3" s="1"/>
  <c r="BZ135" i="3"/>
  <c r="BZ39" i="3"/>
  <c r="BV135" i="3"/>
  <c r="BV98" i="3"/>
  <c r="BV52" i="3"/>
  <c r="BV82" i="3" s="1"/>
  <c r="BV84" i="3" s="1"/>
  <c r="BV47" i="3"/>
  <c r="BV48" i="3" s="1"/>
  <c r="BV39" i="3"/>
  <c r="BV106" i="3" s="1"/>
  <c r="BR98" i="3"/>
  <c r="BR47" i="3"/>
  <c r="BR48" i="3" s="1"/>
  <c r="BR52" i="3"/>
  <c r="BR82" i="3" s="1"/>
  <c r="BR84" i="3" s="1"/>
  <c r="BR39" i="3"/>
  <c r="BR106" i="3" s="1"/>
  <c r="BR135" i="3"/>
  <c r="BT98" i="3"/>
  <c r="BT52" i="3"/>
  <c r="BT82" i="3" s="1"/>
  <c r="BT84" i="3" s="1"/>
  <c r="BT47" i="3"/>
  <c r="BT48" i="3" s="1"/>
  <c r="BT135" i="3"/>
  <c r="BT39" i="3"/>
  <c r="BT106" i="3" s="1"/>
  <c r="EA24" i="3"/>
  <c r="EF24" i="3" s="1"/>
  <c r="EK24" i="3" s="1"/>
  <c r="EP24" i="3" s="1"/>
  <c r="EU24" i="3" s="1"/>
  <c r="EZ24" i="3" s="1"/>
  <c r="CI98" i="3"/>
  <c r="CI52" i="3"/>
  <c r="CI39" i="3"/>
  <c r="BW98" i="3"/>
  <c r="BW52" i="3"/>
  <c r="BW82" i="3" s="1"/>
  <c r="BW84" i="3" s="1"/>
  <c r="BW47" i="3"/>
  <c r="BW48" i="3" s="1"/>
  <c r="BW39" i="3"/>
  <c r="BW135" i="3"/>
  <c r="BS98" i="3"/>
  <c r="BS52" i="3"/>
  <c r="BS82" i="3" s="1"/>
  <c r="BS47" i="3"/>
  <c r="BS48" i="3" s="1"/>
  <c r="BS39" i="3"/>
  <c r="BS135" i="3"/>
  <c r="W98" i="16" s="1"/>
  <c r="CC98" i="3"/>
  <c r="CC52" i="3"/>
  <c r="CC82" i="3" s="1"/>
  <c r="CC47" i="3"/>
  <c r="CC48" i="3" s="1"/>
  <c r="CC39" i="3"/>
  <c r="CF98" i="3"/>
  <c r="CF52" i="3"/>
  <c r="CF82" i="3" s="1"/>
  <c r="CF84" i="3" s="1"/>
  <c r="CF47" i="3"/>
  <c r="CF48" i="3" s="1"/>
  <c r="CF39" i="3"/>
  <c r="CB98" i="3"/>
  <c r="CB47" i="3"/>
  <c r="CB48" i="3" s="1"/>
  <c r="CB52" i="3"/>
  <c r="CB82" i="3" s="1"/>
  <c r="CB84" i="3" s="1"/>
  <c r="CB39" i="3"/>
  <c r="CB135" i="3"/>
  <c r="CE98" i="3"/>
  <c r="CE52" i="3"/>
  <c r="CE82" i="3" s="1"/>
  <c r="CE84" i="3" s="1"/>
  <c r="CE47" i="3"/>
  <c r="CE48" i="3" s="1"/>
  <c r="CE39" i="3"/>
  <c r="CA98" i="3"/>
  <c r="CA52" i="3"/>
  <c r="CA82" i="3" s="1"/>
  <c r="CA84" i="3" s="1"/>
  <c r="CA47" i="3"/>
  <c r="CA48" i="3" s="1"/>
  <c r="CA135" i="3"/>
  <c r="CA39" i="3"/>
  <c r="CG98" i="3"/>
  <c r="CG52" i="3"/>
  <c r="CG82" i="3" s="1"/>
  <c r="CG84" i="3" s="1"/>
  <c r="CG47" i="3"/>
  <c r="CG48" i="3" s="1"/>
  <c r="CG39" i="3"/>
  <c r="DQ63" i="3"/>
  <c r="DV64" i="3"/>
  <c r="EA59" i="3"/>
  <c r="DV58" i="3"/>
  <c r="CA106" i="3" l="1"/>
  <c r="AC275" i="19"/>
  <c r="AE137" i="19"/>
  <c r="AE138" i="19" s="1"/>
  <c r="AC112" i="18"/>
  <c r="AD112" i="18" s="1"/>
  <c r="AE112" i="18" s="1"/>
  <c r="AF112" i="18" s="1"/>
  <c r="AG112" i="18" s="1"/>
  <c r="AH112" i="18" s="1"/>
  <c r="AI112" i="18" s="1"/>
  <c r="AJ112" i="18" s="1"/>
  <c r="AK112" i="18" s="1"/>
  <c r="AL112" i="18" s="1"/>
  <c r="AM112" i="18" s="1"/>
  <c r="AN112" i="18" s="1"/>
  <c r="BX117" i="2"/>
  <c r="CQ111" i="2"/>
  <c r="CQ130" i="2" s="1"/>
  <c r="CP130" i="2"/>
  <c r="AF65" i="19"/>
  <c r="AF66" i="19" s="1"/>
  <c r="AG64" i="16"/>
  <c r="AG70" i="16" s="1"/>
  <c r="AG87" i="16" s="1"/>
  <c r="AH86" i="16" s="1"/>
  <c r="AE41" i="16"/>
  <c r="AF137" i="19" s="1"/>
  <c r="EF22" i="2"/>
  <c r="DW22" i="2"/>
  <c r="DX22" i="2" s="1"/>
  <c r="AJ26" i="18"/>
  <c r="AI11" i="16"/>
  <c r="AD232" i="19"/>
  <c r="AE173" i="19"/>
  <c r="AG176" i="19"/>
  <c r="AF235" i="19"/>
  <c r="AF136" i="19"/>
  <c r="AF12" i="16"/>
  <c r="AG27" i="18"/>
  <c r="AI153" i="18"/>
  <c r="AH13" i="18"/>
  <c r="DX64" i="2"/>
  <c r="DW64" i="2"/>
  <c r="CG79" i="2"/>
  <c r="BW106" i="3"/>
  <c r="CG106" i="3"/>
  <c r="BZ106" i="3"/>
  <c r="CB106" i="3"/>
  <c r="BX84" i="3"/>
  <c r="X111" i="16"/>
  <c r="CH84" i="3"/>
  <c r="Z111" i="16"/>
  <c r="S49" i="16"/>
  <c r="T48" i="16" s="1"/>
  <c r="T49" i="16" s="1"/>
  <c r="U48" i="16" s="1"/>
  <c r="U49" i="16" s="1"/>
  <c r="V48" i="16" s="1"/>
  <c r="V49" i="16" s="1"/>
  <c r="W48" i="16" s="1"/>
  <c r="W49" i="16" s="1"/>
  <c r="X48" i="16" s="1"/>
  <c r="X49" i="16" s="1"/>
  <c r="Y48" i="16" s="1"/>
  <c r="Y49" i="16" s="1"/>
  <c r="Z48" i="16" s="1"/>
  <c r="Z49" i="16" s="1"/>
  <c r="AA48" i="16" s="1"/>
  <c r="S90" i="18"/>
  <c r="S88" i="18"/>
  <c r="S89" i="18"/>
  <c r="CE106" i="3"/>
  <c r="BS84" i="3"/>
  <c r="W111" i="16"/>
  <c r="T102" i="16"/>
  <c r="T104" i="16" s="1"/>
  <c r="T105" i="16" s="1"/>
  <c r="T60" i="16"/>
  <c r="CC135" i="3"/>
  <c r="Y98" i="16" s="1"/>
  <c r="X98" i="16"/>
  <c r="S102" i="16"/>
  <c r="S104" i="16" s="1"/>
  <c r="S105" i="16" s="1"/>
  <c r="S60" i="16"/>
  <c r="U88" i="18"/>
  <c r="U90" i="18"/>
  <c r="U89" i="18"/>
  <c r="BS106" i="3"/>
  <c r="W90" i="16"/>
  <c r="W92" i="16" s="1"/>
  <c r="W93" i="16" s="1"/>
  <c r="T90" i="18"/>
  <c r="T88" i="18"/>
  <c r="T89" i="18"/>
  <c r="U102" i="16"/>
  <c r="U104" i="16" s="1"/>
  <c r="U105" i="16" s="1"/>
  <c r="U60" i="16"/>
  <c r="G51" i="67"/>
  <c r="O146" i="22"/>
  <c r="O148" i="22" s="1"/>
  <c r="O151" i="22" s="1"/>
  <c r="O153" i="22" s="1"/>
  <c r="CR79" i="2" s="1"/>
  <c r="CI79" i="2"/>
  <c r="CJ79" i="2" s="1"/>
  <c r="N96" i="22"/>
  <c r="N93" i="22"/>
  <c r="O95" i="22"/>
  <c r="P92" i="22"/>
  <c r="O36" i="22"/>
  <c r="P35" i="22"/>
  <c r="H121" i="22"/>
  <c r="H123" i="22" s="1"/>
  <c r="G119" i="22"/>
  <c r="G56" i="22"/>
  <c r="K119" i="22"/>
  <c r="L53" i="22"/>
  <c r="P24" i="22"/>
  <c r="Q137" i="22"/>
  <c r="Q138" i="22" s="1"/>
  <c r="Q140" i="22" s="1"/>
  <c r="Q145" i="22" s="1"/>
  <c r="J148" i="22"/>
  <c r="J151" i="22" s="1"/>
  <c r="J146" i="22"/>
  <c r="O116" i="22"/>
  <c r="P115" i="22"/>
  <c r="N46" i="22"/>
  <c r="N47" i="22" s="1"/>
  <c r="N49" i="22" s="1"/>
  <c r="N37" i="22"/>
  <c r="F119" i="22"/>
  <c r="F56" i="22"/>
  <c r="I121" i="22"/>
  <c r="I123" i="22" s="1"/>
  <c r="P112" i="22"/>
  <c r="P113" i="22" s="1"/>
  <c r="P114" i="22" s="1"/>
  <c r="P89" i="22"/>
  <c r="P90" i="22" s="1"/>
  <c r="P91" i="22" s="1"/>
  <c r="Q23" i="22"/>
  <c r="Q24" i="22" s="1"/>
  <c r="Q13" i="22"/>
  <c r="P138" i="22"/>
  <c r="P140" i="22" s="1"/>
  <c r="P145" i="22" s="1"/>
  <c r="P137" i="22"/>
  <c r="P42" i="22"/>
  <c r="P44" i="22" s="1"/>
  <c r="Q41" i="22"/>
  <c r="Q42" i="22" s="1"/>
  <c r="Q44" i="22" s="1"/>
  <c r="O14" i="22"/>
  <c r="O26" i="22" s="1"/>
  <c r="P8" i="22"/>
  <c r="Q32" i="22"/>
  <c r="P63" i="22"/>
  <c r="P68" i="22" s="1"/>
  <c r="Q61" i="22"/>
  <c r="Q63" i="22" s="1"/>
  <c r="Q68" i="22" s="1"/>
  <c r="K8" i="61"/>
  <c r="K10" i="61" s="1"/>
  <c r="K12" i="61" s="1"/>
  <c r="K17" i="61" s="1"/>
  <c r="K30" i="61" s="1"/>
  <c r="K33" i="61" s="1"/>
  <c r="L5" i="61"/>
  <c r="M19" i="61"/>
  <c r="M21" i="61" s="1"/>
  <c r="M23" i="61" s="1"/>
  <c r="M28" i="61" s="1"/>
  <c r="N3" i="61"/>
  <c r="R35" i="61"/>
  <c r="R41" i="61"/>
  <c r="M9" i="32"/>
  <c r="M21" i="32"/>
  <c r="J38" i="61"/>
  <c r="J42" i="61" s="1"/>
  <c r="DG81" i="2" s="1"/>
  <c r="N7" i="32"/>
  <c r="J36" i="61"/>
  <c r="L8" i="32"/>
  <c r="L11" i="32" s="1"/>
  <c r="L19" i="32" s="1"/>
  <c r="L37" i="15"/>
  <c r="K40" i="15"/>
  <c r="K42" i="15" s="1"/>
  <c r="O81" i="15"/>
  <c r="N19" i="15"/>
  <c r="L45" i="15"/>
  <c r="M2" i="15"/>
  <c r="N9" i="15"/>
  <c r="L53" i="15"/>
  <c r="L58" i="15" s="1"/>
  <c r="M52" i="15"/>
  <c r="N76" i="15"/>
  <c r="T14" i="15"/>
  <c r="S27" i="15"/>
  <c r="R39" i="15"/>
  <c r="P69" i="15"/>
  <c r="L79" i="15"/>
  <c r="K82" i="15"/>
  <c r="K84" i="15" s="1"/>
  <c r="M8" i="15"/>
  <c r="M20" i="15" s="1"/>
  <c r="M21" i="15" s="1"/>
  <c r="N6" i="15"/>
  <c r="L32" i="15"/>
  <c r="L33" i="15" s="1"/>
  <c r="L35" i="15" s="1"/>
  <c r="M31" i="15"/>
  <c r="T87" i="15"/>
  <c r="J88" i="15"/>
  <c r="N61" i="15"/>
  <c r="L74" i="15"/>
  <c r="L75" i="15" s="1"/>
  <c r="L77" i="15" s="1"/>
  <c r="M73" i="15"/>
  <c r="P34" i="15"/>
  <c r="N49" i="15"/>
  <c r="M51" i="15"/>
  <c r="M62" i="15" s="1"/>
  <c r="M63" i="15" s="1"/>
  <c r="M65" i="15" s="1"/>
  <c r="M70" i="15" s="1"/>
  <c r="M22" i="15"/>
  <c r="L23" i="15"/>
  <c r="L28" i="15" s="1"/>
  <c r="O64" i="15"/>
  <c r="Q57" i="15"/>
  <c r="CJ119" i="2"/>
  <c r="E41" i="67"/>
  <c r="CJ40" i="2" s="1"/>
  <c r="CM36" i="2"/>
  <c r="CM37" i="2"/>
  <c r="AC276" i="19"/>
  <c r="AG74" i="19"/>
  <c r="AF29" i="18" s="1"/>
  <c r="AF23" i="18"/>
  <c r="AH230" i="19"/>
  <c r="AH96" i="19"/>
  <c r="AI48" i="19"/>
  <c r="AG183" i="19"/>
  <c r="AF246" i="19"/>
  <c r="AG164" i="19"/>
  <c r="AF223" i="19"/>
  <c r="AF172" i="19"/>
  <c r="AE231" i="19"/>
  <c r="AG190" i="19"/>
  <c r="AF249" i="19"/>
  <c r="AK130" i="19"/>
  <c r="AL58" i="19"/>
  <c r="AB278" i="19"/>
  <c r="AB279" i="19" s="1"/>
  <c r="AL84" i="19"/>
  <c r="AM51" i="19"/>
  <c r="AK115" i="19"/>
  <c r="AL56" i="19"/>
  <c r="AE221" i="19"/>
  <c r="AF162" i="19"/>
  <c r="AG97" i="19"/>
  <c r="AG136" i="19" s="1"/>
  <c r="AH60" i="19"/>
  <c r="AH71" i="19"/>
  <c r="AI1" i="19"/>
  <c r="AH72" i="19"/>
  <c r="AM53" i="19"/>
  <c r="AL92" i="19"/>
  <c r="AL131" i="19"/>
  <c r="AM59" i="19"/>
  <c r="AK135" i="19"/>
  <c r="AL62" i="19"/>
  <c r="AF217" i="19"/>
  <c r="AG158" i="19"/>
  <c r="AF247" i="19"/>
  <c r="AG184" i="19"/>
  <c r="AD233" i="19"/>
  <c r="AE174" i="19"/>
  <c r="AH252" i="19"/>
  <c r="AI193" i="19"/>
  <c r="AG224" i="19"/>
  <c r="AH165" i="19"/>
  <c r="AJ271" i="19"/>
  <c r="AJ132" i="19"/>
  <c r="AK61" i="19"/>
  <c r="AI113" i="19"/>
  <c r="AJ57" i="19"/>
  <c r="AI242" i="19"/>
  <c r="AK106" i="19"/>
  <c r="AL54" i="19"/>
  <c r="AK87" i="19"/>
  <c r="AL52" i="19"/>
  <c r="AG248" i="19"/>
  <c r="AH189" i="19"/>
  <c r="AE166" i="19"/>
  <c r="AD225" i="19"/>
  <c r="AM49" i="19"/>
  <c r="AL85" i="19"/>
  <c r="AF22" i="18"/>
  <c r="AG73" i="19"/>
  <c r="AF28" i="18" s="1"/>
  <c r="AG64" i="19"/>
  <c r="AF43" i="16"/>
  <c r="AF229" i="19"/>
  <c r="AG170" i="19"/>
  <c r="AL100" i="19"/>
  <c r="AM55" i="19"/>
  <c r="AH169" i="19"/>
  <c r="AG228" i="19"/>
  <c r="AH181" i="19"/>
  <c r="AG244" i="19"/>
  <c r="AH163" i="19"/>
  <c r="AG222" i="19"/>
  <c r="AH167" i="19"/>
  <c r="AG226" i="19"/>
  <c r="AH175" i="19"/>
  <c r="AG234" i="19"/>
  <c r="AK240" i="19"/>
  <c r="AL186" i="19"/>
  <c r="AK258" i="19"/>
  <c r="AL199" i="19"/>
  <c r="AK260" i="19"/>
  <c r="AL201" i="19"/>
  <c r="AK262" i="19"/>
  <c r="AL203" i="19"/>
  <c r="AK264" i="19"/>
  <c r="AL205" i="19"/>
  <c r="AF219" i="19"/>
  <c r="AG160" i="19"/>
  <c r="AI241" i="19"/>
  <c r="AJ187" i="19"/>
  <c r="AG250" i="19"/>
  <c r="AH191" i="19"/>
  <c r="AK265" i="19"/>
  <c r="AL206" i="19"/>
  <c r="AG272" i="19"/>
  <c r="AH213" i="19"/>
  <c r="AK94" i="19"/>
  <c r="AL50" i="19"/>
  <c r="AH243" i="19"/>
  <c r="AI180" i="19"/>
  <c r="AF227" i="19"/>
  <c r="AG168" i="19"/>
  <c r="AH218" i="19"/>
  <c r="AI159" i="19"/>
  <c r="AG238" i="19"/>
  <c r="AH179" i="19"/>
  <c r="AL188" i="19"/>
  <c r="AK259" i="19"/>
  <c r="AL200" i="19"/>
  <c r="AK261" i="19"/>
  <c r="AL202" i="19"/>
  <c r="AK263" i="19"/>
  <c r="AL204" i="19"/>
  <c r="AI220" i="19"/>
  <c r="AJ161" i="19"/>
  <c r="AF236" i="19"/>
  <c r="AG177" i="19"/>
  <c r="AH237" i="19"/>
  <c r="AI178" i="19"/>
  <c r="AF245" i="19"/>
  <c r="AG182" i="19"/>
  <c r="AK256" i="19"/>
  <c r="AK122" i="19"/>
  <c r="AL47" i="19"/>
  <c r="CC106" i="3"/>
  <c r="Y90" i="16"/>
  <c r="Y92" i="16" s="1"/>
  <c r="Y93" i="16" s="1"/>
  <c r="CC84" i="3"/>
  <c r="Y111" i="16"/>
  <c r="T3" i="32"/>
  <c r="R14" i="32"/>
  <c r="AF65" i="16"/>
  <c r="AE36" i="16"/>
  <c r="AI96" i="16"/>
  <c r="AI37" i="16"/>
  <c r="AM69" i="16"/>
  <c r="AM77" i="16"/>
  <c r="AJ71" i="16"/>
  <c r="AJ79" i="16"/>
  <c r="AK63" i="16"/>
  <c r="AJ58" i="16"/>
  <c r="AJ82" i="16"/>
  <c r="AF74" i="16"/>
  <c r="R113" i="18"/>
  <c r="S113" i="18" s="1"/>
  <c r="T113" i="18" s="1"/>
  <c r="U113" i="18" s="1"/>
  <c r="V113" i="18" s="1"/>
  <c r="W113" i="18" s="1"/>
  <c r="X113" i="18" s="1"/>
  <c r="Y113" i="18" s="1"/>
  <c r="Z113" i="18" s="1"/>
  <c r="AA113" i="18" s="1"/>
  <c r="AB113" i="18" s="1"/>
  <c r="AC113" i="18" s="1"/>
  <c r="AD113" i="18" s="1"/>
  <c r="AE113" i="18" s="1"/>
  <c r="AF113" i="18" s="1"/>
  <c r="AG113" i="18" s="1"/>
  <c r="AH113" i="18" s="1"/>
  <c r="AI113" i="18" s="1"/>
  <c r="AJ113" i="18" s="1"/>
  <c r="AK113" i="18" s="1"/>
  <c r="AL113" i="18" s="1"/>
  <c r="AM113" i="18" s="1"/>
  <c r="AN113" i="18" s="1"/>
  <c r="S104" i="18"/>
  <c r="AH155" i="18"/>
  <c r="AG12" i="18"/>
  <c r="AG170" i="18" s="1"/>
  <c r="AI169" i="18"/>
  <c r="AJ15" i="18"/>
  <c r="AI174" i="18"/>
  <c r="AJ30" i="18"/>
  <c r="AJ10" i="16" s="1"/>
  <c r="EP66" i="2"/>
  <c r="EK65" i="2"/>
  <c r="EP70" i="2"/>
  <c r="EK69" i="2"/>
  <c r="DT18" i="2"/>
  <c r="DT14" i="2"/>
  <c r="DG127" i="2"/>
  <c r="DL108" i="2"/>
  <c r="BT120" i="2"/>
  <c r="BU101" i="2"/>
  <c r="EK80" i="2"/>
  <c r="DG23" i="2"/>
  <c r="DF23" i="2"/>
  <c r="DS48" i="2"/>
  <c r="DS43" i="2"/>
  <c r="DP18" i="2"/>
  <c r="DP14" i="2"/>
  <c r="DK48" i="2"/>
  <c r="EA59" i="2"/>
  <c r="DV58" i="2"/>
  <c r="DV128" i="2" s="1"/>
  <c r="DP38" i="2"/>
  <c r="DK10" i="2"/>
  <c r="DX18" i="2"/>
  <c r="DX14" i="2"/>
  <c r="DR25" i="2"/>
  <c r="DR23" i="2" s="1"/>
  <c r="DS26" i="2"/>
  <c r="DU22" i="2"/>
  <c r="DO48" i="2"/>
  <c r="EB38" i="2"/>
  <c r="EK38" i="2"/>
  <c r="DW10" i="2"/>
  <c r="EF10" i="2"/>
  <c r="DQ107" i="2"/>
  <c r="EZ109" i="2"/>
  <c r="EF99" i="2"/>
  <c r="CH117" i="2"/>
  <c r="CM98" i="2"/>
  <c r="DJ25" i="2"/>
  <c r="DJ23" i="2" s="1"/>
  <c r="DK26" i="2"/>
  <c r="DK25" i="2" s="1"/>
  <c r="DY22" i="2"/>
  <c r="DK43" i="2"/>
  <c r="ED65" i="2"/>
  <c r="EB65" i="2"/>
  <c r="EF64" i="2"/>
  <c r="EC65" i="2"/>
  <c r="EE69" i="2"/>
  <c r="EC69" i="2"/>
  <c r="ED69" i="2"/>
  <c r="EB69" i="2"/>
  <c r="DN25" i="2"/>
  <c r="DN23" i="2" s="1"/>
  <c r="DO26" i="2"/>
  <c r="DB130" i="2"/>
  <c r="DG111" i="2"/>
  <c r="DV103" i="2"/>
  <c r="BY120" i="2"/>
  <c r="BZ101" i="2"/>
  <c r="DG106" i="2"/>
  <c r="EF48" i="2"/>
  <c r="DW48" i="2"/>
  <c r="EF43" i="2"/>
  <c r="DW43" i="2"/>
  <c r="DT38" i="2"/>
  <c r="DO10" i="2"/>
  <c r="DV100" i="2"/>
  <c r="DQ105" i="2"/>
  <c r="CK130" i="2"/>
  <c r="CL111" i="2"/>
  <c r="CK125" i="2"/>
  <c r="CL106" i="2"/>
  <c r="DL104" i="2"/>
  <c r="DZ65" i="2"/>
  <c r="DZ64" i="2" s="1"/>
  <c r="DY64" i="2"/>
  <c r="DG96" i="2"/>
  <c r="EK18" i="2"/>
  <c r="EB18" i="2"/>
  <c r="EK14" i="2"/>
  <c r="EB14" i="2"/>
  <c r="EF26" i="2"/>
  <c r="DW26" i="2"/>
  <c r="DO43" i="2"/>
  <c r="DX38" i="2"/>
  <c r="DS10" i="2"/>
  <c r="CD117" i="2"/>
  <c r="CI98" i="2"/>
  <c r="CI117" i="2" s="1"/>
  <c r="CE98" i="2"/>
  <c r="EF59" i="3"/>
  <c r="EA58" i="3"/>
  <c r="DV63" i="3"/>
  <c r="EA64" i="3"/>
  <c r="CF106" i="3"/>
  <c r="CI106" i="3"/>
  <c r="CD106" i="3"/>
  <c r="BX106" i="3"/>
  <c r="CC134" i="3"/>
  <c r="CH135" i="3"/>
  <c r="Z98" i="16" s="1"/>
  <c r="CH106" i="3"/>
  <c r="BY106" i="3"/>
  <c r="AD275" i="19" l="1"/>
  <c r="AF41" i="16"/>
  <c r="AG137" i="19" s="1"/>
  <c r="AG138" i="19" s="1"/>
  <c r="AF138" i="19"/>
  <c r="AG65" i="19"/>
  <c r="AG66" i="19" s="1"/>
  <c r="AG76" i="16"/>
  <c r="AG68" i="16"/>
  <c r="AC278" i="19"/>
  <c r="AC279" i="19" s="1"/>
  <c r="K88" i="15"/>
  <c r="EK22" i="2"/>
  <c r="EB22" i="2"/>
  <c r="EC22" i="2" s="1"/>
  <c r="AJ153" i="18"/>
  <c r="AI13" i="18"/>
  <c r="AH27" i="18"/>
  <c r="AG12" i="16"/>
  <c r="AG235" i="19"/>
  <c r="AH176" i="19"/>
  <c r="AK26" i="18"/>
  <c r="AJ11" i="16"/>
  <c r="AF173" i="19"/>
  <c r="AE232" i="19"/>
  <c r="ED64" i="2"/>
  <c r="H49" i="67"/>
  <c r="H51" i="67" s="1"/>
  <c r="CL35" i="2"/>
  <c r="I127" i="22"/>
  <c r="I124" i="22"/>
  <c r="P146" i="22"/>
  <c r="P148" i="22" s="1"/>
  <c r="P151" i="22" s="1"/>
  <c r="P153" i="22" s="1"/>
  <c r="CW79" i="2" s="1"/>
  <c r="Q112" i="22"/>
  <c r="Q113" i="22" s="1"/>
  <c r="Q114" i="22" s="1"/>
  <c r="Q89" i="22"/>
  <c r="Q90" i="22" s="1"/>
  <c r="Q91" i="22" s="1"/>
  <c r="Q95" i="22" s="1"/>
  <c r="Q92" i="22"/>
  <c r="P95" i="22"/>
  <c r="Q146" i="22"/>
  <c r="Q148" i="22"/>
  <c r="Q151" i="22" s="1"/>
  <c r="Q153" i="22" s="1"/>
  <c r="DB79" i="2" s="1"/>
  <c r="H124" i="22"/>
  <c r="J123" i="22"/>
  <c r="J124" i="22" s="1"/>
  <c r="Q35" i="22"/>
  <c r="Q36" i="22" s="1"/>
  <c r="Q46" i="22" s="1"/>
  <c r="P36" i="22"/>
  <c r="O96" i="22"/>
  <c r="O93" i="22"/>
  <c r="CK79" i="2"/>
  <c r="CL79" i="2" s="1"/>
  <c r="CN79" i="2"/>
  <c r="CN82" i="2" s="1"/>
  <c r="CQ82" i="2" s="1"/>
  <c r="Q8" i="22"/>
  <c r="Q14" i="22" s="1"/>
  <c r="Q26" i="22" s="1"/>
  <c r="P14" i="22"/>
  <c r="P26" i="22" s="1"/>
  <c r="Q47" i="22"/>
  <c r="Q115" i="22"/>
  <c r="P116" i="22"/>
  <c r="I146" i="22"/>
  <c r="I148" i="22" s="1"/>
  <c r="I151" i="22" s="1"/>
  <c r="I153" i="22" s="1"/>
  <c r="J153" i="22" s="1"/>
  <c r="H146" i="22"/>
  <c r="H148" i="22" s="1"/>
  <c r="H151" i="22" s="1"/>
  <c r="L119" i="22"/>
  <c r="M53" i="22"/>
  <c r="J121" i="22"/>
  <c r="J122" i="22" s="1"/>
  <c r="K122" i="22" s="1"/>
  <c r="L122" i="22" s="1"/>
  <c r="M122" i="22" s="1"/>
  <c r="N122" i="22" s="1"/>
  <c r="O122" i="22" s="1"/>
  <c r="P122" i="22" s="1"/>
  <c r="Q122" i="22" s="1"/>
  <c r="O46" i="22"/>
  <c r="O47" i="22" s="1"/>
  <c r="O37" i="22"/>
  <c r="S41" i="61"/>
  <c r="S35" i="61"/>
  <c r="N19" i="61"/>
  <c r="N21" i="61" s="1"/>
  <c r="N23" i="61" s="1"/>
  <c r="N28" i="61" s="1"/>
  <c r="O3" i="61"/>
  <c r="L8" i="61"/>
  <c r="L10" i="61" s="1"/>
  <c r="L12" i="61" s="1"/>
  <c r="L17" i="61" s="1"/>
  <c r="L30" i="61" s="1"/>
  <c r="L33" i="61" s="1"/>
  <c r="M5" i="61"/>
  <c r="N9" i="32"/>
  <c r="N21" i="32"/>
  <c r="M8" i="32"/>
  <c r="M11" i="32" s="1"/>
  <c r="M19" i="32" s="1"/>
  <c r="K38" i="61"/>
  <c r="K42" i="61" s="1"/>
  <c r="DL81" i="2" s="1"/>
  <c r="O7" i="32"/>
  <c r="K36" i="61"/>
  <c r="Q69" i="15"/>
  <c r="P64" i="15"/>
  <c r="M23" i="15"/>
  <c r="M28" i="15" s="1"/>
  <c r="N22" i="15"/>
  <c r="N51" i="15"/>
  <c r="O49" i="15"/>
  <c r="Q34" i="15"/>
  <c r="U87" i="15"/>
  <c r="M32" i="15"/>
  <c r="M33" i="15" s="1"/>
  <c r="M35" i="15" s="1"/>
  <c r="N31" i="15"/>
  <c r="O6" i="15"/>
  <c r="N8" i="15"/>
  <c r="N20" i="15" s="1"/>
  <c r="N21" i="15" s="1"/>
  <c r="P81" i="15"/>
  <c r="R57" i="15"/>
  <c r="T27" i="15"/>
  <c r="U14" i="15"/>
  <c r="O76" i="15"/>
  <c r="M53" i="15"/>
  <c r="M58" i="15" s="1"/>
  <c r="N52" i="15"/>
  <c r="N10" i="15"/>
  <c r="N16" i="15" s="1"/>
  <c r="O9" i="15"/>
  <c r="N2" i="15"/>
  <c r="M45" i="15"/>
  <c r="O19" i="15"/>
  <c r="N73" i="15"/>
  <c r="M74" i="15"/>
  <c r="M75" i="15" s="1"/>
  <c r="M77" i="15" s="1"/>
  <c r="O61" i="15"/>
  <c r="N62" i="15"/>
  <c r="N63" i="15" s="1"/>
  <c r="N65" i="15" s="1"/>
  <c r="N70" i="15" s="1"/>
  <c r="M79" i="15"/>
  <c r="L82" i="15"/>
  <c r="L84" i="15" s="1"/>
  <c r="S39" i="15"/>
  <c r="M10" i="15"/>
  <c r="M16" i="15" s="1"/>
  <c r="M37" i="15"/>
  <c r="L40" i="15"/>
  <c r="L42" i="15" s="1"/>
  <c r="CJ124" i="2"/>
  <c r="I46" i="67"/>
  <c r="CN35" i="2" s="1"/>
  <c r="CM35" i="2"/>
  <c r="CM46" i="2"/>
  <c r="CM47" i="2"/>
  <c r="F11" i="67"/>
  <c r="CK7" i="2"/>
  <c r="AG245" i="19"/>
  <c r="AH182" i="19"/>
  <c r="AI237" i="19"/>
  <c r="AJ178" i="19"/>
  <c r="AG236" i="19"/>
  <c r="AH177" i="19"/>
  <c r="AJ220" i="19"/>
  <c r="AK161" i="19"/>
  <c r="AL263" i="19"/>
  <c r="AM204" i="19"/>
  <c r="AL261" i="19"/>
  <c r="AM202" i="19"/>
  <c r="AL259" i="19"/>
  <c r="AM200" i="19"/>
  <c r="AM188" i="19"/>
  <c r="AH238" i="19"/>
  <c r="AI179" i="19"/>
  <c r="AI218" i="19"/>
  <c r="AJ159" i="19"/>
  <c r="AG227" i="19"/>
  <c r="AH168" i="19"/>
  <c r="AI243" i="19"/>
  <c r="AJ180" i="19"/>
  <c r="AL94" i="19"/>
  <c r="AM50" i="19"/>
  <c r="AI175" i="19"/>
  <c r="AH234" i="19"/>
  <c r="AI167" i="19"/>
  <c r="AH226" i="19"/>
  <c r="AI163" i="19"/>
  <c r="AH222" i="19"/>
  <c r="AI181" i="19"/>
  <c r="AH244" i="19"/>
  <c r="AI169" i="19"/>
  <c r="AH228" i="19"/>
  <c r="AG229" i="19"/>
  <c r="AH170" i="19"/>
  <c r="AF166" i="19"/>
  <c r="AE225" i="19"/>
  <c r="AH248" i="19"/>
  <c r="AI189" i="19"/>
  <c r="AL87" i="19"/>
  <c r="AM52" i="19"/>
  <c r="AH224" i="19"/>
  <c r="AI165" i="19"/>
  <c r="AI252" i="19"/>
  <c r="AJ193" i="19"/>
  <c r="AE233" i="19"/>
  <c r="AF174" i="19"/>
  <c r="AG247" i="19"/>
  <c r="AH184" i="19"/>
  <c r="AG217" i="19"/>
  <c r="AH158" i="19"/>
  <c r="AL135" i="19"/>
  <c r="AM62" i="19"/>
  <c r="AM131" i="19"/>
  <c r="AN59" i="19"/>
  <c r="AH74" i="19"/>
  <c r="AG29" i="18" s="1"/>
  <c r="AG23" i="18"/>
  <c r="AH73" i="19"/>
  <c r="AG28" i="18" s="1"/>
  <c r="AG22" i="18"/>
  <c r="AH97" i="19"/>
  <c r="AG41" i="16" s="1"/>
  <c r="AI60" i="19"/>
  <c r="AL130" i="19"/>
  <c r="AM58" i="19"/>
  <c r="AH64" i="19"/>
  <c r="AL256" i="19"/>
  <c r="AL122" i="19"/>
  <c r="AM47" i="19"/>
  <c r="AH272" i="19"/>
  <c r="AI213" i="19"/>
  <c r="AL265" i="19"/>
  <c r="AM206" i="19"/>
  <c r="AH250" i="19"/>
  <c r="AI191" i="19"/>
  <c r="AJ241" i="19"/>
  <c r="AK187" i="19"/>
  <c r="AG219" i="19"/>
  <c r="AH160" i="19"/>
  <c r="AL264" i="19"/>
  <c r="AM205" i="19"/>
  <c r="AL262" i="19"/>
  <c r="AM203" i="19"/>
  <c r="AL260" i="19"/>
  <c r="AM201" i="19"/>
  <c r="AL258" i="19"/>
  <c r="AM199" i="19"/>
  <c r="AL240" i="19"/>
  <c r="AM186" i="19"/>
  <c r="AM100" i="19"/>
  <c r="AN55" i="19"/>
  <c r="AM85" i="19"/>
  <c r="AN49" i="19"/>
  <c r="AD276" i="19"/>
  <c r="CW32" i="3"/>
  <c r="AD278" i="19" s="1"/>
  <c r="AD279" i="19" s="1"/>
  <c r="AL106" i="19"/>
  <c r="AM54" i="19"/>
  <c r="AJ113" i="19"/>
  <c r="AK57" i="19"/>
  <c r="AJ242" i="19"/>
  <c r="AK271" i="19"/>
  <c r="AK132" i="19"/>
  <c r="AL61" i="19"/>
  <c r="AM92" i="19"/>
  <c r="AN53" i="19"/>
  <c r="AI72" i="19"/>
  <c r="AI71" i="19"/>
  <c r="AJ1" i="19"/>
  <c r="AF221" i="19"/>
  <c r="AG162" i="19"/>
  <c r="AL115" i="19"/>
  <c r="AM56" i="19"/>
  <c r="AM84" i="19"/>
  <c r="AN51" i="19"/>
  <c r="AH190" i="19"/>
  <c r="AG249" i="19"/>
  <c r="AG172" i="19"/>
  <c r="AF231" i="19"/>
  <c r="AH164" i="19"/>
  <c r="AG223" i="19"/>
  <c r="AH183" i="19"/>
  <c r="AG246" i="19"/>
  <c r="AI230" i="19"/>
  <c r="AI96" i="19"/>
  <c r="AJ48" i="19"/>
  <c r="AI64" i="19"/>
  <c r="U3" i="32"/>
  <c r="S14" i="32"/>
  <c r="AH7" i="16"/>
  <c r="AF36" i="16"/>
  <c r="AJ96" i="16"/>
  <c r="AJ37" i="16"/>
  <c r="AK71" i="16"/>
  <c r="AN77" i="16"/>
  <c r="AN69" i="16"/>
  <c r="AE109" i="16"/>
  <c r="AK82" i="16"/>
  <c r="AK79" i="16"/>
  <c r="AL63" i="16"/>
  <c r="AK58" i="16"/>
  <c r="AG74" i="16"/>
  <c r="AJ174" i="18"/>
  <c r="AK30" i="18"/>
  <c r="AK10" i="16" s="1"/>
  <c r="AJ169" i="18"/>
  <c r="AK15" i="18"/>
  <c r="AH154" i="18"/>
  <c r="T104" i="18"/>
  <c r="S114" i="18"/>
  <c r="T114" i="18" s="1"/>
  <c r="U114" i="18" s="1"/>
  <c r="V114" i="18" s="1"/>
  <c r="W114" i="18" s="1"/>
  <c r="X114" i="18" s="1"/>
  <c r="Y114" i="18" s="1"/>
  <c r="Z114" i="18" s="1"/>
  <c r="AA114" i="18" s="1"/>
  <c r="AB114" i="18" s="1"/>
  <c r="AC114" i="18" s="1"/>
  <c r="AD114" i="18" s="1"/>
  <c r="AE114" i="18" s="1"/>
  <c r="AF114" i="18" s="1"/>
  <c r="AG114" i="18" s="1"/>
  <c r="AH114" i="18" s="1"/>
  <c r="AI114" i="18" s="1"/>
  <c r="AJ114" i="18" s="1"/>
  <c r="AK114" i="18" s="1"/>
  <c r="AL114" i="18" s="1"/>
  <c r="AM114" i="18" s="1"/>
  <c r="AN114" i="18" s="1"/>
  <c r="DP43" i="2"/>
  <c r="EB26" i="2"/>
  <c r="EK26" i="2"/>
  <c r="EG14" i="2"/>
  <c r="EP14" i="2"/>
  <c r="EG18" i="2"/>
  <c r="EP18" i="2"/>
  <c r="DQ104" i="2"/>
  <c r="DV105" i="2"/>
  <c r="EA100" i="2"/>
  <c r="DP10" i="2"/>
  <c r="DU38" i="2"/>
  <c r="EB43" i="2"/>
  <c r="EK43" i="2"/>
  <c r="EB48" i="2"/>
  <c r="EK48" i="2"/>
  <c r="EC64" i="2"/>
  <c r="DL25" i="2"/>
  <c r="DL23" i="2" s="1"/>
  <c r="DK23" i="2"/>
  <c r="EK99" i="2"/>
  <c r="DV107" i="2"/>
  <c r="EK10" i="2"/>
  <c r="EB10" i="2"/>
  <c r="EP38" i="2"/>
  <c r="EG38" i="2"/>
  <c r="EF59" i="2"/>
  <c r="EA58" i="2"/>
  <c r="EA128" i="2" s="1"/>
  <c r="DT43" i="2"/>
  <c r="EP80" i="2"/>
  <c r="BU120" i="2"/>
  <c r="BU116" i="2" s="1"/>
  <c r="BU97" i="2" s="1"/>
  <c r="BV101" i="2"/>
  <c r="DU14" i="2"/>
  <c r="DU18" i="2"/>
  <c r="EU70" i="2"/>
  <c r="EP69" i="2"/>
  <c r="EU66" i="2"/>
  <c r="EP65" i="2"/>
  <c r="CE117" i="2"/>
  <c r="CF98" i="2"/>
  <c r="CJ98" i="2"/>
  <c r="DT10" i="2"/>
  <c r="DY38" i="2"/>
  <c r="DX26" i="2"/>
  <c r="DW25" i="2"/>
  <c r="DW23" i="2" s="1"/>
  <c r="EC14" i="2"/>
  <c r="EC18" i="2"/>
  <c r="DL96" i="2"/>
  <c r="ED22" i="2"/>
  <c r="DX43" i="2"/>
  <c r="DX48" i="2"/>
  <c r="DL106" i="2"/>
  <c r="BZ120" i="2"/>
  <c r="BZ116" i="2" s="1"/>
  <c r="BZ97" i="2" s="1"/>
  <c r="CA101" i="2"/>
  <c r="BY116" i="2"/>
  <c r="EA103" i="2"/>
  <c r="DG130" i="2"/>
  <c r="DL111" i="2"/>
  <c r="DP26" i="2"/>
  <c r="DP25" i="2" s="1"/>
  <c r="DO25" i="2"/>
  <c r="DO23" i="2" s="1"/>
  <c r="EE65" i="2"/>
  <c r="EE64" i="2" s="1"/>
  <c r="EB64" i="2"/>
  <c r="DZ22" i="2"/>
  <c r="DX10" i="2"/>
  <c r="EC38" i="2"/>
  <c r="DP48" i="2"/>
  <c r="DT26" i="2"/>
  <c r="DS25" i="2"/>
  <c r="DS23" i="2" s="1"/>
  <c r="DY14" i="2"/>
  <c r="DY18" i="2"/>
  <c r="DT48" i="2"/>
  <c r="BT116" i="2"/>
  <c r="DL127" i="2"/>
  <c r="DQ108" i="2"/>
  <c r="EJ69" i="2"/>
  <c r="EH69" i="2"/>
  <c r="EI69" i="2"/>
  <c r="EG69" i="2"/>
  <c r="EK64" i="2"/>
  <c r="EI65" i="2"/>
  <c r="EG65" i="2"/>
  <c r="EH65" i="2"/>
  <c r="CM135" i="3"/>
  <c r="AA98" i="16" s="1"/>
  <c r="CH134" i="3"/>
  <c r="CD134" i="3" s="1"/>
  <c r="EA63" i="3"/>
  <c r="EF64" i="3"/>
  <c r="EK59" i="3"/>
  <c r="EF58" i="3"/>
  <c r="CN123" i="2" l="1"/>
  <c r="AG43" i="16"/>
  <c r="AH65" i="19"/>
  <c r="AH64" i="16"/>
  <c r="AG65" i="16" s="1"/>
  <c r="AH70" i="16"/>
  <c r="AH87" i="16" s="1"/>
  <c r="AI86" i="16" s="1"/>
  <c r="AH68" i="16"/>
  <c r="CQ32" i="3"/>
  <c r="CL123" i="2"/>
  <c r="AH136" i="19"/>
  <c r="AL26" i="18"/>
  <c r="AK11" i="16"/>
  <c r="AI27" i="18"/>
  <c r="AH12" i="16"/>
  <c r="EG22" i="2"/>
  <c r="EH22" i="2" s="1"/>
  <c r="EP22" i="2"/>
  <c r="AH235" i="19"/>
  <c r="AI176" i="19"/>
  <c r="AE275" i="19"/>
  <c r="DB32" i="3" s="1"/>
  <c r="AE278" i="19" s="1"/>
  <c r="AE279" i="19" s="1"/>
  <c r="AG173" i="19"/>
  <c r="AF232" i="19"/>
  <c r="AK153" i="18"/>
  <c r="AJ13" i="18"/>
  <c r="EI64" i="2"/>
  <c r="EJ65" i="2"/>
  <c r="EJ64" i="2" s="1"/>
  <c r="F26" i="67"/>
  <c r="CK19" i="2" s="1"/>
  <c r="CK119" i="2" s="1"/>
  <c r="CS79" i="2"/>
  <c r="L121" i="22"/>
  <c r="L123" i="22" s="1"/>
  <c r="CO79" i="2"/>
  <c r="CX79" i="2"/>
  <c r="DG79" i="2"/>
  <c r="P96" i="22"/>
  <c r="P93" i="22"/>
  <c r="Q96" i="22"/>
  <c r="Q93" i="22"/>
  <c r="O49" i="22"/>
  <c r="M119" i="22"/>
  <c r="N53" i="22"/>
  <c r="Q37" i="22"/>
  <c r="Q49" i="22" s="1"/>
  <c r="P46" i="22"/>
  <c r="P47" i="22" s="1"/>
  <c r="P37" i="22"/>
  <c r="K121" i="22"/>
  <c r="K123" i="22" s="1"/>
  <c r="Q116" i="22"/>
  <c r="I165" i="22"/>
  <c r="J127" i="22"/>
  <c r="J165" i="22" s="1"/>
  <c r="N8" i="32"/>
  <c r="N11" i="32" s="1"/>
  <c r="N19" i="32" s="1"/>
  <c r="L38" i="61"/>
  <c r="L42" i="61" s="1"/>
  <c r="DQ81" i="2" s="1"/>
  <c r="P7" i="32"/>
  <c r="L36" i="61"/>
  <c r="O9" i="32"/>
  <c r="O21" i="32"/>
  <c r="M8" i="61"/>
  <c r="M10" i="61" s="1"/>
  <c r="M12" i="61" s="1"/>
  <c r="M17" i="61" s="1"/>
  <c r="M30" i="61" s="1"/>
  <c r="M33" i="61" s="1"/>
  <c r="N5" i="61"/>
  <c r="O19" i="61"/>
  <c r="O21" i="61" s="1"/>
  <c r="O23" i="61" s="1"/>
  <c r="O28" i="61" s="1"/>
  <c r="P3" i="61"/>
  <c r="N37" i="15"/>
  <c r="M40" i="15"/>
  <c r="M42" i="15" s="1"/>
  <c r="S57" i="15"/>
  <c r="N79" i="15"/>
  <c r="M82" i="15"/>
  <c r="M84" i="15" s="1"/>
  <c r="P61" i="15"/>
  <c r="N74" i="15"/>
  <c r="N75" i="15" s="1"/>
  <c r="N77" i="15" s="1"/>
  <c r="O73" i="15"/>
  <c r="P19" i="15"/>
  <c r="N45" i="15"/>
  <c r="O2" i="15"/>
  <c r="N32" i="15"/>
  <c r="N33" i="15" s="1"/>
  <c r="N35" i="15" s="1"/>
  <c r="O31" i="15"/>
  <c r="V87" i="15"/>
  <c r="R34" i="15"/>
  <c r="P49" i="15"/>
  <c r="O51" i="15"/>
  <c r="O62" i="15" s="1"/>
  <c r="O63" i="15" s="1"/>
  <c r="O65" i="15" s="1"/>
  <c r="O70" i="15" s="1"/>
  <c r="O22" i="15"/>
  <c r="N23" i="15"/>
  <c r="N28" i="15" s="1"/>
  <c r="Q64" i="15"/>
  <c r="L88" i="15"/>
  <c r="P9" i="15"/>
  <c r="N53" i="15"/>
  <c r="N58" i="15" s="1"/>
  <c r="O52" i="15"/>
  <c r="P76" i="15"/>
  <c r="V14" i="15"/>
  <c r="U27" i="15"/>
  <c r="T39" i="15"/>
  <c r="R69" i="15"/>
  <c r="O8" i="15"/>
  <c r="O20" i="15" s="1"/>
  <c r="O21" i="15" s="1"/>
  <c r="P6" i="15"/>
  <c r="Q81" i="15"/>
  <c r="CM123" i="2"/>
  <c r="CL45" i="2"/>
  <c r="CM45" i="2"/>
  <c r="CK115" i="2"/>
  <c r="AE276" i="19"/>
  <c r="AO51" i="19"/>
  <c r="AN84" i="19"/>
  <c r="AG221" i="19"/>
  <c r="AH162" i="19"/>
  <c r="AJ71" i="19"/>
  <c r="AK1" i="19"/>
  <c r="AJ72" i="19"/>
  <c r="AJ230" i="19"/>
  <c r="AJ96" i="19"/>
  <c r="AK48" i="19"/>
  <c r="AI183" i="19"/>
  <c r="AH246" i="19"/>
  <c r="AI164" i="19"/>
  <c r="AH223" i="19"/>
  <c r="AH172" i="19"/>
  <c r="AG231" i="19"/>
  <c r="AI190" i="19"/>
  <c r="AH249" i="19"/>
  <c r="AM115" i="19"/>
  <c r="AN56" i="19"/>
  <c r="AH22" i="18"/>
  <c r="AI73" i="19"/>
  <c r="AH28" i="18" s="1"/>
  <c r="AM240" i="19"/>
  <c r="AN186" i="19"/>
  <c r="AM258" i="19"/>
  <c r="AN199" i="19"/>
  <c r="AM260" i="19"/>
  <c r="AN201" i="19"/>
  <c r="AM262" i="19"/>
  <c r="AN203" i="19"/>
  <c r="AM264" i="19"/>
  <c r="AN205" i="19"/>
  <c r="AH219" i="19"/>
  <c r="AI160" i="19"/>
  <c r="AK241" i="19"/>
  <c r="AL187" i="19"/>
  <c r="AI250" i="19"/>
  <c r="AJ191" i="19"/>
  <c r="AM265" i="19"/>
  <c r="AN206" i="19"/>
  <c r="AI272" i="19"/>
  <c r="AJ213" i="19"/>
  <c r="AH137" i="19"/>
  <c r="AM130" i="19"/>
  <c r="AN58" i="19"/>
  <c r="AN131" i="19"/>
  <c r="AO59" i="19"/>
  <c r="AO131" i="19" s="1"/>
  <c r="AM135" i="19"/>
  <c r="AN62" i="19"/>
  <c r="AH217" i="19"/>
  <c r="AI158" i="19"/>
  <c r="AH247" i="19"/>
  <c r="AI184" i="19"/>
  <c r="AF233" i="19"/>
  <c r="AG174" i="19"/>
  <c r="AJ252" i="19"/>
  <c r="AK193" i="19"/>
  <c r="AI224" i="19"/>
  <c r="AJ165" i="19"/>
  <c r="AM87" i="19"/>
  <c r="AN52" i="19"/>
  <c r="AG166" i="19"/>
  <c r="AF225" i="19"/>
  <c r="AF275" i="19" s="1"/>
  <c r="AJ169" i="19"/>
  <c r="AI228" i="19"/>
  <c r="AJ181" i="19"/>
  <c r="AI244" i="19"/>
  <c r="AJ163" i="19"/>
  <c r="AI222" i="19"/>
  <c r="AJ167" i="19"/>
  <c r="AI226" i="19"/>
  <c r="AJ175" i="19"/>
  <c r="AI234" i="19"/>
  <c r="AJ243" i="19"/>
  <c r="AK180" i="19"/>
  <c r="AH227" i="19"/>
  <c r="AI168" i="19"/>
  <c r="AJ218" i="19"/>
  <c r="AK159" i="19"/>
  <c r="AI238" i="19"/>
  <c r="AJ179" i="19"/>
  <c r="AN188" i="19"/>
  <c r="AM259" i="19"/>
  <c r="AN200" i="19"/>
  <c r="AM261" i="19"/>
  <c r="AN202" i="19"/>
  <c r="AM263" i="19"/>
  <c r="AN204" i="19"/>
  <c r="AK220" i="19"/>
  <c r="AL161" i="19"/>
  <c r="AH236" i="19"/>
  <c r="AI177" i="19"/>
  <c r="AJ237" i="19"/>
  <c r="AK178" i="19"/>
  <c r="AH245" i="19"/>
  <c r="AI182" i="19"/>
  <c r="AI74" i="19"/>
  <c r="AH29" i="18" s="1"/>
  <c r="AH23" i="18"/>
  <c r="AN92" i="19"/>
  <c r="AO53" i="19"/>
  <c r="AL271" i="19"/>
  <c r="AL132" i="19"/>
  <c r="AM61" i="19"/>
  <c r="AK113" i="19"/>
  <c r="AL57" i="19"/>
  <c r="AK242" i="19"/>
  <c r="AM106" i="19"/>
  <c r="AN54" i="19"/>
  <c r="AN85" i="19"/>
  <c r="AO49" i="19"/>
  <c r="AN100" i="19"/>
  <c r="AO55" i="19"/>
  <c r="AM256" i="19"/>
  <c r="AM122" i="19"/>
  <c r="AN122" i="19"/>
  <c r="AH66" i="19"/>
  <c r="AI97" i="19"/>
  <c r="AH41" i="16" s="1"/>
  <c r="AJ60" i="19"/>
  <c r="AI248" i="19"/>
  <c r="AJ189" i="19"/>
  <c r="AH229" i="19"/>
  <c r="AI170" i="19"/>
  <c r="AM94" i="19"/>
  <c r="AN50" i="19"/>
  <c r="T14" i="32"/>
  <c r="V3" i="32"/>
  <c r="AL82" i="16"/>
  <c r="AL71" i="16"/>
  <c r="AF109" i="16"/>
  <c r="AG36" i="16"/>
  <c r="AL79" i="16"/>
  <c r="AM63" i="16"/>
  <c r="AM82" i="16" s="1"/>
  <c r="AL58" i="16"/>
  <c r="AK96" i="16"/>
  <c r="AK37" i="16"/>
  <c r="AH74" i="16"/>
  <c r="AK169" i="18"/>
  <c r="AL15" i="18"/>
  <c r="AK174" i="18"/>
  <c r="AL30" i="18"/>
  <c r="AL10" i="16" s="1"/>
  <c r="U104" i="18"/>
  <c r="T115" i="18"/>
  <c r="U115" i="18" s="1"/>
  <c r="V115" i="18" s="1"/>
  <c r="W115" i="18" s="1"/>
  <c r="X115" i="18" s="1"/>
  <c r="Y115" i="18" s="1"/>
  <c r="Z115" i="18" s="1"/>
  <c r="AA115" i="18" s="1"/>
  <c r="AB115" i="18" s="1"/>
  <c r="AC115" i="18" s="1"/>
  <c r="AD115" i="18" s="1"/>
  <c r="AE115" i="18" s="1"/>
  <c r="AI155" i="18"/>
  <c r="AH12" i="18"/>
  <c r="AH170" i="18" s="1"/>
  <c r="DQ127" i="2"/>
  <c r="DV108" i="2"/>
  <c r="BT97" i="2"/>
  <c r="DZ18" i="2"/>
  <c r="DZ14" i="2"/>
  <c r="DU26" i="2"/>
  <c r="DU25" i="2" s="1"/>
  <c r="DT25" i="2"/>
  <c r="DT23" i="2" s="1"/>
  <c r="DL130" i="2"/>
  <c r="DQ111" i="2"/>
  <c r="EF103" i="2"/>
  <c r="BY97" i="2"/>
  <c r="CA120" i="2"/>
  <c r="CB101" i="2"/>
  <c r="CB120" i="2" s="1"/>
  <c r="CB116" i="2" s="1"/>
  <c r="CB97" i="2" s="1"/>
  <c r="DQ106" i="2"/>
  <c r="DY43" i="2"/>
  <c r="DY26" i="2"/>
  <c r="DX25" i="2"/>
  <c r="DX23" i="2" s="1"/>
  <c r="DZ38" i="2"/>
  <c r="DU10" i="2"/>
  <c r="EZ66" i="2"/>
  <c r="EZ65" i="2" s="1"/>
  <c r="EU65" i="2"/>
  <c r="EZ70" i="2"/>
  <c r="EZ69" i="2" s="1"/>
  <c r="EU69" i="2"/>
  <c r="EU80" i="2"/>
  <c r="DU43" i="2"/>
  <c r="EL38" i="2"/>
  <c r="EU38" i="2"/>
  <c r="EG10" i="2"/>
  <c r="EP10" i="2"/>
  <c r="EP99" i="2"/>
  <c r="CW98" i="2"/>
  <c r="EC48" i="2"/>
  <c r="EC43" i="2"/>
  <c r="EH18" i="2"/>
  <c r="EH14" i="2"/>
  <c r="EC26" i="2"/>
  <c r="EB25" i="2"/>
  <c r="EB23" i="2" s="1"/>
  <c r="EH64" i="2"/>
  <c r="EG64" i="2"/>
  <c r="DU48" i="2"/>
  <c r="ED38" i="2"/>
  <c r="DY10" i="2"/>
  <c r="DQ25" i="2"/>
  <c r="DQ23" i="2" s="1"/>
  <c r="DP23" i="2"/>
  <c r="DY48" i="2"/>
  <c r="EE22" i="2"/>
  <c r="DQ96" i="2"/>
  <c r="ED18" i="2"/>
  <c r="ED14" i="2"/>
  <c r="CF117" i="2"/>
  <c r="CK98" i="2"/>
  <c r="CG98" i="2"/>
  <c r="CL98" i="2" s="1"/>
  <c r="EN65" i="2"/>
  <c r="EL65" i="2"/>
  <c r="EP64" i="2"/>
  <c r="EM65" i="2"/>
  <c r="EO69" i="2"/>
  <c r="EM69" i="2"/>
  <c r="EN69" i="2"/>
  <c r="EL69" i="2"/>
  <c r="BV120" i="2"/>
  <c r="BW101" i="2"/>
  <c r="BW120" i="2" s="1"/>
  <c r="BW116" i="2" s="1"/>
  <c r="BW97" i="2" s="1"/>
  <c r="EI22" i="2"/>
  <c r="EK59" i="2"/>
  <c r="EF58" i="2"/>
  <c r="EF128" i="2" s="1"/>
  <c r="EH38" i="2"/>
  <c r="EC10" i="2"/>
  <c r="EA107" i="2"/>
  <c r="EP48" i="2"/>
  <c r="EG48" i="2"/>
  <c r="EP43" i="2"/>
  <c r="EG43" i="2"/>
  <c r="EF100" i="2"/>
  <c r="EA105" i="2"/>
  <c r="DV104" i="2"/>
  <c r="EU18" i="2"/>
  <c r="EL18" i="2"/>
  <c r="EU14" i="2"/>
  <c r="EL14" i="2"/>
  <c r="EP26" i="2"/>
  <c r="EG26" i="2"/>
  <c r="CD135" i="3"/>
  <c r="CE134" i="3"/>
  <c r="EP59" i="3"/>
  <c r="EK58" i="3"/>
  <c r="EF63" i="3"/>
  <c r="EK64" i="3"/>
  <c r="CR135" i="3"/>
  <c r="AB98" i="16" s="1"/>
  <c r="AH138" i="19" l="1"/>
  <c r="AH76" i="16"/>
  <c r="AI64" i="16"/>
  <c r="AH65" i="16" s="1"/>
  <c r="AF115" i="18"/>
  <c r="AG115" i="18" s="1"/>
  <c r="AH115" i="18" s="1"/>
  <c r="AI115" i="18" s="1"/>
  <c r="AJ115" i="18" s="1"/>
  <c r="AK115" i="18" s="1"/>
  <c r="AL115" i="18" s="1"/>
  <c r="AM115" i="18" s="1"/>
  <c r="AN115" i="18" s="1"/>
  <c r="CL125" i="2"/>
  <c r="CC101" i="2"/>
  <c r="CH101" i="2" s="1"/>
  <c r="AG232" i="19"/>
  <c r="AH173" i="19"/>
  <c r="AJ27" i="18"/>
  <c r="AI12" i="16"/>
  <c r="EL22" i="2"/>
  <c r="EM22" i="2" s="1"/>
  <c r="EU22" i="2"/>
  <c r="AL153" i="18"/>
  <c r="AK13" i="18"/>
  <c r="AI235" i="19"/>
  <c r="AJ176" i="19"/>
  <c r="AM26" i="18"/>
  <c r="AL11" i="16"/>
  <c r="EL64" i="2"/>
  <c r="M88" i="15"/>
  <c r="EO65" i="2"/>
  <c r="L127" i="22"/>
  <c r="L124" i="22"/>
  <c r="N119" i="22"/>
  <c r="O53" i="22"/>
  <c r="CP79" i="2"/>
  <c r="K127" i="22"/>
  <c r="K124" i="22"/>
  <c r="P49" i="22"/>
  <c r="M121" i="22"/>
  <c r="M123" i="22" s="1"/>
  <c r="DL79" i="2"/>
  <c r="CY79" i="2"/>
  <c r="CT79" i="2"/>
  <c r="P19" i="61"/>
  <c r="P21" i="61" s="1"/>
  <c r="P23" i="61" s="1"/>
  <c r="P28" i="61" s="1"/>
  <c r="Q3" i="61"/>
  <c r="N8" i="61"/>
  <c r="N10" i="61" s="1"/>
  <c r="N12" i="61" s="1"/>
  <c r="N17" i="61" s="1"/>
  <c r="N30" i="61" s="1"/>
  <c r="N33" i="61" s="1"/>
  <c r="O5" i="61"/>
  <c r="O8" i="32"/>
  <c r="O11" i="32" s="1"/>
  <c r="O19" i="32" s="1"/>
  <c r="P9" i="32"/>
  <c r="P21" i="32"/>
  <c r="M38" i="61"/>
  <c r="M42" i="61" s="1"/>
  <c r="DV81" i="2" s="1"/>
  <c r="Q7" i="32"/>
  <c r="M36" i="61"/>
  <c r="U39" i="15"/>
  <c r="O10" i="15"/>
  <c r="O16" i="15" s="1"/>
  <c r="W87" i="15"/>
  <c r="O32" i="15"/>
  <c r="O33" i="15" s="1"/>
  <c r="O35" i="15" s="1"/>
  <c r="P31" i="15"/>
  <c r="O45" i="15"/>
  <c r="P2" i="15"/>
  <c r="P20" i="15"/>
  <c r="P21" i="15" s="1"/>
  <c r="Q19" i="15"/>
  <c r="O74" i="15"/>
  <c r="O75" i="15" s="1"/>
  <c r="O77" i="15" s="1"/>
  <c r="P73" i="15"/>
  <c r="Q61" i="15"/>
  <c r="Q6" i="15"/>
  <c r="P8" i="15"/>
  <c r="R81" i="15"/>
  <c r="T57" i="15"/>
  <c r="V27" i="15"/>
  <c r="W14" i="15"/>
  <c r="Q76" i="15"/>
  <c r="O53" i="15"/>
  <c r="O58" i="15" s="1"/>
  <c r="P52" i="15"/>
  <c r="P10" i="15"/>
  <c r="P16" i="15" s="1"/>
  <c r="Q9" i="15"/>
  <c r="R64" i="15"/>
  <c r="O23" i="15"/>
  <c r="O28" i="15" s="1"/>
  <c r="P22" i="15"/>
  <c r="P51" i="15"/>
  <c r="P62" i="15" s="1"/>
  <c r="P63" i="15" s="1"/>
  <c r="P65" i="15" s="1"/>
  <c r="P70" i="15" s="1"/>
  <c r="Q49" i="15"/>
  <c r="S34" i="15"/>
  <c r="O79" i="15"/>
  <c r="N82" i="15"/>
  <c r="N84" i="15" s="1"/>
  <c r="S69" i="15"/>
  <c r="O37" i="15"/>
  <c r="N40" i="15"/>
  <c r="N42" i="15" s="1"/>
  <c r="F41" i="67"/>
  <c r="CK40" i="2" s="1"/>
  <c r="CK124" i="2" s="1"/>
  <c r="CM125" i="2"/>
  <c r="G6" i="67"/>
  <c r="H4" i="67"/>
  <c r="H6" i="67" s="1"/>
  <c r="AF276" i="19"/>
  <c r="DG32" i="3"/>
  <c r="AF278" i="19" s="1"/>
  <c r="AF279" i="19" s="1"/>
  <c r="AJ97" i="19"/>
  <c r="AI41" i="16" s="1"/>
  <c r="AK60" i="19"/>
  <c r="AO92" i="19"/>
  <c r="AI229" i="19"/>
  <c r="AJ170" i="19"/>
  <c r="AJ248" i="19"/>
  <c r="AK189" i="19"/>
  <c r="AO100" i="19"/>
  <c r="AN106" i="19"/>
  <c r="AO54" i="19"/>
  <c r="AL113" i="19"/>
  <c r="AM57" i="19"/>
  <c r="AL242" i="19"/>
  <c r="AM271" i="19"/>
  <c r="AM132" i="19"/>
  <c r="AN61" i="19"/>
  <c r="AI245" i="19"/>
  <c r="AJ182" i="19"/>
  <c r="AK237" i="19"/>
  <c r="AL178" i="19"/>
  <c r="AI236" i="19"/>
  <c r="AJ177" i="19"/>
  <c r="AL220" i="19"/>
  <c r="AM161" i="19"/>
  <c r="AN263" i="19"/>
  <c r="AO204" i="19"/>
  <c r="AO263" i="19" s="1"/>
  <c r="AN261" i="19"/>
  <c r="AO202" i="19"/>
  <c r="AO261" i="19" s="1"/>
  <c r="AN259" i="19"/>
  <c r="AO200" i="19"/>
  <c r="AO259" i="19" s="1"/>
  <c r="AO188" i="19"/>
  <c r="AJ238" i="19"/>
  <c r="AK179" i="19"/>
  <c r="AK218" i="19"/>
  <c r="AL159" i="19"/>
  <c r="AI227" i="19"/>
  <c r="AJ168" i="19"/>
  <c r="AK243" i="19"/>
  <c r="AL180" i="19"/>
  <c r="AN87" i="19"/>
  <c r="AO52" i="19"/>
  <c r="AJ190" i="19"/>
  <c r="AI249" i="19"/>
  <c r="AI172" i="19"/>
  <c r="AH231" i="19"/>
  <c r="AJ164" i="19"/>
  <c r="AI223" i="19"/>
  <c r="AJ183" i="19"/>
  <c r="AI246" i="19"/>
  <c r="AK230" i="19"/>
  <c r="AK96" i="19"/>
  <c r="AL48" i="19"/>
  <c r="AK64" i="19"/>
  <c r="AK72" i="19"/>
  <c r="AK71" i="19"/>
  <c r="AL1" i="19"/>
  <c r="AH221" i="19"/>
  <c r="AI162" i="19"/>
  <c r="AH43" i="16"/>
  <c r="AI137" i="19" s="1"/>
  <c r="AN94" i="19"/>
  <c r="AO50" i="19"/>
  <c r="AO85" i="19"/>
  <c r="AK175" i="19"/>
  <c r="AJ234" i="19"/>
  <c r="AK167" i="19"/>
  <c r="AJ226" i="19"/>
  <c r="AK163" i="19"/>
  <c r="AJ222" i="19"/>
  <c r="AK181" i="19"/>
  <c r="AJ244" i="19"/>
  <c r="AK169" i="19"/>
  <c r="AJ228" i="19"/>
  <c r="AH166" i="19"/>
  <c r="AG225" i="19"/>
  <c r="AJ224" i="19"/>
  <c r="AK165" i="19"/>
  <c r="AK252" i="19"/>
  <c r="AL193" i="19"/>
  <c r="AG233" i="19"/>
  <c r="AH174" i="19"/>
  <c r="AI247" i="19"/>
  <c r="AJ184" i="19"/>
  <c r="AI217" i="19"/>
  <c r="AJ158" i="19"/>
  <c r="AN135" i="19"/>
  <c r="AO62" i="19"/>
  <c r="AO135" i="19" s="1"/>
  <c r="AN130" i="19"/>
  <c r="AO58" i="19"/>
  <c r="AO130" i="19" s="1"/>
  <c r="AJ272" i="19"/>
  <c r="AK213" i="19"/>
  <c r="AN265" i="19"/>
  <c r="AO206" i="19"/>
  <c r="AO265" i="19" s="1"/>
  <c r="AJ250" i="19"/>
  <c r="AK191" i="19"/>
  <c r="AL241" i="19"/>
  <c r="AM187" i="19"/>
  <c r="AI219" i="19"/>
  <c r="AJ160" i="19"/>
  <c r="AN264" i="19"/>
  <c r="AO205" i="19"/>
  <c r="AO264" i="19" s="1"/>
  <c r="AN262" i="19"/>
  <c r="AO203" i="19"/>
  <c r="AO262" i="19" s="1"/>
  <c r="AN260" i="19"/>
  <c r="AO201" i="19"/>
  <c r="AO260" i="19" s="1"/>
  <c r="AN258" i="19"/>
  <c r="AO199" i="19"/>
  <c r="AO258" i="19" s="1"/>
  <c r="AN240" i="19"/>
  <c r="AO186" i="19"/>
  <c r="AO240" i="19" s="1"/>
  <c r="AI65" i="19"/>
  <c r="AI66" i="19" s="1"/>
  <c r="AN115" i="19"/>
  <c r="AO56" i="19"/>
  <c r="AJ64" i="19"/>
  <c r="AI43" i="16"/>
  <c r="AJ74" i="19"/>
  <c r="AI29" i="18" s="1"/>
  <c r="AI23" i="18"/>
  <c r="AJ73" i="19"/>
  <c r="AI28" i="18" s="1"/>
  <c r="AI22" i="18"/>
  <c r="AO84" i="19"/>
  <c r="AI136" i="19"/>
  <c r="W3" i="32"/>
  <c r="U14" i="32"/>
  <c r="AI7" i="16"/>
  <c r="AG109" i="16"/>
  <c r="AM96" i="16"/>
  <c r="AM37" i="16"/>
  <c r="AI154" i="18"/>
  <c r="AI12" i="18" s="1"/>
  <c r="AI170" i="18" s="1"/>
  <c r="AH36" i="16"/>
  <c r="AM58" i="16"/>
  <c r="AM79" i="16"/>
  <c r="AN63" i="16"/>
  <c r="AM71" i="16"/>
  <c r="AL96" i="16"/>
  <c r="AL37" i="16"/>
  <c r="U116" i="18"/>
  <c r="V116" i="18" s="1"/>
  <c r="W116" i="18" s="1"/>
  <c r="X116" i="18" s="1"/>
  <c r="Y116" i="18" s="1"/>
  <c r="Z116" i="18" s="1"/>
  <c r="AA116" i="18" s="1"/>
  <c r="AB116" i="18" s="1"/>
  <c r="AC116" i="18" s="1"/>
  <c r="AD116" i="18" s="1"/>
  <c r="AE116" i="18" s="1"/>
  <c r="AF116" i="18" s="1"/>
  <c r="V104" i="18"/>
  <c r="AL174" i="18"/>
  <c r="AM30" i="18"/>
  <c r="AM10" i="16" s="1"/>
  <c r="AL169" i="18"/>
  <c r="AM15" i="18"/>
  <c r="EL26" i="2"/>
  <c r="EU26" i="2"/>
  <c r="EQ14" i="2"/>
  <c r="EZ14" i="2"/>
  <c r="EV14" i="2" s="1"/>
  <c r="EQ18" i="2"/>
  <c r="EZ18" i="2"/>
  <c r="EV18" i="2" s="1"/>
  <c r="EL43" i="2"/>
  <c r="EU43" i="2"/>
  <c r="EL48" i="2"/>
  <c r="EU48" i="2"/>
  <c r="EJ22" i="2"/>
  <c r="BV116" i="2"/>
  <c r="BX120" i="2"/>
  <c r="EO64" i="2"/>
  <c r="CG117" i="2"/>
  <c r="EE14" i="2"/>
  <c r="EE18" i="2"/>
  <c r="DZ48" i="2"/>
  <c r="DZ10" i="2"/>
  <c r="EE38" i="2"/>
  <c r="EI14" i="2"/>
  <c r="EI18" i="2"/>
  <c r="ED43" i="2"/>
  <c r="EH10" i="2"/>
  <c r="EM38" i="2"/>
  <c r="EZ80" i="2"/>
  <c r="ET69" i="2"/>
  <c r="ER69" i="2"/>
  <c r="ES69" i="2"/>
  <c r="EQ69" i="2"/>
  <c r="EU64" i="2"/>
  <c r="ES65" i="2"/>
  <c r="EQ65" i="2"/>
  <c r="ER65" i="2"/>
  <c r="DZ26" i="2"/>
  <c r="DZ25" i="2" s="1"/>
  <c r="DY25" i="2"/>
  <c r="DY23" i="2" s="1"/>
  <c r="DZ43" i="2"/>
  <c r="DV106" i="2"/>
  <c r="CH120" i="2"/>
  <c r="CM101" i="2"/>
  <c r="CD101" i="2"/>
  <c r="CA116" i="2"/>
  <c r="CC120" i="2"/>
  <c r="EH26" i="2"/>
  <c r="EG25" i="2"/>
  <c r="EG23" i="2" s="1"/>
  <c r="EM14" i="2"/>
  <c r="EM18" i="2"/>
  <c r="EA104" i="2"/>
  <c r="EF105" i="2"/>
  <c r="EK100" i="2"/>
  <c r="EH43" i="2"/>
  <c r="EH48" i="2"/>
  <c r="EF107" i="2"/>
  <c r="ED10" i="2"/>
  <c r="EI38" i="2"/>
  <c r="EP59" i="2"/>
  <c r="EK58" i="2"/>
  <c r="EK128" i="2" s="1"/>
  <c r="EM64" i="2"/>
  <c r="EN64" i="2"/>
  <c r="DV96" i="2"/>
  <c r="ED26" i="2"/>
  <c r="EC25" i="2"/>
  <c r="EC23" i="2" s="1"/>
  <c r="ED48" i="2"/>
  <c r="DB98" i="2"/>
  <c r="EU99" i="2"/>
  <c r="EU10" i="2"/>
  <c r="EL10" i="2"/>
  <c r="EZ38" i="2"/>
  <c r="EV38" i="2" s="1"/>
  <c r="EQ38" i="2"/>
  <c r="EY69" i="2"/>
  <c r="EW69" i="2"/>
  <c r="EX69" i="2"/>
  <c r="EV69" i="2"/>
  <c r="EX65" i="2"/>
  <c r="EV65" i="2"/>
  <c r="EZ64" i="2"/>
  <c r="EW65" i="2"/>
  <c r="EK103" i="2"/>
  <c r="DQ130" i="2"/>
  <c r="DV111" i="2"/>
  <c r="DV25" i="2"/>
  <c r="DV23" i="2" s="1"/>
  <c r="DU23" i="2"/>
  <c r="EN22" i="2"/>
  <c r="DV127" i="2"/>
  <c r="EA108" i="2"/>
  <c r="CW135" i="3"/>
  <c r="AC98" i="16" s="1"/>
  <c r="EK63" i="3"/>
  <c r="EP64" i="3"/>
  <c r="EU59" i="3"/>
  <c r="EP58" i="3"/>
  <c r="CE135" i="3"/>
  <c r="CF134" i="3"/>
  <c r="AJ136" i="19" l="1"/>
  <c r="AJ137" i="19"/>
  <c r="AI76" i="16"/>
  <c r="AI70" i="16"/>
  <c r="AI68" i="16"/>
  <c r="AJ155" i="18"/>
  <c r="AG116" i="18"/>
  <c r="AH116" i="18" s="1"/>
  <c r="AI116" i="18" s="1"/>
  <c r="AJ116" i="18" s="1"/>
  <c r="AK116" i="18" s="1"/>
  <c r="AL116" i="18" s="1"/>
  <c r="AM116" i="18" s="1"/>
  <c r="AN116" i="18" s="1"/>
  <c r="AN26" i="18"/>
  <c r="AN11" i="16" s="1"/>
  <c r="AM11" i="16"/>
  <c r="AM153" i="18"/>
  <c r="AL13" i="18"/>
  <c r="AK27" i="18"/>
  <c r="AJ12" i="16"/>
  <c r="AK176" i="19"/>
  <c r="AJ235" i="19"/>
  <c r="EZ22" i="2"/>
  <c r="EV22" i="2" s="1"/>
  <c r="EW22" i="2" s="1"/>
  <c r="EQ22" i="2"/>
  <c r="ER22" i="2" s="1"/>
  <c r="AH232" i="19"/>
  <c r="AI173" i="19"/>
  <c r="AJ65" i="19"/>
  <c r="AJ66" i="19" s="1"/>
  <c r="EV64" i="2"/>
  <c r="EQ64" i="2"/>
  <c r="EX64" i="2"/>
  <c r="ER64" i="2"/>
  <c r="EY65" i="2"/>
  <c r="EY64" i="2" s="1"/>
  <c r="M127" i="22"/>
  <c r="M124" i="22"/>
  <c r="K165" i="22"/>
  <c r="BX78" i="2"/>
  <c r="BT78" i="2" s="1"/>
  <c r="O119" i="22"/>
  <c r="P53" i="22"/>
  <c r="CU79" i="2"/>
  <c r="CV79" i="2" s="1"/>
  <c r="CZ79" i="2"/>
  <c r="DA79" i="2" s="1"/>
  <c r="DQ79" i="2"/>
  <c r="CQ79" i="2"/>
  <c r="N121" i="22"/>
  <c r="N123" i="22" s="1"/>
  <c r="L165" i="22"/>
  <c r="CC78" i="2"/>
  <c r="Q9" i="32"/>
  <c r="Q21" i="32"/>
  <c r="O8" i="61"/>
  <c r="O10" i="61" s="1"/>
  <c r="O12" i="61" s="1"/>
  <c r="O17" i="61" s="1"/>
  <c r="O30" i="61" s="1"/>
  <c r="O33" i="61" s="1"/>
  <c r="P5" i="61"/>
  <c r="Q19" i="61"/>
  <c r="Q21" i="61" s="1"/>
  <c r="Q23" i="61" s="1"/>
  <c r="Q28" i="61" s="1"/>
  <c r="R3" i="61"/>
  <c r="P8" i="32"/>
  <c r="P11" i="32" s="1"/>
  <c r="P19" i="32" s="1"/>
  <c r="R7" i="32"/>
  <c r="N38" i="61"/>
  <c r="N42" i="61" s="1"/>
  <c r="EA81" i="2" s="1"/>
  <c r="N36" i="61"/>
  <c r="P37" i="15"/>
  <c r="O40" i="15"/>
  <c r="O42" i="15" s="1"/>
  <c r="S81" i="15"/>
  <c r="P79" i="15"/>
  <c r="O82" i="15"/>
  <c r="O84" i="15" s="1"/>
  <c r="R61" i="15"/>
  <c r="P74" i="15"/>
  <c r="P75" i="15" s="1"/>
  <c r="P77" i="15" s="1"/>
  <c r="Q73" i="15"/>
  <c r="R19" i="15"/>
  <c r="P45" i="15"/>
  <c r="Q2" i="15"/>
  <c r="P32" i="15"/>
  <c r="P33" i="15" s="1"/>
  <c r="P35" i="15" s="1"/>
  <c r="Q31" i="15"/>
  <c r="X87" i="15"/>
  <c r="U57" i="15"/>
  <c r="N88" i="15"/>
  <c r="T34" i="15"/>
  <c r="R49" i="15"/>
  <c r="Q51" i="15"/>
  <c r="Q62" i="15" s="1"/>
  <c r="Q63" i="15" s="1"/>
  <c r="Q65" i="15" s="1"/>
  <c r="Q70" i="15" s="1"/>
  <c r="Q22" i="15"/>
  <c r="P23" i="15"/>
  <c r="P28" i="15" s="1"/>
  <c r="S64" i="15"/>
  <c r="R9" i="15"/>
  <c r="P53" i="15"/>
  <c r="P58" i="15" s="1"/>
  <c r="Q52" i="15"/>
  <c r="R76" i="15"/>
  <c r="X14" i="15"/>
  <c r="W27" i="15"/>
  <c r="V39" i="15"/>
  <c r="T69" i="15"/>
  <c r="Q8" i="15"/>
  <c r="Q10" i="15" s="1"/>
  <c r="Q16" i="15" s="1"/>
  <c r="R6" i="15"/>
  <c r="I6" i="67"/>
  <c r="CM8" i="2"/>
  <c r="AI138" i="19"/>
  <c r="AI166" i="19"/>
  <c r="AH225" i="19"/>
  <c r="AL169" i="19"/>
  <c r="AK228" i="19"/>
  <c r="AL181" i="19"/>
  <c r="AK244" i="19"/>
  <c r="AL163" i="19"/>
  <c r="AK222" i="19"/>
  <c r="AL167" i="19"/>
  <c r="AK226" i="19"/>
  <c r="AL175" i="19"/>
  <c r="AK234" i="19"/>
  <c r="AI221" i="19"/>
  <c r="AJ162" i="19"/>
  <c r="AL71" i="19"/>
  <c r="AM1" i="19"/>
  <c r="AL72" i="19"/>
  <c r="AK74" i="19"/>
  <c r="AJ29" i="18" s="1"/>
  <c r="AJ23" i="18"/>
  <c r="AL230" i="19"/>
  <c r="AL96" i="19"/>
  <c r="AM48" i="19"/>
  <c r="AK183" i="19"/>
  <c r="AJ246" i="19"/>
  <c r="AK164" i="19"/>
  <c r="AJ223" i="19"/>
  <c r="AJ172" i="19"/>
  <c r="AI231" i="19"/>
  <c r="AK190" i="19"/>
  <c r="AJ249" i="19"/>
  <c r="AO87" i="19"/>
  <c r="AK248" i="19"/>
  <c r="AL189" i="19"/>
  <c r="AJ229" i="19"/>
  <c r="AK170" i="19"/>
  <c r="AK97" i="19"/>
  <c r="AJ43" i="16" s="1"/>
  <c r="AL60" i="19"/>
  <c r="AL64" i="19" s="1"/>
  <c r="AJ138" i="19"/>
  <c r="AO115" i="19"/>
  <c r="AJ219" i="19"/>
  <c r="AK160" i="19"/>
  <c r="AM241" i="19"/>
  <c r="AN187" i="19"/>
  <c r="AK250" i="19"/>
  <c r="AL191" i="19"/>
  <c r="AK272" i="19"/>
  <c r="AL213" i="19"/>
  <c r="AJ217" i="19"/>
  <c r="AK158" i="19"/>
  <c r="AJ247" i="19"/>
  <c r="AK184" i="19"/>
  <c r="AH233" i="19"/>
  <c r="AI174" i="19"/>
  <c r="AL252" i="19"/>
  <c r="AM193" i="19"/>
  <c r="AK224" i="19"/>
  <c r="AL165" i="19"/>
  <c r="AG275" i="19"/>
  <c r="AO94" i="19"/>
  <c r="AJ22" i="18"/>
  <c r="AK73" i="19"/>
  <c r="AJ28" i="18" s="1"/>
  <c r="AL243" i="19"/>
  <c r="AM180" i="19"/>
  <c r="AJ227" i="19"/>
  <c r="AK168" i="19"/>
  <c r="AL218" i="19"/>
  <c r="AM159" i="19"/>
  <c r="AK238" i="19"/>
  <c r="AL179" i="19"/>
  <c r="AM220" i="19"/>
  <c r="AN161" i="19"/>
  <c r="AJ236" i="19"/>
  <c r="AK177" i="19"/>
  <c r="AL237" i="19"/>
  <c r="AM178" i="19"/>
  <c r="AJ245" i="19"/>
  <c r="AK182" i="19"/>
  <c r="AN271" i="19"/>
  <c r="AN132" i="19"/>
  <c r="AO61" i="19"/>
  <c r="AM113" i="19"/>
  <c r="AN57" i="19"/>
  <c r="AM242" i="19"/>
  <c r="AO106" i="19"/>
  <c r="V14" i="32"/>
  <c r="AN71" i="16"/>
  <c r="AN82" i="16"/>
  <c r="AN79" i="16"/>
  <c r="AN58" i="16"/>
  <c r="AH109" i="16"/>
  <c r="AJ7" i="16"/>
  <c r="AJ154" i="18"/>
  <c r="V117" i="18"/>
  <c r="W117" i="18" s="1"/>
  <c r="X117" i="18" s="1"/>
  <c r="Y117" i="18" s="1"/>
  <c r="Z117" i="18" s="1"/>
  <c r="AA117" i="18" s="1"/>
  <c r="AB117" i="18" s="1"/>
  <c r="AC117" i="18" s="1"/>
  <c r="AD117" i="18" s="1"/>
  <c r="AE117" i="18" s="1"/>
  <c r="AF117" i="18" s="1"/>
  <c r="AG117" i="18" s="1"/>
  <c r="W104" i="18"/>
  <c r="AM169" i="18"/>
  <c r="AN15" i="18"/>
  <c r="AN169" i="18" s="1"/>
  <c r="AM174" i="18"/>
  <c r="AN30" i="18"/>
  <c r="ER38" i="2"/>
  <c r="EM10" i="2"/>
  <c r="EZ99" i="2"/>
  <c r="DG98" i="2"/>
  <c r="ED25" i="2"/>
  <c r="ED23" i="2" s="1"/>
  <c r="EE26" i="2"/>
  <c r="EE25" i="2" s="1"/>
  <c r="EK107" i="2"/>
  <c r="EI43" i="2"/>
  <c r="EP100" i="2"/>
  <c r="EK105" i="2"/>
  <c r="EF104" i="2"/>
  <c r="EN18" i="2"/>
  <c r="EN14" i="2"/>
  <c r="CD120" i="2"/>
  <c r="CD116" i="2" s="1"/>
  <c r="CI101" i="2"/>
  <c r="CI120" i="2" s="1"/>
  <c r="CE101" i="2"/>
  <c r="EE43" i="2"/>
  <c r="EJ18" i="2"/>
  <c r="EJ14" i="2"/>
  <c r="EX22" i="2"/>
  <c r="EZ48" i="2"/>
  <c r="EV48" i="2" s="1"/>
  <c r="EQ48" i="2"/>
  <c r="EZ43" i="2"/>
  <c r="EV43" i="2" s="1"/>
  <c r="EQ43" i="2"/>
  <c r="EW18" i="2"/>
  <c r="EW14" i="2"/>
  <c r="EZ26" i="2"/>
  <c r="EV26" i="2" s="1"/>
  <c r="EQ26" i="2"/>
  <c r="EA127" i="2"/>
  <c r="EF108" i="2"/>
  <c r="EO22" i="2"/>
  <c r="DV130" i="2"/>
  <c r="EA111" i="2"/>
  <c r="EP103" i="2"/>
  <c r="EW64" i="2"/>
  <c r="EW38" i="2"/>
  <c r="EQ10" i="2"/>
  <c r="EZ10" i="2"/>
  <c r="EV10" i="2" s="1"/>
  <c r="EE48" i="2"/>
  <c r="ES22" i="2"/>
  <c r="EA96" i="2"/>
  <c r="EU59" i="2"/>
  <c r="EP58" i="2"/>
  <c r="EP128" i="2" s="1"/>
  <c r="EJ38" i="2"/>
  <c r="EE10" i="2"/>
  <c r="EI48" i="2"/>
  <c r="EH25" i="2"/>
  <c r="EH23" i="2" s="1"/>
  <c r="EI26" i="2"/>
  <c r="CA97" i="2"/>
  <c r="CC116" i="2"/>
  <c r="CM120" i="2"/>
  <c r="CR101" i="2"/>
  <c r="CN101" i="2" s="1"/>
  <c r="EA106" i="2"/>
  <c r="EA25" i="2"/>
  <c r="EA23" i="2" s="1"/>
  <c r="DZ23" i="2"/>
  <c r="ET65" i="2"/>
  <c r="ET64" i="2" s="1"/>
  <c r="ES64" i="2"/>
  <c r="EN38" i="2"/>
  <c r="EI10" i="2"/>
  <c r="BV97" i="2"/>
  <c r="BX116" i="2"/>
  <c r="EM48" i="2"/>
  <c r="EM43" i="2"/>
  <c r="ER18" i="2"/>
  <c r="ER14" i="2"/>
  <c r="EL25" i="2"/>
  <c r="EL23" i="2" s="1"/>
  <c r="EM26" i="2"/>
  <c r="CF135" i="3"/>
  <c r="CG134" i="3"/>
  <c r="CG135" i="3" s="1"/>
  <c r="EZ59" i="3"/>
  <c r="EU58" i="3"/>
  <c r="EP63" i="3"/>
  <c r="EU64" i="3"/>
  <c r="DB135" i="3"/>
  <c r="AD98" i="16" s="1"/>
  <c r="AK136" i="19" l="1"/>
  <c r="AI87" i="16"/>
  <c r="AJ86" i="16" s="1"/>
  <c r="AI74" i="16"/>
  <c r="AI36" i="16" s="1"/>
  <c r="AI109" i="16" s="1"/>
  <c r="AJ64" i="16"/>
  <c r="AH117" i="18"/>
  <c r="AI117" i="18" s="1"/>
  <c r="AJ117" i="18" s="1"/>
  <c r="AK117" i="18" s="1"/>
  <c r="AL117" i="18" s="1"/>
  <c r="AM117" i="18" s="1"/>
  <c r="AN117" i="18" s="1"/>
  <c r="CO101" i="2"/>
  <c r="CN120" i="2"/>
  <c r="AN174" i="18"/>
  <c r="AN10" i="16"/>
  <c r="AI232" i="19"/>
  <c r="AJ173" i="19"/>
  <c r="AH275" i="19"/>
  <c r="AH276" i="19" s="1"/>
  <c r="Q20" i="15"/>
  <c r="Q21" i="15" s="1"/>
  <c r="Q23" i="15" s="1"/>
  <c r="Q28" i="15" s="1"/>
  <c r="AK235" i="19"/>
  <c r="AL176" i="19"/>
  <c r="AN153" i="18"/>
  <c r="AN13" i="18" s="1"/>
  <c r="AM13" i="18"/>
  <c r="AJ41" i="16"/>
  <c r="AK137" i="19" s="1"/>
  <c r="AK12" i="16"/>
  <c r="AL27" i="18"/>
  <c r="O88" i="15"/>
  <c r="N127" i="22"/>
  <c r="N124" i="22"/>
  <c r="DV79" i="2"/>
  <c r="P119" i="22"/>
  <c r="Q53" i="22"/>
  <c r="Q119" i="22" s="1"/>
  <c r="BU78" i="2"/>
  <c r="BT80" i="2"/>
  <c r="BY78" i="2"/>
  <c r="O121" i="22"/>
  <c r="O123" i="22" s="1"/>
  <c r="M165" i="22"/>
  <c r="CH78" i="2"/>
  <c r="R9" i="32"/>
  <c r="R21" i="32"/>
  <c r="S7" i="32"/>
  <c r="O38" i="61"/>
  <c r="O42" i="61" s="1"/>
  <c r="EF81" i="2" s="1"/>
  <c r="O36" i="61"/>
  <c r="R19" i="61"/>
  <c r="R21" i="61" s="1"/>
  <c r="R23" i="61" s="1"/>
  <c r="R28" i="61" s="1"/>
  <c r="S3" i="61"/>
  <c r="S19" i="61" s="1"/>
  <c r="S21" i="61" s="1"/>
  <c r="S23" i="61" s="1"/>
  <c r="S28" i="61" s="1"/>
  <c r="P8" i="61"/>
  <c r="P10" i="61" s="1"/>
  <c r="P12" i="61" s="1"/>
  <c r="P17" i="61" s="1"/>
  <c r="P30" i="61" s="1"/>
  <c r="P33" i="61" s="1"/>
  <c r="Q5" i="61"/>
  <c r="Q8" i="32"/>
  <c r="Q11" i="32" s="1"/>
  <c r="Q19" i="32" s="1"/>
  <c r="W39" i="15"/>
  <c r="T64" i="15"/>
  <c r="R22" i="15"/>
  <c r="R51" i="15"/>
  <c r="R62" i="15" s="1"/>
  <c r="R63" i="15" s="1"/>
  <c r="R65" i="15" s="1"/>
  <c r="R70" i="15" s="1"/>
  <c r="S49" i="15"/>
  <c r="U34" i="15"/>
  <c r="Y87" i="15"/>
  <c r="R31" i="15"/>
  <c r="Q45" i="15"/>
  <c r="R2" i="15"/>
  <c r="S19" i="15"/>
  <c r="R73" i="15"/>
  <c r="Q74" i="15"/>
  <c r="Q75" i="15" s="1"/>
  <c r="Q77" i="15" s="1"/>
  <c r="S61" i="15"/>
  <c r="S6" i="15"/>
  <c r="R8" i="15"/>
  <c r="R20" i="15" s="1"/>
  <c r="R21" i="15" s="1"/>
  <c r="T81" i="15"/>
  <c r="V57" i="15"/>
  <c r="X27" i="15"/>
  <c r="Y14" i="15"/>
  <c r="S76" i="15"/>
  <c r="Q53" i="15"/>
  <c r="Q58" i="15" s="1"/>
  <c r="R52" i="15"/>
  <c r="R10" i="15"/>
  <c r="R16" i="15" s="1"/>
  <c r="S9" i="15"/>
  <c r="U69" i="15"/>
  <c r="Q79" i="15"/>
  <c r="P82" i="15"/>
  <c r="P84" i="15" s="1"/>
  <c r="Q37" i="15"/>
  <c r="P40" i="15"/>
  <c r="P42" i="15" s="1"/>
  <c r="J46" i="67"/>
  <c r="CO36" i="2" s="1"/>
  <c r="CO37" i="2" s="1"/>
  <c r="CO35" i="2" s="1"/>
  <c r="CO123" i="2" s="1"/>
  <c r="CL7" i="2"/>
  <c r="CM9" i="2"/>
  <c r="CM7" i="2" s="1"/>
  <c r="AN113" i="19"/>
  <c r="AO57" i="19"/>
  <c r="AN242" i="19"/>
  <c r="AO271" i="19"/>
  <c r="AO132" i="19"/>
  <c r="AL238" i="19"/>
  <c r="AM179" i="19"/>
  <c r="AL248" i="19"/>
  <c r="AM189" i="19"/>
  <c r="AL74" i="19"/>
  <c r="AK29" i="18" s="1"/>
  <c r="AK23" i="18"/>
  <c r="AL73" i="19"/>
  <c r="AK28" i="18" s="1"/>
  <c r="AK22" i="18"/>
  <c r="AM218" i="19"/>
  <c r="AN159" i="19"/>
  <c r="AK227" i="19"/>
  <c r="AL168" i="19"/>
  <c r="AM243" i="19"/>
  <c r="AN180" i="19"/>
  <c r="AG276" i="19"/>
  <c r="DL32" i="3"/>
  <c r="AG278" i="19" s="1"/>
  <c r="AG279" i="19" s="1"/>
  <c r="AK229" i="19"/>
  <c r="AL170" i="19"/>
  <c r="AK245" i="19"/>
  <c r="AL182" i="19"/>
  <c r="AM237" i="19"/>
  <c r="AN178" i="19"/>
  <c r="AK236" i="19"/>
  <c r="AL177" i="19"/>
  <c r="AN220" i="19"/>
  <c r="AO161" i="19"/>
  <c r="AO220" i="19" s="1"/>
  <c r="AK65" i="19"/>
  <c r="AK66" i="19" s="1"/>
  <c r="AL224" i="19"/>
  <c r="AM165" i="19"/>
  <c r="AM252" i="19"/>
  <c r="AN193" i="19"/>
  <c r="AI233" i="19"/>
  <c r="AJ174" i="19"/>
  <c r="AK247" i="19"/>
  <c r="AL184" i="19"/>
  <c r="AK217" i="19"/>
  <c r="AL158" i="19"/>
  <c r="AL272" i="19"/>
  <c r="AM213" i="19"/>
  <c r="AL250" i="19"/>
  <c r="AM191" i="19"/>
  <c r="AN241" i="19"/>
  <c r="AO187" i="19"/>
  <c r="AO241" i="19" s="1"/>
  <c r="AK219" i="19"/>
  <c r="AL160" i="19"/>
  <c r="AL97" i="19"/>
  <c r="AK43" i="16" s="1"/>
  <c r="AM60" i="19"/>
  <c r="AL190" i="19"/>
  <c r="AK249" i="19"/>
  <c r="AK172" i="19"/>
  <c r="AJ231" i="19"/>
  <c r="AL164" i="19"/>
  <c r="AK223" i="19"/>
  <c r="AK246" i="19"/>
  <c r="AL183" i="19"/>
  <c r="AM230" i="19"/>
  <c r="AM96" i="19"/>
  <c r="AN48" i="19"/>
  <c r="AM64" i="19"/>
  <c r="AM72" i="19"/>
  <c r="AM71" i="19"/>
  <c r="AN1" i="19"/>
  <c r="AJ221" i="19"/>
  <c r="AK162" i="19"/>
  <c r="AM175" i="19"/>
  <c r="AL234" i="19"/>
  <c r="AM167" i="19"/>
  <c r="AL226" i="19"/>
  <c r="AM163" i="19"/>
  <c r="AL222" i="19"/>
  <c r="AM181" i="19"/>
  <c r="AL244" i="19"/>
  <c r="AM169" i="19"/>
  <c r="AL228" i="19"/>
  <c r="AJ166" i="19"/>
  <c r="AI225" i="19"/>
  <c r="W14" i="32"/>
  <c r="AN96" i="16"/>
  <c r="AN37" i="16"/>
  <c r="X104" i="18"/>
  <c r="W118" i="18"/>
  <c r="X118" i="18" s="1"/>
  <c r="Y118" i="18" s="1"/>
  <c r="Z118" i="18" s="1"/>
  <c r="AA118" i="18" s="1"/>
  <c r="AB118" i="18" s="1"/>
  <c r="AC118" i="18" s="1"/>
  <c r="AD118" i="18" s="1"/>
  <c r="AE118" i="18" s="1"/>
  <c r="AF118" i="18" s="1"/>
  <c r="AG118" i="18" s="1"/>
  <c r="AH118" i="18" s="1"/>
  <c r="AI118" i="18" s="1"/>
  <c r="AJ118" i="18" s="1"/>
  <c r="AK118" i="18" s="1"/>
  <c r="AL118" i="18" s="1"/>
  <c r="AM118" i="18" s="1"/>
  <c r="AN118" i="18" s="1"/>
  <c r="AK155" i="18"/>
  <c r="AK154" i="18" s="1"/>
  <c r="AJ12" i="18"/>
  <c r="AJ170" i="18" s="1"/>
  <c r="EJ10" i="2"/>
  <c r="EO38" i="2"/>
  <c r="EF96" i="2"/>
  <c r="ER10" i="2"/>
  <c r="EU103" i="2"/>
  <c r="EA130" i="2"/>
  <c r="EF111" i="2"/>
  <c r="EF127" i="2"/>
  <c r="EK108" i="2"/>
  <c r="ER26" i="2"/>
  <c r="EQ25" i="2"/>
  <c r="EQ23" i="2" s="1"/>
  <c r="EX14" i="2"/>
  <c r="EX18" i="2"/>
  <c r="ER43" i="2"/>
  <c r="ER48" i="2"/>
  <c r="CE120" i="2"/>
  <c r="CE116" i="2" s="1"/>
  <c r="CE97" i="2" s="1"/>
  <c r="CJ101" i="2"/>
  <c r="CJ120" i="2" s="1"/>
  <c r="CF101" i="2"/>
  <c r="CD97" i="2"/>
  <c r="EO14" i="2"/>
  <c r="EO18" i="2"/>
  <c r="EJ43" i="2"/>
  <c r="DL98" i="2"/>
  <c r="EN10" i="2"/>
  <c r="ES38" i="2"/>
  <c r="EN48" i="2"/>
  <c r="EN26" i="2"/>
  <c r="EM25" i="2"/>
  <c r="EM23" i="2" s="1"/>
  <c r="ES14" i="2"/>
  <c r="ES18" i="2"/>
  <c r="EN43" i="2"/>
  <c r="BX97" i="2"/>
  <c r="BX131" i="2"/>
  <c r="BX112" i="2" s="1"/>
  <c r="EF106" i="2"/>
  <c r="CR120" i="2"/>
  <c r="CW101" i="2"/>
  <c r="CC97" i="2"/>
  <c r="CC131" i="2"/>
  <c r="EJ26" i="2"/>
  <c r="EJ25" i="2" s="1"/>
  <c r="EI25" i="2"/>
  <c r="EI23" i="2" s="1"/>
  <c r="EJ48" i="2"/>
  <c r="EZ59" i="2"/>
  <c r="EZ58" i="2" s="1"/>
  <c r="EZ128" i="2" s="1"/>
  <c r="EU58" i="2"/>
  <c r="EU128" i="2" s="1"/>
  <c r="ET22" i="2"/>
  <c r="EW10" i="2"/>
  <c r="EX38" i="2"/>
  <c r="EW26" i="2"/>
  <c r="EV25" i="2"/>
  <c r="EV23" i="2" s="1"/>
  <c r="EW43" i="2"/>
  <c r="EW48" i="2"/>
  <c r="EY22" i="2"/>
  <c r="EK104" i="2"/>
  <c r="EP105" i="2"/>
  <c r="EU100" i="2"/>
  <c r="EP107" i="2"/>
  <c r="EF25" i="2"/>
  <c r="EF23" i="2" s="1"/>
  <c r="EE23" i="2"/>
  <c r="DG135" i="3"/>
  <c r="AE98" i="16" s="1"/>
  <c r="EU63" i="3"/>
  <c r="EZ64" i="3"/>
  <c r="EZ63" i="3" s="1"/>
  <c r="EZ58" i="3"/>
  <c r="AK138" i="19" l="1"/>
  <c r="AI275" i="19"/>
  <c r="DV32" i="3" s="1"/>
  <c r="AI278" i="19" s="1"/>
  <c r="AI279" i="19" s="1"/>
  <c r="DQ32" i="3"/>
  <c r="AH278" i="19" s="1"/>
  <c r="AH279" i="19" s="1"/>
  <c r="AJ76" i="16"/>
  <c r="AI65" i="16"/>
  <c r="AJ68" i="16"/>
  <c r="AJ70" i="16"/>
  <c r="Q32" i="15"/>
  <c r="Q33" i="15" s="1"/>
  <c r="Q35" i="15" s="1"/>
  <c r="CP101" i="2"/>
  <c r="CO120" i="2"/>
  <c r="P88" i="15"/>
  <c r="AL235" i="19"/>
  <c r="AM176" i="19"/>
  <c r="AJ232" i="19"/>
  <c r="AK173" i="19"/>
  <c r="AM27" i="18"/>
  <c r="AL12" i="16"/>
  <c r="O127" i="22"/>
  <c r="O124" i="22"/>
  <c r="BY80" i="2"/>
  <c r="BZ78" i="2"/>
  <c r="Q123" i="22"/>
  <c r="Q121" i="22"/>
  <c r="CD78" i="2"/>
  <c r="CE78" i="2" s="1"/>
  <c r="CF78" i="2" s="1"/>
  <c r="CH80" i="2"/>
  <c r="BU80" i="2"/>
  <c r="BV78" i="2"/>
  <c r="P121" i="22"/>
  <c r="P123" i="22" s="1"/>
  <c r="EA79" i="2"/>
  <c r="N165" i="22"/>
  <c r="CM78" i="2"/>
  <c r="Q8" i="61"/>
  <c r="Q10" i="61" s="1"/>
  <c r="Q12" i="61" s="1"/>
  <c r="Q17" i="61" s="1"/>
  <c r="Q30" i="61" s="1"/>
  <c r="Q33" i="61" s="1"/>
  <c r="R5" i="61"/>
  <c r="T7" i="32"/>
  <c r="P38" i="61"/>
  <c r="P42" i="61" s="1"/>
  <c r="EK81" i="2" s="1"/>
  <c r="P36" i="61"/>
  <c r="S9" i="32"/>
  <c r="S21" i="32"/>
  <c r="R8" i="32"/>
  <c r="R11" i="32" s="1"/>
  <c r="R19" i="32" s="1"/>
  <c r="R79" i="15"/>
  <c r="Q82" i="15"/>
  <c r="Q84" i="15" s="1"/>
  <c r="U81" i="15"/>
  <c r="R45" i="15"/>
  <c r="S2" i="15"/>
  <c r="R32" i="15"/>
  <c r="R33" i="15" s="1"/>
  <c r="R35" i="15" s="1"/>
  <c r="S31" i="15"/>
  <c r="Z87" i="15"/>
  <c r="V34" i="15"/>
  <c r="T49" i="15"/>
  <c r="S51" i="15"/>
  <c r="S22" i="15"/>
  <c r="R23" i="15"/>
  <c r="R28" i="15" s="1"/>
  <c r="U64" i="15"/>
  <c r="R37" i="15"/>
  <c r="Q40" i="15"/>
  <c r="Q42" i="15" s="1"/>
  <c r="T9" i="15"/>
  <c r="R53" i="15"/>
  <c r="R58" i="15" s="1"/>
  <c r="S52" i="15"/>
  <c r="T76" i="15"/>
  <c r="Z14" i="15"/>
  <c r="Y27" i="15"/>
  <c r="X39" i="15"/>
  <c r="V69" i="15"/>
  <c r="S8" i="15"/>
  <c r="S10" i="15" s="1"/>
  <c r="S16" i="15" s="1"/>
  <c r="T6" i="15"/>
  <c r="S62" i="15"/>
  <c r="S63" i="15" s="1"/>
  <c r="S65" i="15" s="1"/>
  <c r="S70" i="15" s="1"/>
  <c r="T61" i="15"/>
  <c r="R74" i="15"/>
  <c r="R75" i="15" s="1"/>
  <c r="R77" i="15" s="1"/>
  <c r="S73" i="15"/>
  <c r="T19" i="15"/>
  <c r="W57" i="15"/>
  <c r="G26" i="67"/>
  <c r="H24" i="67"/>
  <c r="H26" i="67" s="1"/>
  <c r="E56" i="67"/>
  <c r="CN7" i="2"/>
  <c r="CM139" i="2"/>
  <c r="AI276" i="19"/>
  <c r="AM74" i="19"/>
  <c r="AL29" i="18" s="1"/>
  <c r="AL23" i="18"/>
  <c r="AN230" i="19"/>
  <c r="AN96" i="19"/>
  <c r="AO48" i="19"/>
  <c r="AM164" i="19"/>
  <c r="AL223" i="19"/>
  <c r="AL172" i="19"/>
  <c r="AK231" i="19"/>
  <c r="AM190" i="19"/>
  <c r="AL249" i="19"/>
  <c r="AL219" i="19"/>
  <c r="AM160" i="19"/>
  <c r="AM250" i="19"/>
  <c r="AN191" i="19"/>
  <c r="AM272" i="19"/>
  <c r="AN213" i="19"/>
  <c r="AL217" i="19"/>
  <c r="AM158" i="19"/>
  <c r="AL247" i="19"/>
  <c r="AM184" i="19"/>
  <c r="AJ233" i="19"/>
  <c r="AK174" i="19"/>
  <c r="AN252" i="19"/>
  <c r="AO193" i="19"/>
  <c r="AO252" i="19" s="1"/>
  <c r="AM224" i="19"/>
  <c r="AN165" i="19"/>
  <c r="AN243" i="19"/>
  <c r="AO180" i="19"/>
  <c r="AO243" i="19" s="1"/>
  <c r="AL227" i="19"/>
  <c r="AM168" i="19"/>
  <c r="AN218" i="19"/>
  <c r="AO159" i="19"/>
  <c r="AO218" i="19" s="1"/>
  <c r="AL136" i="19"/>
  <c r="AK41" i="16"/>
  <c r="AL137" i="19" s="1"/>
  <c r="AO113" i="19"/>
  <c r="AO242" i="19"/>
  <c r="AK221" i="19"/>
  <c r="AL162" i="19"/>
  <c r="AN71" i="19"/>
  <c r="AO1" i="19"/>
  <c r="AN72" i="19"/>
  <c r="AK166" i="19"/>
  <c r="AJ225" i="19"/>
  <c r="AN169" i="19"/>
  <c r="AM228" i="19"/>
  <c r="AN181" i="19"/>
  <c r="AM244" i="19"/>
  <c r="AN163" i="19"/>
  <c r="AM222" i="19"/>
  <c r="AN167" i="19"/>
  <c r="AM226" i="19"/>
  <c r="AN175" i="19"/>
  <c r="AM234" i="19"/>
  <c r="AL22" i="18"/>
  <c r="AM73" i="19"/>
  <c r="AL28" i="18" s="1"/>
  <c r="AL246" i="19"/>
  <c r="AM183" i="19"/>
  <c r="AM97" i="19"/>
  <c r="AL41" i="16" s="1"/>
  <c r="AN60" i="19"/>
  <c r="AN64" i="19" s="1"/>
  <c r="AL236" i="19"/>
  <c r="AM177" i="19"/>
  <c r="AN237" i="19"/>
  <c r="AO178" i="19"/>
  <c r="AO237" i="19" s="1"/>
  <c r="AL245" i="19"/>
  <c r="AM182" i="19"/>
  <c r="AL229" i="19"/>
  <c r="AM170" i="19"/>
  <c r="AL65" i="19"/>
  <c r="AL66" i="19" s="1"/>
  <c r="AM248" i="19"/>
  <c r="AN189" i="19"/>
  <c r="AM238" i="19"/>
  <c r="AN179" i="19"/>
  <c r="AK7" i="16"/>
  <c r="Y104" i="18"/>
  <c r="X119" i="18"/>
  <c r="Y119" i="18" s="1"/>
  <c r="Z119" i="18" s="1"/>
  <c r="AA119" i="18" s="1"/>
  <c r="AB119" i="18" s="1"/>
  <c r="AC119" i="18" s="1"/>
  <c r="AD119" i="18" s="1"/>
  <c r="AE119" i="18" s="1"/>
  <c r="AF119" i="18" s="1"/>
  <c r="AG119" i="18" s="1"/>
  <c r="AH119" i="18" s="1"/>
  <c r="AI119" i="18" s="1"/>
  <c r="AJ119" i="18" s="1"/>
  <c r="AK119" i="18" s="1"/>
  <c r="AL119" i="18" s="1"/>
  <c r="AM119" i="18" s="1"/>
  <c r="AN119" i="18" s="1"/>
  <c r="AL155" i="18"/>
  <c r="AK12" i="18"/>
  <c r="AK170" i="18" s="1"/>
  <c r="EX43" i="2"/>
  <c r="EX26" i="2"/>
  <c r="EW25" i="2"/>
  <c r="EW23" i="2" s="1"/>
  <c r="EY38" i="2"/>
  <c r="EK25" i="2"/>
  <c r="EK23" i="2" s="1"/>
  <c r="EJ23" i="2"/>
  <c r="EO43" i="2"/>
  <c r="ET18" i="2"/>
  <c r="ET14" i="2"/>
  <c r="EO26" i="2"/>
  <c r="EO25" i="2" s="1"/>
  <c r="EN25" i="2"/>
  <c r="EN23" i="2" s="1"/>
  <c r="EO48" i="2"/>
  <c r="ET38" i="2"/>
  <c r="EO10" i="2"/>
  <c r="DQ98" i="2"/>
  <c r="CF120" i="2"/>
  <c r="CK101" i="2"/>
  <c r="CK120" i="2" s="1"/>
  <c r="CG101" i="2"/>
  <c r="CL101" i="2" s="1"/>
  <c r="CL120" i="2" s="1"/>
  <c r="ES48" i="2"/>
  <c r="EY18" i="2"/>
  <c r="EY14" i="2"/>
  <c r="ES26" i="2"/>
  <c r="ER25" i="2"/>
  <c r="ER23" i="2" s="1"/>
  <c r="EU107" i="2"/>
  <c r="EZ100" i="2"/>
  <c r="EU105" i="2"/>
  <c r="EP104" i="2"/>
  <c r="EX48" i="2"/>
  <c r="EX10" i="2"/>
  <c r="CW120" i="2"/>
  <c r="DB101" i="2"/>
  <c r="EK106" i="2"/>
  <c r="ES43" i="2"/>
  <c r="EK127" i="2"/>
  <c r="EP108" i="2"/>
  <c r="EF130" i="2"/>
  <c r="EK111" i="2"/>
  <c r="EZ103" i="2"/>
  <c r="ES10" i="2"/>
  <c r="EK96" i="2"/>
  <c r="DL135" i="3"/>
  <c r="AF98" i="16" s="1"/>
  <c r="AJ275" i="19" l="1"/>
  <c r="AJ276" i="19" s="1"/>
  <c r="AL43" i="16"/>
  <c r="AM137" i="19" s="1"/>
  <c r="AM65" i="19"/>
  <c r="AM66" i="19" s="1"/>
  <c r="AK64" i="16"/>
  <c r="AK70" i="16" s="1"/>
  <c r="AJ87" i="16"/>
  <c r="AK86" i="16" s="1"/>
  <c r="AJ74" i="16"/>
  <c r="AJ36" i="16" s="1"/>
  <c r="AJ109" i="16" s="1"/>
  <c r="CQ101" i="2"/>
  <c r="CQ120" i="2" s="1"/>
  <c r="CP120" i="2"/>
  <c r="S20" i="15"/>
  <c r="S21" i="15" s="1"/>
  <c r="S32" i="15" s="1"/>
  <c r="S33" i="15" s="1"/>
  <c r="S35" i="15" s="1"/>
  <c r="AK232" i="19"/>
  <c r="AL173" i="19"/>
  <c r="AM235" i="19"/>
  <c r="AN176" i="19"/>
  <c r="AN27" i="18"/>
  <c r="AN12" i="16" s="1"/>
  <c r="AM12" i="16"/>
  <c r="CG78" i="2"/>
  <c r="P127" i="22"/>
  <c r="P124" i="22"/>
  <c r="CI78" i="2"/>
  <c r="CJ78" i="2" s="1"/>
  <c r="BV80" i="2"/>
  <c r="BW78" i="2"/>
  <c r="BW80" i="2" s="1"/>
  <c r="Q127" i="22"/>
  <c r="Q124" i="22"/>
  <c r="CA78" i="2"/>
  <c r="BZ80" i="2"/>
  <c r="EF79" i="2"/>
  <c r="CD80" i="2"/>
  <c r="CG80" i="2"/>
  <c r="CF80" i="2"/>
  <c r="CE80" i="2"/>
  <c r="O165" i="22"/>
  <c r="S8" i="32"/>
  <c r="S11" i="32" s="1"/>
  <c r="S19" i="32" s="1"/>
  <c r="R8" i="61"/>
  <c r="R10" i="61" s="1"/>
  <c r="R12" i="61" s="1"/>
  <c r="R17" i="61" s="1"/>
  <c r="R30" i="61" s="1"/>
  <c r="R33" i="61" s="1"/>
  <c r="S5" i="61"/>
  <c r="S8" i="61" s="1"/>
  <c r="S10" i="61" s="1"/>
  <c r="S12" i="61" s="1"/>
  <c r="S17" i="61" s="1"/>
  <c r="S30" i="61" s="1"/>
  <c r="S33" i="61" s="1"/>
  <c r="T9" i="32"/>
  <c r="T21" i="32"/>
  <c r="U7" i="32"/>
  <c r="Q38" i="61"/>
  <c r="Q42" i="61" s="1"/>
  <c r="EP81" i="2" s="1"/>
  <c r="Q36" i="61"/>
  <c r="U19" i="15"/>
  <c r="S74" i="15"/>
  <c r="S75" i="15" s="1"/>
  <c r="S77" i="15" s="1"/>
  <c r="T73" i="15"/>
  <c r="U61" i="15"/>
  <c r="U6" i="15"/>
  <c r="T8" i="15"/>
  <c r="T10" i="15" s="1"/>
  <c r="T16" i="15" s="1"/>
  <c r="V81" i="15"/>
  <c r="X57" i="15"/>
  <c r="Z27" i="15"/>
  <c r="U76" i="15"/>
  <c r="S53" i="15"/>
  <c r="S58" i="15" s="1"/>
  <c r="T52" i="15"/>
  <c r="U9" i="15"/>
  <c r="T31" i="15"/>
  <c r="S45" i="15"/>
  <c r="T2" i="15"/>
  <c r="Q88" i="15"/>
  <c r="W69" i="15"/>
  <c r="Y39" i="15"/>
  <c r="S37" i="15"/>
  <c r="R40" i="15"/>
  <c r="R42" i="15" s="1"/>
  <c r="V64" i="15"/>
  <c r="T22" i="15"/>
  <c r="T51" i="15"/>
  <c r="T62" i="15" s="1"/>
  <c r="T63" i="15" s="1"/>
  <c r="T65" i="15" s="1"/>
  <c r="T70" i="15" s="1"/>
  <c r="U49" i="15"/>
  <c r="W34" i="15"/>
  <c r="R82" i="15"/>
  <c r="R84" i="15" s="1"/>
  <c r="CM21" i="2"/>
  <c r="CM20" i="2"/>
  <c r="K46" i="67"/>
  <c r="CP36" i="2" s="1"/>
  <c r="CP37" i="2" s="1"/>
  <c r="CP35" i="2" s="1"/>
  <c r="CP123" i="2" s="1"/>
  <c r="CJ50" i="2"/>
  <c r="J6" i="67"/>
  <c r="CO8" i="2" s="1"/>
  <c r="EA32" i="3"/>
  <c r="AJ278" i="19" s="1"/>
  <c r="AJ279" i="19" s="1"/>
  <c r="AM229" i="19"/>
  <c r="AN170" i="19"/>
  <c r="AM245" i="19"/>
  <c r="AN182" i="19"/>
  <c r="AM236" i="19"/>
  <c r="AN177" i="19"/>
  <c r="AM246" i="19"/>
  <c r="AN183" i="19"/>
  <c r="AM136" i="19"/>
  <c r="AO175" i="19"/>
  <c r="AO234" i="19" s="1"/>
  <c r="AN234" i="19"/>
  <c r="AO167" i="19"/>
  <c r="AO226" i="19" s="1"/>
  <c r="AN226" i="19"/>
  <c r="AO163" i="19"/>
  <c r="AO222" i="19" s="1"/>
  <c r="AN222" i="19"/>
  <c r="AO181" i="19"/>
  <c r="AO244" i="19" s="1"/>
  <c r="AN244" i="19"/>
  <c r="AO169" i="19"/>
  <c r="AO228" i="19" s="1"/>
  <c r="AN228" i="19"/>
  <c r="AL166" i="19"/>
  <c r="AK225" i="19"/>
  <c r="AO72" i="19"/>
  <c r="AO71" i="19"/>
  <c r="AL221" i="19"/>
  <c r="AM162" i="19"/>
  <c r="AM227" i="19"/>
  <c r="AN168" i="19"/>
  <c r="AN224" i="19"/>
  <c r="AO165" i="19"/>
  <c r="AO224" i="19" s="1"/>
  <c r="AK233" i="19"/>
  <c r="AL174" i="19"/>
  <c r="AM247" i="19"/>
  <c r="AN184" i="19"/>
  <c r="AM217" i="19"/>
  <c r="AN158" i="19"/>
  <c r="AN272" i="19"/>
  <c r="AO213" i="19"/>
  <c r="AO272" i="19" s="1"/>
  <c r="AN250" i="19"/>
  <c r="AO191" i="19"/>
  <c r="AO250" i="19" s="1"/>
  <c r="AM219" i="19"/>
  <c r="AN160" i="19"/>
  <c r="AN238" i="19"/>
  <c r="AO179" i="19"/>
  <c r="AO238" i="19" s="1"/>
  <c r="AN248" i="19"/>
  <c r="AO189" i="19"/>
  <c r="AO248" i="19" s="1"/>
  <c r="AN97" i="19"/>
  <c r="AM43" i="16" s="1"/>
  <c r="AO60" i="19"/>
  <c r="AO64" i="19" s="1"/>
  <c r="AN74" i="19"/>
  <c r="AM29" i="18" s="1"/>
  <c r="AM23" i="18"/>
  <c r="AN73" i="19"/>
  <c r="AM28" i="18" s="1"/>
  <c r="AM22" i="18"/>
  <c r="AL138" i="19"/>
  <c r="AN190" i="19"/>
  <c r="AM249" i="19"/>
  <c r="AM172" i="19"/>
  <c r="AL231" i="19"/>
  <c r="AN164" i="19"/>
  <c r="AM223" i="19"/>
  <c r="AO230" i="19"/>
  <c r="AO96" i="19"/>
  <c r="AL7" i="16"/>
  <c r="AL154" i="18"/>
  <c r="Y120" i="18"/>
  <c r="Z120" i="18" s="1"/>
  <c r="AA120" i="18" s="1"/>
  <c r="AB120" i="18" s="1"/>
  <c r="AC120" i="18" s="1"/>
  <c r="AD120" i="18" s="1"/>
  <c r="AE120" i="18" s="1"/>
  <c r="AF120" i="18" s="1"/>
  <c r="AG120" i="18" s="1"/>
  <c r="AH120" i="18" s="1"/>
  <c r="AI120" i="18" s="1"/>
  <c r="AJ120" i="18" s="1"/>
  <c r="AK120" i="18" s="1"/>
  <c r="AL120" i="18" s="1"/>
  <c r="AM120" i="18" s="1"/>
  <c r="AN120" i="18" s="1"/>
  <c r="Z104" i="18"/>
  <c r="AA104" i="18" s="1"/>
  <c r="EP96" i="2"/>
  <c r="ET10" i="2"/>
  <c r="ET43" i="2"/>
  <c r="EP106" i="2"/>
  <c r="DB120" i="2"/>
  <c r="DG101" i="2"/>
  <c r="EU104" i="2"/>
  <c r="EZ105" i="2"/>
  <c r="EZ107" i="2"/>
  <c r="CF116" i="2"/>
  <c r="CG120" i="2"/>
  <c r="EP25" i="2"/>
  <c r="EP23" i="2" s="1"/>
  <c r="EO23" i="2"/>
  <c r="EX25" i="2"/>
  <c r="EX23" i="2" s="1"/>
  <c r="EY26" i="2"/>
  <c r="EY25" i="2" s="1"/>
  <c r="EY43" i="2"/>
  <c r="EK130" i="2"/>
  <c r="EP111" i="2"/>
  <c r="EP127" i="2"/>
  <c r="EU108" i="2"/>
  <c r="EY10" i="2"/>
  <c r="EY48" i="2"/>
  <c r="ET26" i="2"/>
  <c r="ET25" i="2" s="1"/>
  <c r="ES25" i="2"/>
  <c r="ES23" i="2" s="1"/>
  <c r="ET48" i="2"/>
  <c r="DV98" i="2"/>
  <c r="DQ135" i="3"/>
  <c r="AG98" i="16" s="1"/>
  <c r="AM138" i="19" l="1"/>
  <c r="AN65" i="19"/>
  <c r="AN66" i="19" s="1"/>
  <c r="AK76" i="16"/>
  <c r="AK68" i="16"/>
  <c r="AJ65" i="16"/>
  <c r="AK87" i="16"/>
  <c r="AL86" i="16" s="1"/>
  <c r="AK74" i="16"/>
  <c r="AK36" i="16" s="1"/>
  <c r="AK109" i="16" s="1"/>
  <c r="AL64" i="16"/>
  <c r="R88" i="15"/>
  <c r="S23" i="15"/>
  <c r="S28" i="15" s="1"/>
  <c r="I26" i="67"/>
  <c r="CN19" i="2" s="1"/>
  <c r="T20" i="15"/>
  <c r="T21" i="15" s="1"/>
  <c r="T32" i="15" s="1"/>
  <c r="T33" i="15" s="1"/>
  <c r="T35" i="15" s="1"/>
  <c r="BX80" i="2"/>
  <c r="AL232" i="19"/>
  <c r="AM173" i="19"/>
  <c r="AN235" i="19"/>
  <c r="AO176" i="19"/>
  <c r="AO235" i="19" s="1"/>
  <c r="CM19" i="2"/>
  <c r="CM142" i="2" s="1"/>
  <c r="CL19" i="2"/>
  <c r="CR83" i="2"/>
  <c r="CK78" i="2"/>
  <c r="CK4" i="3" s="1"/>
  <c r="EK79" i="2"/>
  <c r="CA80" i="2"/>
  <c r="CC80" i="2" s="1"/>
  <c r="CB78" i="2"/>
  <c r="Q165" i="22"/>
  <c r="DB78" i="2"/>
  <c r="P165" i="22"/>
  <c r="CW78" i="2"/>
  <c r="U9" i="32"/>
  <c r="U21" i="32"/>
  <c r="T8" i="32"/>
  <c r="T11" i="32" s="1"/>
  <c r="T19" i="32" s="1"/>
  <c r="W7" i="32"/>
  <c r="S38" i="61"/>
  <c r="S42" i="61" s="1"/>
  <c r="EZ81" i="2" s="1"/>
  <c r="S36" i="61"/>
  <c r="V7" i="32"/>
  <c r="R38" i="61"/>
  <c r="R42" i="61" s="1"/>
  <c r="EU81" i="2" s="1"/>
  <c r="R36" i="61"/>
  <c r="S82" i="15"/>
  <c r="S84" i="15" s="1"/>
  <c r="X34" i="15"/>
  <c r="V49" i="15"/>
  <c r="U51" i="15"/>
  <c r="U62" i="15" s="1"/>
  <c r="U63" i="15" s="1"/>
  <c r="U65" i="15" s="1"/>
  <c r="U70" i="15" s="1"/>
  <c r="U22" i="15"/>
  <c r="W64" i="15"/>
  <c r="U31" i="15"/>
  <c r="U10" i="15"/>
  <c r="U16" i="15" s="1"/>
  <c r="V9" i="15"/>
  <c r="T53" i="15"/>
  <c r="T58" i="15" s="1"/>
  <c r="U52" i="15"/>
  <c r="V76" i="15"/>
  <c r="V61" i="15"/>
  <c r="T74" i="15"/>
  <c r="T75" i="15" s="1"/>
  <c r="T77" i="15" s="1"/>
  <c r="U73" i="15"/>
  <c r="U20" i="15"/>
  <c r="U21" i="15" s="1"/>
  <c r="V19" i="15"/>
  <c r="T37" i="15"/>
  <c r="S40" i="15"/>
  <c r="Y57" i="15"/>
  <c r="W81" i="15"/>
  <c r="T45" i="15"/>
  <c r="U2" i="15"/>
  <c r="Z39" i="15"/>
  <c r="X69" i="15"/>
  <c r="U8" i="15"/>
  <c r="V6" i="15"/>
  <c r="CJ126" i="2"/>
  <c r="CO9" i="2"/>
  <c r="AO164" i="19"/>
  <c r="AO223" i="19" s="1"/>
  <c r="AN223" i="19"/>
  <c r="AN172" i="19"/>
  <c r="AM231" i="19"/>
  <c r="AO190" i="19"/>
  <c r="AO249" i="19" s="1"/>
  <c r="AN249" i="19"/>
  <c r="AO97" i="19"/>
  <c r="AO136" i="19" s="1"/>
  <c r="AM41" i="16"/>
  <c r="AN137" i="19" s="1"/>
  <c r="AN219" i="19"/>
  <c r="AO160" i="19"/>
  <c r="AO219" i="19" s="1"/>
  <c r="AN217" i="19"/>
  <c r="AO158" i="19"/>
  <c r="AO217" i="19" s="1"/>
  <c r="AN247" i="19"/>
  <c r="AO184" i="19"/>
  <c r="AO247" i="19" s="1"/>
  <c r="AL233" i="19"/>
  <c r="AM174" i="19"/>
  <c r="AN227" i="19"/>
  <c r="AO168" i="19"/>
  <c r="AO227" i="19" s="1"/>
  <c r="AM221" i="19"/>
  <c r="AN162" i="19"/>
  <c r="AN22" i="18"/>
  <c r="AO73" i="19"/>
  <c r="AN28" i="18" s="1"/>
  <c r="AK275" i="19"/>
  <c r="AN136" i="19"/>
  <c r="AO74" i="19"/>
  <c r="AN29" i="18" s="1"/>
  <c r="AN23" i="18"/>
  <c r="AM166" i="19"/>
  <c r="AL225" i="19"/>
  <c r="AN246" i="19"/>
  <c r="AO183" i="19"/>
  <c r="AO246" i="19" s="1"/>
  <c r="AN236" i="19"/>
  <c r="AO177" i="19"/>
  <c r="AO236" i="19" s="1"/>
  <c r="AN245" i="19"/>
  <c r="AO182" i="19"/>
  <c r="AO245" i="19" s="1"/>
  <c r="AN229" i="19"/>
  <c r="AO170" i="19"/>
  <c r="AO229" i="19" s="1"/>
  <c r="AB104" i="18"/>
  <c r="AM155" i="18"/>
  <c r="AL12" i="18"/>
  <c r="AL170" i="18" s="1"/>
  <c r="CF97" i="2"/>
  <c r="CG97" i="2" s="1"/>
  <c r="CG116" i="2" s="1"/>
  <c r="CG131" i="2" s="1"/>
  <c r="DG120" i="2"/>
  <c r="DL101" i="2"/>
  <c r="EU106" i="2"/>
  <c r="EU96" i="2"/>
  <c r="EA98" i="2"/>
  <c r="EU25" i="2"/>
  <c r="EU23" i="2" s="1"/>
  <c r="ET23" i="2"/>
  <c r="EU127" i="2"/>
  <c r="EZ108" i="2"/>
  <c r="EZ127" i="2" s="1"/>
  <c r="EP130" i="2"/>
  <c r="EU111" i="2"/>
  <c r="EZ25" i="2"/>
  <c r="EZ23" i="2" s="1"/>
  <c r="EY23" i="2"/>
  <c r="EZ104" i="2"/>
  <c r="DV135" i="3"/>
  <c r="AH98" i="16" s="1"/>
  <c r="CN119" i="2" l="1"/>
  <c r="AL275" i="19"/>
  <c r="AL276" i="19" s="1"/>
  <c r="AN43" i="16"/>
  <c r="AN41" i="16"/>
  <c r="AL70" i="16"/>
  <c r="AL68" i="16"/>
  <c r="AK65" i="16"/>
  <c r="AL76" i="16"/>
  <c r="S42" i="15"/>
  <c r="T23" i="15"/>
  <c r="T28" i="15" s="1"/>
  <c r="CL119" i="2"/>
  <c r="CR4" i="3"/>
  <c r="AM232" i="19"/>
  <c r="AN173" i="19"/>
  <c r="AN138" i="19"/>
  <c r="CL78" i="2"/>
  <c r="CM119" i="2"/>
  <c r="CS78" i="2"/>
  <c r="CW83" i="2"/>
  <c r="CW4" i="3" s="1"/>
  <c r="EP79" i="2"/>
  <c r="CJ4" i="3"/>
  <c r="DG78" i="2"/>
  <c r="CX78" i="2"/>
  <c r="DB83" i="2"/>
  <c r="DB4" i="3" s="1"/>
  <c r="CO83" i="2"/>
  <c r="CN4" i="3"/>
  <c r="V9" i="32"/>
  <c r="V21" i="32"/>
  <c r="W9" i="32"/>
  <c r="W21" i="32"/>
  <c r="U8" i="32"/>
  <c r="U11" i="32" s="1"/>
  <c r="U19" i="32" s="1"/>
  <c r="V2" i="15"/>
  <c r="U45" i="15"/>
  <c r="W19" i="15"/>
  <c r="V73" i="15"/>
  <c r="U74" i="15"/>
  <c r="U75" i="15" s="1"/>
  <c r="U77" i="15" s="1"/>
  <c r="W61" i="15"/>
  <c r="W76" i="15"/>
  <c r="U53" i="15"/>
  <c r="U58" i="15" s="1"/>
  <c r="V52" i="15"/>
  <c r="W9" i="15"/>
  <c r="U32" i="15"/>
  <c r="U33" i="15" s="1"/>
  <c r="U35" i="15" s="1"/>
  <c r="V31" i="15"/>
  <c r="S88" i="15"/>
  <c r="W6" i="15"/>
  <c r="V8" i="15"/>
  <c r="V20" i="15" s="1"/>
  <c r="V21" i="15" s="1"/>
  <c r="X81" i="15"/>
  <c r="Z57" i="15"/>
  <c r="Y69" i="15"/>
  <c r="U37" i="15"/>
  <c r="T40" i="15"/>
  <c r="X64" i="15"/>
  <c r="U23" i="15"/>
  <c r="U28" i="15" s="1"/>
  <c r="V22" i="15"/>
  <c r="V51" i="15"/>
  <c r="V62" i="15" s="1"/>
  <c r="V63" i="15" s="1"/>
  <c r="V65" i="15" s="1"/>
  <c r="V70" i="15" s="1"/>
  <c r="W49" i="15"/>
  <c r="Y34" i="15"/>
  <c r="T82" i="15"/>
  <c r="T84" i="15" s="1"/>
  <c r="CO7" i="2"/>
  <c r="CO116" i="2" s="1"/>
  <c r="AN166" i="19"/>
  <c r="AM225" i="19"/>
  <c r="AK276" i="19"/>
  <c r="EF32" i="3"/>
  <c r="AK278" i="19" s="1"/>
  <c r="AK279" i="19" s="1"/>
  <c r="AO65" i="19"/>
  <c r="AO66" i="19" s="1"/>
  <c r="AN221" i="19"/>
  <c r="AO162" i="19"/>
  <c r="AO221" i="19" s="1"/>
  <c r="AM233" i="19"/>
  <c r="AN174" i="19"/>
  <c r="AO172" i="19"/>
  <c r="AO231" i="19" s="1"/>
  <c r="AN231" i="19"/>
  <c r="AM7" i="16"/>
  <c r="AM154" i="18"/>
  <c r="AM12" i="18" s="1"/>
  <c r="AM170" i="18" s="1"/>
  <c r="AC104" i="18"/>
  <c r="EU130" i="2"/>
  <c r="EZ111" i="2"/>
  <c r="EZ130" i="2" s="1"/>
  <c r="EF98" i="2"/>
  <c r="EZ96" i="2"/>
  <c r="EZ106" i="2"/>
  <c r="DL120" i="2"/>
  <c r="DQ101" i="2"/>
  <c r="CH116" i="2"/>
  <c r="EA135" i="3"/>
  <c r="AI98" i="16" s="1"/>
  <c r="EK32" i="3" l="1"/>
  <c r="AL278" i="19" s="1"/>
  <c r="AL279" i="19" s="1"/>
  <c r="AO137" i="19"/>
  <c r="AO138" i="19" s="1"/>
  <c r="AM64" i="16"/>
  <c r="AM68" i="16" s="1"/>
  <c r="AM70" i="16"/>
  <c r="AL87" i="16"/>
  <c r="AM86" i="16" s="1"/>
  <c r="AL74" i="16"/>
  <c r="AL36" i="16" s="1"/>
  <c r="AL109" i="16" s="1"/>
  <c r="AN155" i="18"/>
  <c r="T42" i="15"/>
  <c r="T88" i="15" s="1"/>
  <c r="CL4" i="3"/>
  <c r="AN232" i="19"/>
  <c r="AO173" i="19"/>
  <c r="AO232" i="19" s="1"/>
  <c r="CM83" i="2"/>
  <c r="CM4" i="3" s="1"/>
  <c r="CY78" i="2"/>
  <c r="CX83" i="2"/>
  <c r="CT78" i="2"/>
  <c r="CS83" i="2"/>
  <c r="CP78" i="2"/>
  <c r="CO4" i="3"/>
  <c r="DL78" i="2"/>
  <c r="DG83" i="2"/>
  <c r="DG4" i="3" s="1"/>
  <c r="EU79" i="2"/>
  <c r="W8" i="32"/>
  <c r="W11" i="32" s="1"/>
  <c r="W19" i="32" s="1"/>
  <c r="V8" i="32"/>
  <c r="V11" i="32" s="1"/>
  <c r="V19" i="32" s="1"/>
  <c r="Z34" i="15"/>
  <c r="X49" i="15"/>
  <c r="W51" i="15"/>
  <c r="W62" i="15" s="1"/>
  <c r="W63" i="15" s="1"/>
  <c r="W65" i="15" s="1"/>
  <c r="W70" i="15" s="1"/>
  <c r="W22" i="15"/>
  <c r="V23" i="15"/>
  <c r="V28" i="15" s="1"/>
  <c r="Y64" i="15"/>
  <c r="V10" i="15"/>
  <c r="V16" i="15" s="1"/>
  <c r="X61" i="15"/>
  <c r="V74" i="15"/>
  <c r="V75" i="15" s="1"/>
  <c r="V77" i="15" s="1"/>
  <c r="W73" i="15"/>
  <c r="X19" i="15"/>
  <c r="U82" i="15"/>
  <c r="U84" i="15" s="1"/>
  <c r="V37" i="15"/>
  <c r="U40" i="15"/>
  <c r="U42" i="15" s="1"/>
  <c r="Y81" i="15"/>
  <c r="Z69" i="15"/>
  <c r="W8" i="15"/>
  <c r="W20" i="15" s="1"/>
  <c r="W21" i="15" s="1"/>
  <c r="X6" i="15"/>
  <c r="V32" i="15"/>
  <c r="V33" i="15" s="1"/>
  <c r="V35" i="15" s="1"/>
  <c r="W31" i="15"/>
  <c r="W10" i="15"/>
  <c r="W16" i="15" s="1"/>
  <c r="X9" i="15"/>
  <c r="V53" i="15"/>
  <c r="V58" i="15" s="1"/>
  <c r="W52" i="15"/>
  <c r="X76" i="15"/>
  <c r="V45" i="15"/>
  <c r="W2" i="15"/>
  <c r="AN233" i="19"/>
  <c r="AO174" i="19"/>
  <c r="AO233" i="19" s="1"/>
  <c r="AM275" i="19"/>
  <c r="AO166" i="19"/>
  <c r="AO225" i="19" s="1"/>
  <c r="AN225" i="19"/>
  <c r="AN7" i="16"/>
  <c r="AD104" i="18"/>
  <c r="AN154" i="18"/>
  <c r="AN12" i="18" s="1"/>
  <c r="AN170" i="18" s="1"/>
  <c r="CH97" i="2"/>
  <c r="CH131" i="2"/>
  <c r="CH112" i="2" s="1"/>
  <c r="CD112" i="2" s="1"/>
  <c r="CE112" i="2" s="1"/>
  <c r="CF112" i="2" s="1"/>
  <c r="CG112" i="2" s="1"/>
  <c r="DQ120" i="2"/>
  <c r="DV101" i="2"/>
  <c r="EK98" i="2"/>
  <c r="EF135" i="3"/>
  <c r="AJ98" i="16" s="1"/>
  <c r="AO275" i="19" l="1"/>
  <c r="EZ32" i="3" s="1"/>
  <c r="AN275" i="19"/>
  <c r="AN276" i="19" s="1"/>
  <c r="AM76" i="16"/>
  <c r="AL65" i="16"/>
  <c r="AM87" i="16"/>
  <c r="AN86" i="16" s="1"/>
  <c r="AM74" i="16"/>
  <c r="AM36" i="16" s="1"/>
  <c r="AM109" i="16" s="1"/>
  <c r="AN64" i="16"/>
  <c r="CP83" i="2"/>
  <c r="CP4" i="3" s="1"/>
  <c r="CQ78" i="2"/>
  <c r="EZ79" i="2"/>
  <c r="DQ78" i="2"/>
  <c r="DL83" i="2"/>
  <c r="DL4" i="3" s="1"/>
  <c r="CU78" i="2"/>
  <c r="CT83" i="2"/>
  <c r="CZ78" i="2"/>
  <c r="CY83" i="2"/>
  <c r="W45" i="15"/>
  <c r="X2" i="15"/>
  <c r="Y76" i="15"/>
  <c r="W53" i="15"/>
  <c r="W58" i="15" s="1"/>
  <c r="X52" i="15"/>
  <c r="X10" i="15"/>
  <c r="X16" i="15" s="1"/>
  <c r="Y9" i="15"/>
  <c r="W32" i="15"/>
  <c r="W33" i="15" s="1"/>
  <c r="W35" i="15" s="1"/>
  <c r="X31" i="15"/>
  <c r="Y6" i="15"/>
  <c r="X8" i="15"/>
  <c r="Z81" i="15"/>
  <c r="W37" i="15"/>
  <c r="V40" i="15"/>
  <c r="V42" i="15" s="1"/>
  <c r="W79" i="15"/>
  <c r="V82" i="15"/>
  <c r="V84" i="15" s="1"/>
  <c r="U88" i="15"/>
  <c r="X20" i="15"/>
  <c r="X21" i="15" s="1"/>
  <c r="Y19" i="15"/>
  <c r="W74" i="15"/>
  <c r="W75" i="15" s="1"/>
  <c r="W77" i="15" s="1"/>
  <c r="X73" i="15"/>
  <c r="Y61" i="15"/>
  <c r="Z64" i="15"/>
  <c r="W23" i="15"/>
  <c r="W28" i="15" s="1"/>
  <c r="X22" i="15"/>
  <c r="X51" i="15"/>
  <c r="X62" i="15" s="1"/>
  <c r="X63" i="15" s="1"/>
  <c r="X65" i="15" s="1"/>
  <c r="X70" i="15" s="1"/>
  <c r="Y49" i="15"/>
  <c r="AM276" i="19"/>
  <c r="EP32" i="3"/>
  <c r="AM278" i="19" s="1"/>
  <c r="AM279" i="19" s="1"/>
  <c r="AB94" i="16"/>
  <c r="AB57" i="16"/>
  <c r="AB59" i="16" s="1"/>
  <c r="AE104" i="18"/>
  <c r="DV120" i="2"/>
  <c r="EA101" i="2"/>
  <c r="EP98" i="2"/>
  <c r="CR88" i="3"/>
  <c r="C22" i="23" s="1"/>
  <c r="EK135" i="3"/>
  <c r="AK98" i="16" s="1"/>
  <c r="AO276" i="19" l="1"/>
  <c r="AO279" i="19"/>
  <c r="EU32" i="3"/>
  <c r="AN278" i="19" s="1"/>
  <c r="AN279" i="19" s="1"/>
  <c r="AN65" i="16"/>
  <c r="AM65" i="16"/>
  <c r="AN70" i="16"/>
  <c r="AN68" i="16"/>
  <c r="AN76" i="16"/>
  <c r="CQ83" i="2"/>
  <c r="CQ4" i="3" s="1"/>
  <c r="V88" i="15"/>
  <c r="CZ83" i="2"/>
  <c r="DA78" i="2"/>
  <c r="DA83" i="2" s="1"/>
  <c r="CU83" i="2"/>
  <c r="CV78" i="2"/>
  <c r="CV83" i="2" s="1"/>
  <c r="DV78" i="2"/>
  <c r="DQ83" i="2"/>
  <c r="DQ4" i="3" s="1"/>
  <c r="Z49" i="15"/>
  <c r="Z51" i="15" s="1"/>
  <c r="Y51" i="15"/>
  <c r="Y22" i="15"/>
  <c r="X23" i="15"/>
  <c r="X28" i="15" s="1"/>
  <c r="Y62" i="15"/>
  <c r="Y63" i="15" s="1"/>
  <c r="Y65" i="15" s="1"/>
  <c r="Y70" i="15" s="1"/>
  <c r="Z61" i="15"/>
  <c r="X74" i="15"/>
  <c r="X75" i="15" s="1"/>
  <c r="X77" i="15" s="1"/>
  <c r="Y73" i="15"/>
  <c r="Z19" i="15"/>
  <c r="X79" i="15"/>
  <c r="W82" i="15"/>
  <c r="W84" i="15" s="1"/>
  <c r="X37" i="15"/>
  <c r="W40" i="15"/>
  <c r="W42" i="15" s="1"/>
  <c r="X32" i="15"/>
  <c r="X33" i="15" s="1"/>
  <c r="X35" i="15" s="1"/>
  <c r="Y31" i="15"/>
  <c r="Z9" i="15"/>
  <c r="X53" i="15"/>
  <c r="X58" i="15" s="1"/>
  <c r="Y52" i="15"/>
  <c r="Z76" i="15"/>
  <c r="X45" i="15"/>
  <c r="Y2" i="15"/>
  <c r="Y8" i="15"/>
  <c r="Y20" i="15" s="1"/>
  <c r="Y21" i="15" s="1"/>
  <c r="Z6" i="15"/>
  <c r="Z8" i="15" s="1"/>
  <c r="L46" i="67"/>
  <c r="CQ36" i="2" s="1"/>
  <c r="M44" i="67"/>
  <c r="M46" i="67" s="1"/>
  <c r="AF104" i="18"/>
  <c r="EU98" i="2"/>
  <c r="EA120" i="2"/>
  <c r="EF101" i="2"/>
  <c r="EP135" i="3"/>
  <c r="AL98" i="16" s="1"/>
  <c r="CM129" i="2"/>
  <c r="AN87" i="16" l="1"/>
  <c r="AN74" i="16"/>
  <c r="AN36" i="16" s="1"/>
  <c r="AN109" i="16" s="1"/>
  <c r="Z62" i="15"/>
  <c r="Z63" i="15" s="1"/>
  <c r="Z65" i="15" s="1"/>
  <c r="Z70" i="15" s="1"/>
  <c r="Z20" i="15"/>
  <c r="Z21" i="15" s="1"/>
  <c r="Z10" i="15"/>
  <c r="Z16" i="15" s="1"/>
  <c r="E21" i="67"/>
  <c r="EA78" i="2"/>
  <c r="DV83" i="2"/>
  <c r="DV4" i="3" s="1"/>
  <c r="Y10" i="15"/>
  <c r="Y16" i="15" s="1"/>
  <c r="Y37" i="15"/>
  <c r="X40" i="15"/>
  <c r="X42" i="15" s="1"/>
  <c r="Y79" i="15"/>
  <c r="X82" i="15"/>
  <c r="X84" i="15" s="1"/>
  <c r="Y45" i="15"/>
  <c r="Z2" i="15"/>
  <c r="Z45" i="15" s="1"/>
  <c r="Y53" i="15"/>
  <c r="Y58" i="15" s="1"/>
  <c r="Z52" i="15"/>
  <c r="Z53" i="15" s="1"/>
  <c r="Z58" i="15" s="1"/>
  <c r="Y32" i="15"/>
  <c r="Y33" i="15" s="1"/>
  <c r="Y35" i="15" s="1"/>
  <c r="Z31" i="15"/>
  <c r="W88" i="15"/>
  <c r="Z73" i="15"/>
  <c r="Y74" i="15"/>
  <c r="Y75" i="15" s="1"/>
  <c r="Y77" i="15" s="1"/>
  <c r="Y23" i="15"/>
  <c r="Y28" i="15" s="1"/>
  <c r="Z22" i="15"/>
  <c r="Z23" i="15" s="1"/>
  <c r="Z28" i="15" s="1"/>
  <c r="N46" i="67"/>
  <c r="CS36" i="2" s="1"/>
  <c r="CR36" i="2"/>
  <c r="CQ37" i="2"/>
  <c r="CR37" i="2" s="1"/>
  <c r="AG104" i="18"/>
  <c r="EF120" i="2"/>
  <c r="EK101" i="2"/>
  <c r="EZ98" i="2"/>
  <c r="CW86" i="3"/>
  <c r="CW87" i="3" s="1"/>
  <c r="EU135" i="3"/>
  <c r="AM98" i="16" s="1"/>
  <c r="CR129" i="2"/>
  <c r="Z74" i="15" l="1"/>
  <c r="Z75" i="15" s="1"/>
  <c r="Z77" i="15" s="1"/>
  <c r="Z32" i="15"/>
  <c r="Z33" i="15" s="1"/>
  <c r="Z35" i="15" s="1"/>
  <c r="X88" i="15"/>
  <c r="E16" i="67"/>
  <c r="CR35" i="2"/>
  <c r="CQ35" i="2"/>
  <c r="CQ123" i="2" s="1"/>
  <c r="EF78" i="2"/>
  <c r="EA83" i="2"/>
  <c r="EA4" i="3" s="1"/>
  <c r="Z79" i="15"/>
  <c r="Z82" i="15" s="1"/>
  <c r="Z84" i="15" s="1"/>
  <c r="Y82" i="15"/>
  <c r="Y84" i="15" s="1"/>
  <c r="Z37" i="15"/>
  <c r="Y40" i="15"/>
  <c r="Y42" i="15" s="1"/>
  <c r="CJ15" i="2"/>
  <c r="CS37" i="2"/>
  <c r="CS35" i="2" s="1"/>
  <c r="AC94" i="16"/>
  <c r="AC57" i="16"/>
  <c r="AC59" i="16" s="1"/>
  <c r="AH104" i="18"/>
  <c r="EK120" i="2"/>
  <c r="EP101" i="2"/>
  <c r="CW88" i="3"/>
  <c r="EZ135" i="3"/>
  <c r="AN98" i="16" s="1"/>
  <c r="CW129" i="2"/>
  <c r="Z40" i="15" l="1"/>
  <c r="Z42" i="15" s="1"/>
  <c r="CR123" i="2"/>
  <c r="EK78" i="2"/>
  <c r="EF83" i="2"/>
  <c r="EF4" i="3" s="1"/>
  <c r="Y88" i="15"/>
  <c r="Z88" i="15"/>
  <c r="CJ11" i="2"/>
  <c r="CJ118" i="2"/>
  <c r="CM110" i="2"/>
  <c r="CI110" i="2" s="1"/>
  <c r="CR62" i="2"/>
  <c r="AI104" i="18"/>
  <c r="EP120" i="2"/>
  <c r="EU101" i="2"/>
  <c r="DB86" i="3"/>
  <c r="DB87" i="3" s="1"/>
  <c r="DB129" i="2"/>
  <c r="F16" i="67" l="1"/>
  <c r="EP78" i="2"/>
  <c r="EK83" i="2"/>
  <c r="EK4" i="3" s="1"/>
  <c r="F21" i="67"/>
  <c r="CJ117" i="2"/>
  <c r="O46" i="67"/>
  <c r="CT36" i="2" s="1"/>
  <c r="CT37" i="2" s="1"/>
  <c r="CT35" i="2" s="1"/>
  <c r="CW62" i="2"/>
  <c r="CR110" i="2"/>
  <c r="CN110" i="2" s="1"/>
  <c r="CI129" i="2"/>
  <c r="CI116" i="2" s="1"/>
  <c r="CI97" i="2" s="1"/>
  <c r="CJ110" i="2"/>
  <c r="AD94" i="16"/>
  <c r="AD57" i="16"/>
  <c r="AD59" i="16" s="1"/>
  <c r="AJ104" i="18"/>
  <c r="EU120" i="2"/>
  <c r="EZ101" i="2"/>
  <c r="EZ120" i="2" s="1"/>
  <c r="DB88" i="3"/>
  <c r="DG86" i="3"/>
  <c r="DG87" i="3" s="1"/>
  <c r="DG129" i="2"/>
  <c r="CO110" i="2" l="1"/>
  <c r="CN129" i="2"/>
  <c r="CN116" i="2" s="1"/>
  <c r="EU78" i="2"/>
  <c r="EP83" i="2"/>
  <c r="EP4" i="3" s="1"/>
  <c r="L26" i="67"/>
  <c r="CQ20" i="2" s="1"/>
  <c r="N6" i="67"/>
  <c r="CS8" i="2" s="1"/>
  <c r="DB62" i="2"/>
  <c r="CW110" i="2"/>
  <c r="CS62" i="2"/>
  <c r="CT62" i="2" s="1"/>
  <c r="CU62" i="2" s="1"/>
  <c r="CK110" i="2"/>
  <c r="CJ129" i="2"/>
  <c r="CQ62" i="2"/>
  <c r="AE94" i="16"/>
  <c r="AE57" i="16"/>
  <c r="AE59" i="16" s="1"/>
  <c r="AK104" i="18"/>
  <c r="DG88" i="3"/>
  <c r="DL86" i="3"/>
  <c r="DL87" i="3" s="1"/>
  <c r="DL129" i="2"/>
  <c r="CN97" i="2" l="1"/>
  <c r="CP110" i="2"/>
  <c r="CO129" i="2"/>
  <c r="EZ78" i="2"/>
  <c r="EZ83" i="2" s="1"/>
  <c r="EZ4" i="3" s="1"/>
  <c r="EU83" i="2"/>
  <c r="EU4" i="3" s="1"/>
  <c r="CK11" i="2"/>
  <c r="CK117" i="2" s="1"/>
  <c r="CK15" i="2"/>
  <c r="CK118" i="2" s="1"/>
  <c r="CQ21" i="2"/>
  <c r="CQ19" i="2" s="1"/>
  <c r="CQ119" i="2" s="1"/>
  <c r="CS9" i="2"/>
  <c r="CS7" i="2" s="1"/>
  <c r="DG62" i="2"/>
  <c r="CK129" i="2"/>
  <c r="CL110" i="2"/>
  <c r="CL129" i="2" s="1"/>
  <c r="CL116" i="2" s="1"/>
  <c r="DB110" i="2"/>
  <c r="CX62" i="2"/>
  <c r="CY62" i="2" s="1"/>
  <c r="CZ62" i="2" s="1"/>
  <c r="CV62" i="2"/>
  <c r="AF94" i="16"/>
  <c r="AF57" i="16"/>
  <c r="AF59" i="16" s="1"/>
  <c r="AL104" i="18"/>
  <c r="DL88" i="3"/>
  <c r="DQ86" i="3"/>
  <c r="DQ87" i="3" s="1"/>
  <c r="DQ129" i="2"/>
  <c r="CQ110" i="2" l="1"/>
  <c r="CQ129" i="2" s="1"/>
  <c r="CP129" i="2"/>
  <c r="N26" i="67"/>
  <c r="CS20" i="2" s="1"/>
  <c r="CS21" i="2" s="1"/>
  <c r="P46" i="67"/>
  <c r="CU36" i="2" s="1"/>
  <c r="CU37" i="2" s="1"/>
  <c r="CU35" i="2" s="1"/>
  <c r="O6" i="67"/>
  <c r="CT8" i="2" s="1"/>
  <c r="DG110" i="2"/>
  <c r="DC62" i="2"/>
  <c r="DD62" i="2" s="1"/>
  <c r="DE62" i="2" s="1"/>
  <c r="DL62" i="2"/>
  <c r="DA62" i="2"/>
  <c r="AG94" i="16"/>
  <c r="AG57" i="16"/>
  <c r="AG59" i="16" s="1"/>
  <c r="AM104" i="18"/>
  <c r="DQ88" i="3"/>
  <c r="DV86" i="3"/>
  <c r="DV87" i="3" s="1"/>
  <c r="DV129" i="2"/>
  <c r="H14" i="67" l="1"/>
  <c r="H16" i="67" s="1"/>
  <c r="G16" i="67"/>
  <c r="G21" i="67"/>
  <c r="H19" i="67"/>
  <c r="H21" i="67" s="1"/>
  <c r="CT9" i="2"/>
  <c r="DQ62" i="2"/>
  <c r="DL110" i="2"/>
  <c r="DH62" i="2"/>
  <c r="DI62" i="2" s="1"/>
  <c r="DJ62" i="2" s="1"/>
  <c r="DF62" i="2"/>
  <c r="AH94" i="16"/>
  <c r="AH57" i="16"/>
  <c r="AH59" i="16" s="1"/>
  <c r="AN104" i="18"/>
  <c r="DV88" i="3"/>
  <c r="EA86" i="3"/>
  <c r="EA87" i="3" s="1"/>
  <c r="EA129" i="2"/>
  <c r="CR33" i="2"/>
  <c r="CM16" i="2" l="1"/>
  <c r="CM12" i="2"/>
  <c r="CT7" i="2"/>
  <c r="DQ110" i="2"/>
  <c r="DM62" i="2"/>
  <c r="DN62" i="2" s="1"/>
  <c r="DO62" i="2" s="1"/>
  <c r="DV62" i="2"/>
  <c r="DK62" i="2"/>
  <c r="AI94" i="16"/>
  <c r="AI57" i="16"/>
  <c r="AI59" i="16" s="1"/>
  <c r="CJ31" i="2"/>
  <c r="CM31" i="2"/>
  <c r="CK31" i="2"/>
  <c r="EA88" i="3"/>
  <c r="EF86" i="3"/>
  <c r="EF87" i="3" s="1"/>
  <c r="EF129" i="2"/>
  <c r="CW33" i="2"/>
  <c r="DP62" i="2" l="1"/>
  <c r="CL11" i="2"/>
  <c r="CM13" i="2"/>
  <c r="CM11" i="2" s="1"/>
  <c r="CL15" i="2"/>
  <c r="CM17" i="2"/>
  <c r="CM15" i="2" s="1"/>
  <c r="DV110" i="2"/>
  <c r="DR62" i="2"/>
  <c r="DS62" i="2" s="1"/>
  <c r="DT62" i="2" s="1"/>
  <c r="EA62" i="2"/>
  <c r="AJ94" i="16"/>
  <c r="AJ57" i="16"/>
  <c r="AJ59" i="16" s="1"/>
  <c r="CU33" i="2"/>
  <c r="CS33" i="2"/>
  <c r="CT33" i="2"/>
  <c r="CV33" i="2"/>
  <c r="CK122" i="2"/>
  <c r="CJ75" i="2"/>
  <c r="CJ122" i="2"/>
  <c r="CR32" i="2"/>
  <c r="CM122" i="2"/>
  <c r="CL31" i="2"/>
  <c r="EF88" i="3"/>
  <c r="EK86" i="3"/>
  <c r="EK87" i="3" s="1"/>
  <c r="EK129" i="2"/>
  <c r="CW32" i="2"/>
  <c r="DB33" i="2"/>
  <c r="CL117" i="2" l="1"/>
  <c r="CL118" i="2"/>
  <c r="CM141" i="2"/>
  <c r="CM118" i="2"/>
  <c r="CM140" i="2"/>
  <c r="CM117" i="2"/>
  <c r="EF62" i="2"/>
  <c r="EA110" i="2"/>
  <c r="DW62" i="2"/>
  <c r="DX62" i="2" s="1"/>
  <c r="DY62" i="2" s="1"/>
  <c r="DU62" i="2"/>
  <c r="AK94" i="16"/>
  <c r="AK57" i="16"/>
  <c r="AK59" i="16" s="1"/>
  <c r="DA33" i="2"/>
  <c r="CY33" i="2"/>
  <c r="CX33" i="2"/>
  <c r="CZ33" i="2"/>
  <c r="CW31" i="2"/>
  <c r="CL122" i="2"/>
  <c r="CP31" i="2"/>
  <c r="CN31" i="2"/>
  <c r="CQ31" i="2"/>
  <c r="CR31" i="2"/>
  <c r="CO31" i="2"/>
  <c r="CJ84" i="2"/>
  <c r="CJ3" i="3"/>
  <c r="EK88" i="3"/>
  <c r="EP86" i="3"/>
  <c r="EP87" i="3" s="1"/>
  <c r="EP129" i="2"/>
  <c r="DG33" i="2"/>
  <c r="DB32" i="2"/>
  <c r="CQ122" i="2" l="1"/>
  <c r="CN122" i="2"/>
  <c r="CO122" i="2"/>
  <c r="CP122" i="2"/>
  <c r="J21" i="67"/>
  <c r="CO16" i="2" s="1"/>
  <c r="Q46" i="67"/>
  <c r="CV36" i="2" s="1"/>
  <c r="R44" i="67"/>
  <c r="R46" i="67" s="1"/>
  <c r="DZ62" i="2"/>
  <c r="EF110" i="2"/>
  <c r="EB62" i="2"/>
  <c r="EC62" i="2" s="1"/>
  <c r="ED62" i="2" s="1"/>
  <c r="EK62" i="2"/>
  <c r="AL94" i="16"/>
  <c r="AL57" i="16"/>
  <c r="AL59" i="16" s="1"/>
  <c r="CJ5" i="3"/>
  <c r="CJ101" i="3"/>
  <c r="CS32" i="2"/>
  <c r="CS31" i="2" s="1"/>
  <c r="CW122" i="2"/>
  <c r="CV32" i="2"/>
  <c r="CV31" i="2" s="1"/>
  <c r="DB31" i="2"/>
  <c r="DE33" i="2"/>
  <c r="DC33" i="2"/>
  <c r="DF33" i="2"/>
  <c r="DD33" i="2"/>
  <c r="CR122" i="2"/>
  <c r="CU32" i="2"/>
  <c r="CU31" i="2" s="1"/>
  <c r="CT32" i="2"/>
  <c r="CT31" i="2" s="1"/>
  <c r="EP88" i="3"/>
  <c r="EZ86" i="3"/>
  <c r="EU86" i="3"/>
  <c r="EU87" i="3" s="1"/>
  <c r="EZ129" i="2"/>
  <c r="EZ62" i="2"/>
  <c r="EU129" i="2"/>
  <c r="DL33" i="2"/>
  <c r="CX32" i="2" l="1"/>
  <c r="CX31" i="2" s="1"/>
  <c r="DA32" i="2"/>
  <c r="DA31" i="2" s="1"/>
  <c r="CO17" i="2"/>
  <c r="CO15" i="2" s="1"/>
  <c r="CO118" i="2" s="1"/>
  <c r="CV37" i="2"/>
  <c r="CW37" i="2" s="1"/>
  <c r="CW36" i="2"/>
  <c r="EZ110" i="2"/>
  <c r="EV62" i="2"/>
  <c r="EW62" i="2" s="1"/>
  <c r="EX62" i="2" s="1"/>
  <c r="EP62" i="2"/>
  <c r="EK110" i="2"/>
  <c r="EG62" i="2"/>
  <c r="EH62" i="2" s="1"/>
  <c r="EI62" i="2" s="1"/>
  <c r="EE62" i="2"/>
  <c r="AM94" i="16"/>
  <c r="AM57" i="16"/>
  <c r="AM59" i="16" s="1"/>
  <c r="DK33" i="2"/>
  <c r="DI33" i="2"/>
  <c r="DJ33" i="2"/>
  <c r="DH33" i="2"/>
  <c r="DG32" i="2"/>
  <c r="DB122" i="2"/>
  <c r="CY32" i="2"/>
  <c r="CY31" i="2" s="1"/>
  <c r="CZ32" i="2"/>
  <c r="CZ31" i="2" s="1"/>
  <c r="CJ93" i="3"/>
  <c r="CJ102" i="3"/>
  <c r="CJ94" i="3"/>
  <c r="EZ87" i="3"/>
  <c r="EU88" i="3"/>
  <c r="DQ33" i="2"/>
  <c r="J16" i="67" l="1"/>
  <c r="CO12" i="2" s="1"/>
  <c r="CV35" i="2"/>
  <c r="S46" i="67"/>
  <c r="CX36" i="2" s="1"/>
  <c r="CX37" i="2" s="1"/>
  <c r="CX35" i="2" s="1"/>
  <c r="CW35" i="2"/>
  <c r="CW123" i="2" s="1"/>
  <c r="EJ62" i="2"/>
  <c r="EU62" i="2"/>
  <c r="EP110" i="2"/>
  <c r="EL62" i="2"/>
  <c r="EM62" i="2" s="1"/>
  <c r="EN62" i="2" s="1"/>
  <c r="EY62" i="2"/>
  <c r="EZ88" i="3"/>
  <c r="AN94" i="16"/>
  <c r="AN57" i="16"/>
  <c r="AN59" i="16" s="1"/>
  <c r="DF32" i="2"/>
  <c r="DF31" i="2" s="1"/>
  <c r="DD32" i="2"/>
  <c r="DD31" i="2" s="1"/>
  <c r="DG31" i="2"/>
  <c r="DC32" i="2"/>
  <c r="DC31" i="2" s="1"/>
  <c r="DE32" i="2"/>
  <c r="DE31" i="2" s="1"/>
  <c r="DL32" i="2"/>
  <c r="DO33" i="2"/>
  <c r="DM33" i="2"/>
  <c r="DN33" i="2"/>
  <c r="DP33" i="2"/>
  <c r="DV33" i="2"/>
  <c r="K21" i="67" l="1"/>
  <c r="CP16" i="2" s="1"/>
  <c r="CO13" i="2"/>
  <c r="EU110" i="2"/>
  <c r="EQ62" i="2"/>
  <c r="ER62" i="2" s="1"/>
  <c r="ES62" i="2" s="1"/>
  <c r="EO62" i="2"/>
  <c r="DJ32" i="2"/>
  <c r="DJ31" i="2" s="1"/>
  <c r="DH32" i="2"/>
  <c r="DH31" i="2" s="1"/>
  <c r="DK32" i="2"/>
  <c r="DK31" i="2" s="1"/>
  <c r="DL31" i="2"/>
  <c r="DI32" i="2"/>
  <c r="DI31" i="2" s="1"/>
  <c r="DG122" i="2"/>
  <c r="DU33" i="2"/>
  <c r="DS33" i="2"/>
  <c r="DR33" i="2"/>
  <c r="DT33" i="2"/>
  <c r="DQ32" i="2"/>
  <c r="EA33" i="2"/>
  <c r="DV32" i="2"/>
  <c r="CO11" i="2" l="1"/>
  <c r="CO117" i="2" s="1"/>
  <c r="K16" i="67"/>
  <c r="CP12" i="2" s="1"/>
  <c r="CP17" i="2"/>
  <c r="CP15" i="2" s="1"/>
  <c r="CP118" i="2" s="1"/>
  <c r="ET62" i="2"/>
  <c r="DV31" i="2"/>
  <c r="DY33" i="2"/>
  <c r="DW33" i="2"/>
  <c r="DZ33" i="2"/>
  <c r="DX33" i="2"/>
  <c r="DL122" i="2"/>
  <c r="DP32" i="2"/>
  <c r="DP31" i="2" s="1"/>
  <c r="DN32" i="2"/>
  <c r="DN31" i="2" s="1"/>
  <c r="DQ31" i="2"/>
  <c r="DO32" i="2"/>
  <c r="DO31" i="2" s="1"/>
  <c r="DM32" i="2"/>
  <c r="DM31" i="2" s="1"/>
  <c r="EF33" i="2"/>
  <c r="Q26" i="67" l="1"/>
  <c r="CV20" i="2" s="1"/>
  <c r="CP13" i="2"/>
  <c r="CP11" i="2" s="1"/>
  <c r="CP117" i="2" s="1"/>
  <c r="T46" i="67"/>
  <c r="CY36" i="2" s="1"/>
  <c r="CY37" i="2" s="1"/>
  <c r="CY35" i="2" s="1"/>
  <c r="S6" i="67"/>
  <c r="CX8" i="2" s="1"/>
  <c r="DQ122" i="2"/>
  <c r="DU32" i="2"/>
  <c r="DU31" i="2" s="1"/>
  <c r="DR32" i="2"/>
  <c r="DR31" i="2" s="1"/>
  <c r="EE33" i="2"/>
  <c r="EC33" i="2"/>
  <c r="ED33" i="2"/>
  <c r="EB33" i="2"/>
  <c r="EA32" i="2"/>
  <c r="DV122" i="2"/>
  <c r="DS32" i="2"/>
  <c r="DS31" i="2" s="1"/>
  <c r="DT32" i="2"/>
  <c r="DT31" i="2" s="1"/>
  <c r="EK33" i="2"/>
  <c r="CV21" i="2" l="1"/>
  <c r="CX9" i="2"/>
  <c r="CX7" i="2" s="1"/>
  <c r="EF32" i="2"/>
  <c r="EI33" i="2"/>
  <c r="EG33" i="2"/>
  <c r="EJ33" i="2"/>
  <c r="EH33" i="2"/>
  <c r="DZ32" i="2"/>
  <c r="DZ31" i="2" s="1"/>
  <c r="DX32" i="2"/>
  <c r="DX31" i="2" s="1"/>
  <c r="EA31" i="2"/>
  <c r="DW32" i="2"/>
  <c r="DW31" i="2" s="1"/>
  <c r="DY32" i="2"/>
  <c r="DY31" i="2" s="1"/>
  <c r="EK32" i="2"/>
  <c r="EP33" i="2"/>
  <c r="U46" i="67" l="1"/>
  <c r="CZ36" i="2" s="1"/>
  <c r="CZ37" i="2" s="1"/>
  <c r="CZ35" i="2" s="1"/>
  <c r="EO33" i="2"/>
  <c r="EM33" i="2"/>
  <c r="EN33" i="2"/>
  <c r="EL33" i="2"/>
  <c r="ED32" i="2"/>
  <c r="ED31" i="2" s="1"/>
  <c r="EB32" i="2"/>
  <c r="EB31" i="2" s="1"/>
  <c r="EE32" i="2"/>
  <c r="EE31" i="2" s="1"/>
  <c r="EF31" i="2"/>
  <c r="EC32" i="2"/>
  <c r="EC31" i="2" s="1"/>
  <c r="EK31" i="2"/>
  <c r="EA122" i="2"/>
  <c r="EZ33" i="2"/>
  <c r="EU33" i="2"/>
  <c r="EP32" i="2"/>
  <c r="EG32" i="2" l="1"/>
  <c r="EG31" i="2" s="1"/>
  <c r="EI32" i="2"/>
  <c r="EI31" i="2" s="1"/>
  <c r="EH32" i="2"/>
  <c r="EH31" i="2" s="1"/>
  <c r="L21" i="67"/>
  <c r="CQ16" i="2" s="1"/>
  <c r="S26" i="67"/>
  <c r="CX20" i="2" s="1"/>
  <c r="CX21" i="2" s="1"/>
  <c r="T6" i="67"/>
  <c r="CY8" i="2" s="1"/>
  <c r="EL32" i="2"/>
  <c r="EL31" i="2" s="1"/>
  <c r="EP31" i="2"/>
  <c r="ES33" i="2"/>
  <c r="EX33" i="2" s="1"/>
  <c r="EQ33" i="2"/>
  <c r="EV33" i="2" s="1"/>
  <c r="ET33" i="2"/>
  <c r="EY33" i="2" s="1"/>
  <c r="ER33" i="2"/>
  <c r="EW33" i="2" s="1"/>
  <c r="EK122" i="2"/>
  <c r="EJ32" i="2"/>
  <c r="EJ31" i="2" s="1"/>
  <c r="EF122" i="2"/>
  <c r="EZ32" i="2"/>
  <c r="EM32" i="2" l="1"/>
  <c r="EM31" i="2" s="1"/>
  <c r="EN32" i="2"/>
  <c r="EN31" i="2" s="1"/>
  <c r="L16" i="67"/>
  <c r="CQ12" i="2" s="1"/>
  <c r="CQ17" i="2"/>
  <c r="CY9" i="2"/>
  <c r="EU32" i="2"/>
  <c r="EO32" i="2"/>
  <c r="EO31" i="2" s="1"/>
  <c r="EZ31" i="2"/>
  <c r="EP122" i="2"/>
  <c r="CQ15" i="2" l="1"/>
  <c r="CQ13" i="2"/>
  <c r="CY7" i="2"/>
  <c r="EZ122" i="2"/>
  <c r="ET32" i="2"/>
  <c r="ER32" i="2"/>
  <c r="EU31" i="2"/>
  <c r="EQ32" i="2"/>
  <c r="ES32" i="2"/>
  <c r="ES31" i="2" s="1"/>
  <c r="CQ118" i="2" l="1"/>
  <c r="EX32" i="2"/>
  <c r="EX31" i="2" s="1"/>
  <c r="CQ11" i="2"/>
  <c r="CQ117" i="2" s="1"/>
  <c r="EU122" i="2"/>
  <c r="ET31" i="2"/>
  <c r="EY32" i="2"/>
  <c r="EY31" i="2" s="1"/>
  <c r="EQ31" i="2"/>
  <c r="EV32" i="2"/>
  <c r="EV31" i="2" s="1"/>
  <c r="ER31" i="2"/>
  <c r="EW32" i="2"/>
  <c r="EW31" i="2" s="1"/>
  <c r="V46" i="67" l="1"/>
  <c r="DA36" i="2" s="1"/>
  <c r="W44" i="67"/>
  <c r="W46" i="67" s="1"/>
  <c r="O21" i="67" l="1"/>
  <c r="CT16" i="2" s="1"/>
  <c r="X46" i="67"/>
  <c r="DC36" i="2" s="1"/>
  <c r="DC37" i="2" s="1"/>
  <c r="DC35" i="2" s="1"/>
  <c r="DB36" i="2"/>
  <c r="DA37" i="2"/>
  <c r="DB37" i="2" s="1"/>
  <c r="DB35" i="2" l="1"/>
  <c r="DB123" i="2" s="1"/>
  <c r="O16" i="67"/>
  <c r="CT12" i="2" s="1"/>
  <c r="CT17" i="2"/>
  <c r="DA35" i="2"/>
  <c r="P21" i="67" l="1"/>
  <c r="CU16" i="2" s="1"/>
  <c r="CT13" i="2"/>
  <c r="P16" i="67" l="1"/>
  <c r="CU12" i="2" s="1"/>
  <c r="CT11" i="2"/>
  <c r="CU17" i="2"/>
  <c r="X6" i="67"/>
  <c r="DC8" i="2" s="1"/>
  <c r="CU13" i="2" l="1"/>
  <c r="V26" i="67"/>
  <c r="DA20" i="2" s="1"/>
  <c r="Y46" i="67"/>
  <c r="DD36" i="2" s="1"/>
  <c r="DD37" i="2" s="1"/>
  <c r="DD35" i="2" s="1"/>
  <c r="DC9" i="2"/>
  <c r="DC7" i="2" s="1"/>
  <c r="CU11" i="2" l="1"/>
  <c r="DA21" i="2"/>
  <c r="X26" i="67" l="1"/>
  <c r="DC20" i="2" s="1"/>
  <c r="DC21" i="2" s="1"/>
  <c r="Z46" i="67"/>
  <c r="DE36" i="2" s="1"/>
  <c r="DE37" i="2" s="1"/>
  <c r="DE35" i="2" s="1"/>
  <c r="Y6" i="67"/>
  <c r="DD8" i="2" s="1"/>
  <c r="Q21" i="67" l="1"/>
  <c r="CV16" i="2" s="1"/>
  <c r="DD9" i="2"/>
  <c r="CV17" i="2" l="1"/>
  <c r="Q16" i="67"/>
  <c r="CV12" i="2" s="1"/>
  <c r="DD7" i="2"/>
  <c r="CV13" i="2" l="1"/>
  <c r="CV11" i="2" l="1"/>
  <c r="T21" i="67" l="1"/>
  <c r="CY16" i="2" s="1"/>
  <c r="AA46" i="67"/>
  <c r="DF36" i="2" s="1"/>
  <c r="AB44" i="67"/>
  <c r="AB46" i="67" s="1"/>
  <c r="CY17" i="2" l="1"/>
  <c r="DG36" i="2"/>
  <c r="DF37" i="2"/>
  <c r="DG37" i="2" s="1"/>
  <c r="AC46" i="67"/>
  <c r="DH36" i="2" s="1"/>
  <c r="DH37" i="2" s="1"/>
  <c r="DH35" i="2" s="1"/>
  <c r="DF35" i="2" l="1"/>
  <c r="T16" i="67"/>
  <c r="CY12" i="2" s="1"/>
  <c r="DG35" i="2"/>
  <c r="DG123" i="2" s="1"/>
  <c r="U21" i="67" l="1"/>
  <c r="CZ16" i="2" s="1"/>
  <c r="CY13" i="2"/>
  <c r="U16" i="67" l="1"/>
  <c r="CZ12" i="2" s="1"/>
  <c r="CY11" i="2"/>
  <c r="CZ17" i="2"/>
  <c r="CZ13" i="2" l="1"/>
  <c r="CZ11" i="2" s="1"/>
  <c r="AA26" i="67"/>
  <c r="DF20" i="2" s="1"/>
  <c r="AD46" i="67"/>
  <c r="DI36" i="2" s="1"/>
  <c r="DI37" i="2" s="1"/>
  <c r="DI35" i="2" s="1"/>
  <c r="AC6" i="67"/>
  <c r="DH8" i="2" s="1"/>
  <c r="DF21" i="2" l="1"/>
  <c r="DH9" i="2"/>
  <c r="DH7" i="2" s="1"/>
  <c r="AC26" i="67" l="1"/>
  <c r="DH20" i="2" s="1"/>
  <c r="DH21" i="2" s="1"/>
  <c r="AE46" i="67"/>
  <c r="DJ36" i="2" s="1"/>
  <c r="DJ37" i="2" s="1"/>
  <c r="DJ35" i="2" s="1"/>
  <c r="AD6" i="67"/>
  <c r="DI8" i="2" s="1"/>
  <c r="V21" i="67" l="1"/>
  <c r="DA16" i="2" s="1"/>
  <c r="DI9" i="2"/>
  <c r="V16" i="67" l="1"/>
  <c r="DA12" i="2" s="1"/>
  <c r="DA17" i="2"/>
  <c r="DI7" i="2"/>
  <c r="DA13" i="2" l="1"/>
  <c r="DA11" i="2" l="1"/>
  <c r="AF46" i="67" l="1"/>
  <c r="DK36" i="2" s="1"/>
  <c r="AG44" i="67"/>
  <c r="AG46" i="67" s="1"/>
  <c r="Y16" i="67" l="1"/>
  <c r="DD12" i="2" s="1"/>
  <c r="Y21" i="67"/>
  <c r="DD16" i="2" s="1"/>
  <c r="DL36" i="2"/>
  <c r="DK37" i="2"/>
  <c r="DL37" i="2" s="1"/>
  <c r="DK35" i="2" l="1"/>
  <c r="DD17" i="2"/>
  <c r="DD13" i="2"/>
  <c r="AH46" i="67"/>
  <c r="DM36" i="2" s="1"/>
  <c r="DM37" i="2" s="1"/>
  <c r="DM35" i="2" s="1"/>
  <c r="DL35" i="2"/>
  <c r="DL123" i="2" s="1"/>
  <c r="Z21" i="67" l="1"/>
  <c r="DE16" i="2" s="1"/>
  <c r="DD11" i="2"/>
  <c r="Z16" i="67" l="1"/>
  <c r="DE12" i="2" s="1"/>
  <c r="DE17" i="2"/>
  <c r="AI46" i="67"/>
  <c r="DN36" i="2" s="1"/>
  <c r="DN37" i="2" s="1"/>
  <c r="DN35" i="2" s="1"/>
  <c r="AH6" i="67"/>
  <c r="DM8" i="2" s="1"/>
  <c r="AF26" i="67" l="1"/>
  <c r="DK20" i="2" s="1"/>
  <c r="DE13" i="2"/>
  <c r="DM9" i="2"/>
  <c r="DE11" i="2" l="1"/>
  <c r="DK21" i="2"/>
  <c r="DM7" i="2"/>
  <c r="AH26" i="67" l="1"/>
  <c r="DM20" i="2" s="1"/>
  <c r="DM21" i="2" s="1"/>
  <c r="AJ46" i="67"/>
  <c r="DO36" i="2" s="1"/>
  <c r="DO37" i="2" s="1"/>
  <c r="DO35" i="2" s="1"/>
  <c r="AA16" i="67" l="1"/>
  <c r="DF12" i="2" s="1"/>
  <c r="AA21" i="67"/>
  <c r="DF16" i="2" s="1"/>
  <c r="AI6" i="67"/>
  <c r="DN8" i="2" s="1"/>
  <c r="DF17" i="2" l="1"/>
  <c r="DF13" i="2"/>
  <c r="DN9" i="2"/>
  <c r="DF11" i="2" l="1"/>
  <c r="DN7" i="2"/>
  <c r="AK46" i="67" l="1"/>
  <c r="DP36" i="2" s="1"/>
  <c r="AL44" i="67"/>
  <c r="AL46" i="67" s="1"/>
  <c r="AD16" i="67" l="1"/>
  <c r="DI12" i="2" s="1"/>
  <c r="AD21" i="67"/>
  <c r="DI16" i="2" s="1"/>
  <c r="AM46" i="67"/>
  <c r="DR36" i="2" s="1"/>
  <c r="DR37" i="2" s="1"/>
  <c r="DR35" i="2" s="1"/>
  <c r="DQ36" i="2"/>
  <c r="DP37" i="2"/>
  <c r="DQ37" i="2" s="1"/>
  <c r="DP35" i="2" l="1"/>
  <c r="DI13" i="2"/>
  <c r="DI17" i="2"/>
  <c r="DQ35" i="2"/>
  <c r="DQ123" i="2" s="1"/>
  <c r="AE21" i="67" l="1"/>
  <c r="DJ16" i="2" s="1"/>
  <c r="DI11" i="2"/>
  <c r="AK26" i="67" l="1"/>
  <c r="DP20" i="2" s="1"/>
  <c r="AE16" i="67"/>
  <c r="DJ12" i="2" s="1"/>
  <c r="DJ17" i="2"/>
  <c r="DJ13" i="2" l="1"/>
  <c r="DP21" i="2"/>
  <c r="AN46" i="67"/>
  <c r="DS36" i="2" s="1"/>
  <c r="DS37" i="2" s="1"/>
  <c r="DS35" i="2" s="1"/>
  <c r="AM6" i="67"/>
  <c r="DR8" i="2" s="1"/>
  <c r="DJ11" i="2" l="1"/>
  <c r="DR9" i="2"/>
  <c r="AO46" i="67" l="1"/>
  <c r="DT36" i="2" s="1"/>
  <c r="DT37" i="2" s="1"/>
  <c r="DT35" i="2" s="1"/>
  <c r="AN6" i="67"/>
  <c r="DS8" i="2" s="1"/>
  <c r="DR7" i="2"/>
  <c r="AF21" i="67" l="1"/>
  <c r="DK16" i="2" s="1"/>
  <c r="AM26" i="67"/>
  <c r="DR20" i="2" s="1"/>
  <c r="DR21" i="2" s="1"/>
  <c r="DS9" i="2"/>
  <c r="AF16" i="67" l="1"/>
  <c r="DK12" i="2" s="1"/>
  <c r="DK17" i="2"/>
  <c r="DS7" i="2"/>
  <c r="DK13" i="2" l="1"/>
  <c r="DK11" i="2" l="1"/>
  <c r="AI21" i="67" l="1"/>
  <c r="AP46" i="67"/>
  <c r="DU36" i="2" s="1"/>
  <c r="AQ44" i="67"/>
  <c r="AQ46" i="67" s="1"/>
  <c r="DN16" i="2" l="1"/>
  <c r="AR46" i="67"/>
  <c r="DW36" i="2" s="1"/>
  <c r="DW37" i="2" s="1"/>
  <c r="DW35" i="2" s="1"/>
  <c r="DV36" i="2"/>
  <c r="DU37" i="2"/>
  <c r="DV37" i="2" s="1"/>
  <c r="DU35" i="2" l="1"/>
  <c r="DN17" i="2"/>
  <c r="AI16" i="67"/>
  <c r="DN12" i="2" s="1"/>
  <c r="DV35" i="2"/>
  <c r="DV123" i="2" s="1"/>
  <c r="DN13" i="2" l="1"/>
  <c r="AJ21" i="67"/>
  <c r="DO16" i="2" l="1"/>
  <c r="DN11" i="2"/>
  <c r="AJ16" i="67"/>
  <c r="DO12" i="2" s="1"/>
  <c r="AR6" i="67"/>
  <c r="DW8" i="2" s="1"/>
  <c r="AP26" i="67" l="1"/>
  <c r="DU20" i="2" s="1"/>
  <c r="DO13" i="2"/>
  <c r="DO17" i="2"/>
  <c r="AS46" i="67"/>
  <c r="DX36" i="2" s="1"/>
  <c r="DX37" i="2" s="1"/>
  <c r="DX35" i="2" s="1"/>
  <c r="DW9" i="2"/>
  <c r="DO11" i="2" l="1"/>
  <c r="DU21" i="2"/>
  <c r="DW7" i="2"/>
  <c r="AR26" i="67" l="1"/>
  <c r="DW20" i="2" s="1"/>
  <c r="DW21" i="2" s="1"/>
  <c r="AK21" i="67"/>
  <c r="AT46" i="67"/>
  <c r="DY36" i="2" s="1"/>
  <c r="DY37" i="2" s="1"/>
  <c r="DY35" i="2" s="1"/>
  <c r="AS6" i="67"/>
  <c r="DX8" i="2" s="1"/>
  <c r="F56" i="67" l="1"/>
  <c r="DP16" i="2"/>
  <c r="DX9" i="2"/>
  <c r="CK50" i="2" l="1"/>
  <c r="AK16" i="67"/>
  <c r="DP12" i="2" s="1"/>
  <c r="DP17" i="2"/>
  <c r="DX7" i="2"/>
  <c r="CK126" i="2" l="1"/>
  <c r="CK75" i="2"/>
  <c r="DP13" i="2"/>
  <c r="G56" i="67" l="1"/>
  <c r="H54" i="67"/>
  <c r="H56" i="67" s="1"/>
  <c r="CK84" i="2"/>
  <c r="CK3" i="3"/>
  <c r="DP11" i="2"/>
  <c r="CK101" i="3" l="1"/>
  <c r="CK5" i="3"/>
  <c r="CK10" i="3" s="1"/>
  <c r="CL50" i="2"/>
  <c r="CM51" i="2"/>
  <c r="AU46" i="67"/>
  <c r="DZ36" i="2" s="1"/>
  <c r="AV44" i="67"/>
  <c r="AV46" i="67" s="1"/>
  <c r="CL126" i="2" l="1"/>
  <c r="CK94" i="3"/>
  <c r="CK102" i="3"/>
  <c r="CK93" i="3"/>
  <c r="CM50" i="2"/>
  <c r="AN21" i="67"/>
  <c r="DS16" i="2" s="1"/>
  <c r="EA36" i="2"/>
  <c r="DZ37" i="2"/>
  <c r="EA37" i="2" s="1"/>
  <c r="CM126" i="2" l="1"/>
  <c r="EA35" i="2"/>
  <c r="EA123" i="2" s="1"/>
  <c r="AN16" i="67"/>
  <c r="DS12" i="2" s="1"/>
  <c r="DS17" i="2"/>
  <c r="AW46" i="67"/>
  <c r="EB36" i="2" s="1"/>
  <c r="EB37" i="2" s="1"/>
  <c r="EB35" i="2" s="1"/>
  <c r="DZ35" i="2"/>
  <c r="DS13" i="2" l="1"/>
  <c r="AO21" i="67"/>
  <c r="DT16" i="2" s="1"/>
  <c r="DT17" i="2" l="1"/>
  <c r="AO16" i="67"/>
  <c r="DT12" i="2" s="1"/>
  <c r="DS11" i="2"/>
  <c r="AW6" i="67"/>
  <c r="EB8" i="2" s="1"/>
  <c r="AU26" i="67" l="1"/>
  <c r="DZ20" i="2" s="1"/>
  <c r="DT13" i="2"/>
  <c r="DT11" i="2" s="1"/>
  <c r="AX46" i="67"/>
  <c r="EC36" i="2" s="1"/>
  <c r="EC37" i="2" s="1"/>
  <c r="EC35" i="2" s="1"/>
  <c r="EB9" i="2"/>
  <c r="EB7" i="2" s="1"/>
  <c r="DZ21" i="2" l="1"/>
  <c r="AY46" i="67" l="1"/>
  <c r="ED36" i="2" s="1"/>
  <c r="ED37" i="2" s="1"/>
  <c r="ED35" i="2" s="1"/>
  <c r="AX6" i="67"/>
  <c r="EC8" i="2" s="1"/>
  <c r="AP21" i="67" l="1"/>
  <c r="DU16" i="2" s="1"/>
  <c r="AW26" i="67"/>
  <c r="EB20" i="2" s="1"/>
  <c r="EB21" i="2" s="1"/>
  <c r="EC9" i="2"/>
  <c r="AP16" i="67" l="1"/>
  <c r="DU12" i="2" s="1"/>
  <c r="DU17" i="2"/>
  <c r="EC7" i="2"/>
  <c r="DU13" i="2" l="1"/>
  <c r="DU11" i="2" l="1"/>
  <c r="AZ46" i="67" l="1"/>
  <c r="EE36" i="2" s="1"/>
  <c r="BA44" i="67"/>
  <c r="BA46" i="67" s="1"/>
  <c r="AS16" i="67" l="1"/>
  <c r="DX12" i="2" s="1"/>
  <c r="AS21" i="67"/>
  <c r="DX16" i="2" s="1"/>
  <c r="EF36" i="2"/>
  <c r="EE37" i="2"/>
  <c r="EF37" i="2" s="1"/>
  <c r="EF35" i="2" l="1"/>
  <c r="EF123" i="2" s="1"/>
  <c r="EE35" i="2"/>
  <c r="DX17" i="2"/>
  <c r="DX13" i="2"/>
  <c r="BB46" i="67"/>
  <c r="EG36" i="2" s="1"/>
  <c r="AT21" i="67" l="1"/>
  <c r="DY16" i="2" s="1"/>
  <c r="DX11" i="2"/>
  <c r="EG37" i="2"/>
  <c r="EG35" i="2" s="1"/>
  <c r="AT16" i="67" l="1"/>
  <c r="DY12" i="2" s="1"/>
  <c r="DY17" i="2"/>
  <c r="BC46" i="67"/>
  <c r="EH36" i="2" s="1"/>
  <c r="EH37" i="2" s="1"/>
  <c r="EH35" i="2" s="1"/>
  <c r="DY13" i="2" l="1"/>
  <c r="BB6" i="67"/>
  <c r="EG8" i="2" s="1"/>
  <c r="AZ26" i="67" l="1"/>
  <c r="EE20" i="2" s="1"/>
  <c r="EE21" i="2" s="1"/>
  <c r="DY11" i="2"/>
  <c r="EG9" i="2"/>
  <c r="EG7" i="2" s="1"/>
  <c r="BD46" i="67" l="1"/>
  <c r="EI36" i="2" s="1"/>
  <c r="EI37" i="2" s="1"/>
  <c r="EI35" i="2" s="1"/>
  <c r="AU21" i="67" l="1"/>
  <c r="DZ16" i="2" s="1"/>
  <c r="BB26" i="67"/>
  <c r="EG20" i="2" s="1"/>
  <c r="EG21" i="2" s="1"/>
  <c r="BC6" i="67"/>
  <c r="EH8" i="2" s="1"/>
  <c r="AU16" i="67" l="1"/>
  <c r="DZ12" i="2" s="1"/>
  <c r="DZ17" i="2"/>
  <c r="EH9" i="2"/>
  <c r="DZ13" i="2" l="1"/>
  <c r="EH7" i="2"/>
  <c r="DZ11" i="2" l="1"/>
  <c r="BE46" i="67" l="1"/>
  <c r="EJ36" i="2" s="1"/>
  <c r="BF44" i="67"/>
  <c r="BF46" i="67" s="1"/>
  <c r="AX21" i="67" l="1"/>
  <c r="EC16" i="2" s="1"/>
  <c r="AX16" i="67"/>
  <c r="EC12" i="2" s="1"/>
  <c r="BG46" i="67"/>
  <c r="EL36" i="2" s="1"/>
  <c r="EL37" i="2" s="1"/>
  <c r="EL35" i="2" s="1"/>
  <c r="EJ37" i="2"/>
  <c r="EK37" i="2" s="1"/>
  <c r="EK36" i="2"/>
  <c r="EC13" i="2" l="1"/>
  <c r="EC17" i="2"/>
  <c r="EK35" i="2"/>
  <c r="EK123" i="2" s="1"/>
  <c r="EJ35" i="2"/>
  <c r="AY21" i="67" l="1"/>
  <c r="ED16" i="2" s="1"/>
  <c r="EC11" i="2"/>
  <c r="AY16" i="67" l="1"/>
  <c r="ED12" i="2" s="1"/>
  <c r="ED17" i="2"/>
  <c r="BH46" i="67"/>
  <c r="EM36" i="2" s="1"/>
  <c r="EM37" i="2" s="1"/>
  <c r="EM35" i="2" s="1"/>
  <c r="ED13" i="2" l="1"/>
  <c r="BG6" i="67"/>
  <c r="EL8" i="2" s="1"/>
  <c r="ED11" i="2" l="1"/>
  <c r="BE26" i="67"/>
  <c r="EJ20" i="2" s="1"/>
  <c r="EL9" i="2"/>
  <c r="BG26" i="67" l="1"/>
  <c r="EL20" i="2" s="1"/>
  <c r="EL21" i="2" s="1"/>
  <c r="EJ21" i="2"/>
  <c r="BI46" i="67"/>
  <c r="EN36" i="2" s="1"/>
  <c r="EN37" i="2" s="1"/>
  <c r="EN35" i="2" s="1"/>
  <c r="EL7" i="2"/>
  <c r="AZ21" i="67" l="1"/>
  <c r="EE16" i="2" s="1"/>
  <c r="BH6" i="67"/>
  <c r="EM8" i="2" s="1"/>
  <c r="EE17" i="2" l="1"/>
  <c r="AZ16" i="67"/>
  <c r="EE12" i="2" s="1"/>
  <c r="EM9" i="2"/>
  <c r="EE13" i="2" l="1"/>
  <c r="EM7" i="2"/>
  <c r="EE11" i="2" l="1"/>
  <c r="BJ46" i="67" l="1"/>
  <c r="EO36" i="2" s="1"/>
  <c r="BK44" i="67"/>
  <c r="BK46" i="67" s="1"/>
  <c r="BC16" i="67" l="1"/>
  <c r="BC21" i="67"/>
  <c r="EH16" i="2" s="1"/>
  <c r="EP36" i="2"/>
  <c r="EO37" i="2"/>
  <c r="EP37" i="2" s="1"/>
  <c r="BL46" i="67"/>
  <c r="EQ36" i="2" s="1"/>
  <c r="EQ37" i="2" s="1"/>
  <c r="EQ35" i="2" s="1"/>
  <c r="EP35" i="2" l="1"/>
  <c r="EP123" i="2" s="1"/>
  <c r="EO35" i="2"/>
  <c r="EH17" i="2"/>
  <c r="EH12" i="2"/>
  <c r="BD16" i="67" l="1"/>
  <c r="EH13" i="2"/>
  <c r="BD21" i="67"/>
  <c r="EI16" i="2" s="1"/>
  <c r="EI12" i="2" l="1"/>
  <c r="EI17" i="2"/>
  <c r="EH11" i="2"/>
  <c r="BM46" i="67"/>
  <c r="ER36" i="2" s="1"/>
  <c r="ER37" i="2" s="1"/>
  <c r="ER35" i="2" s="1"/>
  <c r="EI13" i="2" l="1"/>
  <c r="BJ26" i="67"/>
  <c r="EO20" i="2" s="1"/>
  <c r="BL6" i="67"/>
  <c r="EQ8" i="2" s="1"/>
  <c r="EI11" i="2" l="1"/>
  <c r="EO21" i="2"/>
  <c r="EQ9" i="2"/>
  <c r="EQ7" i="2" s="1"/>
  <c r="BN46" i="67" l="1"/>
  <c r="ES36" i="2" s="1"/>
  <c r="ES37" i="2" s="1"/>
  <c r="ES35" i="2" s="1"/>
  <c r="BM6" i="67"/>
  <c r="ER8" i="2" s="1"/>
  <c r="BE16" i="67" l="1"/>
  <c r="BE21" i="67"/>
  <c r="EJ16" i="2" s="1"/>
  <c r="BL26" i="67"/>
  <c r="EQ20" i="2" s="1"/>
  <c r="EQ21" i="2" s="1"/>
  <c r="ER9" i="2"/>
  <c r="EJ17" i="2" l="1"/>
  <c r="EJ12" i="2"/>
  <c r="ER7" i="2"/>
  <c r="EJ13" i="2" l="1"/>
  <c r="EJ11" i="2" l="1"/>
  <c r="BO46" i="67" l="1"/>
  <c r="ET36" i="2" s="1"/>
  <c r="BP44" i="67"/>
  <c r="BP46" i="67" s="1"/>
  <c r="BH21" i="67" l="1"/>
  <c r="EM16" i="2" s="1"/>
  <c r="BQ46" i="67"/>
  <c r="EV36" i="2" s="1"/>
  <c r="EV37" i="2" s="1"/>
  <c r="EV35" i="2" s="1"/>
  <c r="EU36" i="2"/>
  <c r="ET37" i="2"/>
  <c r="EU37" i="2" s="1"/>
  <c r="ET35" i="2" l="1"/>
  <c r="EM17" i="2"/>
  <c r="BH16" i="67"/>
  <c r="EM12" i="2" s="1"/>
  <c r="EU35" i="2"/>
  <c r="EU123" i="2" s="1"/>
  <c r="BI21" i="67" l="1"/>
  <c r="EN16" i="2" s="1"/>
  <c r="EM13" i="2"/>
  <c r="BI16" i="67" l="1"/>
  <c r="EN12" i="2" s="1"/>
  <c r="EM11" i="2"/>
  <c r="EN17" i="2"/>
  <c r="EN13" i="2" l="1"/>
  <c r="EN11" i="2" s="1"/>
  <c r="BR46" i="67"/>
  <c r="EW36" i="2" s="1"/>
  <c r="EW37" i="2" s="1"/>
  <c r="EW35" i="2" s="1"/>
  <c r="BQ6" i="67"/>
  <c r="EV8" i="2" s="1"/>
  <c r="BO26" i="67" l="1"/>
  <c r="ET20" i="2" s="1"/>
  <c r="ET21" i="2" s="1"/>
  <c r="EV9" i="2"/>
  <c r="BQ26" i="67" l="1"/>
  <c r="EV20" i="2" s="1"/>
  <c r="EV21" i="2" s="1"/>
  <c r="BS46" i="67"/>
  <c r="EX36" i="2" s="1"/>
  <c r="EX37" i="2" s="1"/>
  <c r="EX35" i="2" s="1"/>
  <c r="BR6" i="67"/>
  <c r="EW8" i="2" s="1"/>
  <c r="EV7" i="2"/>
  <c r="BS51" i="67" l="1"/>
  <c r="EX46" i="2" s="1"/>
  <c r="EX47" i="2" s="1"/>
  <c r="EX45" i="2" s="1"/>
  <c r="BJ21" i="67"/>
  <c r="EO16" i="2" s="1"/>
  <c r="EW9" i="2"/>
  <c r="BJ16" i="67" l="1"/>
  <c r="EO12" i="2" s="1"/>
  <c r="EO17" i="2"/>
  <c r="EW7" i="2"/>
  <c r="EO13" i="2" l="1"/>
  <c r="EO11" i="2" l="1"/>
  <c r="BT46" i="67" l="1"/>
  <c r="EY36" i="2" s="1"/>
  <c r="BU44" i="67"/>
  <c r="BU46" i="67" s="1"/>
  <c r="BM21" i="67" l="1"/>
  <c r="ER16" i="2" s="1"/>
  <c r="EZ36" i="2"/>
  <c r="EY37" i="2"/>
  <c r="EZ37" i="2" s="1"/>
  <c r="BT51" i="67"/>
  <c r="EY46" i="2" s="1"/>
  <c r="EZ35" i="2" l="1"/>
  <c r="EZ123" i="2" s="1"/>
  <c r="BM16" i="67"/>
  <c r="ER12" i="2" s="1"/>
  <c r="ER17" i="2"/>
  <c r="EY35" i="2"/>
  <c r="EY47" i="2"/>
  <c r="EY45" i="2" l="1"/>
  <c r="ER13" i="2"/>
  <c r="BN21" i="67"/>
  <c r="ES16" i="2" s="1"/>
  <c r="BN16" i="67" l="1"/>
  <c r="ES12" i="2" s="1"/>
  <c r="ES17" i="2"/>
  <c r="ER11" i="2"/>
  <c r="ES13" i="2" l="1"/>
  <c r="ES11" i="2" l="1"/>
  <c r="BT26" i="67"/>
  <c r="EY20" i="2" s="1"/>
  <c r="EY21" i="2" l="1"/>
  <c r="BO21" i="67" l="1"/>
  <c r="ET16" i="2" s="1"/>
  <c r="BO16" i="67" l="1"/>
  <c r="ET12" i="2" s="1"/>
  <c r="ET17" i="2"/>
  <c r="ET13" i="2" l="1"/>
  <c r="ET11" i="2" l="1"/>
  <c r="BR21" i="67" l="1"/>
  <c r="EW16" i="2" s="1"/>
  <c r="BR16" i="67" l="1"/>
  <c r="EW12" i="2" s="1"/>
  <c r="EW17" i="2"/>
  <c r="BS21" i="67" l="1"/>
  <c r="EX16" i="2" s="1"/>
  <c r="EW13" i="2"/>
  <c r="BS16" i="67" l="1"/>
  <c r="EX12" i="2" s="1"/>
  <c r="EX17" i="2"/>
  <c r="EW11" i="2"/>
  <c r="EX13" i="2" l="1"/>
  <c r="EX11" i="2" l="1"/>
  <c r="BT21" i="67" l="1"/>
  <c r="EY16" i="2" s="1"/>
  <c r="BT16" i="67" l="1"/>
  <c r="EY12" i="2" s="1"/>
  <c r="EY17" i="2"/>
  <c r="EY13" i="2" l="1"/>
  <c r="EY11" i="2" l="1"/>
  <c r="CK103" i="3" l="1"/>
  <c r="CK91" i="3"/>
  <c r="CK92" i="3" l="1"/>
  <c r="CK29" i="3"/>
  <c r="CK95" i="3" l="1"/>
  <c r="CK107" i="3" s="1"/>
  <c r="CK33" i="3"/>
  <c r="CK35" i="3" s="1"/>
  <c r="CK37" i="3" l="1"/>
  <c r="CK98" i="3" l="1"/>
  <c r="CK52" i="3"/>
  <c r="CK39" i="3"/>
  <c r="CK106" i="3" l="1"/>
  <c r="K26" i="67" l="1"/>
  <c r="CP20" i="2" s="1"/>
  <c r="P26" i="67" l="1"/>
  <c r="CU20" i="2" s="1"/>
  <c r="CP21" i="2"/>
  <c r="CP19" i="2" s="1"/>
  <c r="M24" i="67"/>
  <c r="M26" i="67" s="1"/>
  <c r="J26" i="67"/>
  <c r="CO20" i="2" s="1"/>
  <c r="CP119" i="2" l="1"/>
  <c r="CO21" i="2"/>
  <c r="CO19" i="2" s="1"/>
  <c r="R24" i="67"/>
  <c r="R26" i="67" s="1"/>
  <c r="O26" i="67"/>
  <c r="CT20" i="2" s="1"/>
  <c r="CT21" i="2" s="1"/>
  <c r="CR20" i="2"/>
  <c r="U26" i="67"/>
  <c r="CZ20" i="2" s="1"/>
  <c r="CU21" i="2"/>
  <c r="CW20" i="2" l="1"/>
  <c r="CR21" i="2"/>
  <c r="CR19" i="2" s="1"/>
  <c r="CO119" i="2"/>
  <c r="CW21" i="2"/>
  <c r="CZ21" i="2"/>
  <c r="Z26" i="67"/>
  <c r="DE20" i="2" s="1"/>
  <c r="T26" i="67"/>
  <c r="CY20" i="2" s="1"/>
  <c r="CY21" i="2" s="1"/>
  <c r="W24" i="67"/>
  <c r="W26" i="67" s="1"/>
  <c r="CW19" i="2" l="1"/>
  <c r="CW119" i="2" s="1"/>
  <c r="DB20" i="2"/>
  <c r="CR119" i="2"/>
  <c r="CR142" i="2"/>
  <c r="DB21" i="2"/>
  <c r="Y26" i="67"/>
  <c r="DD20" i="2" s="1"/>
  <c r="DD21" i="2" s="1"/>
  <c r="AB24" i="67"/>
  <c r="AB26" i="67" s="1"/>
  <c r="AE26" i="67"/>
  <c r="DJ20" i="2" s="1"/>
  <c r="DE21" i="2"/>
  <c r="CW142" i="2" l="1"/>
  <c r="DB19" i="2"/>
  <c r="DG21" i="2"/>
  <c r="DG20" i="2"/>
  <c r="DJ21" i="2"/>
  <c r="AJ26" i="67"/>
  <c r="DO20" i="2" s="1"/>
  <c r="AG24" i="67"/>
  <c r="AG26" i="67" s="1"/>
  <c r="AD26" i="67"/>
  <c r="DI20" i="2" s="1"/>
  <c r="DI21" i="2" s="1"/>
  <c r="DB119" i="2" l="1"/>
  <c r="DB142" i="2"/>
  <c r="DG19" i="2"/>
  <c r="AL24" i="67"/>
  <c r="AL26" i="67" s="1"/>
  <c r="AI26" i="67"/>
  <c r="DN20" i="2" s="1"/>
  <c r="DN21" i="2" s="1"/>
  <c r="AO26" i="67"/>
  <c r="DT20" i="2" s="1"/>
  <c r="DO21" i="2"/>
  <c r="DL21" i="2"/>
  <c r="DL20" i="2"/>
  <c r="DG119" i="2" l="1"/>
  <c r="DQ20" i="2"/>
  <c r="DQ21" i="2"/>
  <c r="DL19" i="2"/>
  <c r="AT26" i="67"/>
  <c r="DY20" i="2" s="1"/>
  <c r="AQ24" i="67"/>
  <c r="AQ26" i="67" s="1"/>
  <c r="AN26" i="67"/>
  <c r="DS20" i="2" s="1"/>
  <c r="DS21" i="2" s="1"/>
  <c r="DT21" i="2"/>
  <c r="DQ19" i="2" l="1"/>
  <c r="DL119" i="2"/>
  <c r="DV20" i="2"/>
  <c r="DV21" i="2"/>
  <c r="AY26" i="67"/>
  <c r="ED20" i="2" s="1"/>
  <c r="AV24" i="67"/>
  <c r="AV26" i="67" s="1"/>
  <c r="AS26" i="67"/>
  <c r="DX20" i="2" s="1"/>
  <c r="DX21" i="2" s="1"/>
  <c r="DY21" i="2"/>
  <c r="DQ119" i="2" l="1"/>
  <c r="DV19" i="2"/>
  <c r="EA21" i="2"/>
  <c r="EA20" i="2"/>
  <c r="BA24" i="67"/>
  <c r="BA26" i="67" s="1"/>
  <c r="AX26" i="67"/>
  <c r="EC20" i="2" s="1"/>
  <c r="EC21" i="2" s="1"/>
  <c r="ED21" i="2"/>
  <c r="BD26" i="67"/>
  <c r="EI20" i="2" s="1"/>
  <c r="EF20" i="2" l="1"/>
  <c r="DV119" i="2"/>
  <c r="EF21" i="2"/>
  <c r="EA19" i="2"/>
  <c r="EI21" i="2"/>
  <c r="BI26" i="67"/>
  <c r="EN20" i="2" s="1"/>
  <c r="BF24" i="67"/>
  <c r="BF26" i="67" s="1"/>
  <c r="BC26" i="67"/>
  <c r="EH20" i="2" s="1"/>
  <c r="EH21" i="2" s="1"/>
  <c r="EF19" i="2" l="1"/>
  <c r="EA119" i="2"/>
  <c r="EK21" i="2"/>
  <c r="BK24" i="67"/>
  <c r="BK26" i="67" s="1"/>
  <c r="BH26" i="67"/>
  <c r="EM20" i="2" s="1"/>
  <c r="EM21" i="2" s="1"/>
  <c r="EN21" i="2"/>
  <c r="BN26" i="67"/>
  <c r="ES20" i="2" s="1"/>
  <c r="EK20" i="2"/>
  <c r="EF119" i="2" l="1"/>
  <c r="EK19" i="2"/>
  <c r="EP21" i="2"/>
  <c r="BS26" i="67"/>
  <c r="EX20" i="2" s="1"/>
  <c r="ES21" i="2"/>
  <c r="EP20" i="2"/>
  <c r="BP24" i="67"/>
  <c r="BP26" i="67" s="1"/>
  <c r="BM26" i="67"/>
  <c r="ER20" i="2" s="1"/>
  <c r="ER21" i="2" s="1"/>
  <c r="EK119" i="2" l="1"/>
  <c r="EP19" i="2"/>
  <c r="EU21" i="2"/>
  <c r="EU20" i="2"/>
  <c r="EX21" i="2"/>
  <c r="BU24" i="67"/>
  <c r="BU26" i="67" s="1"/>
  <c r="BR26" i="67"/>
  <c r="EW20" i="2" s="1"/>
  <c r="EW21" i="2" s="1"/>
  <c r="EP119" i="2" l="1"/>
  <c r="EU19" i="2"/>
  <c r="EZ20" i="2"/>
  <c r="EZ21" i="2"/>
  <c r="EU119" i="2" l="1"/>
  <c r="EZ19" i="2"/>
  <c r="EZ119" i="2" l="1"/>
  <c r="CK112" i="2" l="1"/>
  <c r="CK116" i="2"/>
  <c r="CK97" i="2" s="1"/>
  <c r="K6" i="67" l="1"/>
  <c r="CP8" i="2" s="1"/>
  <c r="CP9" i="2" l="1"/>
  <c r="P6" i="67"/>
  <c r="CU8" i="2" s="1"/>
  <c r="U6" i="67" l="1"/>
  <c r="CZ8" i="2" s="1"/>
  <c r="CU9" i="2"/>
  <c r="CP7" i="2"/>
  <c r="CP116" i="2" l="1"/>
  <c r="Z6" i="67"/>
  <c r="DE8" i="2" s="1"/>
  <c r="CU7" i="2"/>
  <c r="CZ9" i="2"/>
  <c r="AE6" i="67" l="1"/>
  <c r="DJ8" i="2" s="1"/>
  <c r="DE9" i="2"/>
  <c r="CZ7" i="2"/>
  <c r="AJ6" i="67" l="1"/>
  <c r="DO8" i="2" s="1"/>
  <c r="DE7" i="2"/>
  <c r="DJ9" i="2"/>
  <c r="DJ7" i="2" s="1"/>
  <c r="AO6" i="67" l="1"/>
  <c r="DT8" i="2" s="1"/>
  <c r="DO9" i="2"/>
  <c r="AT6" i="67" l="1"/>
  <c r="DY8" i="2" s="1"/>
  <c r="DT9" i="2"/>
  <c r="DO7" i="2"/>
  <c r="AY6" i="67" l="1"/>
  <c r="ED8" i="2" s="1"/>
  <c r="DT7" i="2"/>
  <c r="DY9" i="2"/>
  <c r="DY7" i="2" s="1"/>
  <c r="BD6" i="67" l="1"/>
  <c r="EI8" i="2" s="1"/>
  <c r="ED9" i="2"/>
  <c r="ED7" i="2" s="1"/>
  <c r="BI6" i="67" l="1"/>
  <c r="EN8" i="2" s="1"/>
  <c r="EI9" i="2"/>
  <c r="EI7" i="2" s="1"/>
  <c r="BN6" i="67" l="1"/>
  <c r="ES8" i="2" s="1"/>
  <c r="EN9" i="2"/>
  <c r="EN7" i="2" s="1"/>
  <c r="ES9" i="2" l="1"/>
  <c r="ES7" i="2" s="1"/>
  <c r="BS6" i="67"/>
  <c r="EX8" i="2" s="1"/>
  <c r="EX9" i="2" l="1"/>
  <c r="EX7" i="2" s="1"/>
  <c r="M4" i="67" l="1"/>
  <c r="M6" i="67" s="1"/>
  <c r="L6" i="67"/>
  <c r="CQ8" i="2" s="1"/>
  <c r="CQ9" i="2" l="1"/>
  <c r="CR9" i="2" s="1"/>
  <c r="CR8" i="2"/>
  <c r="R4" i="67"/>
  <c r="R6" i="67" s="1"/>
  <c r="Q6" i="67"/>
  <c r="CV8" i="2" s="1"/>
  <c r="H9" i="67" l="1"/>
  <c r="H11" i="67" s="1"/>
  <c r="G11" i="67"/>
  <c r="CV9" i="2"/>
  <c r="CW9" i="2" s="1"/>
  <c r="CW8" i="2"/>
  <c r="CR7" i="2"/>
  <c r="W4" i="67"/>
  <c r="W6" i="67" s="1"/>
  <c r="V6" i="67"/>
  <c r="DA8" i="2" s="1"/>
  <c r="CQ7" i="2"/>
  <c r="CQ116" i="2" l="1"/>
  <c r="CR116" i="2" s="1"/>
  <c r="CM5" i="2"/>
  <c r="CL115" i="2"/>
  <c r="DA9" i="2"/>
  <c r="DB9" i="2" s="1"/>
  <c r="DB8" i="2"/>
  <c r="CV7" i="2"/>
  <c r="CR139" i="2"/>
  <c r="AB4" i="67"/>
  <c r="AB6" i="67" s="1"/>
  <c r="AA6" i="67"/>
  <c r="DF8" i="2" s="1"/>
  <c r="CW7" i="2"/>
  <c r="CM138" i="2" l="1"/>
  <c r="CM143" i="2" s="1"/>
  <c r="CM115" i="2"/>
  <c r="DB7" i="2"/>
  <c r="DG8" i="2"/>
  <c r="DF9" i="2"/>
  <c r="DG9" i="2" s="1"/>
  <c r="AF6" i="67"/>
  <c r="DK8" i="2" s="1"/>
  <c r="AG4" i="67"/>
  <c r="AG6" i="67" s="1"/>
  <c r="DA7" i="2"/>
  <c r="CW139" i="2"/>
  <c r="CM144" i="2" l="1"/>
  <c r="DB139" i="2"/>
  <c r="DG7" i="2"/>
  <c r="DL8" i="2"/>
  <c r="DK9" i="2"/>
  <c r="DL9" i="2" s="1"/>
  <c r="AL4" i="67"/>
  <c r="AL6" i="67" s="1"/>
  <c r="AK6" i="67"/>
  <c r="DP8" i="2" s="1"/>
  <c r="DF7" i="2"/>
  <c r="DL7" i="2" l="1"/>
  <c r="DK7" i="2"/>
  <c r="DQ8" i="2"/>
  <c r="DP9" i="2"/>
  <c r="DQ9" i="2" s="1"/>
  <c r="AQ4" i="67"/>
  <c r="AQ6" i="67" s="1"/>
  <c r="AP6" i="67"/>
  <c r="DU8" i="2" s="1"/>
  <c r="I11" i="67" l="1"/>
  <c r="CN115" i="2"/>
  <c r="DQ7" i="2"/>
  <c r="DV8" i="2"/>
  <c r="DU9" i="2"/>
  <c r="DV9" i="2" s="1"/>
  <c r="DP7" i="2"/>
  <c r="AV4" i="67"/>
  <c r="AV6" i="67" s="1"/>
  <c r="AU6" i="67"/>
  <c r="DZ8" i="2" s="1"/>
  <c r="BA4" i="67" l="1"/>
  <c r="BA6" i="67" s="1"/>
  <c r="AZ6" i="67"/>
  <c r="EE8" i="2" s="1"/>
  <c r="DZ9" i="2"/>
  <c r="EA9" i="2" s="1"/>
  <c r="EA8" i="2"/>
  <c r="DU7" i="2"/>
  <c r="DV7" i="2"/>
  <c r="EA7" i="2" l="1"/>
  <c r="DZ7" i="2"/>
  <c r="BF4" i="67"/>
  <c r="BF6" i="67" s="1"/>
  <c r="BE6" i="67"/>
  <c r="EJ8" i="2" s="1"/>
  <c r="EF8" i="2"/>
  <c r="EE9" i="2"/>
  <c r="EF9" i="2" s="1"/>
  <c r="EE7" i="2" l="1"/>
  <c r="BK4" i="67"/>
  <c r="BK6" i="67" s="1"/>
  <c r="BJ6" i="67"/>
  <c r="EO8" i="2" s="1"/>
  <c r="EF7" i="2"/>
  <c r="EJ9" i="2"/>
  <c r="EK9" i="2" s="1"/>
  <c r="EK8" i="2"/>
  <c r="EP8" i="2" l="1"/>
  <c r="EO9" i="2"/>
  <c r="EP9" i="2" s="1"/>
  <c r="EJ7" i="2"/>
  <c r="BP4" i="67"/>
  <c r="BP6" i="67" s="1"/>
  <c r="BO6" i="67"/>
  <c r="ET8" i="2" s="1"/>
  <c r="EK7" i="2"/>
  <c r="J11" i="67" l="1"/>
  <c r="CO5" i="2" s="1"/>
  <c r="EO7" i="2"/>
  <c r="EP7" i="2"/>
  <c r="BT6" i="67"/>
  <c r="EY8" i="2" s="1"/>
  <c r="BU4" i="67"/>
  <c r="BU6" i="67" s="1"/>
  <c r="EU8" i="2"/>
  <c r="ET9" i="2"/>
  <c r="EU9" i="2" s="1"/>
  <c r="CO115" i="2" l="1"/>
  <c r="ET7" i="2"/>
  <c r="EZ8" i="2"/>
  <c r="EY9" i="2"/>
  <c r="EZ9" i="2" s="1"/>
  <c r="EU7" i="2"/>
  <c r="EY7" i="2" l="1"/>
  <c r="EZ7" i="2"/>
  <c r="K11" i="67" l="1"/>
  <c r="CP5" i="2" s="1"/>
  <c r="CP115" i="2" l="1"/>
  <c r="M9" i="67" l="1"/>
  <c r="M11" i="67" s="1"/>
  <c r="L11" i="67"/>
  <c r="CQ5" i="2" s="1"/>
  <c r="CQ115" i="2" l="1"/>
  <c r="CR5" i="2"/>
  <c r="CR115" i="2" l="1"/>
  <c r="CR138" i="2"/>
  <c r="N11" i="67" l="1"/>
  <c r="CS5" i="2" s="1"/>
  <c r="O11" i="67" l="1"/>
  <c r="CT5" i="2" s="1"/>
  <c r="P11" i="67" l="1"/>
  <c r="CU5" i="2" s="1"/>
  <c r="Q11" i="67" l="1"/>
  <c r="CV5" i="2" s="1"/>
  <c r="R9" i="67"/>
  <c r="R11" i="67" s="1"/>
  <c r="CW5" i="2" l="1"/>
  <c r="CW138" i="2" l="1"/>
  <c r="CW115" i="2"/>
  <c r="S11" i="67" l="1"/>
  <c r="CX5" i="2" s="1"/>
  <c r="T11" i="67" l="1"/>
  <c r="CY5" i="2" s="1"/>
  <c r="U11" i="67" l="1"/>
  <c r="CZ5" i="2" s="1"/>
  <c r="V11" i="67" l="1"/>
  <c r="DA5" i="2" s="1"/>
  <c r="W9" i="67"/>
  <c r="W11" i="67" s="1"/>
  <c r="DB5" i="2" l="1"/>
  <c r="DB138" i="2" l="1"/>
  <c r="DB115" i="2"/>
  <c r="X11" i="67" l="1"/>
  <c r="DC5" i="2" s="1"/>
  <c r="Y11" i="67" l="1"/>
  <c r="DD5" i="2" s="1"/>
  <c r="Z11" i="67" l="1"/>
  <c r="DE5" i="2" s="1"/>
  <c r="AB9" i="67" l="1"/>
  <c r="AB11" i="67" s="1"/>
  <c r="AA11" i="67"/>
  <c r="DF5" i="2" s="1"/>
  <c r="DG5" i="2" l="1"/>
  <c r="DG115" i="2" l="1"/>
  <c r="AC11" i="67" l="1"/>
  <c r="DH5" i="2" s="1"/>
  <c r="AD11" i="67" l="1"/>
  <c r="DI5" i="2" s="1"/>
  <c r="AE11" i="67" l="1"/>
  <c r="DJ5" i="2" s="1"/>
  <c r="AG9" i="67" l="1"/>
  <c r="AG11" i="67" s="1"/>
  <c r="AF11" i="67"/>
  <c r="DK5" i="2" s="1"/>
  <c r="DL5" i="2" l="1"/>
  <c r="DL115" i="2" l="1"/>
  <c r="AH11" i="67" l="1"/>
  <c r="DM5" i="2" s="1"/>
  <c r="AI11" i="67" l="1"/>
  <c r="DN5" i="2" s="1"/>
  <c r="AJ11" i="67" l="1"/>
  <c r="DO5" i="2" s="1"/>
  <c r="AL9" i="67" l="1"/>
  <c r="AL11" i="67" s="1"/>
  <c r="AK11" i="67"/>
  <c r="DP5" i="2" s="1"/>
  <c r="DQ5" i="2" l="1"/>
  <c r="DQ115" i="2" l="1"/>
  <c r="AM11" i="67" l="1"/>
  <c r="DR5" i="2" s="1"/>
  <c r="AN11" i="67" l="1"/>
  <c r="DS5" i="2" s="1"/>
  <c r="AO11" i="67" l="1"/>
  <c r="DT5" i="2" s="1"/>
  <c r="AQ9" i="67" l="1"/>
  <c r="AQ11" i="67" s="1"/>
  <c r="AP11" i="67"/>
  <c r="DU5" i="2" s="1"/>
  <c r="DV5" i="2" l="1"/>
  <c r="DV115" i="2" l="1"/>
  <c r="AR11" i="67" l="1"/>
  <c r="DW5" i="2" s="1"/>
  <c r="AS11" i="67" l="1"/>
  <c r="DX5" i="2" s="1"/>
  <c r="AT11" i="67" l="1"/>
  <c r="DY5" i="2" s="1"/>
  <c r="AV9" i="67" l="1"/>
  <c r="AV11" i="67" s="1"/>
  <c r="AU11" i="67"/>
  <c r="DZ5" i="2" s="1"/>
  <c r="EA5" i="2" l="1"/>
  <c r="EA115" i="2" l="1"/>
  <c r="AW11" i="67" l="1"/>
  <c r="EB5" i="2" s="1"/>
  <c r="AX11" i="67" l="1"/>
  <c r="EC5" i="2" s="1"/>
  <c r="AY11" i="67" l="1"/>
  <c r="ED5" i="2" s="1"/>
  <c r="AZ11" i="67" l="1"/>
  <c r="EE5" i="2" s="1"/>
  <c r="BA9" i="67"/>
  <c r="BA11" i="67" s="1"/>
  <c r="EF5" i="2" l="1"/>
  <c r="EF115" i="2" l="1"/>
  <c r="BB11" i="67" l="1"/>
  <c r="EG5" i="2" s="1"/>
  <c r="BC11" i="67" l="1"/>
  <c r="EH5" i="2" s="1"/>
  <c r="BD11" i="67" l="1"/>
  <c r="EI5" i="2" s="1"/>
  <c r="BE11" i="67" l="1"/>
  <c r="EJ5" i="2" s="1"/>
  <c r="BF9" i="67"/>
  <c r="BF11" i="67" s="1"/>
  <c r="EK5" i="2" l="1"/>
  <c r="EK115" i="2" l="1"/>
  <c r="BG11" i="67" l="1"/>
  <c r="EL5" i="2" s="1"/>
  <c r="BH11" i="67" l="1"/>
  <c r="EM5" i="2" s="1"/>
  <c r="BI11" i="67" l="1"/>
  <c r="EN5" i="2" s="1"/>
  <c r="BJ11" i="67" l="1"/>
  <c r="EO5" i="2" s="1"/>
  <c r="BK9" i="67"/>
  <c r="BK11" i="67" s="1"/>
  <c r="EP5" i="2" l="1"/>
  <c r="EP115" i="2" l="1"/>
  <c r="BL11" i="67" l="1"/>
  <c r="EQ5" i="2" s="1"/>
  <c r="BM11" i="67" l="1"/>
  <c r="ER5" i="2" s="1"/>
  <c r="BN11" i="67" l="1"/>
  <c r="ES5" i="2" s="1"/>
  <c r="BP9" i="67" l="1"/>
  <c r="BP11" i="67" s="1"/>
  <c r="BO11" i="67"/>
  <c r="ET5" i="2" s="1"/>
  <c r="EU5" i="2" l="1"/>
  <c r="EU115" i="2" l="1"/>
  <c r="BQ11" i="67" l="1"/>
  <c r="EV5" i="2" s="1"/>
  <c r="BR11" i="67" l="1"/>
  <c r="EW5" i="2" s="1"/>
  <c r="BS11" i="67" l="1"/>
  <c r="EX5" i="2" s="1"/>
  <c r="BU9" i="67" l="1"/>
  <c r="BU11" i="67" s="1"/>
  <c r="BT11" i="67"/>
  <c r="EY5" i="2" s="1"/>
  <c r="EZ5" i="2" l="1"/>
  <c r="EZ115" i="2" l="1"/>
  <c r="H39" i="67" l="1"/>
  <c r="H41" i="67" s="1"/>
  <c r="G41" i="67"/>
  <c r="CN40" i="2"/>
  <c r="CN124" i="2" l="1"/>
  <c r="CM42" i="2"/>
  <c r="CM41" i="2"/>
  <c r="CL40" i="2" l="1"/>
  <c r="J41" i="67"/>
  <c r="CO41" i="2" s="1"/>
  <c r="CM40" i="2"/>
  <c r="CL75" i="2" l="1"/>
  <c r="CL124" i="2"/>
  <c r="CM75" i="2"/>
  <c r="CM124" i="2"/>
  <c r="CO42" i="2"/>
  <c r="CO40" i="2" s="1"/>
  <c r="CL3" i="3" l="1"/>
  <c r="CL91" i="3" s="1"/>
  <c r="CL84" i="2"/>
  <c r="CO124" i="2"/>
  <c r="CL103" i="3"/>
  <c r="CM94" i="2"/>
  <c r="CM145" i="2"/>
  <c r="CM84" i="2"/>
  <c r="CM3" i="3"/>
  <c r="CL5" i="3" l="1"/>
  <c r="CL93" i="3" s="1"/>
  <c r="CL101" i="3"/>
  <c r="K41" i="67"/>
  <c r="CP41" i="2" s="1"/>
  <c r="CM101" i="3"/>
  <c r="CM5" i="3"/>
  <c r="CL10" i="3" l="1"/>
  <c r="CL92" i="3" s="1"/>
  <c r="CL94" i="3"/>
  <c r="CL102" i="3"/>
  <c r="CM93" i="3"/>
  <c r="CM94" i="3"/>
  <c r="CM102" i="3"/>
  <c r="AA42" i="18"/>
  <c r="CP42" i="2"/>
  <c r="CP40" i="2" s="1"/>
  <c r="AA97" i="18" l="1"/>
  <c r="AA62" i="18"/>
  <c r="AA59" i="18"/>
  <c r="AB59" i="18" s="1"/>
  <c r="AC59" i="18" s="1"/>
  <c r="AD59" i="18" s="1"/>
  <c r="AE59" i="18" s="1"/>
  <c r="AF59" i="18" s="1"/>
  <c r="AG59" i="18" s="1"/>
  <c r="AH59" i="18" s="1"/>
  <c r="AI59" i="18" s="1"/>
  <c r="AJ59" i="18" s="1"/>
  <c r="AK59" i="18" s="1"/>
  <c r="AL59" i="18" s="1"/>
  <c r="AM59" i="18" s="1"/>
  <c r="AN59" i="18" s="1"/>
  <c r="CL29" i="3"/>
  <c r="CL95" i="3" s="1"/>
  <c r="CL107" i="3" s="1"/>
  <c r="CP124" i="2"/>
  <c r="AA159" i="18"/>
  <c r="AA177" i="18" s="1"/>
  <c r="CL33" i="3" l="1"/>
  <c r="AA48" i="18"/>
  <c r="AA122" i="18"/>
  <c r="CM34" i="3" l="1"/>
  <c r="AA45" i="18" s="1"/>
  <c r="CL35" i="3"/>
  <c r="CL37" i="3"/>
  <c r="CL98" i="3" s="1"/>
  <c r="AA167" i="18"/>
  <c r="AA165" i="18"/>
  <c r="AB122" i="18"/>
  <c r="AA32" i="16"/>
  <c r="AA54" i="16"/>
  <c r="CL39" i="3" l="1"/>
  <c r="CL106" i="3" s="1"/>
  <c r="CL52" i="3"/>
  <c r="AA137" i="18"/>
  <c r="AA98" i="18"/>
  <c r="AA99" i="18" s="1"/>
  <c r="CM111" i="3"/>
  <c r="AC122" i="18"/>
  <c r="CL111" i="3" l="1"/>
  <c r="CL112" i="3" s="1"/>
  <c r="CL97" i="3" s="1"/>
  <c r="CL108" i="3" s="1"/>
  <c r="CJ111" i="3"/>
  <c r="CK111" i="3"/>
  <c r="CK112" i="3" s="1"/>
  <c r="CK97" i="3" s="1"/>
  <c r="CK108" i="3" s="1"/>
  <c r="CI111" i="3"/>
  <c r="CI112" i="3" s="1"/>
  <c r="CI97" i="3" s="1"/>
  <c r="CI108" i="3" s="1"/>
  <c r="AB95" i="18"/>
  <c r="AD122" i="18"/>
  <c r="AA168" i="18" l="1"/>
  <c r="AA80" i="18"/>
  <c r="AA101" i="18"/>
  <c r="AE122" i="18"/>
  <c r="L41" i="67"/>
  <c r="CQ41" i="2" s="1"/>
  <c r="AF122" i="18" l="1"/>
  <c r="CQ42" i="2"/>
  <c r="CR42" i="2" s="1"/>
  <c r="CR41" i="2"/>
  <c r="N41" i="67"/>
  <c r="CS41" i="2" s="1"/>
  <c r="CR40" i="2" l="1"/>
  <c r="CS42" i="2"/>
  <c r="CS40" i="2" s="1"/>
  <c r="CQ40" i="2"/>
  <c r="AG122" i="18"/>
  <c r="CR124" i="2" l="1"/>
  <c r="AH122" i="18"/>
  <c r="CQ124" i="2"/>
  <c r="O41" i="67" l="1"/>
  <c r="CT41" i="2" s="1"/>
  <c r="AI122" i="18"/>
  <c r="AJ122" i="18" l="1"/>
  <c r="CT42" i="2"/>
  <c r="CT40" i="2" s="1"/>
  <c r="AK122" i="18" l="1"/>
  <c r="P41" i="67"/>
  <c r="CU41" i="2" s="1"/>
  <c r="CU42" i="2" l="1"/>
  <c r="CU40" i="2" s="1"/>
  <c r="AL122" i="18"/>
  <c r="AM122" i="18" s="1"/>
  <c r="AN122" i="18" s="1"/>
  <c r="Q41" i="67" l="1"/>
  <c r="CV41" i="2" s="1"/>
  <c r="R39" i="67"/>
  <c r="R41" i="67" s="1"/>
  <c r="CV42" i="2" l="1"/>
  <c r="CW42" i="2" s="1"/>
  <c r="CW41" i="2"/>
  <c r="S41" i="67"/>
  <c r="CX41" i="2" s="1"/>
  <c r="CW40" i="2" l="1"/>
  <c r="CW124" i="2" s="1"/>
  <c r="CX42" i="2"/>
  <c r="CX40" i="2" s="1"/>
  <c r="CV40" i="2"/>
  <c r="T41" i="67" l="1"/>
  <c r="CY41" i="2" s="1"/>
  <c r="CY42" i="2" l="1"/>
  <c r="CY40" i="2" s="1"/>
  <c r="U41" i="67" l="1"/>
  <c r="CZ41" i="2" s="1"/>
  <c r="CZ42" i="2" l="1"/>
  <c r="CZ40" i="2" s="1"/>
  <c r="V41" i="67" l="1"/>
  <c r="DA41" i="2" s="1"/>
  <c r="W39" i="67"/>
  <c r="W41" i="67" s="1"/>
  <c r="X41" i="67" l="1"/>
  <c r="DC41" i="2" s="1"/>
  <c r="DA42" i="2"/>
  <c r="DB42" i="2" s="1"/>
  <c r="DB41" i="2"/>
  <c r="DB40" i="2" l="1"/>
  <c r="DB124" i="2" s="1"/>
  <c r="DA40" i="2"/>
  <c r="DC42" i="2"/>
  <c r="DC40" i="2" s="1"/>
  <c r="Y41" i="67" l="1"/>
  <c r="DD41" i="2" s="1"/>
  <c r="DD42" i="2" l="1"/>
  <c r="DD40" i="2" s="1"/>
  <c r="Z41" i="67" l="1"/>
  <c r="DE41" i="2" s="1"/>
  <c r="DE42" i="2" l="1"/>
  <c r="DE40" i="2" s="1"/>
  <c r="AA41" i="67" l="1"/>
  <c r="DF41" i="2" s="1"/>
  <c r="AB39" i="67"/>
  <c r="AB41" i="67" s="1"/>
  <c r="AC41" i="67"/>
  <c r="DH41" i="2" s="1"/>
  <c r="DF42" i="2" l="1"/>
  <c r="DG42" i="2" s="1"/>
  <c r="DG41" i="2"/>
  <c r="DH42" i="2"/>
  <c r="DH40" i="2" s="1"/>
  <c r="DG40" i="2" l="1"/>
  <c r="DG124" i="2" s="1"/>
  <c r="DF40" i="2"/>
  <c r="AD41" i="67" l="1"/>
  <c r="DI41" i="2" s="1"/>
  <c r="DI42" i="2" l="1"/>
  <c r="DI40" i="2" s="1"/>
  <c r="AE41" i="67" l="1"/>
  <c r="DJ41" i="2" s="1"/>
  <c r="DJ42" i="2" l="1"/>
  <c r="DJ40" i="2" s="1"/>
  <c r="AH41" i="67" l="1"/>
  <c r="DM41" i="2" s="1"/>
  <c r="AF41" i="67" l="1"/>
  <c r="DK41" i="2" s="1"/>
  <c r="AG39" i="67"/>
  <c r="AG41" i="67" s="1"/>
  <c r="DM42" i="2"/>
  <c r="DM40" i="2" s="1"/>
  <c r="DK42" i="2" l="1"/>
  <c r="DL42" i="2" s="1"/>
  <c r="DL41" i="2"/>
  <c r="DL40" i="2" l="1"/>
  <c r="DK40" i="2"/>
  <c r="DL124" i="2" l="1"/>
  <c r="AI41" i="67"/>
  <c r="DN41" i="2" s="1"/>
  <c r="DN42" i="2" l="1"/>
  <c r="DN40" i="2" s="1"/>
  <c r="AJ41" i="67" l="1"/>
  <c r="DO41" i="2" s="1"/>
  <c r="DO42" i="2" l="1"/>
  <c r="DO40" i="2" s="1"/>
  <c r="AM41" i="67" l="1"/>
  <c r="DR41" i="2" s="1"/>
  <c r="AK41" i="67" l="1"/>
  <c r="DP41" i="2" s="1"/>
  <c r="AL39" i="67"/>
  <c r="AL41" i="67" s="1"/>
  <c r="DR42" i="2"/>
  <c r="DR40" i="2" s="1"/>
  <c r="DP42" i="2" l="1"/>
  <c r="DQ42" i="2" s="1"/>
  <c r="DQ41" i="2"/>
  <c r="DP40" i="2" l="1"/>
  <c r="DQ40" i="2"/>
  <c r="DQ124" i="2" l="1"/>
  <c r="AN41" i="67" l="1"/>
  <c r="DS41" i="2" s="1"/>
  <c r="DS42" i="2" l="1"/>
  <c r="DS40" i="2" s="1"/>
  <c r="AO41" i="67" l="1"/>
  <c r="DT41" i="2" s="1"/>
  <c r="DT42" i="2" l="1"/>
  <c r="DT40" i="2" s="1"/>
  <c r="AP41" i="67" l="1"/>
  <c r="DU41" i="2" s="1"/>
  <c r="AQ39" i="67"/>
  <c r="AQ41" i="67" s="1"/>
  <c r="AR41" i="67" l="1"/>
  <c r="DW41" i="2" s="1"/>
  <c r="DV41" i="2"/>
  <c r="DU42" i="2"/>
  <c r="DV42" i="2" s="1"/>
  <c r="AS41" i="67" l="1"/>
  <c r="DX41" i="2" s="1"/>
  <c r="DW42" i="2"/>
  <c r="DW40" i="2" s="1"/>
  <c r="DV40" i="2"/>
  <c r="DU40" i="2"/>
  <c r="DV124" i="2" l="1"/>
  <c r="DX42" i="2"/>
  <c r="DX40" i="2" s="1"/>
  <c r="AT41" i="67" l="1"/>
  <c r="DY41" i="2" s="1"/>
  <c r="DY42" i="2" l="1"/>
  <c r="DY40" i="2" s="1"/>
  <c r="AW41" i="67" l="1"/>
  <c r="EB41" i="2" s="1"/>
  <c r="EB42" i="2" l="1"/>
  <c r="EB40" i="2" s="1"/>
  <c r="AU41" i="67"/>
  <c r="DZ41" i="2" s="1"/>
  <c r="AV39" i="67"/>
  <c r="AV41" i="67" s="1"/>
  <c r="EA41" i="2" l="1"/>
  <c r="DZ42" i="2"/>
  <c r="EA42" i="2" s="1"/>
  <c r="DZ40" i="2" l="1"/>
  <c r="EA40" i="2"/>
  <c r="EA124" i="2" l="1"/>
  <c r="AX41" i="67" l="1"/>
  <c r="EC41" i="2" s="1"/>
  <c r="EC42" i="2" l="1"/>
  <c r="EC40" i="2" s="1"/>
  <c r="AY41" i="67" l="1"/>
  <c r="ED41" i="2" s="1"/>
  <c r="ED42" i="2" l="1"/>
  <c r="ED40" i="2" s="1"/>
  <c r="AZ41" i="67" l="1"/>
  <c r="EE41" i="2" s="1"/>
  <c r="BA39" i="67"/>
  <c r="BA41" i="67" s="1"/>
  <c r="EE42" i="2" l="1"/>
  <c r="EF42" i="2" s="1"/>
  <c r="EF41" i="2"/>
  <c r="BB41" i="67"/>
  <c r="EG41" i="2" s="1"/>
  <c r="EG42" i="2" l="1"/>
  <c r="EG40" i="2" s="1"/>
  <c r="EE40" i="2"/>
  <c r="EF40" i="2"/>
  <c r="BC41" i="67" l="1"/>
  <c r="EH41" i="2" s="1"/>
  <c r="EF124" i="2"/>
  <c r="EH42" i="2" l="1"/>
  <c r="EH40" i="2" s="1"/>
  <c r="BD41" i="67" l="1"/>
  <c r="EI41" i="2" s="1"/>
  <c r="EI42" i="2" l="1"/>
  <c r="EI40" i="2" s="1"/>
  <c r="BG41" i="67" l="1"/>
  <c r="EL41" i="2" s="1"/>
  <c r="BE41" i="67"/>
  <c r="EJ41" i="2" s="1"/>
  <c r="BF39" i="67"/>
  <c r="BF41" i="67" s="1"/>
  <c r="EJ42" i="2" l="1"/>
  <c r="EK42" i="2" s="1"/>
  <c r="EK41" i="2"/>
  <c r="EL42" i="2"/>
  <c r="EL40" i="2" s="1"/>
  <c r="EK40" i="2" l="1"/>
  <c r="EJ40" i="2"/>
  <c r="EK124" i="2" l="1"/>
  <c r="BH41" i="67"/>
  <c r="EM41" i="2" s="1"/>
  <c r="EM42" i="2" l="1"/>
  <c r="EM40" i="2" s="1"/>
  <c r="BI41" i="67" l="1"/>
  <c r="EN41" i="2" s="1"/>
  <c r="EN42" i="2" l="1"/>
  <c r="EN40" i="2" s="1"/>
  <c r="BJ41" i="67" l="1"/>
  <c r="EO41" i="2" s="1"/>
  <c r="BK39" i="67"/>
  <c r="BK41" i="67" s="1"/>
  <c r="BL41" i="67" l="1"/>
  <c r="EQ41" i="2" s="1"/>
  <c r="EP41" i="2"/>
  <c r="EO42" i="2"/>
  <c r="EP42" i="2" s="1"/>
  <c r="EO40" i="2" l="1"/>
  <c r="EQ42" i="2"/>
  <c r="EQ40" i="2" s="1"/>
  <c r="EP40" i="2"/>
  <c r="EP124" i="2" l="1"/>
  <c r="BM41" i="67"/>
  <c r="ER41" i="2" s="1"/>
  <c r="ER42" i="2" l="1"/>
  <c r="ER40" i="2" s="1"/>
  <c r="BN41" i="67" l="1"/>
  <c r="ES41" i="2" s="1"/>
  <c r="ES42" i="2" l="1"/>
  <c r="ES40" i="2" s="1"/>
  <c r="BO41" i="67" l="1"/>
  <c r="ET41" i="2" s="1"/>
  <c r="BP39" i="67"/>
  <c r="BP41" i="67" s="1"/>
  <c r="ET42" i="2" l="1"/>
  <c r="EU42" i="2" s="1"/>
  <c r="EU41" i="2"/>
  <c r="BQ41" i="67"/>
  <c r="EV41" i="2" s="1"/>
  <c r="ET40" i="2" l="1"/>
  <c r="EU40" i="2"/>
  <c r="EU124" i="2" s="1"/>
  <c r="EV42" i="2"/>
  <c r="EV40" i="2" s="1"/>
  <c r="BR41" i="67" l="1"/>
  <c r="EW41" i="2" s="1"/>
  <c r="EW42" i="2" l="1"/>
  <c r="EW40" i="2" s="1"/>
  <c r="BS41" i="67" l="1"/>
  <c r="EX41" i="2" s="1"/>
  <c r="EX42" i="2" l="1"/>
  <c r="EX40" i="2" s="1"/>
  <c r="EX75" i="2" s="1"/>
  <c r="EX84" i="2" s="1"/>
  <c r="BT41" i="67" l="1"/>
  <c r="EY41" i="2" s="1"/>
  <c r="BU39" i="67"/>
  <c r="BU41" i="67" s="1"/>
  <c r="EY42" i="2" l="1"/>
  <c r="EZ42" i="2" s="1"/>
  <c r="EZ41" i="2"/>
  <c r="EZ40" i="2" l="1"/>
  <c r="EY40" i="2"/>
  <c r="EY75" i="2" s="1"/>
  <c r="EY84" i="2" s="1"/>
  <c r="EZ124" i="2" l="1"/>
  <c r="CL112" i="2" l="1"/>
  <c r="CL97" i="2"/>
  <c r="CJ53" i="3" l="1"/>
  <c r="CM54" i="3"/>
  <c r="CM44" i="3" s="1"/>
  <c r="CJ9" i="3"/>
  <c r="CJ10" i="3" s="1"/>
  <c r="CM9" i="3" l="1"/>
  <c r="CM10" i="3" s="1"/>
  <c r="CM92" i="3"/>
  <c r="CM29" i="3"/>
  <c r="CM33" i="3" s="1"/>
  <c r="CJ92" i="3"/>
  <c r="CJ29" i="3"/>
  <c r="AA91" i="16"/>
  <c r="CM45" i="3"/>
  <c r="CI44" i="3"/>
  <c r="CK44" i="3"/>
  <c r="CJ44" i="3"/>
  <c r="CJ45" i="3" s="1"/>
  <c r="CM103" i="3"/>
  <c r="CM91" i="3"/>
  <c r="AA43" i="18"/>
  <c r="AA53" i="18" s="1"/>
  <c r="AB53" i="18" s="1"/>
  <c r="AC53" i="18" s="1"/>
  <c r="AD53" i="18" s="1"/>
  <c r="AE53" i="18" s="1"/>
  <c r="AF53" i="18" s="1"/>
  <c r="AG53" i="18" s="1"/>
  <c r="AH53" i="18" s="1"/>
  <c r="AI53" i="18" s="1"/>
  <c r="AJ53" i="18" s="1"/>
  <c r="AK53" i="18" s="1"/>
  <c r="AL53" i="18" s="1"/>
  <c r="AM53" i="18" s="1"/>
  <c r="AN53" i="18" s="1"/>
  <c r="AA44" i="18"/>
  <c r="CJ103" i="3"/>
  <c r="CJ91" i="3"/>
  <c r="CJ131" i="2"/>
  <c r="CR54" i="3"/>
  <c r="CM53" i="3"/>
  <c r="AA160" i="18" l="1"/>
  <c r="CM112" i="3"/>
  <c r="AA85" i="18" s="1"/>
  <c r="AA57" i="18"/>
  <c r="AA66" i="18"/>
  <c r="AB66" i="18" s="1"/>
  <c r="AC66" i="18" s="1"/>
  <c r="AD66" i="18" s="1"/>
  <c r="AE66" i="18" s="1"/>
  <c r="AF66" i="18" s="1"/>
  <c r="AG66" i="18" s="1"/>
  <c r="AH66" i="18" s="1"/>
  <c r="AI66" i="18" s="1"/>
  <c r="AJ66" i="18" s="1"/>
  <c r="AK66" i="18" s="1"/>
  <c r="AL66" i="18" s="1"/>
  <c r="AM66" i="18" s="1"/>
  <c r="AN66" i="18" s="1"/>
  <c r="AA68" i="18"/>
  <c r="AB68" i="18" s="1"/>
  <c r="AC68" i="18" s="1"/>
  <c r="AD68" i="18" s="1"/>
  <c r="AE68" i="18" s="1"/>
  <c r="AF68" i="18" s="1"/>
  <c r="AG68" i="18" s="1"/>
  <c r="AH68" i="18" s="1"/>
  <c r="AI68" i="18" s="1"/>
  <c r="AJ68" i="18" s="1"/>
  <c r="AK68" i="18" s="1"/>
  <c r="AL68" i="18" s="1"/>
  <c r="AM68" i="18" s="1"/>
  <c r="AN68" i="18" s="1"/>
  <c r="CM95" i="3"/>
  <c r="CM35" i="3"/>
  <c r="CM37" i="3"/>
  <c r="CI45" i="3"/>
  <c r="CI47" i="3"/>
  <c r="CI48" i="3" s="1"/>
  <c r="CI82" i="3"/>
  <c r="CI84" i="3" s="1"/>
  <c r="AA139" i="18"/>
  <c r="AA138" i="18"/>
  <c r="AA60" i="18"/>
  <c r="CK45" i="3"/>
  <c r="CK47" i="3"/>
  <c r="CK48" i="3" s="1"/>
  <c r="CK82" i="3"/>
  <c r="CK84" i="3" s="1"/>
  <c r="CR53" i="3"/>
  <c r="CR44" i="3"/>
  <c r="CW54" i="3"/>
  <c r="AA78" i="18"/>
  <c r="CM107" i="3"/>
  <c r="CJ112" i="2"/>
  <c r="CJ116" i="2"/>
  <c r="AB67" i="19"/>
  <c r="CL44" i="3"/>
  <c r="CJ95" i="3"/>
  <c r="CJ33" i="3"/>
  <c r="CJ112" i="3"/>
  <c r="CJ97" i="3" s="1"/>
  <c r="CM97" i="3" l="1"/>
  <c r="AA86" i="18"/>
  <c r="AA172" i="18"/>
  <c r="AA24" i="18"/>
  <c r="CM108" i="3"/>
  <c r="CJ35" i="3"/>
  <c r="CJ37" i="3"/>
  <c r="CJ97" i="2"/>
  <c r="CM116" i="2"/>
  <c r="CM98" i="3"/>
  <c r="AA46" i="18"/>
  <c r="CM47" i="3"/>
  <c r="CM48" i="3" s="1"/>
  <c r="CM52" i="3"/>
  <c r="CM82" i="3" s="1"/>
  <c r="CM39" i="3"/>
  <c r="CM134" i="3"/>
  <c r="CJ108" i="3"/>
  <c r="AB91" i="16"/>
  <c r="CO44" i="3"/>
  <c r="AB9" i="16"/>
  <c r="CP44" i="3"/>
  <c r="CN44" i="3"/>
  <c r="CJ107" i="3"/>
  <c r="CL47" i="3"/>
  <c r="CL48" i="3" s="1"/>
  <c r="CL45" i="3"/>
  <c r="CL82" i="3"/>
  <c r="CL84" i="3" s="1"/>
  <c r="CW44" i="3"/>
  <c r="DB54" i="3"/>
  <c r="CW53" i="3"/>
  <c r="AA73" i="16"/>
  <c r="AA161" i="18"/>
  <c r="AA162" i="18" s="1"/>
  <c r="AA163" i="18" s="1"/>
  <c r="AA164" i="18" s="1"/>
  <c r="AA158" i="18" s="1"/>
  <c r="CQ44" i="3" l="1"/>
  <c r="AA31" i="18"/>
  <c r="AA69" i="18"/>
  <c r="CM84" i="3"/>
  <c r="CM106" i="3"/>
  <c r="AA90" i="16"/>
  <c r="AA92" i="16" s="1"/>
  <c r="AA93" i="16" s="1"/>
  <c r="AB84" i="16"/>
  <c r="AA85" i="16"/>
  <c r="AA55" i="16"/>
  <c r="AC91" i="16"/>
  <c r="AC9" i="16"/>
  <c r="CM97" i="2"/>
  <c r="CM131" i="2"/>
  <c r="CM112" i="2" s="1"/>
  <c r="CP35" i="3"/>
  <c r="CQ35" i="3" s="1"/>
  <c r="DB53" i="3"/>
  <c r="DB44" i="3"/>
  <c r="DG54" i="3"/>
  <c r="CI134" i="3"/>
  <c r="AA79" i="18"/>
  <c r="CJ47" i="3"/>
  <c r="CJ48" i="3" s="1"/>
  <c r="CJ98" i="3"/>
  <c r="CJ52" i="3"/>
  <c r="CJ82" i="3" s="1"/>
  <c r="CJ84" i="3" s="1"/>
  <c r="CJ39" i="3"/>
  <c r="CJ106" i="3" s="1"/>
  <c r="AA173" i="18"/>
  <c r="AA175" i="18" s="1"/>
  <c r="AA166" i="18"/>
  <c r="AA171" i="18" s="1"/>
  <c r="AA23" i="16" l="1"/>
  <c r="AA47" i="18" s="1"/>
  <c r="CI135" i="3"/>
  <c r="CJ134" i="3"/>
  <c r="AC73" i="16"/>
  <c r="AC75" i="16" s="1"/>
  <c r="AC161" i="18"/>
  <c r="DB35" i="3"/>
  <c r="DG53" i="3"/>
  <c r="DL54" i="3"/>
  <c r="DG44" i="3"/>
  <c r="AA176" i="18"/>
  <c r="AD91" i="16"/>
  <c r="AD9" i="16"/>
  <c r="AA100" i="16"/>
  <c r="AA37" i="18"/>
  <c r="AA110" i="16"/>
  <c r="AA97" i="16"/>
  <c r="AA99" i="16" s="1"/>
  <c r="AA45" i="16"/>
  <c r="AC84" i="16"/>
  <c r="AA53" i="16" l="1"/>
  <c r="AA56" i="16" s="1"/>
  <c r="AA60" i="16" s="1"/>
  <c r="AA47" i="16"/>
  <c r="AD84" i="16"/>
  <c r="AE91" i="16"/>
  <c r="AE9" i="16"/>
  <c r="AA87" i="18"/>
  <c r="AA111" i="16"/>
  <c r="AA76" i="18"/>
  <c r="AA38" i="18"/>
  <c r="AA101" i="16"/>
  <c r="AC85" i="16"/>
  <c r="AC39" i="16"/>
  <c r="AC55" i="16" s="1"/>
  <c r="AA90" i="18"/>
  <c r="AA88" i="18"/>
  <c r="AA89" i="18"/>
  <c r="DL44" i="3"/>
  <c r="DL53" i="3"/>
  <c r="DQ54" i="3"/>
  <c r="AD73" i="16"/>
  <c r="AD75" i="16" s="1"/>
  <c r="AD161" i="18"/>
  <c r="DG35" i="3"/>
  <c r="CJ135" i="3"/>
  <c r="CK134" i="3"/>
  <c r="AA49" i="16" l="1"/>
  <c r="AB48" i="16" s="1"/>
  <c r="AA102" i="16"/>
  <c r="AA104" i="16" s="1"/>
  <c r="AA105" i="16" s="1"/>
  <c r="CL134" i="3"/>
  <c r="CL135" i="3" s="1"/>
  <c r="CK135" i="3"/>
  <c r="AD85" i="16"/>
  <c r="AD39" i="16"/>
  <c r="AD55" i="16" s="1"/>
  <c r="AF91" i="16"/>
  <c r="AF9" i="16"/>
  <c r="AE84" i="16"/>
  <c r="AE73" i="16"/>
  <c r="AE75" i="16" s="1"/>
  <c r="AE161" i="18"/>
  <c r="DL35" i="3"/>
  <c r="DQ53" i="3"/>
  <c r="DV54" i="3"/>
  <c r="DQ44" i="3"/>
  <c r="AA73" i="18"/>
  <c r="AA9" i="18"/>
  <c r="AA91" i="18"/>
  <c r="AA50" i="16"/>
  <c r="DV53" i="3" l="1"/>
  <c r="EA54" i="3"/>
  <c r="DV44" i="3"/>
  <c r="AA72" i="18"/>
  <c r="AA16" i="18"/>
  <c r="CP31" i="3"/>
  <c r="CO31" i="3"/>
  <c r="AF161" i="18"/>
  <c r="AF73" i="16"/>
  <c r="AF75" i="16" s="1"/>
  <c r="DQ35" i="3"/>
  <c r="AG91" i="16"/>
  <c r="AG9" i="16"/>
  <c r="AE39" i="16"/>
  <c r="AE55" i="16" s="1"/>
  <c r="AE85" i="16"/>
  <c r="AF84" i="16"/>
  <c r="AF85" i="16" l="1"/>
  <c r="AF39" i="16"/>
  <c r="AF55" i="16" s="1"/>
  <c r="CQ31" i="3"/>
  <c r="EA53" i="3"/>
  <c r="EF54" i="3"/>
  <c r="EA44" i="3"/>
  <c r="AG73" i="16"/>
  <c r="AG75" i="16" s="1"/>
  <c r="AG161" i="18"/>
  <c r="DV35" i="3"/>
  <c r="AH91" i="16"/>
  <c r="AH9" i="16"/>
  <c r="AG84" i="16"/>
  <c r="AA82" i="18"/>
  <c r="AA81" i="18"/>
  <c r="AA39" i="18"/>
  <c r="AA77" i="18"/>
  <c r="AG85" i="16" l="1"/>
  <c r="AG39" i="16"/>
  <c r="AG55" i="16" s="1"/>
  <c r="AH161" i="18"/>
  <c r="AH73" i="16"/>
  <c r="AH75" i="16" s="1"/>
  <c r="EA35" i="3"/>
  <c r="AI91" i="16"/>
  <c r="AI9" i="16"/>
  <c r="AH84" i="16"/>
  <c r="EF53" i="3"/>
  <c r="EK54" i="3"/>
  <c r="EF44" i="3"/>
  <c r="AI84" i="16" l="1"/>
  <c r="AJ91" i="16"/>
  <c r="AJ9" i="16"/>
  <c r="EP54" i="3"/>
  <c r="EK53" i="3"/>
  <c r="EK44" i="3"/>
  <c r="AI161" i="18"/>
  <c r="AI73" i="16"/>
  <c r="AI75" i="16" s="1"/>
  <c r="EF35" i="3"/>
  <c r="AH85" i="16"/>
  <c r="AH39" i="16"/>
  <c r="AH55" i="16" s="1"/>
  <c r="AI85" i="16" l="1"/>
  <c r="AI39" i="16"/>
  <c r="AI55" i="16" s="1"/>
  <c r="AJ84" i="16"/>
  <c r="AK91" i="16"/>
  <c r="AK9" i="16"/>
  <c r="AJ73" i="16"/>
  <c r="AJ75" i="16" s="1"/>
  <c r="EK35" i="3"/>
  <c r="AJ161" i="18"/>
  <c r="EP53" i="3"/>
  <c r="EP44" i="3"/>
  <c r="EU54" i="3"/>
  <c r="AJ85" i="16" l="1"/>
  <c r="AJ39" i="16"/>
  <c r="AJ55" i="16" s="1"/>
  <c r="AL91" i="16"/>
  <c r="AL9" i="16"/>
  <c r="AK73" i="16"/>
  <c r="AK75" i="16" s="1"/>
  <c r="AK161" i="18"/>
  <c r="EP35" i="3"/>
  <c r="EU53" i="3"/>
  <c r="EU44" i="3"/>
  <c r="EZ54" i="3"/>
  <c r="AK84" i="16"/>
  <c r="AL73" i="16" l="1"/>
  <c r="AL75" i="16" s="1"/>
  <c r="AL161" i="18"/>
  <c r="EU35" i="3"/>
  <c r="AM91" i="16"/>
  <c r="AM9" i="16"/>
  <c r="AL84" i="16"/>
  <c r="EZ53" i="3"/>
  <c r="EZ44" i="3"/>
  <c r="AK85" i="16"/>
  <c r="AK39" i="16"/>
  <c r="AK55" i="16" s="1"/>
  <c r="AM73" i="16" l="1"/>
  <c r="AM75" i="16" s="1"/>
  <c r="AM161" i="18"/>
  <c r="EZ35" i="3"/>
  <c r="AN91" i="16"/>
  <c r="AN9" i="16"/>
  <c r="AM84" i="16"/>
  <c r="AL85" i="16"/>
  <c r="AL39" i="16"/>
  <c r="AL55" i="16" s="1"/>
  <c r="AN161" i="18" l="1"/>
  <c r="AN73" i="16"/>
  <c r="AN75" i="16" s="1"/>
  <c r="AM39" i="16"/>
  <c r="AM55" i="16" s="1"/>
  <c r="AM85" i="16"/>
  <c r="AN84" i="16"/>
  <c r="AN39" i="16" l="1"/>
  <c r="AN55" i="16" s="1"/>
  <c r="AN85" i="16"/>
  <c r="I56" i="67" l="1"/>
  <c r="CN50" i="2" l="1"/>
  <c r="CN126" i="2" l="1"/>
  <c r="J56" i="67" l="1"/>
  <c r="CO51" i="2" s="1"/>
  <c r="CO52" i="2" l="1"/>
  <c r="CO50" i="2" s="1"/>
  <c r="CO126" i="2" l="1"/>
  <c r="K56" i="67" l="1"/>
  <c r="CP51" i="2" s="1"/>
  <c r="CP52" i="2" l="1"/>
  <c r="CP50" i="2" s="1"/>
  <c r="CP126" i="2" l="1"/>
  <c r="L56" i="67" l="1"/>
  <c r="CQ51" i="2" s="1"/>
  <c r="M54" i="67"/>
  <c r="M56" i="67" s="1"/>
  <c r="CR51" i="2" s="1"/>
  <c r="CQ52" i="2" l="1"/>
  <c r="CR52" i="2" s="1"/>
  <c r="CR50" i="2" s="1"/>
  <c r="CW52" i="2"/>
  <c r="CQ50" i="2" l="1"/>
  <c r="CQ126" i="2" s="1"/>
  <c r="CR126" i="2"/>
  <c r="N56" i="67" l="1"/>
  <c r="O56" i="67" l="1"/>
  <c r="P56" i="67" l="1"/>
  <c r="Q56" i="67" l="1"/>
  <c r="R54" i="67"/>
  <c r="R56" i="67" s="1"/>
  <c r="CW51" i="2" s="1"/>
  <c r="DB52" i="2" l="1"/>
  <c r="CW50" i="2"/>
  <c r="CW126" i="2" l="1"/>
  <c r="S56" i="67" l="1"/>
  <c r="T56" i="67" l="1"/>
  <c r="U56" i="67" l="1"/>
  <c r="V56" i="67" l="1"/>
  <c r="W54" i="67"/>
  <c r="W56" i="67" s="1"/>
  <c r="DB51" i="2" s="1"/>
  <c r="DG52" i="2" l="1"/>
  <c r="DB50" i="2"/>
  <c r="DB126" i="2" l="1"/>
  <c r="X56" i="67" l="1"/>
  <c r="Y56" i="67" l="1"/>
  <c r="Z56" i="67" l="1"/>
  <c r="AA56" i="67" l="1"/>
  <c r="AB54" i="67"/>
  <c r="AB56" i="67" s="1"/>
  <c r="DG51" i="2" s="1"/>
  <c r="DL52" i="2" l="1"/>
  <c r="DG50" i="2"/>
  <c r="DG126" i="2" l="1"/>
  <c r="AC56" i="67"/>
  <c r="AD56" i="67" l="1"/>
  <c r="AE56" i="67" l="1"/>
  <c r="AF56" i="67" l="1"/>
  <c r="AG54" i="67"/>
  <c r="AG56" i="67" s="1"/>
  <c r="DL51" i="2" s="1"/>
  <c r="DQ52" i="2" l="1"/>
  <c r="DL50" i="2"/>
  <c r="DL126" i="2" l="1"/>
  <c r="AH56" i="67"/>
  <c r="AI56" i="67" l="1"/>
  <c r="AJ56" i="67" l="1"/>
  <c r="AK56" i="67" l="1"/>
  <c r="AL54" i="67"/>
  <c r="AL56" i="67" s="1"/>
  <c r="DQ51" i="2" s="1"/>
  <c r="DV52" i="2" l="1"/>
  <c r="DQ50" i="2"/>
  <c r="DQ126" i="2" l="1"/>
  <c r="AM56" i="67" l="1"/>
  <c r="AN56" i="67" l="1"/>
  <c r="AO56" i="67" l="1"/>
  <c r="AP56" i="67" l="1"/>
  <c r="AQ54" i="67"/>
  <c r="AQ56" i="67" s="1"/>
  <c r="DV51" i="2" s="1"/>
  <c r="EA52" i="2" l="1"/>
  <c r="DV50" i="2"/>
  <c r="DV126" i="2" l="1"/>
  <c r="AR56" i="67" l="1"/>
  <c r="AS56" i="67" l="1"/>
  <c r="AT56" i="67" l="1"/>
  <c r="AU56" i="67" l="1"/>
  <c r="AV54" i="67"/>
  <c r="AV56" i="67" s="1"/>
  <c r="EA51" i="2" s="1"/>
  <c r="EF52" i="2" l="1"/>
  <c r="EA50" i="2"/>
  <c r="EA126" i="2" l="1"/>
  <c r="AW56" i="67" l="1"/>
  <c r="AX56" i="67" l="1"/>
  <c r="AY56" i="67" l="1"/>
  <c r="AZ56" i="67" l="1"/>
  <c r="BA54" i="67"/>
  <c r="BA56" i="67" s="1"/>
  <c r="EF51" i="2" s="1"/>
  <c r="EK52" i="2" l="1"/>
  <c r="EF50" i="2"/>
  <c r="EF126" i="2" l="1"/>
  <c r="BB56" i="67" l="1"/>
  <c r="BC56" i="67" l="1"/>
  <c r="BD56" i="67" l="1"/>
  <c r="BE56" i="67" l="1"/>
  <c r="BF54" i="67"/>
  <c r="BF56" i="67" s="1"/>
  <c r="EK51" i="2" s="1"/>
  <c r="EP52" i="2" l="1"/>
  <c r="EK50" i="2"/>
  <c r="EK126" i="2" l="1"/>
  <c r="BG56" i="67" l="1"/>
  <c r="BH56" i="67" l="1"/>
  <c r="BI56" i="67" l="1"/>
  <c r="BJ56" i="67" l="1"/>
  <c r="BK54" i="67"/>
  <c r="BK56" i="67" s="1"/>
  <c r="EP51" i="2" s="1"/>
  <c r="EU52" i="2" l="1"/>
  <c r="EP50" i="2"/>
  <c r="BL56" i="67" l="1"/>
  <c r="EP126" i="2"/>
  <c r="BM56" i="67" l="1"/>
  <c r="BN56" i="67" l="1"/>
  <c r="BO56" i="67" l="1"/>
  <c r="BP54" i="67"/>
  <c r="BP56" i="67" s="1"/>
  <c r="EU51" i="2" s="1"/>
  <c r="EZ52" i="2" l="1"/>
  <c r="EU50" i="2"/>
  <c r="EU126" i="2" l="1"/>
  <c r="BQ56" i="67" l="1"/>
  <c r="BR56" i="67" l="1"/>
  <c r="BS56" i="67" l="1"/>
  <c r="BT56" i="67" l="1"/>
  <c r="BU54" i="67"/>
  <c r="BU56" i="67" s="1"/>
  <c r="EZ51" i="2" s="1"/>
  <c r="EZ50" i="2" s="1"/>
  <c r="EZ126" i="2" l="1"/>
  <c r="J51" i="67" l="1"/>
  <c r="CO46" i="2" s="1"/>
  <c r="CO47" i="2" s="1"/>
  <c r="CO45" i="2" s="1"/>
  <c r="I51" i="67"/>
  <c r="CO125" i="2" l="1"/>
  <c r="CO131" i="2" s="1"/>
  <c r="CO75" i="2"/>
  <c r="K51" i="67"/>
  <c r="CP46" i="2" s="1"/>
  <c r="CP47" i="2" s="1"/>
  <c r="CP45" i="2" s="1"/>
  <c r="CP125" i="2" l="1"/>
  <c r="CP131" i="2" s="1"/>
  <c r="CP75" i="2"/>
  <c r="CO112" i="2"/>
  <c r="CO9" i="3"/>
  <c r="CO84" i="2"/>
  <c r="CO3" i="3"/>
  <c r="CN45" i="2"/>
  <c r="CO103" i="3" l="1"/>
  <c r="CO91" i="3"/>
  <c r="CP9" i="3"/>
  <c r="CP112" i="2"/>
  <c r="CO5" i="3"/>
  <c r="CO101" i="3"/>
  <c r="CP84" i="2"/>
  <c r="CP3" i="3"/>
  <c r="O51" i="67"/>
  <c r="CT46" i="2" s="1"/>
  <c r="CT47" i="2" s="1"/>
  <c r="CT45" i="2" s="1"/>
  <c r="CT75" i="2" s="1"/>
  <c r="CT84" i="2" s="1"/>
  <c r="CN125" i="2"/>
  <c r="N51" i="67"/>
  <c r="CS46" i="2" s="1"/>
  <c r="CP103" i="3" l="1"/>
  <c r="CP91" i="3"/>
  <c r="CP5" i="3"/>
  <c r="CP101" i="3"/>
  <c r="M49" i="67"/>
  <c r="M51" i="67" s="1"/>
  <c r="L51" i="67"/>
  <c r="CQ46" i="2" s="1"/>
  <c r="CO102" i="3"/>
  <c r="CO10" i="3"/>
  <c r="CO92" i="3" s="1"/>
  <c r="P51" i="67"/>
  <c r="CU46" i="2" s="1"/>
  <c r="CU47" i="2" s="1"/>
  <c r="CU45" i="2" s="1"/>
  <c r="CU75" i="2" s="1"/>
  <c r="CU84" i="2" s="1"/>
  <c r="CS47" i="2"/>
  <c r="CP10" i="3" l="1"/>
  <c r="CP92" i="3" s="1"/>
  <c r="CP102" i="3"/>
  <c r="CQ47" i="2"/>
  <c r="CR47" i="2" s="1"/>
  <c r="CR46" i="2"/>
  <c r="CS45" i="2"/>
  <c r="CQ45" i="2" l="1"/>
  <c r="CQ125" i="2" s="1"/>
  <c r="CQ131" i="2" s="1"/>
  <c r="CR45" i="2"/>
  <c r="S51" i="67"/>
  <c r="CX46" i="2" s="1"/>
  <c r="CX47" i="2" s="1"/>
  <c r="CQ75" i="2" l="1"/>
  <c r="CQ3" i="3" s="1"/>
  <c r="CQ9" i="3"/>
  <c r="CQ103" i="3" s="1"/>
  <c r="CX45" i="2"/>
  <c r="R49" i="67"/>
  <c r="R51" i="67" s="1"/>
  <c r="Q51" i="67"/>
  <c r="CV46" i="2" s="1"/>
  <c r="CR125" i="2"/>
  <c r="T51" i="67"/>
  <c r="CY46" i="2" s="1"/>
  <c r="CY47" i="2" s="1"/>
  <c r="CY45" i="2" s="1"/>
  <c r="CY75" i="2" s="1"/>
  <c r="CY84" i="2" s="1"/>
  <c r="CQ84" i="2" l="1"/>
  <c r="CQ112" i="2"/>
  <c r="CV47" i="2"/>
  <c r="CW47" i="2" s="1"/>
  <c r="CW46" i="2"/>
  <c r="CQ91" i="3"/>
  <c r="CQ101" i="3"/>
  <c r="CQ5" i="3"/>
  <c r="U51" i="67"/>
  <c r="CZ46" i="2" s="1"/>
  <c r="CZ47" i="2" s="1"/>
  <c r="CZ45" i="2" s="1"/>
  <c r="CZ75" i="2" s="1"/>
  <c r="CZ84" i="2" s="1"/>
  <c r="CW45" i="2" l="1"/>
  <c r="CW125" i="2" s="1"/>
  <c r="CQ102" i="3"/>
  <c r="CQ10" i="3"/>
  <c r="CQ92" i="3" s="1"/>
  <c r="CV45" i="2"/>
  <c r="CV75" i="2" s="1"/>
  <c r="CV84" i="2" s="1"/>
  <c r="X51" i="67" l="1"/>
  <c r="DC46" i="2" s="1"/>
  <c r="DC47" i="2" l="1"/>
  <c r="W49" i="67"/>
  <c r="W51" i="67" s="1"/>
  <c r="V51" i="67"/>
  <c r="DA46" i="2" s="1"/>
  <c r="Y51" i="67"/>
  <c r="DD46" i="2" s="1"/>
  <c r="DD47" i="2" s="1"/>
  <c r="DD45" i="2" s="1"/>
  <c r="DD75" i="2" s="1"/>
  <c r="DD84" i="2" s="1"/>
  <c r="DA47" i="2" l="1"/>
  <c r="DB47" i="2" s="1"/>
  <c r="DB46" i="2"/>
  <c r="DC45" i="2"/>
  <c r="Z51" i="67"/>
  <c r="DE46" i="2" s="1"/>
  <c r="DE47" i="2" s="1"/>
  <c r="DE45" i="2" s="1"/>
  <c r="DE75" i="2" s="1"/>
  <c r="DE84" i="2" s="1"/>
  <c r="DB45" i="2" l="1"/>
  <c r="DB125" i="2" s="1"/>
  <c r="DA45" i="2"/>
  <c r="DA75" i="2" s="1"/>
  <c r="DA84" i="2" s="1"/>
  <c r="AC51" i="67" l="1"/>
  <c r="DH46" i="2" s="1"/>
  <c r="DH47" i="2" l="1"/>
  <c r="DH45" i="2" s="1"/>
  <c r="AB49" i="67"/>
  <c r="AB51" i="67" s="1"/>
  <c r="AA51" i="67"/>
  <c r="DF46" i="2" s="1"/>
  <c r="AD51" i="67"/>
  <c r="DI46" i="2" s="1"/>
  <c r="DI47" i="2" s="1"/>
  <c r="DI45" i="2" s="1"/>
  <c r="DI75" i="2" s="1"/>
  <c r="DI84" i="2" s="1"/>
  <c r="DF47" i="2" l="1"/>
  <c r="DG47" i="2" s="1"/>
  <c r="DG46" i="2"/>
  <c r="AE51" i="67"/>
  <c r="DJ46" i="2" s="1"/>
  <c r="DJ47" i="2" s="1"/>
  <c r="DJ45" i="2" s="1"/>
  <c r="DJ75" i="2" s="1"/>
  <c r="DJ84" i="2" s="1"/>
  <c r="DG45" i="2" l="1"/>
  <c r="DG125" i="2" s="1"/>
  <c r="DF45" i="2"/>
  <c r="DF75" i="2" s="1"/>
  <c r="DF84" i="2" s="1"/>
  <c r="AH51" i="67" l="1"/>
  <c r="DM46" i="2" s="1"/>
  <c r="M14" i="67"/>
  <c r="M16" i="67" s="1"/>
  <c r="I16" i="67"/>
  <c r="M19" i="67"/>
  <c r="M21" i="67" s="1"/>
  <c r="I21" i="67"/>
  <c r="DM47" i="2" l="1"/>
  <c r="AI51" i="67"/>
  <c r="DN46" i="2" s="1"/>
  <c r="DN47" i="2" s="1"/>
  <c r="DN45" i="2" s="1"/>
  <c r="DN75" i="2" s="1"/>
  <c r="DN84" i="2" s="1"/>
  <c r="AF51" i="67"/>
  <c r="DK46" i="2" s="1"/>
  <c r="AG49" i="67"/>
  <c r="AG51" i="67" s="1"/>
  <c r="CR17" i="2"/>
  <c r="CR16" i="2"/>
  <c r="CR13" i="2"/>
  <c r="CR12" i="2"/>
  <c r="DM45" i="2" l="1"/>
  <c r="AJ51" i="67"/>
  <c r="DO46" i="2" s="1"/>
  <c r="DO47" i="2" s="1"/>
  <c r="DO45" i="2" s="1"/>
  <c r="DO75" i="2" s="1"/>
  <c r="DO84" i="2" s="1"/>
  <c r="DK47" i="2"/>
  <c r="DL47" i="2" s="1"/>
  <c r="DL46" i="2"/>
  <c r="CN11" i="2"/>
  <c r="CN15" i="2"/>
  <c r="CR11" i="2"/>
  <c r="CR140" i="2" s="1"/>
  <c r="CR15" i="2"/>
  <c r="DL45" i="2" l="1"/>
  <c r="DL125" i="2" s="1"/>
  <c r="DK45" i="2"/>
  <c r="DK75" i="2" s="1"/>
  <c r="DK84" i="2" s="1"/>
  <c r="CN118" i="2"/>
  <c r="CN117" i="2"/>
  <c r="CN75" i="2"/>
  <c r="CN3" i="3" s="1"/>
  <c r="CR117" i="2"/>
  <c r="CR118" i="2"/>
  <c r="CR141" i="2"/>
  <c r="CR143" i="2" s="1"/>
  <c r="CR75" i="2"/>
  <c r="AM51" i="67" l="1"/>
  <c r="DR46" i="2" s="1"/>
  <c r="CN91" i="3"/>
  <c r="CN84" i="2"/>
  <c r="CR84" i="2"/>
  <c r="CR3" i="3"/>
  <c r="CR144" i="2"/>
  <c r="CR145" i="2"/>
  <c r="CN101" i="3"/>
  <c r="CN5" i="3"/>
  <c r="AL49" i="67" l="1"/>
  <c r="AL51" i="67" s="1"/>
  <c r="AK51" i="67"/>
  <c r="DP46" i="2" s="1"/>
  <c r="DR47" i="2"/>
  <c r="DR45" i="2" s="1"/>
  <c r="AN51" i="67"/>
  <c r="DS46" i="2" s="1"/>
  <c r="DS47" i="2" s="1"/>
  <c r="DS45" i="2" s="1"/>
  <c r="DS75" i="2" s="1"/>
  <c r="DS84" i="2" s="1"/>
  <c r="CN112" i="2"/>
  <c r="CN103" i="3"/>
  <c r="CR101" i="3"/>
  <c r="CR5" i="3"/>
  <c r="CN102" i="3"/>
  <c r="CN10" i="3"/>
  <c r="DP47" i="2" l="1"/>
  <c r="DQ47" i="2" s="1"/>
  <c r="DQ46" i="2"/>
  <c r="AO51" i="67"/>
  <c r="DT46" i="2" s="1"/>
  <c r="DT47" i="2" s="1"/>
  <c r="DT45" i="2" s="1"/>
  <c r="DT75" i="2" s="1"/>
  <c r="DT84" i="2" s="1"/>
  <c r="CN92" i="3"/>
  <c r="CR18" i="3"/>
  <c r="CR19" i="3" s="1"/>
  <c r="CR94" i="3" s="1"/>
  <c r="CR25" i="3"/>
  <c r="CR26" i="3" s="1"/>
  <c r="CR102" i="3"/>
  <c r="AB42" i="18"/>
  <c r="DQ45" i="2" l="1"/>
  <c r="DQ125" i="2" s="1"/>
  <c r="DP45" i="2"/>
  <c r="DP75" i="2" s="1"/>
  <c r="DP84" i="2" s="1"/>
  <c r="CO19" i="3"/>
  <c r="CR104" i="3"/>
  <c r="CP19" i="3"/>
  <c r="CR45" i="3"/>
  <c r="CP26" i="3"/>
  <c r="CO26" i="3"/>
  <c r="CR105" i="3"/>
  <c r="CR93" i="3"/>
  <c r="AB58" i="18"/>
  <c r="AB159" i="18"/>
  <c r="AB177" i="18" s="1"/>
  <c r="AB96" i="18"/>
  <c r="AR51" i="67" l="1"/>
  <c r="DW46" i="2" s="1"/>
  <c r="CQ26" i="3"/>
  <c r="CQ105" i="3" s="1"/>
  <c r="CN105" i="3"/>
  <c r="CN93" i="3"/>
  <c r="CP45" i="3"/>
  <c r="CP104" i="3"/>
  <c r="CP94" i="3"/>
  <c r="CP29" i="3"/>
  <c r="CN104" i="3"/>
  <c r="CN45" i="3"/>
  <c r="CN94" i="3"/>
  <c r="CN29" i="3"/>
  <c r="CO105" i="3"/>
  <c r="CO93" i="3"/>
  <c r="CQ19" i="3"/>
  <c r="CP105" i="3"/>
  <c r="CP93" i="3"/>
  <c r="CO104" i="3"/>
  <c r="CO45" i="3"/>
  <c r="CO94" i="3"/>
  <c r="CO29" i="3"/>
  <c r="AB26" i="16"/>
  <c r="AB48" i="18"/>
  <c r="AB123" i="18"/>
  <c r="AB8" i="18"/>
  <c r="AQ49" i="67" l="1"/>
  <c r="AQ51" i="67" s="1"/>
  <c r="AP51" i="67"/>
  <c r="DU46" i="2" s="1"/>
  <c r="DW47" i="2"/>
  <c r="DW45" i="2" s="1"/>
  <c r="AS51" i="67"/>
  <c r="DX46" i="2" s="1"/>
  <c r="DX47" i="2" s="1"/>
  <c r="DX45" i="2" s="1"/>
  <c r="DX75" i="2" s="1"/>
  <c r="DX84" i="2" s="1"/>
  <c r="CQ93" i="3"/>
  <c r="CP95" i="3"/>
  <c r="CP107" i="3" s="1"/>
  <c r="CP33" i="3"/>
  <c r="CP34" i="3" s="1"/>
  <c r="CP37" i="3" s="1"/>
  <c r="CO95" i="3"/>
  <c r="CO107" i="3" s="1"/>
  <c r="CO33" i="3"/>
  <c r="CO34" i="3" s="1"/>
  <c r="CN33" i="3"/>
  <c r="CN35" i="3" s="1"/>
  <c r="CN95" i="3"/>
  <c r="CN107" i="3" s="1"/>
  <c r="CQ104" i="3"/>
  <c r="CQ45" i="3"/>
  <c r="CQ94" i="3"/>
  <c r="CQ29" i="3"/>
  <c r="AB17" i="16"/>
  <c r="AB167" i="18"/>
  <c r="AB32" i="16"/>
  <c r="AB54" i="16"/>
  <c r="AC123" i="18"/>
  <c r="AB136" i="18"/>
  <c r="DU47" i="2" l="1"/>
  <c r="DV47" i="2" s="1"/>
  <c r="DV46" i="2"/>
  <c r="AT51" i="67"/>
  <c r="DY46" i="2" s="1"/>
  <c r="DY47" i="2" s="1"/>
  <c r="DY45" i="2" s="1"/>
  <c r="DY75" i="2" s="1"/>
  <c r="DY84" i="2" s="1"/>
  <c r="CO37" i="3"/>
  <c r="CO47" i="3" s="1"/>
  <c r="CO48" i="3" s="1"/>
  <c r="CN37" i="3"/>
  <c r="CN47" i="3" s="1"/>
  <c r="CN48" i="3" s="1"/>
  <c r="CQ33" i="3"/>
  <c r="CQ34" i="3" s="1"/>
  <c r="CQ37" i="3" s="1"/>
  <c r="CQ95" i="3"/>
  <c r="CQ107" i="3" s="1"/>
  <c r="CP39" i="3"/>
  <c r="CP47" i="3"/>
  <c r="CP48" i="3" s="1"/>
  <c r="CP52" i="3"/>
  <c r="CP82" i="3" s="1"/>
  <c r="CP84" i="3" s="1"/>
  <c r="CP98" i="3"/>
  <c r="AB137" i="18"/>
  <c r="AB98" i="18"/>
  <c r="AB100" i="18" s="1"/>
  <c r="AB6" i="16"/>
  <c r="AB5" i="16" s="1"/>
  <c r="CR111" i="3" s="1"/>
  <c r="AD123" i="18"/>
  <c r="DV45" i="2" l="1"/>
  <c r="DV125" i="2" s="1"/>
  <c r="DU45" i="2"/>
  <c r="DU75" i="2" s="1"/>
  <c r="DU84" i="2" s="1"/>
  <c r="CO39" i="3"/>
  <c r="CT106" i="3" s="1"/>
  <c r="CO98" i="3"/>
  <c r="CO52" i="3"/>
  <c r="CO82" i="3" s="1"/>
  <c r="CO84" i="3" s="1"/>
  <c r="CR34" i="3"/>
  <c r="CN39" i="3"/>
  <c r="CN106" i="3" s="1"/>
  <c r="CN52" i="3"/>
  <c r="CN98" i="3"/>
  <c r="CU106" i="3"/>
  <c r="CP106" i="3"/>
  <c r="CQ98" i="3"/>
  <c r="CQ52" i="3"/>
  <c r="CQ82" i="3" s="1"/>
  <c r="CQ84" i="3" s="1"/>
  <c r="CQ47" i="3"/>
  <c r="CQ48" i="3" s="1"/>
  <c r="CQ39" i="3"/>
  <c r="AE123" i="18"/>
  <c r="CQ111" i="3"/>
  <c r="CQ112" i="3" s="1"/>
  <c r="CQ97" i="3" s="1"/>
  <c r="CQ108" i="3" s="1"/>
  <c r="CO111" i="3"/>
  <c r="CO112" i="3" s="1"/>
  <c r="CO97" i="3" s="1"/>
  <c r="CO108" i="3" s="1"/>
  <c r="CN111" i="3"/>
  <c r="CN112" i="3" s="1"/>
  <c r="CN97" i="3" s="1"/>
  <c r="CN108" i="3" s="1"/>
  <c r="CP111" i="3"/>
  <c r="CP112" i="3" s="1"/>
  <c r="CP97" i="3" s="1"/>
  <c r="CP108" i="3" s="1"/>
  <c r="AB11" i="18"/>
  <c r="AC95" i="18"/>
  <c r="AW51" i="67" l="1"/>
  <c r="EB46" i="2" s="1"/>
  <c r="CO106" i="3"/>
  <c r="CN50" i="3"/>
  <c r="CN82" i="3"/>
  <c r="CN84" i="3" s="1"/>
  <c r="CS106" i="3"/>
  <c r="CQ106" i="3"/>
  <c r="CV106" i="3"/>
  <c r="AB101" i="18"/>
  <c r="AB168" i="18"/>
  <c r="AB80" i="18"/>
  <c r="AF123" i="18"/>
  <c r="AV49" i="67" l="1"/>
  <c r="AV51" i="67" s="1"/>
  <c r="AU51" i="67"/>
  <c r="DZ46" i="2" s="1"/>
  <c r="EB47" i="2"/>
  <c r="EB45" i="2" s="1"/>
  <c r="AX51" i="67"/>
  <c r="EC46" i="2" s="1"/>
  <c r="EC47" i="2" s="1"/>
  <c r="EC45" i="2" s="1"/>
  <c r="EC75" i="2" s="1"/>
  <c r="EC84" i="2" s="1"/>
  <c r="AG123" i="18"/>
  <c r="DZ47" i="2" l="1"/>
  <c r="EA47" i="2" s="1"/>
  <c r="EA46" i="2"/>
  <c r="AY51" i="67"/>
  <c r="ED46" i="2" s="1"/>
  <c r="ED47" i="2" s="1"/>
  <c r="ED45" i="2" s="1"/>
  <c r="ED75" i="2" s="1"/>
  <c r="ED84" i="2" s="1"/>
  <c r="AH123" i="18"/>
  <c r="EA45" i="2" l="1"/>
  <c r="EA125" i="2" s="1"/>
  <c r="DZ45" i="2"/>
  <c r="DZ75" i="2" s="1"/>
  <c r="DZ84" i="2" s="1"/>
  <c r="AI123" i="18"/>
  <c r="BB51" i="67" l="1"/>
  <c r="EG46" i="2" s="1"/>
  <c r="AJ123" i="18"/>
  <c r="BA49" i="67" l="1"/>
  <c r="BA51" i="67" s="1"/>
  <c r="AZ51" i="67"/>
  <c r="EE46" i="2" s="1"/>
  <c r="EG47" i="2"/>
  <c r="EG45" i="2" s="1"/>
  <c r="BC51" i="67"/>
  <c r="EH46" i="2" s="1"/>
  <c r="EH47" i="2" s="1"/>
  <c r="EH45" i="2" s="1"/>
  <c r="EH75" i="2" s="1"/>
  <c r="EH84" i="2" s="1"/>
  <c r="AK123" i="18"/>
  <c r="EE47" i="2" l="1"/>
  <c r="EF47" i="2" s="1"/>
  <c r="EF46" i="2"/>
  <c r="BD51" i="67"/>
  <c r="EI46" i="2" s="1"/>
  <c r="EI47" i="2" s="1"/>
  <c r="EI45" i="2" s="1"/>
  <c r="EI75" i="2" s="1"/>
  <c r="EI84" i="2" s="1"/>
  <c r="AL123" i="18"/>
  <c r="EF45" i="2" l="1"/>
  <c r="EF125" i="2" s="1"/>
  <c r="EE45" i="2"/>
  <c r="EE75" i="2" s="1"/>
  <c r="EE84" i="2" s="1"/>
  <c r="AM123" i="18"/>
  <c r="BG51" i="67" l="1"/>
  <c r="EL46" i="2" s="1"/>
  <c r="AN123" i="18"/>
  <c r="BF49" i="67" l="1"/>
  <c r="BF51" i="67" s="1"/>
  <c r="BE51" i="67"/>
  <c r="EJ46" i="2" s="1"/>
  <c r="EL47" i="2"/>
  <c r="EL45" i="2" s="1"/>
  <c r="BH51" i="67"/>
  <c r="EM46" i="2" s="1"/>
  <c r="EM47" i="2" s="1"/>
  <c r="EM45" i="2" s="1"/>
  <c r="EM75" i="2" s="1"/>
  <c r="EM84" i="2" s="1"/>
  <c r="EJ47" i="2" l="1"/>
  <c r="EK47" i="2" s="1"/>
  <c r="EK46" i="2"/>
  <c r="BI51" i="67"/>
  <c r="EN46" i="2" s="1"/>
  <c r="EN47" i="2" s="1"/>
  <c r="EN45" i="2" s="1"/>
  <c r="EN75" i="2" s="1"/>
  <c r="EN84" i="2" s="1"/>
  <c r="EK45" i="2" l="1"/>
  <c r="EK125" i="2" s="1"/>
  <c r="EJ45" i="2"/>
  <c r="EJ75" i="2" s="1"/>
  <c r="EJ84" i="2" s="1"/>
  <c r="W19" i="67"/>
  <c r="W21" i="67" s="1"/>
  <c r="S21" i="67"/>
  <c r="CX16" i="2" s="1"/>
  <c r="R14" i="67"/>
  <c r="R16" i="67" s="1"/>
  <c r="N16" i="67"/>
  <c r="CS12" i="2" s="1"/>
  <c r="BL51" i="67" l="1"/>
  <c r="EQ46" i="2" s="1"/>
  <c r="W14" i="67"/>
  <c r="W16" i="67" s="1"/>
  <c r="R19" i="67"/>
  <c r="R21" i="67" s="1"/>
  <c r="N21" i="67"/>
  <c r="CS16" i="2" s="1"/>
  <c r="CW12" i="2"/>
  <c r="CS13" i="2"/>
  <c r="CW13" i="2" s="1"/>
  <c r="CX17" i="2"/>
  <c r="DB17" i="2" s="1"/>
  <c r="DB16" i="2"/>
  <c r="BK49" i="67" l="1"/>
  <c r="BK51" i="67" s="1"/>
  <c r="BJ51" i="67"/>
  <c r="EO46" i="2" s="1"/>
  <c r="EQ47" i="2"/>
  <c r="EQ45" i="2" s="1"/>
  <c r="BM51" i="67"/>
  <c r="ER46" i="2" s="1"/>
  <c r="ER47" i="2" s="1"/>
  <c r="ER45" i="2" s="1"/>
  <c r="ER75" i="2" s="1"/>
  <c r="ER84" i="2" s="1"/>
  <c r="S16" i="67"/>
  <c r="CX12" i="2" s="1"/>
  <c r="DB12" i="2" s="1"/>
  <c r="DB15" i="2"/>
  <c r="DB118" i="2" s="1"/>
  <c r="CW11" i="2"/>
  <c r="CW140" i="2" s="1"/>
  <c r="AB19" i="67"/>
  <c r="AB21" i="67" s="1"/>
  <c r="X21" i="67"/>
  <c r="DC16" i="2" s="1"/>
  <c r="CS11" i="2"/>
  <c r="CS75" i="2" s="1"/>
  <c r="CS84" i="2" s="1"/>
  <c r="CS17" i="2"/>
  <c r="CW17" i="2" s="1"/>
  <c r="CW16" i="2"/>
  <c r="AB14" i="67"/>
  <c r="AB16" i="67" s="1"/>
  <c r="X16" i="67"/>
  <c r="DC12" i="2" s="1"/>
  <c r="EO47" i="2" l="1"/>
  <c r="EP47" i="2" s="1"/>
  <c r="EP46" i="2"/>
  <c r="CX13" i="2"/>
  <c r="DB13" i="2" s="1"/>
  <c r="DB11" i="2" s="1"/>
  <c r="DB75" i="2" s="1"/>
  <c r="DB3" i="3" s="1"/>
  <c r="DB141" i="2"/>
  <c r="CW15" i="2"/>
  <c r="CW75" i="2" s="1"/>
  <c r="CW117" i="2"/>
  <c r="AG19" i="67"/>
  <c r="AG21" i="67" s="1"/>
  <c r="AC21" i="67"/>
  <c r="DH16" i="2" s="1"/>
  <c r="DG16" i="2"/>
  <c r="DC17" i="2"/>
  <c r="DG17" i="2" s="1"/>
  <c r="DC13" i="2"/>
  <c r="DG13" i="2" s="1"/>
  <c r="DG12" i="2"/>
  <c r="AG14" i="67"/>
  <c r="AG16" i="67" s="1"/>
  <c r="AC16" i="67"/>
  <c r="DH12" i="2" s="1"/>
  <c r="EP45" i="2" l="1"/>
  <c r="EP125" i="2" s="1"/>
  <c r="EO45" i="2"/>
  <c r="EO75" i="2" s="1"/>
  <c r="EO84" i="2" s="1"/>
  <c r="BN51" i="67"/>
  <c r="ES46" i="2" s="1"/>
  <c r="CX11" i="2"/>
  <c r="CX75" i="2" s="1"/>
  <c r="CX84" i="2" s="1"/>
  <c r="CW118" i="2"/>
  <c r="CW141" i="2"/>
  <c r="CW143" i="2" s="1"/>
  <c r="CW144" i="2" s="1"/>
  <c r="DB84" i="2"/>
  <c r="DC11" i="2"/>
  <c r="DC75" i="2" s="1"/>
  <c r="DC84" i="2" s="1"/>
  <c r="DB117" i="2"/>
  <c r="DB140" i="2"/>
  <c r="DB143" i="2" s="1"/>
  <c r="DB145" i="2" s="1"/>
  <c r="DG15" i="2"/>
  <c r="DG118" i="2" s="1"/>
  <c r="DG11" i="2"/>
  <c r="DG117" i="2" s="1"/>
  <c r="DB5" i="3"/>
  <c r="CW84" i="2"/>
  <c r="CW3" i="3"/>
  <c r="AL14" i="67"/>
  <c r="AL16" i="67" s="1"/>
  <c r="AH16" i="67"/>
  <c r="DM12" i="2" s="1"/>
  <c r="DH13" i="2"/>
  <c r="DL13" i="2" s="1"/>
  <c r="DL12" i="2"/>
  <c r="DH17" i="2"/>
  <c r="DL17" i="2" s="1"/>
  <c r="DL16" i="2"/>
  <c r="AL19" i="67"/>
  <c r="AL21" i="67" s="1"/>
  <c r="AH21" i="67"/>
  <c r="DM16" i="2" s="1"/>
  <c r="ES47" i="2" l="1"/>
  <c r="BQ51" i="67"/>
  <c r="EV46" i="2" s="1"/>
  <c r="CW145" i="2"/>
  <c r="DG75" i="2"/>
  <c r="DG84" i="2" s="1"/>
  <c r="DB144" i="2"/>
  <c r="DL11" i="2"/>
  <c r="DL117" i="2" s="1"/>
  <c r="DL15" i="2"/>
  <c r="DL118" i="2" s="1"/>
  <c r="DH11" i="2"/>
  <c r="DH75" i="2" s="1"/>
  <c r="DH84" i="2" s="1"/>
  <c r="CW101" i="3"/>
  <c r="CW5" i="3"/>
  <c r="DB102" i="3" s="1"/>
  <c r="DB25" i="3"/>
  <c r="DB26" i="3" s="1"/>
  <c r="DB93" i="3" s="1"/>
  <c r="DB18" i="3"/>
  <c r="DB19" i="3" s="1"/>
  <c r="DB94" i="3" s="1"/>
  <c r="AD42" i="18"/>
  <c r="DQ12" i="2"/>
  <c r="DM13" i="2"/>
  <c r="DQ13" i="2" s="1"/>
  <c r="DB101" i="3"/>
  <c r="DM17" i="2"/>
  <c r="DQ17" i="2" s="1"/>
  <c r="DQ16" i="2"/>
  <c r="AQ14" i="67"/>
  <c r="AQ16" i="67" s="1"/>
  <c r="AM16" i="67"/>
  <c r="DR12" i="2" s="1"/>
  <c r="AQ19" i="67"/>
  <c r="AQ21" i="67" s="1"/>
  <c r="AM21" i="67"/>
  <c r="DR16" i="2" s="1"/>
  <c r="BP49" i="67" l="1"/>
  <c r="BP51" i="67" s="1"/>
  <c r="BO51" i="67"/>
  <c r="ET46" i="2" s="1"/>
  <c r="EV47" i="2"/>
  <c r="EV45" i="2" s="1"/>
  <c r="ES45" i="2"/>
  <c r="ES75" i="2" s="1"/>
  <c r="ES84" i="2" s="1"/>
  <c r="DB45" i="3"/>
  <c r="DG3" i="3"/>
  <c r="DG5" i="3" s="1"/>
  <c r="DL75" i="2"/>
  <c r="DQ15" i="2"/>
  <c r="DQ118" i="2" s="1"/>
  <c r="DM11" i="2"/>
  <c r="DM75" i="2" s="1"/>
  <c r="DM84" i="2" s="1"/>
  <c r="DR17" i="2"/>
  <c r="DV17" i="2" s="1"/>
  <c r="DV16" i="2"/>
  <c r="AV14" i="67"/>
  <c r="AV16" i="67" s="1"/>
  <c r="AR16" i="67"/>
  <c r="DW12" i="2" s="1"/>
  <c r="DQ11" i="2"/>
  <c r="DQ117" i="2" s="1"/>
  <c r="DR13" i="2"/>
  <c r="DV13" i="2" s="1"/>
  <c r="DV12" i="2"/>
  <c r="AD159" i="18"/>
  <c r="AD58" i="18"/>
  <c r="AD96" i="18"/>
  <c r="AR21" i="67"/>
  <c r="DW16" i="2" s="1"/>
  <c r="AV19" i="67"/>
  <c r="AV21" i="67" s="1"/>
  <c r="CW102" i="3"/>
  <c r="CW18" i="3"/>
  <c r="CW19" i="3" s="1"/>
  <c r="CW25" i="3"/>
  <c r="CW26" i="3" s="1"/>
  <c r="CW105" i="3" s="1"/>
  <c r="AC42" i="18"/>
  <c r="BU49" i="67" l="1"/>
  <c r="BU51" i="67" s="1"/>
  <c r="BR51" i="67"/>
  <c r="EW46" i="2" s="1"/>
  <c r="ET47" i="2"/>
  <c r="EU47" i="2" s="1"/>
  <c r="EU46" i="2"/>
  <c r="DG101" i="3"/>
  <c r="CW104" i="3"/>
  <c r="CW45" i="3"/>
  <c r="DB104" i="3"/>
  <c r="CW93" i="3"/>
  <c r="CW94" i="3"/>
  <c r="DB105" i="3"/>
  <c r="DL3" i="3"/>
  <c r="DL5" i="3" s="1"/>
  <c r="DL84" i="2"/>
  <c r="DW17" i="2"/>
  <c r="EA17" i="2" s="1"/>
  <c r="EA16" i="2"/>
  <c r="AD8" i="18"/>
  <c r="DR11" i="2"/>
  <c r="DR75" i="2" s="1"/>
  <c r="DR84" i="2" s="1"/>
  <c r="AC58" i="18"/>
  <c r="AC159" i="18"/>
  <c r="AC96" i="18"/>
  <c r="DV11" i="2"/>
  <c r="DV117" i="2" s="1"/>
  <c r="DW13" i="2"/>
  <c r="EA13" i="2" s="1"/>
  <c r="EA12" i="2"/>
  <c r="DV15" i="2"/>
  <c r="BA19" i="67"/>
  <c r="BA21" i="67" s="1"/>
  <c r="AW21" i="67"/>
  <c r="EB16" i="2" s="1"/>
  <c r="AD26" i="16"/>
  <c r="AD48" i="18"/>
  <c r="AD125" i="18"/>
  <c r="AE125" i="18" s="1"/>
  <c r="AF125" i="18" s="1"/>
  <c r="AG125" i="18" s="1"/>
  <c r="AH125" i="18" s="1"/>
  <c r="AI125" i="18" s="1"/>
  <c r="AJ125" i="18" s="1"/>
  <c r="AK125" i="18" s="1"/>
  <c r="AL125" i="18" s="1"/>
  <c r="AM125" i="18" s="1"/>
  <c r="AN125" i="18" s="1"/>
  <c r="BA14" i="67"/>
  <c r="BA16" i="67" s="1"/>
  <c r="AW16" i="67"/>
  <c r="EB12" i="2" s="1"/>
  <c r="DG25" i="3"/>
  <c r="DG26" i="3" s="1"/>
  <c r="DG105" i="3" s="1"/>
  <c r="DG18" i="3"/>
  <c r="DG19" i="3" s="1"/>
  <c r="DG102" i="3"/>
  <c r="AE42" i="18"/>
  <c r="DQ75" i="2"/>
  <c r="ET45" i="2" l="1"/>
  <c r="ET75" i="2" s="1"/>
  <c r="ET84" i="2" s="1"/>
  <c r="EU45" i="2"/>
  <c r="EU125" i="2" s="1"/>
  <c r="EW47" i="2"/>
  <c r="EZ46" i="2"/>
  <c r="DG45" i="3"/>
  <c r="DG104" i="3"/>
  <c r="DG94" i="3"/>
  <c r="DG93" i="3"/>
  <c r="DL101" i="3"/>
  <c r="EA15" i="2"/>
  <c r="EA118" i="2" s="1"/>
  <c r="EA11" i="2"/>
  <c r="EA117" i="2" s="1"/>
  <c r="DW11" i="2"/>
  <c r="DW75" i="2" s="1"/>
  <c r="DW84" i="2" s="1"/>
  <c r="EB17" i="2"/>
  <c r="EF17" i="2" s="1"/>
  <c r="EF16" i="2"/>
  <c r="DV75" i="2"/>
  <c r="DV118" i="2"/>
  <c r="AC48" i="18"/>
  <c r="AC26" i="16"/>
  <c r="AC124" i="18"/>
  <c r="EB13" i="2"/>
  <c r="EF13" i="2" s="1"/>
  <c r="EF12" i="2"/>
  <c r="DQ84" i="2"/>
  <c r="DQ3" i="3"/>
  <c r="BF19" i="67"/>
  <c r="BF21" i="67" s="1"/>
  <c r="BB21" i="67"/>
  <c r="EG16" i="2" s="1"/>
  <c r="AD32" i="16"/>
  <c r="AD54" i="16"/>
  <c r="AC8" i="18"/>
  <c r="AD17" i="16" s="1"/>
  <c r="AE58" i="18"/>
  <c r="AE159" i="18"/>
  <c r="AE96" i="18"/>
  <c r="DL102" i="3"/>
  <c r="DL18" i="3"/>
  <c r="DL19" i="3" s="1"/>
  <c r="DL94" i="3" s="1"/>
  <c r="DL25" i="3"/>
  <c r="DL26" i="3" s="1"/>
  <c r="DL105" i="3" s="1"/>
  <c r="AF42" i="18"/>
  <c r="AD167" i="18"/>
  <c r="BF14" i="67"/>
  <c r="BF16" i="67" s="1"/>
  <c r="BB16" i="67"/>
  <c r="EG12" i="2" s="1"/>
  <c r="EW45" i="2" l="1"/>
  <c r="EW75" i="2" s="1"/>
  <c r="EW84" i="2" s="1"/>
  <c r="EZ47" i="2"/>
  <c r="EZ45" i="2" s="1"/>
  <c r="EZ125" i="2" s="1"/>
  <c r="DL93" i="3"/>
  <c r="DL45" i="3"/>
  <c r="DL104" i="3"/>
  <c r="EF11" i="2"/>
  <c r="EF117" i="2" s="1"/>
  <c r="EA75" i="2"/>
  <c r="EA84" i="2" s="1"/>
  <c r="EF15" i="2"/>
  <c r="EF118" i="2" s="1"/>
  <c r="EB11" i="2"/>
  <c r="EB75" i="2" s="1"/>
  <c r="EB84" i="2" s="1"/>
  <c r="AC17" i="16"/>
  <c r="AC167" i="18"/>
  <c r="BK19" i="67"/>
  <c r="BK21" i="67" s="1"/>
  <c r="BG21" i="67"/>
  <c r="EL16" i="2" s="1"/>
  <c r="AC54" i="16"/>
  <c r="AC32" i="16"/>
  <c r="DV84" i="2"/>
  <c r="DV3" i="3"/>
  <c r="AE8" i="18"/>
  <c r="BK14" i="67"/>
  <c r="BK16" i="67" s="1"/>
  <c r="BG16" i="67"/>
  <c r="EL12" i="2" s="1"/>
  <c r="EG17" i="2"/>
  <c r="EK17" i="2" s="1"/>
  <c r="EK16" i="2"/>
  <c r="DQ101" i="3"/>
  <c r="DQ5" i="3"/>
  <c r="AE48" i="18"/>
  <c r="AE26" i="16"/>
  <c r="AE126" i="18"/>
  <c r="AF126" i="18" s="1"/>
  <c r="AG126" i="18" s="1"/>
  <c r="AH126" i="18" s="1"/>
  <c r="AI126" i="18" s="1"/>
  <c r="AJ126" i="18" s="1"/>
  <c r="AK126" i="18" s="1"/>
  <c r="AL126" i="18" s="1"/>
  <c r="AM126" i="18" s="1"/>
  <c r="AN126" i="18" s="1"/>
  <c r="EG13" i="2"/>
  <c r="EK13" i="2" s="1"/>
  <c r="EK12" i="2"/>
  <c r="AF159" i="18"/>
  <c r="AF58" i="18"/>
  <c r="AF96" i="18"/>
  <c r="AC136" i="18"/>
  <c r="AD124" i="18"/>
  <c r="EA3" i="3" l="1"/>
  <c r="EA101" i="3" s="1"/>
  <c r="EF75" i="2"/>
  <c r="EF84" i="2" s="1"/>
  <c r="EG11" i="2"/>
  <c r="EG75" i="2" s="1"/>
  <c r="EG84" i="2" s="1"/>
  <c r="AE124" i="18"/>
  <c r="AD136" i="18"/>
  <c r="AF8" i="18"/>
  <c r="EK15" i="2"/>
  <c r="DV101" i="3"/>
  <c r="DV5" i="3"/>
  <c r="EL17" i="2"/>
  <c r="EP17" i="2" s="1"/>
  <c r="EP16" i="2"/>
  <c r="AC98" i="18"/>
  <c r="AC100" i="18" s="1"/>
  <c r="AC137" i="18"/>
  <c r="AC6" i="16"/>
  <c r="AC5" i="16" s="1"/>
  <c r="CW111" i="3" s="1"/>
  <c r="EK11" i="2"/>
  <c r="EK117" i="2" s="1"/>
  <c r="AE32" i="16"/>
  <c r="AE54" i="16"/>
  <c r="BP19" i="67"/>
  <c r="BP21" i="67" s="1"/>
  <c r="BL21" i="67"/>
  <c r="EQ16" i="2" s="1"/>
  <c r="DQ18" i="3"/>
  <c r="DQ19" i="3" s="1"/>
  <c r="DQ94" i="3" s="1"/>
  <c r="DQ25" i="3"/>
  <c r="DQ26" i="3" s="1"/>
  <c r="DQ105" i="3" s="1"/>
  <c r="DQ102" i="3"/>
  <c r="AG42" i="18"/>
  <c r="EL13" i="2"/>
  <c r="EP13" i="2" s="1"/>
  <c r="EP12" i="2"/>
  <c r="AE17" i="16"/>
  <c r="AE167" i="18"/>
  <c r="BP14" i="67"/>
  <c r="BP16" i="67" s="1"/>
  <c r="BL16" i="67"/>
  <c r="EQ12" i="2" s="1"/>
  <c r="AF48" i="18"/>
  <c r="AF26" i="16"/>
  <c r="AF127" i="18"/>
  <c r="AG127" i="18" s="1"/>
  <c r="AH127" i="18" s="1"/>
  <c r="AI127" i="18" s="1"/>
  <c r="AJ127" i="18" s="1"/>
  <c r="AK127" i="18" s="1"/>
  <c r="AL127" i="18" s="1"/>
  <c r="AM127" i="18" s="1"/>
  <c r="AN127" i="18" s="1"/>
  <c r="EF3" i="3" l="1"/>
  <c r="EF101" i="3" s="1"/>
  <c r="DQ104" i="3"/>
  <c r="DQ45" i="3"/>
  <c r="DQ93" i="3"/>
  <c r="EA5" i="3"/>
  <c r="EA18" i="3" s="1"/>
  <c r="EA19" i="3" s="1"/>
  <c r="EL11" i="2"/>
  <c r="EL75" i="2" s="1"/>
  <c r="EL84" i="2" s="1"/>
  <c r="EP11" i="2"/>
  <c r="EP117" i="2" s="1"/>
  <c r="EP15" i="2"/>
  <c r="EP118" i="2" s="1"/>
  <c r="AF54" i="16"/>
  <c r="AF32" i="16"/>
  <c r="AG58" i="18"/>
  <c r="AG159" i="18"/>
  <c r="AG96" i="18"/>
  <c r="EQ13" i="2"/>
  <c r="EU13" i="2" s="1"/>
  <c r="EU12" i="2"/>
  <c r="AC11" i="18"/>
  <c r="AD95" i="18"/>
  <c r="AE136" i="18"/>
  <c r="AF124" i="18"/>
  <c r="EK118" i="2"/>
  <c r="EK75" i="2"/>
  <c r="BU14" i="67"/>
  <c r="BU16" i="67" s="1"/>
  <c r="BQ16" i="67"/>
  <c r="EV12" i="2" s="1"/>
  <c r="BU19" i="67"/>
  <c r="BU21" i="67" s="1"/>
  <c r="BQ21" i="67"/>
  <c r="EV16" i="2" s="1"/>
  <c r="EU16" i="2"/>
  <c r="EQ17" i="2"/>
  <c r="EU17" i="2" s="1"/>
  <c r="AF167" i="18"/>
  <c r="AF17" i="16"/>
  <c r="DV18" i="3"/>
  <c r="DV19" i="3" s="1"/>
  <c r="DV94" i="3" s="1"/>
  <c r="DV25" i="3"/>
  <c r="DV26" i="3" s="1"/>
  <c r="DV105" i="3" s="1"/>
  <c r="DV102" i="3"/>
  <c r="AH42" i="18"/>
  <c r="AD137" i="18"/>
  <c r="AD98" i="18"/>
  <c r="AD6" i="16"/>
  <c r="AD5" i="16" s="1"/>
  <c r="DB111" i="3" s="1"/>
  <c r="EF5" i="3" l="1"/>
  <c r="EF18" i="3" s="1"/>
  <c r="EF19" i="3" s="1"/>
  <c r="EF94" i="3" s="1"/>
  <c r="EA104" i="3"/>
  <c r="DV93" i="3"/>
  <c r="DV104" i="3"/>
  <c r="DV45" i="3"/>
  <c r="AI42" i="18"/>
  <c r="EA25" i="3"/>
  <c r="EA26" i="3" s="1"/>
  <c r="EA94" i="3"/>
  <c r="EA102" i="3"/>
  <c r="EP75" i="2"/>
  <c r="EP84" i="2" s="1"/>
  <c r="EQ11" i="2"/>
  <c r="EQ75" i="2" s="1"/>
  <c r="EQ84" i="2" s="1"/>
  <c r="AC168" i="18"/>
  <c r="AC80" i="18"/>
  <c r="EZ12" i="2"/>
  <c r="EV13" i="2"/>
  <c r="EZ13" i="2" s="1"/>
  <c r="AG124" i="18"/>
  <c r="AF136" i="18"/>
  <c r="AG8" i="18"/>
  <c r="AH58" i="18"/>
  <c r="AH159" i="18"/>
  <c r="AH96" i="18"/>
  <c r="EU15" i="2"/>
  <c r="AE98" i="18"/>
  <c r="AE137" i="18"/>
  <c r="AE6" i="16"/>
  <c r="AE5" i="16" s="1"/>
  <c r="DG111" i="3" s="1"/>
  <c r="EV17" i="2"/>
  <c r="EZ17" i="2" s="1"/>
  <c r="EZ16" i="2"/>
  <c r="EK84" i="2"/>
  <c r="EK3" i="3"/>
  <c r="AD100" i="18"/>
  <c r="AC101" i="18"/>
  <c r="EU11" i="2"/>
  <c r="EU117" i="2" s="1"/>
  <c r="AG48" i="18"/>
  <c r="AG26" i="16"/>
  <c r="AG128" i="18"/>
  <c r="AH128" i="18" s="1"/>
  <c r="AI128" i="18" s="1"/>
  <c r="AJ128" i="18" s="1"/>
  <c r="AK128" i="18" s="1"/>
  <c r="AL128" i="18" s="1"/>
  <c r="AM128" i="18" s="1"/>
  <c r="AN128" i="18" s="1"/>
  <c r="EF25" i="3" l="1"/>
  <c r="EF26" i="3" s="1"/>
  <c r="EF105" i="3" s="1"/>
  <c r="EF102" i="3"/>
  <c r="AJ42" i="18"/>
  <c r="AI96" i="18"/>
  <c r="AI48" i="18" s="1"/>
  <c r="AI58" i="18"/>
  <c r="AI8" i="18" s="1"/>
  <c r="AI159" i="18"/>
  <c r="EA105" i="3"/>
  <c r="EF104" i="3"/>
  <c r="EA93" i="3"/>
  <c r="EA45" i="3"/>
  <c r="EP3" i="3"/>
  <c r="EP101" i="3" s="1"/>
  <c r="AD11" i="18"/>
  <c r="AE95" i="18"/>
  <c r="EK101" i="3"/>
  <c r="EK5" i="3"/>
  <c r="AH48" i="18"/>
  <c r="AH26" i="16"/>
  <c r="AH129" i="18"/>
  <c r="AI129" i="18" s="1"/>
  <c r="AJ129" i="18" s="1"/>
  <c r="AK129" i="18" s="1"/>
  <c r="AL129" i="18" s="1"/>
  <c r="AM129" i="18" s="1"/>
  <c r="AN129" i="18" s="1"/>
  <c r="AH124" i="18"/>
  <c r="AG136" i="18"/>
  <c r="EZ11" i="2"/>
  <c r="EZ117" i="2" s="1"/>
  <c r="AG32" i="16"/>
  <c r="AG54" i="16"/>
  <c r="EV11" i="2"/>
  <c r="EV75" i="2" s="1"/>
  <c r="EV84" i="2" s="1"/>
  <c r="AG167" i="18"/>
  <c r="AG17" i="16"/>
  <c r="EZ15" i="2"/>
  <c r="EU118" i="2"/>
  <c r="EU75" i="2"/>
  <c r="AH8" i="18"/>
  <c r="AF98" i="18"/>
  <c r="AF137" i="18"/>
  <c r="AF6" i="16"/>
  <c r="AF5" i="16" s="1"/>
  <c r="DL111" i="3" s="1"/>
  <c r="AJ58" i="18" l="1"/>
  <c r="AJ8" i="18" s="1"/>
  <c r="EF93" i="3"/>
  <c r="EF45" i="3"/>
  <c r="AI26" i="16"/>
  <c r="AI32" i="16" s="1"/>
  <c r="AJ96" i="18"/>
  <c r="AJ26" i="16" s="1"/>
  <c r="AJ159" i="18"/>
  <c r="AI130" i="18"/>
  <c r="AJ130" i="18" s="1"/>
  <c r="AK130" i="18" s="1"/>
  <c r="AL130" i="18" s="1"/>
  <c r="AM130" i="18" s="1"/>
  <c r="AN130" i="18" s="1"/>
  <c r="EP5" i="3"/>
  <c r="AH32" i="16"/>
  <c r="AH54" i="16"/>
  <c r="AH167" i="18"/>
  <c r="AH17" i="16"/>
  <c r="AI167" i="18"/>
  <c r="AI17" i="16"/>
  <c r="EZ118" i="2"/>
  <c r="EZ75" i="2"/>
  <c r="EU84" i="2"/>
  <c r="EU3" i="3"/>
  <c r="AG137" i="18"/>
  <c r="AG98" i="18"/>
  <c r="AG6" i="16"/>
  <c r="AG5" i="16" s="1"/>
  <c r="DQ111" i="3" s="1"/>
  <c r="AE100" i="18"/>
  <c r="AD101" i="18"/>
  <c r="AH136" i="18"/>
  <c r="AI124" i="18"/>
  <c r="EK102" i="3"/>
  <c r="EK25" i="3"/>
  <c r="EK26" i="3" s="1"/>
  <c r="EK105" i="3" s="1"/>
  <c r="EK18" i="3"/>
  <c r="EK19" i="3" s="1"/>
  <c r="AK42" i="18"/>
  <c r="AD168" i="18"/>
  <c r="AD80" i="18"/>
  <c r="AI54" i="16" l="1"/>
  <c r="AJ131" i="18"/>
  <c r="AK131" i="18" s="1"/>
  <c r="AL131" i="18" s="1"/>
  <c r="AM131" i="18" s="1"/>
  <c r="AN131" i="18" s="1"/>
  <c r="AJ48" i="18"/>
  <c r="EK93" i="3"/>
  <c r="EK45" i="3"/>
  <c r="EK104" i="3"/>
  <c r="EK94" i="3"/>
  <c r="AL42" i="18"/>
  <c r="EP102" i="3"/>
  <c r="EP25" i="3"/>
  <c r="EP26" i="3" s="1"/>
  <c r="EP105" i="3" s="1"/>
  <c r="EP18" i="3"/>
  <c r="EP19" i="3" s="1"/>
  <c r="AJ54" i="16"/>
  <c r="AJ32" i="16"/>
  <c r="EU5" i="3"/>
  <c r="EU101" i="3"/>
  <c r="EZ84" i="2"/>
  <c r="EZ3" i="3"/>
  <c r="AH98" i="18"/>
  <c r="AH137" i="18"/>
  <c r="AH6" i="16"/>
  <c r="AH5" i="16" s="1"/>
  <c r="DV111" i="3" s="1"/>
  <c r="AI136" i="18"/>
  <c r="AJ124" i="18"/>
  <c r="AE11" i="18"/>
  <c r="AF95" i="18"/>
  <c r="AK58" i="18"/>
  <c r="AK159" i="18"/>
  <c r="AK96" i="18"/>
  <c r="AJ167" i="18"/>
  <c r="AJ17" i="16"/>
  <c r="EP93" i="3" l="1"/>
  <c r="EP104" i="3"/>
  <c r="EP45" i="3"/>
  <c r="EP94" i="3"/>
  <c r="AL159" i="18"/>
  <c r="AL96" i="18"/>
  <c r="AL26" i="16" s="1"/>
  <c r="AL58" i="18"/>
  <c r="AL8" i="18" s="1"/>
  <c r="AK8" i="18"/>
  <c r="AJ136" i="18"/>
  <c r="AK124" i="18"/>
  <c r="AF100" i="18"/>
  <c r="AE101" i="18"/>
  <c r="AI98" i="18"/>
  <c r="AI137" i="18"/>
  <c r="AI6" i="16"/>
  <c r="AI5" i="16" s="1"/>
  <c r="EA111" i="3" s="1"/>
  <c r="EZ101" i="3"/>
  <c r="EZ5" i="3"/>
  <c r="AK48" i="18"/>
  <c r="AK26" i="16"/>
  <c r="AK132" i="18"/>
  <c r="AL132" i="18" s="1"/>
  <c r="AM132" i="18" s="1"/>
  <c r="AN132" i="18" s="1"/>
  <c r="AE168" i="18"/>
  <c r="AE80" i="18"/>
  <c r="EU25" i="3"/>
  <c r="EU26" i="3" s="1"/>
  <c r="EU105" i="3" s="1"/>
  <c r="EU102" i="3"/>
  <c r="EU18" i="3"/>
  <c r="EU19" i="3" s="1"/>
  <c r="EU94" i="3" s="1"/>
  <c r="AM42" i="18"/>
  <c r="AL133" i="18" l="1"/>
  <c r="AM133" i="18" s="1"/>
  <c r="AN133" i="18" s="1"/>
  <c r="AL48" i="18"/>
  <c r="EU93" i="3"/>
  <c r="EU45" i="3"/>
  <c r="EU104" i="3"/>
  <c r="AK17" i="16"/>
  <c r="AK167" i="18"/>
  <c r="AL32" i="16"/>
  <c r="AL54" i="16"/>
  <c r="EZ18" i="3"/>
  <c r="EZ19" i="3" s="1"/>
  <c r="EZ94" i="3" s="1"/>
  <c r="EZ102" i="3"/>
  <c r="EZ25" i="3"/>
  <c r="EZ26" i="3" s="1"/>
  <c r="EZ105" i="3" s="1"/>
  <c r="AN42" i="18"/>
  <c r="AK136" i="18"/>
  <c r="AL124" i="18"/>
  <c r="AM96" i="18"/>
  <c r="AM159" i="18"/>
  <c r="AM58" i="18"/>
  <c r="AK54" i="16"/>
  <c r="AK32" i="16"/>
  <c r="AF11" i="18"/>
  <c r="AG95" i="18"/>
  <c r="AJ98" i="18"/>
  <c r="AJ137" i="18"/>
  <c r="AJ6" i="16"/>
  <c r="AJ5" i="16" s="1"/>
  <c r="EF111" i="3" s="1"/>
  <c r="AL17" i="16"/>
  <c r="AL167" i="18"/>
  <c r="EZ93" i="3" l="1"/>
  <c r="EZ45" i="3"/>
  <c r="EZ104" i="3"/>
  <c r="AG100" i="18"/>
  <c r="AF101" i="18"/>
  <c r="AF168" i="18"/>
  <c r="AF80" i="18"/>
  <c r="AL136" i="18"/>
  <c r="AM124" i="18"/>
  <c r="AM26" i="16"/>
  <c r="AM48" i="18"/>
  <c r="AM134" i="18"/>
  <c r="AN134" i="18" s="1"/>
  <c r="AK137" i="18"/>
  <c r="AK98" i="18"/>
  <c r="AK6" i="16"/>
  <c r="AK5" i="16" s="1"/>
  <c r="EK111" i="3" s="1"/>
  <c r="AN58" i="18"/>
  <c r="AN96" i="18"/>
  <c r="AN159" i="18"/>
  <c r="AM8" i="18"/>
  <c r="AM17" i="16" l="1"/>
  <c r="AM167" i="18"/>
  <c r="AM54" i="16"/>
  <c r="AM32" i="16"/>
  <c r="AG11" i="18"/>
  <c r="AH95" i="18"/>
  <c r="AN48" i="18"/>
  <c r="AN135" i="18"/>
  <c r="AN26" i="16"/>
  <c r="AN8" i="18"/>
  <c r="AM136" i="18"/>
  <c r="AN124" i="18"/>
  <c r="AL98" i="18"/>
  <c r="AL137" i="18"/>
  <c r="AL6" i="16"/>
  <c r="AL5" i="16" s="1"/>
  <c r="EP111" i="3" s="1"/>
  <c r="AN136" i="18" l="1"/>
  <c r="AH100" i="18"/>
  <c r="AG101" i="18"/>
  <c r="AN54" i="16"/>
  <c r="AN32" i="16"/>
  <c r="AN167" i="18"/>
  <c r="AN17" i="16"/>
  <c r="AM98" i="18"/>
  <c r="AM137" i="18"/>
  <c r="AM6" i="16"/>
  <c r="AM5" i="16" s="1"/>
  <c r="EU111" i="3" s="1"/>
  <c r="AG168" i="18"/>
  <c r="AG80" i="18"/>
  <c r="AN6" i="16" l="1"/>
  <c r="AN5" i="16" s="1"/>
  <c r="EZ111" i="3" s="1"/>
  <c r="AN98" i="18"/>
  <c r="AN137" i="18"/>
  <c r="AH11" i="18"/>
  <c r="AI95" i="18"/>
  <c r="AI100" i="18" l="1"/>
  <c r="AH101" i="18"/>
  <c r="AH168" i="18"/>
  <c r="AH80" i="18"/>
  <c r="AI11" i="18" l="1"/>
  <c r="AJ95" i="18"/>
  <c r="AJ100" i="18" l="1"/>
  <c r="AI101" i="18"/>
  <c r="AI168" i="18"/>
  <c r="AI80" i="18"/>
  <c r="AJ11" i="18" l="1"/>
  <c r="AK95" i="18"/>
  <c r="AK100" i="18" l="1"/>
  <c r="AJ101" i="18"/>
  <c r="AJ168" i="18"/>
  <c r="AJ80" i="18"/>
  <c r="AL95" i="18" l="1"/>
  <c r="AK11" i="18"/>
  <c r="AL100" i="18" l="1"/>
  <c r="AK101" i="18"/>
  <c r="AK168" i="18"/>
  <c r="AK80" i="18"/>
  <c r="AL11" i="18" l="1"/>
  <c r="AM95" i="18"/>
  <c r="AL168" i="18" l="1"/>
  <c r="AL80" i="18"/>
  <c r="AM100" i="18"/>
  <c r="AL101" i="18"/>
  <c r="AM11" i="18" l="1"/>
  <c r="AN95" i="18"/>
  <c r="AN100" i="18" l="1"/>
  <c r="AN11" i="18" s="1"/>
  <c r="AN101" i="18"/>
  <c r="AM101" i="18"/>
  <c r="AM168" i="18"/>
  <c r="AM80" i="18"/>
  <c r="AN168" i="18" l="1"/>
  <c r="AN80" i="18"/>
  <c r="AA54" i="18"/>
  <c r="AA51" i="18"/>
  <c r="AA56" i="18" l="1"/>
  <c r="AB51" i="18"/>
  <c r="AB56" i="18" l="1"/>
  <c r="AB61" i="18"/>
  <c r="AC51" i="18"/>
  <c r="AC56" i="18" l="1"/>
  <c r="AD51" i="18"/>
  <c r="AC61" i="18"/>
  <c r="AB62" i="18"/>
  <c r="AB54" i="18"/>
  <c r="AB5" i="18"/>
  <c r="AC62" i="18" l="1"/>
  <c r="AC54" i="18"/>
  <c r="AC5" i="18"/>
  <c r="AB15" i="16"/>
  <c r="AB165" i="18"/>
  <c r="AD56" i="18"/>
  <c r="AD61" i="18"/>
  <c r="AE51" i="18"/>
  <c r="AD54" i="18" l="1"/>
  <c r="AD62" i="18"/>
  <c r="AD5" i="18"/>
  <c r="AE56" i="18"/>
  <c r="AF51" i="18"/>
  <c r="AE61" i="18"/>
  <c r="AC15" i="16"/>
  <c r="AC165" i="18"/>
  <c r="AD15" i="16" l="1"/>
  <c r="AD165" i="18"/>
  <c r="AE54" i="18"/>
  <c r="AE62" i="18"/>
  <c r="AE5" i="18"/>
  <c r="AF56" i="18"/>
  <c r="AF61" i="18"/>
  <c r="AG51" i="18"/>
  <c r="AE165" i="18" l="1"/>
  <c r="AE15" i="16"/>
  <c r="AG56" i="18"/>
  <c r="AG61" i="18"/>
  <c r="AH51" i="18"/>
  <c r="AF54" i="18"/>
  <c r="AF62" i="18"/>
  <c r="AF5" i="18"/>
  <c r="AH56" i="18" l="1"/>
  <c r="AI51" i="18"/>
  <c r="AH61" i="18"/>
  <c r="AF15" i="16"/>
  <c r="AF165" i="18"/>
  <c r="AG54" i="18"/>
  <c r="AG62" i="18"/>
  <c r="AG5" i="18"/>
  <c r="AH54" i="18" l="1"/>
  <c r="AH62" i="18"/>
  <c r="AH5" i="18"/>
  <c r="AI56" i="18"/>
  <c r="AI61" i="18"/>
  <c r="AJ51" i="18"/>
  <c r="AG15" i="16"/>
  <c r="AG165" i="18"/>
  <c r="AH15" i="16" l="1"/>
  <c r="AH165" i="18"/>
  <c r="AJ56" i="18"/>
  <c r="AJ61" i="18"/>
  <c r="AK51" i="18"/>
  <c r="AI54" i="18"/>
  <c r="AI62" i="18"/>
  <c r="AI5" i="18"/>
  <c r="AK56" i="18" l="1"/>
  <c r="AL51" i="18"/>
  <c r="AK61" i="18"/>
  <c r="AI15" i="16"/>
  <c r="AI165" i="18"/>
  <c r="AJ62" i="18"/>
  <c r="AJ54" i="18"/>
  <c r="AJ5" i="18"/>
  <c r="AL56" i="18" l="1"/>
  <c r="AM51" i="18"/>
  <c r="AL61" i="18"/>
  <c r="AK62" i="18"/>
  <c r="AK54" i="18"/>
  <c r="AK5" i="18"/>
  <c r="AJ15" i="16"/>
  <c r="AJ165" i="18"/>
  <c r="AL54" i="18" l="1"/>
  <c r="AL62" i="18"/>
  <c r="AL5" i="18"/>
  <c r="AK15" i="16"/>
  <c r="AK165" i="18"/>
  <c r="AM56" i="18"/>
  <c r="AM61" i="18"/>
  <c r="AN51" i="18"/>
  <c r="AL165" i="18" l="1"/>
  <c r="AL15" i="16"/>
  <c r="AM62" i="18"/>
  <c r="AM54" i="18"/>
  <c r="AM5" i="18"/>
  <c r="AN56" i="18"/>
  <c r="AN61" i="18"/>
  <c r="AN54" i="18" l="1"/>
  <c r="AN62" i="18"/>
  <c r="AN5" i="18"/>
  <c r="AM15" i="16"/>
  <c r="AM165" i="18"/>
  <c r="AN165" i="18" l="1"/>
  <c r="AN15" i="16"/>
  <c r="AA64" i="18"/>
  <c r="AA55" i="18"/>
  <c r="AA52" i="18"/>
  <c r="AB52" i="18" s="1"/>
  <c r="AC52" i="18" l="1"/>
  <c r="AD52" i="18" l="1"/>
  <c r="AE52" i="18" l="1"/>
  <c r="AF52" i="18" l="1"/>
  <c r="AG52" i="18" l="1"/>
  <c r="AH52" i="18" l="1"/>
  <c r="AI52" i="18" l="1"/>
  <c r="AJ52" i="18" l="1"/>
  <c r="AK52" i="18" l="1"/>
  <c r="AL52" i="18" l="1"/>
  <c r="AM52" i="18" l="1"/>
  <c r="AN52" i="18" l="1"/>
  <c r="M39" i="67" l="1"/>
  <c r="M41" i="67" s="1"/>
  <c r="I41" i="67" l="1"/>
  <c r="CR97" i="2"/>
  <c r="CW97" i="2" s="1"/>
  <c r="CR131" i="2"/>
  <c r="CR112" i="2" s="1"/>
  <c r="CW116" i="2" l="1"/>
  <c r="CW131" i="2" s="1"/>
  <c r="DB97" i="2"/>
  <c r="CR9" i="3"/>
  <c r="CW112" i="2" l="1"/>
  <c r="CW9" i="3"/>
  <c r="CR103" i="3"/>
  <c r="CR91" i="3"/>
  <c r="AB44" i="18"/>
  <c r="AB43" i="18"/>
  <c r="CR10" i="3"/>
  <c r="DB116" i="2"/>
  <c r="DB131" i="2" s="1"/>
  <c r="DG97" i="2"/>
  <c r="DG116" i="2" l="1"/>
  <c r="DG131" i="2" s="1"/>
  <c r="DL97" i="2"/>
  <c r="DB112" i="2"/>
  <c r="DB9" i="3"/>
  <c r="CR92" i="3"/>
  <c r="CR29" i="3"/>
  <c r="AB78" i="18"/>
  <c r="AB63" i="18"/>
  <c r="AB55" i="18" s="1"/>
  <c r="CW91" i="3"/>
  <c r="CW103" i="3"/>
  <c r="AC44" i="18"/>
  <c r="CW10" i="3"/>
  <c r="AC43" i="18"/>
  <c r="AB138" i="18"/>
  <c r="AB65" i="18"/>
  <c r="AB18" i="18" s="1"/>
  <c r="AB139" i="18"/>
  <c r="AB60" i="18"/>
  <c r="AB67" i="18"/>
  <c r="AB20" i="18" l="1"/>
  <c r="AB24" i="18" s="1"/>
  <c r="AB31" i="18" s="1"/>
  <c r="DB91" i="3"/>
  <c r="DB103" i="3"/>
  <c r="DB10" i="3"/>
  <c r="AD44" i="18"/>
  <c r="AD43" i="18"/>
  <c r="AB18" i="16"/>
  <c r="AB172" i="18"/>
  <c r="AB6" i="18"/>
  <c r="AB64" i="18"/>
  <c r="AC138" i="18"/>
  <c r="AC67" i="18"/>
  <c r="AC60" i="18"/>
  <c r="AC139" i="18"/>
  <c r="AC65" i="18"/>
  <c r="AC18" i="18" s="1"/>
  <c r="AC57" i="18" s="1"/>
  <c r="AB57" i="18"/>
  <c r="AC78" i="18"/>
  <c r="AC63" i="18"/>
  <c r="AC55" i="18" s="1"/>
  <c r="CR112" i="3"/>
  <c r="CR95" i="3"/>
  <c r="CR107" i="3" s="1"/>
  <c r="AB160" i="18"/>
  <c r="CR33" i="3"/>
  <c r="CR35" i="3" s="1"/>
  <c r="DL116" i="2"/>
  <c r="DL131" i="2" s="1"/>
  <c r="DQ97" i="2"/>
  <c r="CW92" i="3"/>
  <c r="CW29" i="3"/>
  <c r="DG112" i="2"/>
  <c r="DG9" i="3"/>
  <c r="AB161" i="18" l="1"/>
  <c r="AB162" i="18" s="1"/>
  <c r="AB163" i="18" s="1"/>
  <c r="AB164" i="18" s="1"/>
  <c r="AB158" i="18" s="1"/>
  <c r="AB73" i="16"/>
  <c r="AB75" i="16" s="1"/>
  <c r="DG103" i="3"/>
  <c r="DG91" i="3"/>
  <c r="DG10" i="3"/>
  <c r="AE44" i="18"/>
  <c r="AE43" i="18"/>
  <c r="AB85" i="18"/>
  <c r="AC67" i="19"/>
  <c r="AB86" i="18"/>
  <c r="CR97" i="3"/>
  <c r="CR108" i="3" s="1"/>
  <c r="AC20" i="18"/>
  <c r="AC24" i="18" s="1"/>
  <c r="AC31" i="18" s="1"/>
  <c r="AB16" i="16"/>
  <c r="AB166" i="18"/>
  <c r="AB171" i="18" s="1"/>
  <c r="AD78" i="18"/>
  <c r="AD63" i="18"/>
  <c r="AD55" i="18" s="1"/>
  <c r="DQ116" i="2"/>
  <c r="DQ131" i="2" s="1"/>
  <c r="DV97" i="2"/>
  <c r="DL112" i="2"/>
  <c r="DL9" i="3"/>
  <c r="CW112" i="3"/>
  <c r="CW95" i="3"/>
  <c r="CW107" i="3" s="1"/>
  <c r="AC160" i="18"/>
  <c r="AB45" i="18"/>
  <c r="AC64" i="18"/>
  <c r="AC6" i="18"/>
  <c r="AC172" i="18"/>
  <c r="AC18" i="16"/>
  <c r="AD60" i="18"/>
  <c r="AD139" i="18"/>
  <c r="AD138" i="18"/>
  <c r="AD67" i="18"/>
  <c r="AD65" i="18"/>
  <c r="AD18" i="18" s="1"/>
  <c r="AD57" i="18" s="1"/>
  <c r="AB69" i="18"/>
  <c r="DB92" i="3"/>
  <c r="DB29" i="3"/>
  <c r="AB173" i="18"/>
  <c r="AB175" i="18" s="1"/>
  <c r="AB19" i="16"/>
  <c r="AB85" i="16" l="1"/>
  <c r="AB34" i="18" s="1"/>
  <c r="AC34" i="18" s="1"/>
  <c r="AD34" i="18" s="1"/>
  <c r="AE34" i="18" s="1"/>
  <c r="AF34" i="18" s="1"/>
  <c r="AG34" i="18" s="1"/>
  <c r="AH34" i="18" s="1"/>
  <c r="AI34" i="18" s="1"/>
  <c r="AJ34" i="18" s="1"/>
  <c r="AK34" i="18" s="1"/>
  <c r="AL34" i="18" s="1"/>
  <c r="AM34" i="18" s="1"/>
  <c r="AN34" i="18" s="1"/>
  <c r="AB39" i="16"/>
  <c r="AB55" i="16" s="1"/>
  <c r="AD20" i="18"/>
  <c r="AD24" i="18" s="1"/>
  <c r="AD31" i="18" s="1"/>
  <c r="AC173" i="18"/>
  <c r="AC175" i="18" s="1"/>
  <c r="AC19" i="16"/>
  <c r="AE138" i="18"/>
  <c r="AE67" i="18"/>
  <c r="AE60" i="18"/>
  <c r="AE139" i="18"/>
  <c r="AE65" i="18"/>
  <c r="AE18" i="18" s="1"/>
  <c r="DB112" i="3"/>
  <c r="DB95" i="3"/>
  <c r="DB107" i="3" s="1"/>
  <c r="AD160" i="18"/>
  <c r="AD18" i="16"/>
  <c r="AD172" i="18"/>
  <c r="CR37" i="3"/>
  <c r="DV116" i="2"/>
  <c r="DV131" i="2" s="1"/>
  <c r="EA97" i="2"/>
  <c r="AC69" i="18"/>
  <c r="DG92" i="3"/>
  <c r="DG29" i="3"/>
  <c r="AD67" i="19"/>
  <c r="CW97" i="3"/>
  <c r="CW108" i="3" s="1"/>
  <c r="AC85" i="18"/>
  <c r="DQ112" i="2"/>
  <c r="DQ9" i="3"/>
  <c r="AB176" i="18"/>
  <c r="AC177" i="18" s="1"/>
  <c r="AC166" i="18"/>
  <c r="AC171" i="18" s="1"/>
  <c r="AC16" i="16"/>
  <c r="AC162" i="18"/>
  <c r="AC163" i="18" s="1"/>
  <c r="AC164" i="18" s="1"/>
  <c r="DL103" i="3"/>
  <c r="DL91" i="3"/>
  <c r="AF43" i="18"/>
  <c r="DL10" i="3"/>
  <c r="AF44" i="18"/>
  <c r="AD64" i="18"/>
  <c r="AD6" i="18"/>
  <c r="AE78" i="18"/>
  <c r="AE63" i="18"/>
  <c r="AE55" i="18" s="1"/>
  <c r="AC158" i="18" l="1"/>
  <c r="AD69" i="18"/>
  <c r="AC176" i="18"/>
  <c r="AD177" i="18" s="1"/>
  <c r="DV112" i="2"/>
  <c r="DV9" i="3"/>
  <c r="AE67" i="19"/>
  <c r="DB97" i="3"/>
  <c r="DB108" i="3" s="1"/>
  <c r="AD85" i="18"/>
  <c r="DG95" i="3"/>
  <c r="DG107" i="3" s="1"/>
  <c r="DG112" i="3"/>
  <c r="AE160" i="18"/>
  <c r="DL92" i="3"/>
  <c r="DL29" i="3"/>
  <c r="CR47" i="3"/>
  <c r="CR48" i="3" s="1"/>
  <c r="AB46" i="18"/>
  <c r="CR98" i="3"/>
  <c r="CR39" i="3"/>
  <c r="CR52" i="3"/>
  <c r="CR82" i="3" s="1"/>
  <c r="CR134" i="3"/>
  <c r="AD162" i="18"/>
  <c r="AD163" i="18" s="1"/>
  <c r="AD164" i="18" s="1"/>
  <c r="AE172" i="18"/>
  <c r="AE18" i="16"/>
  <c r="AE20" i="18"/>
  <c r="AF139" i="18"/>
  <c r="AF138" i="18"/>
  <c r="AF67" i="18"/>
  <c r="AF60" i="18"/>
  <c r="AF65" i="18"/>
  <c r="AF18" i="18" s="1"/>
  <c r="AE64" i="18"/>
  <c r="AE6" i="18"/>
  <c r="AD166" i="18"/>
  <c r="AD171" i="18" s="1"/>
  <c r="AD16" i="16"/>
  <c r="AF78" i="18"/>
  <c r="AF63" i="18"/>
  <c r="AF55" i="18" s="1"/>
  <c r="DQ91" i="3"/>
  <c r="DQ103" i="3"/>
  <c r="DQ10" i="3"/>
  <c r="AG44" i="18"/>
  <c r="AG43" i="18"/>
  <c r="AE57" i="18"/>
  <c r="AD173" i="18"/>
  <c r="AD175" i="18" s="1"/>
  <c r="AD19" i="16"/>
  <c r="EA116" i="2"/>
  <c r="EA131" i="2" s="1"/>
  <c r="EF97" i="2"/>
  <c r="AD158" i="18" l="1"/>
  <c r="AE166" i="18"/>
  <c r="AE171" i="18" s="1"/>
  <c r="AE16" i="16"/>
  <c r="AE19" i="16"/>
  <c r="AE173" i="18"/>
  <c r="AE175" i="18" s="1"/>
  <c r="CR84" i="3"/>
  <c r="AB3" i="16"/>
  <c r="AE162" i="18"/>
  <c r="AE163" i="18" s="1"/>
  <c r="AE164" i="18" s="1"/>
  <c r="AB90" i="16"/>
  <c r="AB92" i="16" s="1"/>
  <c r="AB93" i="16" s="1"/>
  <c r="CR106" i="3"/>
  <c r="DL95" i="3"/>
  <c r="DL107" i="3" s="1"/>
  <c r="DL112" i="3"/>
  <c r="AF160" i="18"/>
  <c r="AE85" i="18"/>
  <c r="DG97" i="3"/>
  <c r="DG108" i="3" s="1"/>
  <c r="AF67" i="19"/>
  <c r="DQ92" i="3"/>
  <c r="DQ29" i="3"/>
  <c r="AF20" i="18"/>
  <c r="AF24" i="18" s="1"/>
  <c r="AF31" i="18" s="1"/>
  <c r="AG78" i="18"/>
  <c r="AG63" i="18"/>
  <c r="AG55" i="18" s="1"/>
  <c r="AF172" i="18"/>
  <c r="AF18" i="16"/>
  <c r="AF57" i="18"/>
  <c r="AE24" i="18"/>
  <c r="DV103" i="3"/>
  <c r="DV91" i="3"/>
  <c r="DV10" i="3"/>
  <c r="AH44" i="18"/>
  <c r="AH43" i="18"/>
  <c r="EA112" i="2"/>
  <c r="EA9" i="3"/>
  <c r="EF116" i="2"/>
  <c r="EF131" i="2" s="1"/>
  <c r="EK97" i="2"/>
  <c r="AG139" i="18"/>
  <c r="AG67" i="18"/>
  <c r="AG138" i="18"/>
  <c r="AG60" i="18"/>
  <c r="AG65" i="18"/>
  <c r="AG18" i="18" s="1"/>
  <c r="AF64" i="18"/>
  <c r="AF6" i="18"/>
  <c r="AD176" i="18"/>
  <c r="AE177" i="18" s="1"/>
  <c r="CN134" i="3"/>
  <c r="AB38" i="16"/>
  <c r="AB79" i="18"/>
  <c r="EK116" i="2" l="1"/>
  <c r="EK131" i="2" s="1"/>
  <c r="EP97" i="2"/>
  <c r="AH78" i="18"/>
  <c r="AH63" i="18"/>
  <c r="AH55" i="18" s="1"/>
  <c r="DQ95" i="3"/>
  <c r="DQ107" i="3" s="1"/>
  <c r="DQ112" i="3"/>
  <c r="AG160" i="18"/>
  <c r="AE158" i="18"/>
  <c r="EF112" i="2"/>
  <c r="EF9" i="3"/>
  <c r="AH138" i="18"/>
  <c r="AH60" i="18"/>
  <c r="AH67" i="18"/>
  <c r="AH139" i="18"/>
  <c r="AH65" i="18"/>
  <c r="AH18" i="18" s="1"/>
  <c r="AH57" i="18" s="1"/>
  <c r="AE31" i="18"/>
  <c r="AE69" i="18"/>
  <c r="AF166" i="18"/>
  <c r="AF171" i="18" s="1"/>
  <c r="AF16" i="16"/>
  <c r="AB110" i="16"/>
  <c r="AB97" i="16"/>
  <c r="AB99" i="16" s="1"/>
  <c r="AB45" i="16"/>
  <c r="AG20" i="18"/>
  <c r="AG24" i="18" s="1"/>
  <c r="AG31" i="18" s="1"/>
  <c r="CN135" i="3"/>
  <c r="CO134" i="3"/>
  <c r="AG18" i="16"/>
  <c r="AG172" i="18"/>
  <c r="AG57" i="18"/>
  <c r="EA103" i="3"/>
  <c r="EA91" i="3"/>
  <c r="AI44" i="18"/>
  <c r="EA10" i="3"/>
  <c r="AI43" i="18"/>
  <c r="DV92" i="3"/>
  <c r="DV29" i="3"/>
  <c r="AF173" i="18"/>
  <c r="AF175" i="18" s="1"/>
  <c r="AF19" i="16"/>
  <c r="AF162" i="18"/>
  <c r="AF163" i="18" s="1"/>
  <c r="AF164" i="18" s="1"/>
  <c r="AB100" i="16"/>
  <c r="AB35" i="18"/>
  <c r="AB23" i="16"/>
  <c r="AG64" i="18"/>
  <c r="AG6" i="18"/>
  <c r="AF69" i="18"/>
  <c r="AG67" i="19"/>
  <c r="AF85" i="18"/>
  <c r="DL97" i="3"/>
  <c r="DL108" i="3" s="1"/>
  <c r="AE176" i="18"/>
  <c r="AF177" i="18" s="1"/>
  <c r="AF158" i="18" l="1"/>
  <c r="AB101" i="16"/>
  <c r="AB47" i="18"/>
  <c r="AB53" i="16"/>
  <c r="AB56" i="16" s="1"/>
  <c r="AG19" i="16"/>
  <c r="AG173" i="18"/>
  <c r="AG175" i="18" s="1"/>
  <c r="EF103" i="3"/>
  <c r="EF91" i="3"/>
  <c r="EF10" i="3"/>
  <c r="AJ44" i="18"/>
  <c r="AJ43" i="18"/>
  <c r="AG162" i="18"/>
  <c r="AG163" i="18" s="1"/>
  <c r="AG164" i="18" s="1"/>
  <c r="AB37" i="18"/>
  <c r="AI78" i="18"/>
  <c r="AI63" i="18"/>
  <c r="AI55" i="18" s="1"/>
  <c r="AG69" i="18"/>
  <c r="AH20" i="18"/>
  <c r="AH24" i="18" s="1"/>
  <c r="AH31" i="18" s="1"/>
  <c r="AH67" i="19"/>
  <c r="DQ97" i="3"/>
  <c r="DQ108" i="3" s="1"/>
  <c r="AG85" i="18"/>
  <c r="DV95" i="3"/>
  <c r="DV107" i="3" s="1"/>
  <c r="DV112" i="3"/>
  <c r="AH160" i="18"/>
  <c r="AG166" i="18"/>
  <c r="AG171" i="18" s="1"/>
  <c r="AG16" i="16"/>
  <c r="EA92" i="3"/>
  <c r="EA29" i="3"/>
  <c r="CP134" i="3"/>
  <c r="CO135" i="3"/>
  <c r="AB47" i="16"/>
  <c r="AF176" i="18"/>
  <c r="AG177" i="18" s="1"/>
  <c r="AH172" i="18"/>
  <c r="AH18" i="16"/>
  <c r="EP116" i="2"/>
  <c r="EP131" i="2" s="1"/>
  <c r="EU97" i="2"/>
  <c r="AI60" i="18"/>
  <c r="AI138" i="18"/>
  <c r="AI139" i="18"/>
  <c r="AI67" i="18"/>
  <c r="AI65" i="18"/>
  <c r="AI18" i="18" s="1"/>
  <c r="AH64" i="18"/>
  <c r="AH6" i="18"/>
  <c r="EK112" i="2"/>
  <c r="EK9" i="3"/>
  <c r="AH69" i="18" l="1"/>
  <c r="AG158" i="18"/>
  <c r="AB90" i="18"/>
  <c r="AB89" i="18"/>
  <c r="AB88" i="18"/>
  <c r="AI18" i="16"/>
  <c r="AI172" i="18"/>
  <c r="AI57" i="18"/>
  <c r="AB3" i="18"/>
  <c r="AB49" i="16"/>
  <c r="AC48" i="16" s="1"/>
  <c r="AH162" i="18"/>
  <c r="AH163" i="18" s="1"/>
  <c r="AH164" i="18" s="1"/>
  <c r="EF92" i="3"/>
  <c r="EF29" i="3"/>
  <c r="EK91" i="3"/>
  <c r="EK103" i="3"/>
  <c r="AK44" i="18"/>
  <c r="EK10" i="3"/>
  <c r="AK43" i="18"/>
  <c r="EA95" i="3"/>
  <c r="EA107" i="3" s="1"/>
  <c r="EA112" i="3"/>
  <c r="AI160" i="18"/>
  <c r="AJ138" i="18"/>
  <c r="AJ67" i="18"/>
  <c r="AJ60" i="18"/>
  <c r="AJ139" i="18"/>
  <c r="AJ65" i="18"/>
  <c r="AJ18" i="18" s="1"/>
  <c r="AJ57" i="18" s="1"/>
  <c r="AH166" i="18"/>
  <c r="AH171" i="18" s="1"/>
  <c r="AH16" i="16"/>
  <c r="EP112" i="2"/>
  <c r="EP9" i="3"/>
  <c r="AI64" i="18"/>
  <c r="AI6" i="18"/>
  <c r="AI20" i="18"/>
  <c r="AI24" i="18" s="1"/>
  <c r="AH85" i="18"/>
  <c r="AI67" i="19"/>
  <c r="DV97" i="3"/>
  <c r="DV108" i="3" s="1"/>
  <c r="EU116" i="2"/>
  <c r="EU131" i="2" s="1"/>
  <c r="EZ97" i="2"/>
  <c r="EZ116" i="2" s="1"/>
  <c r="EZ131" i="2" s="1"/>
  <c r="CP135" i="3"/>
  <c r="CQ134" i="3"/>
  <c r="CQ135" i="3" s="1"/>
  <c r="AG176" i="18"/>
  <c r="AH177" i="18" s="1"/>
  <c r="AH19" i="16"/>
  <c r="AH173" i="18"/>
  <c r="AH175" i="18" s="1"/>
  <c r="AJ78" i="18"/>
  <c r="AJ63" i="18"/>
  <c r="AJ55" i="18" s="1"/>
  <c r="AB60" i="16"/>
  <c r="G6" i="23"/>
  <c r="AB102" i="16"/>
  <c r="AB104" i="16" s="1"/>
  <c r="AB105" i="16" s="1"/>
  <c r="H6" i="23"/>
  <c r="AB111" i="16"/>
  <c r="AB87" i="18"/>
  <c r="AB38" i="18"/>
  <c r="AB76" i="18"/>
  <c r="AI31" i="18" l="1"/>
  <c r="AI69" i="18"/>
  <c r="H8" i="23"/>
  <c r="H11" i="23"/>
  <c r="AJ64" i="18"/>
  <c r="AJ6" i="18"/>
  <c r="AI166" i="18"/>
  <c r="AI171" i="18" s="1"/>
  <c r="AI16" i="16"/>
  <c r="AH158" i="18"/>
  <c r="EZ112" i="2"/>
  <c r="EZ9" i="3"/>
  <c r="AK78" i="18"/>
  <c r="AK63" i="18"/>
  <c r="EU112" i="2"/>
  <c r="EU9" i="3"/>
  <c r="EP91" i="3"/>
  <c r="EP103" i="3"/>
  <c r="EP10" i="3"/>
  <c r="AL43" i="18"/>
  <c r="AL44" i="18"/>
  <c r="AH176" i="18"/>
  <c r="AI177" i="18" s="1"/>
  <c r="AJ20" i="18"/>
  <c r="AJ24" i="18" s="1"/>
  <c r="AJ31" i="18" s="1"/>
  <c r="AI162" i="18"/>
  <c r="AI163" i="18" s="1"/>
  <c r="AI164" i="18" s="1"/>
  <c r="EK92" i="3"/>
  <c r="EK29" i="3"/>
  <c r="EF95" i="3"/>
  <c r="EF107" i="3" s="1"/>
  <c r="EF112" i="3"/>
  <c r="AJ160" i="18"/>
  <c r="G8" i="23"/>
  <c r="G11" i="23"/>
  <c r="AI173" i="18"/>
  <c r="AI175" i="18" s="1"/>
  <c r="AI19" i="16"/>
  <c r="AJ172" i="18"/>
  <c r="AJ18" i="16"/>
  <c r="AI85" i="18"/>
  <c r="AJ67" i="19"/>
  <c r="EA97" i="3"/>
  <c r="EA108" i="3" s="1"/>
  <c r="AK60" i="18"/>
  <c r="AK67" i="18"/>
  <c r="AK138" i="18"/>
  <c r="AK139" i="18"/>
  <c r="AK65" i="18"/>
  <c r="AK18" i="18" s="1"/>
  <c r="AB91" i="18"/>
  <c r="AB73" i="18"/>
  <c r="CW31" i="3"/>
  <c r="AB9" i="18"/>
  <c r="C14" i="23"/>
  <c r="AB50" i="16"/>
  <c r="AI158" i="18" l="1"/>
  <c r="AJ69" i="18"/>
  <c r="AJ162" i="18"/>
  <c r="AJ163" i="18" s="1"/>
  <c r="AJ164" i="18" s="1"/>
  <c r="EP92" i="3"/>
  <c r="EP29" i="3"/>
  <c r="AK20" i="18"/>
  <c r="AK67" i="19"/>
  <c r="AJ85" i="18"/>
  <c r="EF97" i="3"/>
  <c r="EF108" i="3" s="1"/>
  <c r="AK64" i="18"/>
  <c r="AK6" i="18"/>
  <c r="EZ91" i="3"/>
  <c r="EZ103" i="3"/>
  <c r="EZ10" i="3"/>
  <c r="AN44" i="18"/>
  <c r="AN43" i="18"/>
  <c r="AI176" i="18"/>
  <c r="AJ177" i="18" s="1"/>
  <c r="AB72" i="18"/>
  <c r="AB16" i="18"/>
  <c r="AK18" i="16"/>
  <c r="AK172" i="18"/>
  <c r="AK24" i="18"/>
  <c r="AK31" i="18" s="1"/>
  <c r="AK57" i="18"/>
  <c r="AL139" i="18"/>
  <c r="AL138" i="18"/>
  <c r="AL60" i="18"/>
  <c r="AL67" i="18"/>
  <c r="AL65" i="18"/>
  <c r="AL18" i="18" s="1"/>
  <c r="AJ166" i="18"/>
  <c r="AJ171" i="18" s="1"/>
  <c r="AJ16" i="16"/>
  <c r="AC86" i="18"/>
  <c r="CW33" i="3"/>
  <c r="EK95" i="3"/>
  <c r="EK107" i="3" s="1"/>
  <c r="EK112" i="3"/>
  <c r="AK160" i="18"/>
  <c r="AJ173" i="18"/>
  <c r="AJ175" i="18" s="1"/>
  <c r="AJ19" i="16"/>
  <c r="AL78" i="18"/>
  <c r="AL63" i="18"/>
  <c r="AL55" i="18" s="1"/>
  <c r="EU103" i="3"/>
  <c r="EU91" i="3"/>
  <c r="AM43" i="18"/>
  <c r="AM44" i="18"/>
  <c r="EU10" i="3"/>
  <c r="AK55" i="18"/>
  <c r="AJ158" i="18" l="1"/>
  <c r="AJ176" i="18"/>
  <c r="AK177" i="18" s="1"/>
  <c r="EZ92" i="3"/>
  <c r="EZ29" i="3"/>
  <c r="EP112" i="3"/>
  <c r="AL160" i="18"/>
  <c r="EP95" i="3"/>
  <c r="EP107" i="3" s="1"/>
  <c r="AM78" i="18"/>
  <c r="AM63" i="18"/>
  <c r="AM55" i="18" s="1"/>
  <c r="AK162" i="18"/>
  <c r="AK163" i="18" s="1"/>
  <c r="AK164" i="18" s="1"/>
  <c r="CW34" i="3"/>
  <c r="AC45" i="18" s="1"/>
  <c r="AL18" i="16"/>
  <c r="AL172" i="18"/>
  <c r="AL57" i="18"/>
  <c r="AK69" i="18"/>
  <c r="EU92" i="3"/>
  <c r="EU29" i="3"/>
  <c r="AK85" i="18"/>
  <c r="AL67" i="19"/>
  <c r="EK97" i="3"/>
  <c r="EK108" i="3" s="1"/>
  <c r="AL20" i="18"/>
  <c r="AN78" i="18"/>
  <c r="AN63" i="18"/>
  <c r="AK19" i="16"/>
  <c r="AK173" i="18"/>
  <c r="AK175" i="18" s="1"/>
  <c r="AM138" i="18"/>
  <c r="AM60" i="18"/>
  <c r="AM139" i="18"/>
  <c r="AM67" i="18"/>
  <c r="AM65" i="18"/>
  <c r="AM18" i="18" s="1"/>
  <c r="AL64" i="18"/>
  <c r="AL6" i="18"/>
  <c r="AB81" i="18"/>
  <c r="AB82" i="18"/>
  <c r="AB39" i="18"/>
  <c r="AB77" i="18"/>
  <c r="AN60" i="18"/>
  <c r="AN138" i="18"/>
  <c r="AN139" i="18"/>
  <c r="AN67" i="18"/>
  <c r="AN65" i="18"/>
  <c r="AN18" i="18" s="1"/>
  <c r="AK166" i="18"/>
  <c r="AK171" i="18" s="1"/>
  <c r="AK16" i="16"/>
  <c r="AK158" i="18" l="1"/>
  <c r="CW37" i="3"/>
  <c r="CW47" i="3" s="1"/>
  <c r="CW48" i="3" s="1"/>
  <c r="AL173" i="18"/>
  <c r="AL175" i="18" s="1"/>
  <c r="AL19" i="16"/>
  <c r="EZ112" i="3"/>
  <c r="AN160" i="18"/>
  <c r="EZ95" i="3"/>
  <c r="AN172" i="18"/>
  <c r="AN18" i="16"/>
  <c r="AN20" i="18"/>
  <c r="AN24" i="18" s="1"/>
  <c r="AN31" i="18" s="1"/>
  <c r="AM18" i="16"/>
  <c r="AM172" i="18"/>
  <c r="AN64" i="18"/>
  <c r="AN6" i="18"/>
  <c r="EU95" i="3"/>
  <c r="EU107" i="3" s="1"/>
  <c r="EU112" i="3"/>
  <c r="AM160" i="18"/>
  <c r="AM64" i="18"/>
  <c r="AM6" i="18"/>
  <c r="AN57" i="18"/>
  <c r="AM20" i="18"/>
  <c r="AM57" i="18"/>
  <c r="AL24" i="18"/>
  <c r="AL162" i="18"/>
  <c r="AL163" i="18" s="1"/>
  <c r="AL164" i="18" s="1"/>
  <c r="AK176" i="18"/>
  <c r="AL177" i="18" s="1"/>
  <c r="AL166" i="18"/>
  <c r="AL171" i="18" s="1"/>
  <c r="AL16" i="16"/>
  <c r="AN55" i="18"/>
  <c r="AM67" i="19"/>
  <c r="AL85" i="18"/>
  <c r="EP97" i="3"/>
  <c r="EP108" i="3" s="1"/>
  <c r="AL158" i="18" l="1"/>
  <c r="CW134" i="3"/>
  <c r="AC38" i="16" s="1"/>
  <c r="AC97" i="16" s="1"/>
  <c r="AC99" i="16" s="1"/>
  <c r="AC46" i="18"/>
  <c r="AC79" i="18" s="1"/>
  <c r="CW39" i="3"/>
  <c r="CW106" i="3" s="1"/>
  <c r="CW52" i="3"/>
  <c r="CW82" i="3" s="1"/>
  <c r="AC3" i="16" s="1"/>
  <c r="CW98" i="3"/>
  <c r="AM19" i="16"/>
  <c r="AM173" i="18"/>
  <c r="AM166" i="18"/>
  <c r="AM171" i="18" s="1"/>
  <c r="AM16" i="16"/>
  <c r="AN166" i="18"/>
  <c r="AN171" i="18" s="1"/>
  <c r="AN16" i="16"/>
  <c r="AN162" i="18"/>
  <c r="AN163" i="18" s="1"/>
  <c r="AN164" i="18" s="1"/>
  <c r="AM162" i="18"/>
  <c r="AM163" i="18" s="1"/>
  <c r="AM164" i="18" s="1"/>
  <c r="AN173" i="18"/>
  <c r="AN175" i="18" s="1"/>
  <c r="AN19" i="16"/>
  <c r="AN85" i="18"/>
  <c r="AO67" i="19"/>
  <c r="EZ97" i="3"/>
  <c r="AL176" i="18"/>
  <c r="AM177" i="18" s="1"/>
  <c r="AL31" i="18"/>
  <c r="AL69" i="18"/>
  <c r="AN67" i="19"/>
  <c r="AM85" i="18"/>
  <c r="EU97" i="3"/>
  <c r="EU108" i="3" s="1"/>
  <c r="AM24" i="18"/>
  <c r="AN69" i="18"/>
  <c r="AM175" i="18"/>
  <c r="EZ107" i="3"/>
  <c r="AC45" i="16" l="1"/>
  <c r="AC90" i="16"/>
  <c r="AC92" i="16" s="1"/>
  <c r="AC93" i="16" s="1"/>
  <c r="CW84" i="3"/>
  <c r="AM158" i="18"/>
  <c r="AC110" i="16"/>
  <c r="AN176" i="18"/>
  <c r="EZ108" i="3"/>
  <c r="AM176" i="18"/>
  <c r="AN177" i="18" s="1"/>
  <c r="AN158" i="18" s="1"/>
  <c r="AM31" i="18"/>
  <c r="AM69" i="18"/>
  <c r="AC100" i="16"/>
  <c r="AC101" i="16" s="1"/>
  <c r="AC23" i="16"/>
  <c r="AC35" i="18"/>
  <c r="AC47" i="16" l="1"/>
  <c r="AC3" i="18" s="1"/>
  <c r="AC37" i="18"/>
  <c r="AC47" i="18"/>
  <c r="AC53" i="16"/>
  <c r="AC56" i="16" s="1"/>
  <c r="AC49" i="16" l="1"/>
  <c r="AD48" i="16" s="1"/>
  <c r="AC87" i="18"/>
  <c r="AC111" i="16"/>
  <c r="AC38" i="18"/>
  <c r="AC76" i="18"/>
  <c r="AC102" i="16"/>
  <c r="AC104" i="16" s="1"/>
  <c r="AC105" i="16" s="1"/>
  <c r="AC60" i="16"/>
  <c r="I6" i="23"/>
  <c r="AC88" i="18"/>
  <c r="AC90" i="18"/>
  <c r="AC89" i="18"/>
  <c r="AC50" i="16"/>
  <c r="DB31" i="3"/>
  <c r="AC91" i="18"/>
  <c r="AC9" i="18"/>
  <c r="AC73" i="18"/>
  <c r="AC72" i="18" l="1"/>
  <c r="AC16" i="18"/>
  <c r="I8" i="23"/>
  <c r="I11" i="23"/>
  <c r="AD86" i="18"/>
  <c r="DB33" i="3"/>
  <c r="DB34" i="3" l="1"/>
  <c r="AD45" i="18" s="1"/>
  <c r="AC81" i="18"/>
  <c r="AC39" i="18"/>
  <c r="AC82" i="18"/>
  <c r="AC77" i="18"/>
  <c r="DB37" i="3" l="1"/>
  <c r="AD46" i="18" s="1"/>
  <c r="DB134" i="3" l="1"/>
  <c r="AD38" i="16" s="1"/>
  <c r="AD45" i="16" s="1"/>
  <c r="DB39" i="3"/>
  <c r="DB106" i="3" s="1"/>
  <c r="DB52" i="3"/>
  <c r="DB82" i="3" s="1"/>
  <c r="AD3" i="16" s="1"/>
  <c r="DB47" i="3"/>
  <c r="DB48" i="3" s="1"/>
  <c r="DB98" i="3"/>
  <c r="AD79" i="18"/>
  <c r="AD90" i="16" l="1"/>
  <c r="AD92" i="16" s="1"/>
  <c r="AD93" i="16" s="1"/>
  <c r="AD110" i="16"/>
  <c r="AD97" i="16"/>
  <c r="AD99" i="16" s="1"/>
  <c r="DB84" i="3"/>
  <c r="AD100" i="16"/>
  <c r="AD23" i="16"/>
  <c r="AD47" i="16" s="1"/>
  <c r="AD35" i="18"/>
  <c r="AD101" i="16" l="1"/>
  <c r="AD37" i="18"/>
  <c r="AD3" i="18"/>
  <c r="AD49" i="16"/>
  <c r="AE48" i="16" s="1"/>
  <c r="AD47" i="18"/>
  <c r="AD53" i="16"/>
  <c r="AD56" i="16" s="1"/>
  <c r="AD88" i="18" l="1"/>
  <c r="AD89" i="18"/>
  <c r="AD90" i="18"/>
  <c r="AD91" i="18"/>
  <c r="AD73" i="18"/>
  <c r="AD50" i="16"/>
  <c r="AD9" i="18"/>
  <c r="DG31" i="3"/>
  <c r="J6" i="23"/>
  <c r="AD60" i="16"/>
  <c r="AD102" i="16"/>
  <c r="AD104" i="16" s="1"/>
  <c r="AD105" i="16" s="1"/>
  <c r="AD87" i="18"/>
  <c r="AD111" i="16"/>
  <c r="AD38" i="18"/>
  <c r="AD76" i="18"/>
  <c r="AE86" i="18" l="1"/>
  <c r="DG33" i="3"/>
  <c r="AD72" i="18"/>
  <c r="AD16" i="18"/>
  <c r="J8" i="23"/>
  <c r="J11" i="23"/>
  <c r="AD82" i="18" l="1"/>
  <c r="AD81" i="18"/>
  <c r="AD39" i="18"/>
  <c r="AD77" i="18"/>
  <c r="DG34" i="3"/>
  <c r="AE45" i="18" s="1"/>
  <c r="DG37" i="3" l="1"/>
  <c r="AE46" i="18" s="1"/>
  <c r="DG39" i="3" l="1"/>
  <c r="DG106" i="3" s="1"/>
  <c r="DG47" i="3"/>
  <c r="DG48" i="3" s="1"/>
  <c r="DG52" i="3"/>
  <c r="DG82" i="3" s="1"/>
  <c r="DG84" i="3" s="1"/>
  <c r="DG134" i="3"/>
  <c r="AE38" i="16" s="1"/>
  <c r="AE45" i="16" s="1"/>
  <c r="DG98" i="3"/>
  <c r="AE79" i="18"/>
  <c r="AE110" i="16" l="1"/>
  <c r="AE90" i="16"/>
  <c r="AE92" i="16" s="1"/>
  <c r="AE93" i="16" s="1"/>
  <c r="AE3" i="16"/>
  <c r="AE100" i="16" s="1"/>
  <c r="AE97" i="16"/>
  <c r="AE99" i="16" s="1"/>
  <c r="AE35" i="18" l="1"/>
  <c r="AE37" i="18" s="1"/>
  <c r="AE23" i="16"/>
  <c r="AE47" i="16" s="1"/>
  <c r="AE49" i="16" s="1"/>
  <c r="AF48" i="16" s="1"/>
  <c r="AE101" i="16"/>
  <c r="AE47" i="18" l="1"/>
  <c r="AE89" i="18" s="1"/>
  <c r="AE3" i="18"/>
  <c r="DL31" i="3" s="1"/>
  <c r="AE53" i="16"/>
  <c r="AE56" i="16" s="1"/>
  <c r="K6" i="23" s="1"/>
  <c r="AE111" i="16"/>
  <c r="AE87" i="18"/>
  <c r="AE38" i="18"/>
  <c r="AE76" i="18"/>
  <c r="AE50" i="16"/>
  <c r="AE88" i="18" l="1"/>
  <c r="AE9" i="18"/>
  <c r="AE72" i="18" s="1"/>
  <c r="AE91" i="18"/>
  <c r="AE73" i="18"/>
  <c r="AE90" i="18"/>
  <c r="AE60" i="16"/>
  <c r="AE102" i="16"/>
  <c r="AE104" i="16" s="1"/>
  <c r="AE105" i="16" s="1"/>
  <c r="AF86" i="18"/>
  <c r="DL33" i="3"/>
  <c r="K11" i="23"/>
  <c r="K8" i="23"/>
  <c r="AE16" i="18" l="1"/>
  <c r="AE81" i="18" s="1"/>
  <c r="DL34" i="3"/>
  <c r="AF45" i="18" s="1"/>
  <c r="AE77" i="18" l="1"/>
  <c r="AE82" i="18"/>
  <c r="AE39" i="18"/>
  <c r="DL37" i="3"/>
  <c r="DL98" i="3" s="1"/>
  <c r="DL39" i="3" l="1"/>
  <c r="AF90" i="16" s="1"/>
  <c r="AF92" i="16" s="1"/>
  <c r="AF93" i="16" s="1"/>
  <c r="DL47" i="3"/>
  <c r="DL48" i="3" s="1"/>
  <c r="AF46" i="18"/>
  <c r="AF79" i="18" s="1"/>
  <c r="DL52" i="3"/>
  <c r="DL82" i="3" s="1"/>
  <c r="AF3" i="16" s="1"/>
  <c r="DL134" i="3"/>
  <c r="AF38" i="16" s="1"/>
  <c r="AF97" i="16" s="1"/>
  <c r="AF99" i="16" s="1"/>
  <c r="DL106" i="3" l="1"/>
  <c r="DL84" i="3"/>
  <c r="AF45" i="16"/>
  <c r="AF110" i="16"/>
  <c r="AF100" i="16"/>
  <c r="AF101" i="16" s="1"/>
  <c r="AF23" i="16"/>
  <c r="AF35" i="18"/>
  <c r="AF47" i="16" l="1"/>
  <c r="AF49" i="16" s="1"/>
  <c r="AG48" i="16" s="1"/>
  <c r="AF37" i="18"/>
  <c r="AF47" i="18"/>
  <c r="AF53" i="16"/>
  <c r="AF56" i="16" s="1"/>
  <c r="AF3" i="18" l="1"/>
  <c r="DQ31" i="3" s="1"/>
  <c r="AF111" i="16"/>
  <c r="AF87" i="18"/>
  <c r="AF38" i="18"/>
  <c r="AF76" i="18"/>
  <c r="AF60" i="16"/>
  <c r="AF102" i="16"/>
  <c r="AF104" i="16" s="1"/>
  <c r="AF105" i="16" s="1"/>
  <c r="L6" i="23"/>
  <c r="AF89" i="18"/>
  <c r="AF88" i="18"/>
  <c r="AF90" i="18"/>
  <c r="AF73" i="18" l="1"/>
  <c r="AF50" i="16"/>
  <c r="AF9" i="18"/>
  <c r="AF72" i="18" s="1"/>
  <c r="AF91" i="18"/>
  <c r="L11" i="23"/>
  <c r="L8" i="23"/>
  <c r="AG86" i="18"/>
  <c r="DQ33" i="3"/>
  <c r="AF16" i="18" l="1"/>
  <c r="AF82" i="18" s="1"/>
  <c r="DQ34" i="3"/>
  <c r="AG45" i="18" s="1"/>
  <c r="AF77" i="18" l="1"/>
  <c r="AF81" i="18"/>
  <c r="AF39" i="18"/>
  <c r="DQ37" i="3"/>
  <c r="DQ98" i="3" s="1"/>
  <c r="DQ39" i="3" l="1"/>
  <c r="AG90" i="16" s="1"/>
  <c r="AG92" i="16" s="1"/>
  <c r="AG93" i="16" s="1"/>
  <c r="AG46" i="18"/>
  <c r="AG79" i="18" s="1"/>
  <c r="DQ134" i="3"/>
  <c r="AG38" i="16" s="1"/>
  <c r="AG97" i="16" s="1"/>
  <c r="AG99" i="16" s="1"/>
  <c r="DQ52" i="3"/>
  <c r="DQ82" i="3" s="1"/>
  <c r="DQ84" i="3" s="1"/>
  <c r="DQ47" i="3"/>
  <c r="DQ48" i="3" s="1"/>
  <c r="DQ106" i="3" l="1"/>
  <c r="AG3" i="16"/>
  <c r="AG100" i="16" s="1"/>
  <c r="AG101" i="16" s="1"/>
  <c r="AG110" i="16"/>
  <c r="AG45" i="16"/>
  <c r="AG35" i="18" l="1"/>
  <c r="AG37" i="18" s="1"/>
  <c r="AG23" i="16"/>
  <c r="AG47" i="18" s="1"/>
  <c r="AG47" i="16" l="1"/>
  <c r="AG3" i="18" s="1"/>
  <c r="AG53" i="16"/>
  <c r="AG56" i="16" s="1"/>
  <c r="M6" i="23" s="1"/>
  <c r="AG87" i="18"/>
  <c r="AG111" i="16"/>
  <c r="AG38" i="18"/>
  <c r="AG76" i="18"/>
  <c r="AG90" i="18"/>
  <c r="AG88" i="18"/>
  <c r="AG89" i="18"/>
  <c r="AG60" i="16" l="1"/>
  <c r="AG102" i="16"/>
  <c r="AG104" i="16" s="1"/>
  <c r="AG105" i="16" s="1"/>
  <c r="AG49" i="16"/>
  <c r="AH48" i="16" s="1"/>
  <c r="AG50" i="16"/>
  <c r="AG91" i="18"/>
  <c r="AG73" i="18"/>
  <c r="DV31" i="3"/>
  <c r="AG9" i="18"/>
  <c r="M8" i="23"/>
  <c r="M11" i="23"/>
  <c r="AH86" i="18" l="1"/>
  <c r="DV33" i="3"/>
  <c r="AG72" i="18"/>
  <c r="AG16" i="18"/>
  <c r="DV34" i="3" l="1"/>
  <c r="AH45" i="18" s="1"/>
  <c r="AG81" i="18"/>
  <c r="AG82" i="18"/>
  <c r="AG39" i="18"/>
  <c r="AG77" i="18"/>
  <c r="DV37" i="3" l="1"/>
  <c r="DV47" i="3" l="1"/>
  <c r="DV48" i="3" s="1"/>
  <c r="DV98" i="3"/>
  <c r="AH46" i="18"/>
  <c r="DV39" i="3"/>
  <c r="DV134" i="3"/>
  <c r="AH38" i="16" s="1"/>
  <c r="DV52" i="3"/>
  <c r="DV82" i="3" s="1"/>
  <c r="DV106" i="3" l="1"/>
  <c r="AH90" i="16"/>
  <c r="AH92" i="16" s="1"/>
  <c r="AH93" i="16" s="1"/>
  <c r="AH79" i="18"/>
  <c r="AH97" i="16"/>
  <c r="AH99" i="16" s="1"/>
  <c r="AH110" i="16"/>
  <c r="AH45" i="16"/>
  <c r="AH3" i="16"/>
  <c r="DV84" i="3"/>
  <c r="AH100" i="16" l="1"/>
  <c r="AH101" i="16" s="1"/>
  <c r="AH23" i="16"/>
  <c r="AH47" i="16" s="1"/>
  <c r="AH35" i="18"/>
  <c r="AH3" i="18" l="1"/>
  <c r="AH49" i="16"/>
  <c r="AI48" i="16" s="1"/>
  <c r="AH37" i="18"/>
  <c r="AH47" i="18"/>
  <c r="AH53" i="16"/>
  <c r="AH56" i="16" s="1"/>
  <c r="AH111" i="16" l="1"/>
  <c r="AH87" i="18"/>
  <c r="AH38" i="18"/>
  <c r="AH76" i="18"/>
  <c r="AH73" i="18"/>
  <c r="EA31" i="3"/>
  <c r="AH91" i="18"/>
  <c r="AH50" i="16"/>
  <c r="AH9" i="18"/>
  <c r="N6" i="23"/>
  <c r="AH102" i="16"/>
  <c r="AH104" i="16" s="1"/>
  <c r="AH105" i="16" s="1"/>
  <c r="AH60" i="16"/>
  <c r="AH89" i="18"/>
  <c r="AH90" i="18"/>
  <c r="AH88" i="18"/>
  <c r="N8" i="23" l="1"/>
  <c r="N11" i="23"/>
  <c r="AI86" i="18"/>
  <c r="EA33" i="3"/>
  <c r="AH72" i="18"/>
  <c r="AH16" i="18"/>
  <c r="EA34" i="3" l="1"/>
  <c r="AI45" i="18" s="1"/>
  <c r="AH39" i="18"/>
  <c r="AH81" i="18"/>
  <c r="AH82" i="18"/>
  <c r="AH77" i="18"/>
  <c r="EA37" i="3" l="1"/>
  <c r="EA47" i="3" l="1"/>
  <c r="EA48" i="3" s="1"/>
  <c r="EA98" i="3"/>
  <c r="EA52" i="3"/>
  <c r="EA82" i="3" s="1"/>
  <c r="AI46" i="18"/>
  <c r="EA39" i="3"/>
  <c r="EA134" i="3"/>
  <c r="AI38" i="16" s="1"/>
  <c r="AI3" i="16" l="1"/>
  <c r="EA84" i="3"/>
  <c r="AI90" i="16"/>
  <c r="AI92" i="16" s="1"/>
  <c r="AI93" i="16" s="1"/>
  <c r="EA106" i="3"/>
  <c r="AI79" i="18"/>
  <c r="AI45" i="16"/>
  <c r="AI97" i="16"/>
  <c r="AI99" i="16" s="1"/>
  <c r="AI110" i="16"/>
  <c r="AI100" i="16" l="1"/>
  <c r="AI101" i="16" s="1"/>
  <c r="AI23" i="16"/>
  <c r="AI47" i="16" s="1"/>
  <c r="AI35" i="18"/>
  <c r="AI3" i="18" l="1"/>
  <c r="AI49" i="16"/>
  <c r="AJ48" i="16" s="1"/>
  <c r="AI37" i="18"/>
  <c r="AI47" i="18"/>
  <c r="AI53" i="16"/>
  <c r="AI56" i="16" s="1"/>
  <c r="AI88" i="18" l="1"/>
  <c r="AI90" i="18"/>
  <c r="AI89" i="18"/>
  <c r="AI111" i="16"/>
  <c r="AI87" i="18"/>
  <c r="AI38" i="18"/>
  <c r="AI76" i="18"/>
  <c r="O6" i="23"/>
  <c r="AI60" i="16"/>
  <c r="AI102" i="16"/>
  <c r="AI104" i="16" s="1"/>
  <c r="AI105" i="16" s="1"/>
  <c r="AI73" i="18"/>
  <c r="AI9" i="18"/>
  <c r="EF31" i="3"/>
  <c r="AI50" i="16"/>
  <c r="AI91" i="18"/>
  <c r="AI16" i="18" l="1"/>
  <c r="AI72" i="18"/>
  <c r="O8" i="23"/>
  <c r="O11" i="23"/>
  <c r="AJ86" i="18"/>
  <c r="EF33" i="3"/>
  <c r="EF34" i="3" l="1"/>
  <c r="AJ45" i="18" s="1"/>
  <c r="AI39" i="18"/>
  <c r="AI82" i="18"/>
  <c r="AI81" i="18"/>
  <c r="AI77" i="18"/>
  <c r="EF37" i="3" l="1"/>
  <c r="AJ46" i="18" l="1"/>
  <c r="EF47" i="3"/>
  <c r="EF48" i="3" s="1"/>
  <c r="EF98" i="3"/>
  <c r="EF52" i="3"/>
  <c r="EF82" i="3" s="1"/>
  <c r="EF39" i="3"/>
  <c r="EF134" i="3"/>
  <c r="AJ38" i="16" s="1"/>
  <c r="EF84" i="3" l="1"/>
  <c r="AJ3" i="16"/>
  <c r="AJ79" i="18"/>
  <c r="AJ90" i="16"/>
  <c r="AJ92" i="16" s="1"/>
  <c r="AJ93" i="16" s="1"/>
  <c r="EF106" i="3"/>
  <c r="AJ110" i="16"/>
  <c r="AJ97" i="16"/>
  <c r="AJ99" i="16" s="1"/>
  <c r="AJ45" i="16"/>
  <c r="AJ100" i="16" l="1"/>
  <c r="AJ101" i="16" s="1"/>
  <c r="AJ23" i="16"/>
  <c r="AJ35" i="18"/>
  <c r="AJ37" i="18" l="1"/>
  <c r="AJ53" i="16"/>
  <c r="AJ56" i="16" s="1"/>
  <c r="AJ47" i="18"/>
  <c r="AJ47" i="16"/>
  <c r="AJ88" i="18" l="1"/>
  <c r="AJ90" i="18"/>
  <c r="AJ89" i="18"/>
  <c r="AJ87" i="18"/>
  <c r="AJ111" i="16"/>
  <c r="AJ38" i="18"/>
  <c r="AJ76" i="18"/>
  <c r="AJ49" i="16"/>
  <c r="AK48" i="16" s="1"/>
  <c r="AJ3" i="18"/>
  <c r="AJ60" i="16"/>
  <c r="AJ102" i="16"/>
  <c r="AJ104" i="16" s="1"/>
  <c r="AJ105" i="16" s="1"/>
  <c r="P6" i="23"/>
  <c r="AJ73" i="18" l="1"/>
  <c r="AJ91" i="18"/>
  <c r="AJ50" i="16"/>
  <c r="EK31" i="3"/>
  <c r="AJ9" i="18"/>
  <c r="P8" i="23"/>
  <c r="P11" i="23"/>
  <c r="AK86" i="18" l="1"/>
  <c r="EK33" i="3"/>
  <c r="AJ16" i="18"/>
  <c r="AJ72" i="18"/>
  <c r="AJ82" i="18" l="1"/>
  <c r="AJ81" i="18"/>
  <c r="AJ39" i="18"/>
  <c r="AJ77" i="18"/>
  <c r="EK34" i="3"/>
  <c r="AK45" i="18" s="1"/>
  <c r="EK37" i="3" l="1"/>
  <c r="EK39" i="3" l="1"/>
  <c r="EK134" i="3"/>
  <c r="AK38" i="16" s="1"/>
  <c r="EK47" i="3"/>
  <c r="EK48" i="3" s="1"/>
  <c r="AK46" i="18"/>
  <c r="EK52" i="3"/>
  <c r="EK82" i="3" s="1"/>
  <c r="EK98" i="3"/>
  <c r="AK79" i="18" l="1"/>
  <c r="AK110" i="16"/>
  <c r="AK45" i="16"/>
  <c r="AK97" i="16"/>
  <c r="AK99" i="16" s="1"/>
  <c r="EK84" i="3"/>
  <c r="AK3" i="16"/>
  <c r="EK106" i="3"/>
  <c r="AK90" i="16"/>
  <c r="AK92" i="16" s="1"/>
  <c r="AK93" i="16" s="1"/>
  <c r="AK100" i="16" l="1"/>
  <c r="AK101" i="16" s="1"/>
  <c r="AK23" i="16"/>
  <c r="AK47" i="16" s="1"/>
  <c r="AK35" i="18"/>
  <c r="AK37" i="18" l="1"/>
  <c r="AK3" i="18"/>
  <c r="AK49" i="16"/>
  <c r="AL48" i="16" s="1"/>
  <c r="AK47" i="18"/>
  <c r="AK53" i="16"/>
  <c r="AK56" i="16" s="1"/>
  <c r="AK89" i="18" l="1"/>
  <c r="AK90" i="18"/>
  <c r="AK88" i="18"/>
  <c r="AK91" i="18"/>
  <c r="AK73" i="18"/>
  <c r="EP31" i="3"/>
  <c r="AK50" i="16"/>
  <c r="AK9" i="18"/>
  <c r="AK60" i="16"/>
  <c r="AK102" i="16"/>
  <c r="AK104" i="16" s="1"/>
  <c r="AK105" i="16" s="1"/>
  <c r="Q6" i="23"/>
  <c r="AK87" i="18"/>
  <c r="AK111" i="16"/>
  <c r="AK38" i="18"/>
  <c r="AK76" i="18"/>
  <c r="Q8" i="23" l="1"/>
  <c r="Q11" i="23"/>
  <c r="AL86" i="18"/>
  <c r="EP33" i="3"/>
  <c r="AK16" i="18"/>
  <c r="AK72" i="18"/>
  <c r="EP34" i="3" l="1"/>
  <c r="AL45" i="18" s="1"/>
  <c r="AK81" i="18"/>
  <c r="AK82" i="18"/>
  <c r="AK39" i="18"/>
  <c r="AK77" i="18"/>
  <c r="EP37" i="3" l="1"/>
  <c r="EP52" i="3" s="1"/>
  <c r="EP82" i="3" s="1"/>
  <c r="EP39" i="3" l="1"/>
  <c r="AL90" i="16" s="1"/>
  <c r="AL92" i="16" s="1"/>
  <c r="AL93" i="16" s="1"/>
  <c r="EP98" i="3"/>
  <c r="EP134" i="3"/>
  <c r="AL38" i="16" s="1"/>
  <c r="AL110" i="16" s="1"/>
  <c r="EP47" i="3"/>
  <c r="EP48" i="3" s="1"/>
  <c r="AL46" i="18"/>
  <c r="AL79" i="18" s="1"/>
  <c r="EP84" i="3"/>
  <c r="AL3" i="16"/>
  <c r="EP106" i="3" l="1"/>
  <c r="AL45" i="16"/>
  <c r="AL97" i="16"/>
  <c r="AL99" i="16" s="1"/>
  <c r="AL100" i="16"/>
  <c r="AL23" i="16"/>
  <c r="AL35" i="18"/>
  <c r="AL47" i="16" l="1"/>
  <c r="AL3" i="18" s="1"/>
  <c r="AL101" i="16"/>
  <c r="AL37" i="18"/>
  <c r="AL47" i="18"/>
  <c r="AL53" i="16"/>
  <c r="AL56" i="16" s="1"/>
  <c r="AL49" i="16" l="1"/>
  <c r="AM48" i="16" s="1"/>
  <c r="AL50" i="16"/>
  <c r="AL73" i="18"/>
  <c r="AL9" i="18"/>
  <c r="EU31" i="3"/>
  <c r="AL91" i="18"/>
  <c r="AL87" i="18"/>
  <c r="AL111" i="16"/>
  <c r="AL38" i="18"/>
  <c r="AL76" i="18"/>
  <c r="AL90" i="18"/>
  <c r="AL88" i="18"/>
  <c r="AL89" i="18"/>
  <c r="R6" i="23"/>
  <c r="AL102" i="16"/>
  <c r="AL104" i="16" s="1"/>
  <c r="AL105" i="16" s="1"/>
  <c r="AL60" i="16"/>
  <c r="AM86" i="18" l="1"/>
  <c r="EU33" i="3"/>
  <c r="AL72" i="18"/>
  <c r="AL16" i="18"/>
  <c r="R11" i="23"/>
  <c r="R8" i="23"/>
  <c r="AL39" i="18" l="1"/>
  <c r="AL81" i="18"/>
  <c r="AL82" i="18"/>
  <c r="AL77" i="18"/>
  <c r="EU34" i="3"/>
  <c r="AM45" i="18" s="1"/>
  <c r="EU37" i="3" l="1"/>
  <c r="EU47" i="3" s="1"/>
  <c r="EU48" i="3" s="1"/>
  <c r="EU98" i="3" l="1"/>
  <c r="EU134" i="3"/>
  <c r="AM38" i="16" s="1"/>
  <c r="AM97" i="16" s="1"/>
  <c r="AM99" i="16" s="1"/>
  <c r="EU52" i="3"/>
  <c r="EU82" i="3" s="1"/>
  <c r="AM3" i="16" s="1"/>
  <c r="EU39" i="3"/>
  <c r="EU106" i="3" s="1"/>
  <c r="AM46" i="18"/>
  <c r="AM79" i="18" s="1"/>
  <c r="AM110" i="16" l="1"/>
  <c r="AM45" i="16"/>
  <c r="EU84" i="3"/>
  <c r="AM90" i="16"/>
  <c r="AM92" i="16" s="1"/>
  <c r="AM93" i="16" s="1"/>
  <c r="AM100" i="16"/>
  <c r="AM101" i="16" s="1"/>
  <c r="AM23" i="16"/>
  <c r="AM35" i="18"/>
  <c r="AM47" i="16" l="1"/>
  <c r="AM3" i="18" s="1"/>
  <c r="AM37" i="18"/>
  <c r="AM53" i="16"/>
  <c r="AM56" i="16" s="1"/>
  <c r="AM47" i="18"/>
  <c r="AM49" i="16" l="1"/>
  <c r="AN48" i="16" s="1"/>
  <c r="AM90" i="18"/>
  <c r="AM89" i="18"/>
  <c r="AM88" i="18"/>
  <c r="AM60" i="16"/>
  <c r="AM102" i="16"/>
  <c r="AM104" i="16" s="1"/>
  <c r="AM105" i="16" s="1"/>
  <c r="S6" i="23"/>
  <c r="AM91" i="18"/>
  <c r="AM9" i="18"/>
  <c r="AM50" i="16"/>
  <c r="EZ31" i="3"/>
  <c r="AM73" i="18"/>
  <c r="AM87" i="18"/>
  <c r="AM111" i="16"/>
  <c r="AM38" i="18"/>
  <c r="AM76" i="18"/>
  <c r="AM72" i="18" l="1"/>
  <c r="AM16" i="18"/>
  <c r="AN86" i="18"/>
  <c r="EZ33" i="3"/>
  <c r="T6" i="23"/>
  <c r="T11" i="23" s="1"/>
  <c r="S11" i="23"/>
  <c r="S8" i="23"/>
  <c r="C19" i="23" s="1"/>
  <c r="C13" i="23" l="1"/>
  <c r="C15" i="23" s="1"/>
  <c r="C16" i="23" s="1"/>
  <c r="EZ34" i="3"/>
  <c r="AN45" i="18" s="1"/>
  <c r="AM81" i="18"/>
  <c r="AM82" i="18"/>
  <c r="AM39" i="18"/>
  <c r="AM77" i="18"/>
  <c r="EZ37" i="3" l="1"/>
  <c r="EZ47" i="3" l="1"/>
  <c r="EZ48" i="3" s="1"/>
  <c r="EZ98" i="3"/>
  <c r="AN46" i="18"/>
  <c r="EZ39" i="3"/>
  <c r="EZ52" i="3"/>
  <c r="EZ82" i="3" s="1"/>
  <c r="EZ134" i="3"/>
  <c r="AN38" i="16" s="1"/>
  <c r="AN90" i="16" l="1"/>
  <c r="AN92" i="16" s="1"/>
  <c r="AN93" i="16" s="1"/>
  <c r="EZ106" i="3"/>
  <c r="AN3" i="16"/>
  <c r="EZ84" i="3"/>
  <c r="AN79" i="18"/>
  <c r="AN110" i="16"/>
  <c r="AN97" i="16"/>
  <c r="AN99" i="16" s="1"/>
  <c r="AN45" i="16"/>
  <c r="AN100" i="16" l="1"/>
  <c r="AN101" i="16" s="1"/>
  <c r="AN23" i="16"/>
  <c r="AN47" i="16" s="1"/>
  <c r="AN35" i="18"/>
  <c r="AN37" i="18" s="1"/>
  <c r="AN49" i="16" l="1"/>
  <c r="AN3" i="18"/>
  <c r="AN87" i="18"/>
  <c r="AN111" i="16"/>
  <c r="AN38" i="18"/>
  <c r="AN76" i="18"/>
  <c r="AN53" i="16"/>
  <c r="AN56" i="16" s="1"/>
  <c r="AN47" i="18"/>
  <c r="AN60" i="16" l="1"/>
  <c r="AN102" i="16"/>
  <c r="AN104" i="16" s="1"/>
  <c r="AN105" i="16" s="1"/>
  <c r="AN89" i="18"/>
  <c r="AN88" i="18"/>
  <c r="AN90" i="18"/>
  <c r="AN50" i="16"/>
  <c r="AN73" i="18"/>
  <c r="AN9" i="18"/>
  <c r="AN91" i="18"/>
  <c r="AN72" i="18" l="1"/>
  <c r="AN16" i="18"/>
  <c r="AN82" i="18" l="1"/>
  <c r="AN81" i="18"/>
  <c r="AN39" i="18"/>
  <c r="AN77" i="18"/>
</calcChain>
</file>

<file path=xl/comments1.xml><?xml version="1.0" encoding="utf-8"?>
<comments xmlns="http://schemas.openxmlformats.org/spreadsheetml/2006/main">
  <authors>
    <author>Harrison, Matthew (Research)</author>
  </authors>
  <commentList>
    <comment ref="BX24" authorId="0">
      <text>
        <r>
          <rPr>
            <b/>
            <sz val="9"/>
            <color indexed="81"/>
            <rFont val="Tahoma"/>
            <family val="2"/>
          </rPr>
          <t>Harrison, Matthew (Research):</t>
        </r>
        <r>
          <rPr>
            <sz val="9"/>
            <color indexed="81"/>
            <rFont val="Tahoma"/>
            <family val="2"/>
          </rPr>
          <t xml:space="preserve">
Net benefit from Enbrel of ~$400-450M. In 4Q13, benefit was $130M offset by Onyx + growth (i.e., abt $85M of which ~$52M was from Onyx). So assume $800-$85*4 = ~$450M in benefit</t>
        </r>
      </text>
    </comment>
    <comment ref="CM24" authorId="0">
      <text>
        <r>
          <rPr>
            <b/>
            <sz val="9"/>
            <color indexed="81"/>
            <rFont val="Tahoma"/>
            <family val="2"/>
          </rPr>
          <t>Harrison, Matthew (Research):</t>
        </r>
        <r>
          <rPr>
            <sz val="9"/>
            <color indexed="81"/>
            <rFont val="Tahoma"/>
            <family val="2"/>
          </rPr>
          <t xml:space="preserve">
Enbrel stepdown = ~$550M</t>
        </r>
      </text>
    </comment>
  </commentList>
</comments>
</file>

<file path=xl/comments2.xml><?xml version="1.0" encoding="utf-8"?>
<comments xmlns="http://schemas.openxmlformats.org/spreadsheetml/2006/main">
  <authors>
    <author>harrimat</author>
    <author>Harrison, Matthew (Research)</author>
    <author>Nochomovitz, Yigal D (Research)</author>
  </authors>
  <commentList>
    <comment ref="B24" authorId="0">
      <text>
        <r>
          <rPr>
            <b/>
            <sz val="8"/>
            <color indexed="81"/>
            <rFont val="Tahoma"/>
            <family val="2"/>
          </rPr>
          <t>harrimat:</t>
        </r>
        <r>
          <rPr>
            <sz val="8"/>
            <color indexed="81"/>
            <rFont val="Tahoma"/>
            <family val="2"/>
          </rPr>
          <t xml:space="preserve">
Generics March 2018; Bundle impact in 2016</t>
        </r>
      </text>
    </comment>
    <comment ref="B25" authorId="0">
      <text>
        <r>
          <rPr>
            <b/>
            <sz val="8"/>
            <color indexed="81"/>
            <rFont val="Tahoma"/>
            <family val="2"/>
          </rPr>
          <t>harrimat:</t>
        </r>
        <r>
          <rPr>
            <sz val="8"/>
            <color indexed="81"/>
            <rFont val="Tahoma"/>
            <family val="2"/>
          </rPr>
          <t xml:space="preserve">
ROW generics start in 2015, but EU5 protected until 2019</t>
        </r>
      </text>
    </comment>
    <comment ref="CA51" authorId="1">
      <text>
        <r>
          <rPr>
            <b/>
            <sz val="9"/>
            <color indexed="81"/>
            <rFont val="Tahoma"/>
            <family val="2"/>
          </rPr>
          <t>Harrison, Matthew (Research):</t>
        </r>
        <r>
          <rPr>
            <sz val="9"/>
            <color indexed="81"/>
            <rFont val="Tahoma"/>
            <family val="2"/>
          </rPr>
          <t xml:space="preserve">
MS estimate, mgt. did not release number</t>
        </r>
      </text>
    </comment>
    <comment ref="C75" authorId="0">
      <text>
        <r>
          <rPr>
            <b/>
            <sz val="8"/>
            <color indexed="81"/>
            <rFont val="Tahoma"/>
            <family val="2"/>
          </rPr>
          <t>harrimat:</t>
        </r>
        <r>
          <rPr>
            <sz val="8"/>
            <color indexed="81"/>
            <rFont val="Tahoma"/>
            <family val="2"/>
          </rPr>
          <t xml:space="preserve">
manual due to reporting digits
</t>
        </r>
      </text>
    </comment>
    <comment ref="BR91" authorId="2">
      <text>
        <r>
          <rPr>
            <b/>
            <sz val="9"/>
            <color indexed="81"/>
            <rFont val="Tahoma"/>
            <family val="2"/>
          </rPr>
          <t>Nochomovitz, Yigal D (Research):</t>
        </r>
        <r>
          <rPr>
            <sz val="9"/>
            <color indexed="81"/>
            <rFont val="Tahoma"/>
            <family val="2"/>
          </rPr>
          <t xml:space="preserve">
Co-promote expired 10/31/13</t>
        </r>
      </text>
    </comment>
    <comment ref="CG91" authorId="2">
      <text>
        <r>
          <rPr>
            <b/>
            <sz val="9"/>
            <color indexed="81"/>
            <rFont val="Tahoma"/>
            <family val="2"/>
          </rPr>
          <t>Nochomovitz, Yigal D (Research):</t>
        </r>
        <r>
          <rPr>
            <sz val="9"/>
            <color indexed="81"/>
            <rFont val="Tahoma"/>
            <family val="2"/>
          </rPr>
          <t xml:space="preserve">
Royalty ends 10/31/16</t>
        </r>
      </text>
    </comment>
  </commentList>
</comments>
</file>

<file path=xl/comments3.xml><?xml version="1.0" encoding="utf-8"?>
<comments xmlns="http://schemas.openxmlformats.org/spreadsheetml/2006/main">
  <authors>
    <author>pathaman</author>
    <author>Harrison, Matthew (Research)</author>
  </authors>
  <commentList>
    <comment ref="C73" authorId="0">
      <text>
        <r>
          <rPr>
            <sz val="8"/>
            <color indexed="81"/>
            <rFont val="Tahoma"/>
            <family val="2"/>
          </rPr>
          <t xml:space="preserve">Hardcoded for ModelWare validation as it's a required tag. 
</t>
        </r>
      </text>
    </comment>
    <comment ref="D73" authorId="0">
      <text>
        <r>
          <rPr>
            <sz val="8"/>
            <color indexed="81"/>
            <rFont val="Tahoma"/>
            <family val="2"/>
          </rPr>
          <t xml:space="preserve">Hardcoded for ModelWare validation as it's a required tag. 
</t>
        </r>
      </text>
    </comment>
    <comment ref="E73" authorId="0">
      <text>
        <r>
          <rPr>
            <sz val="8"/>
            <color indexed="81"/>
            <rFont val="Tahoma"/>
            <family val="2"/>
          </rPr>
          <t xml:space="preserve">Hardcoded for ModelWare validation as it's a required tag. 
</t>
        </r>
      </text>
    </comment>
    <comment ref="F73" authorId="0">
      <text>
        <r>
          <rPr>
            <sz val="8"/>
            <color indexed="81"/>
            <rFont val="Tahoma"/>
            <family val="2"/>
          </rPr>
          <t xml:space="preserve">Hardcoded for ModelWare validation as it's a required tag. 
</t>
        </r>
      </text>
    </comment>
    <comment ref="G73" authorId="0">
      <text>
        <r>
          <rPr>
            <sz val="8"/>
            <color indexed="81"/>
            <rFont val="Tahoma"/>
            <family val="2"/>
          </rPr>
          <t xml:space="preserve">Hardcoded for ModelWare validation as it's a required tag. 
</t>
        </r>
      </text>
    </comment>
    <comment ref="H73" authorId="0">
      <text>
        <r>
          <rPr>
            <sz val="8"/>
            <color indexed="81"/>
            <rFont val="Tahoma"/>
            <family val="2"/>
          </rPr>
          <t xml:space="preserve">Hardcoded for ModelWare validation as it's a required tag. 
</t>
        </r>
      </text>
    </comment>
    <comment ref="I73" authorId="0">
      <text>
        <r>
          <rPr>
            <sz val="8"/>
            <color indexed="81"/>
            <rFont val="Tahoma"/>
            <family val="2"/>
          </rPr>
          <t xml:space="preserve">Hardcoded for ModelWare validation as it's a required tag. 
</t>
        </r>
      </text>
    </comment>
    <comment ref="B74" authorId="1">
      <text>
        <r>
          <rPr>
            <b/>
            <sz val="9"/>
            <color indexed="81"/>
            <rFont val="Tahoma"/>
            <family val="2"/>
          </rPr>
          <t>Harrison, Matthew (Research):</t>
        </r>
        <r>
          <rPr>
            <sz val="9"/>
            <color indexed="81"/>
            <rFont val="Tahoma"/>
            <family val="2"/>
          </rPr>
          <t xml:space="preserve">
Issuance of common stock in connection with the Company’s equity award programs</t>
        </r>
      </text>
    </comment>
  </commentList>
</comments>
</file>

<file path=xl/comments4.xml><?xml version="1.0" encoding="utf-8"?>
<comments xmlns="http://schemas.openxmlformats.org/spreadsheetml/2006/main">
  <authors>
    <author>Harrison, Matthew (Research)</author>
  </authors>
  <commentList>
    <comment ref="C4" authorId="0">
      <text>
        <r>
          <rPr>
            <b/>
            <sz val="9"/>
            <color indexed="81"/>
            <rFont val="Tahoma"/>
            <family val="2"/>
          </rPr>
          <t>Harrison, Matthew (Research):</t>
        </r>
        <r>
          <rPr>
            <sz val="9"/>
            <color indexed="81"/>
            <rFont val="Tahoma"/>
            <family val="2"/>
          </rPr>
          <t xml:space="preserve">
at 10% share with 30% pricing discount, ~1.5B in sales</t>
        </r>
      </text>
    </comment>
  </commentList>
</comments>
</file>

<file path=xl/comments5.xml><?xml version="1.0" encoding="utf-8"?>
<comments xmlns="http://schemas.openxmlformats.org/spreadsheetml/2006/main">
  <authors>
    <author>Lam, Wendy M (Research)</author>
  </authors>
  <commentList>
    <comment ref="Y19" authorId="0">
      <text>
        <r>
          <rPr>
            <b/>
            <sz val="9"/>
            <color indexed="81"/>
            <rFont val="Tahoma"/>
            <family val="2"/>
          </rPr>
          <t>Lam, Wendy M (Research):</t>
        </r>
        <r>
          <rPr>
            <sz val="9"/>
            <color indexed="81"/>
            <rFont val="Tahoma"/>
            <family val="2"/>
          </rPr>
          <t xml:space="preserve">
May 2014: Repurchased all Class A preferred Shares</t>
        </r>
      </text>
    </comment>
  </commentList>
</comments>
</file>

<file path=xl/comments6.xml><?xml version="1.0" encoding="utf-8"?>
<comments xmlns="http://schemas.openxmlformats.org/spreadsheetml/2006/main">
  <authors>
    <author>Purohit, Vikram (Research)</author>
  </authors>
  <commentList>
    <comment ref="G35" authorId="0">
      <text>
        <r>
          <rPr>
            <b/>
            <sz val="9"/>
            <color indexed="81"/>
            <rFont val="Tahoma"/>
            <family val="2"/>
          </rPr>
          <t>Purohit, Vikram (Research):</t>
        </r>
        <r>
          <rPr>
            <sz val="9"/>
            <color indexed="81"/>
            <rFont val="Tahoma"/>
            <family val="2"/>
          </rPr>
          <t xml:space="preserve">
Morgan Stanley Research assumption, 4/25/17</t>
        </r>
      </text>
    </comment>
    <comment ref="G41" authorId="0">
      <text>
        <r>
          <rPr>
            <b/>
            <sz val="9"/>
            <color indexed="81"/>
            <rFont val="Tahoma"/>
            <family val="2"/>
          </rPr>
          <t>Purohit, Vikram (Research):</t>
        </r>
        <r>
          <rPr>
            <sz val="9"/>
            <color indexed="81"/>
            <rFont val="Tahoma"/>
            <family val="2"/>
          </rPr>
          <t xml:space="preserve">
Morgan Stanley Research assumption, 4/25/17</t>
        </r>
      </text>
    </comment>
    <comment ref="F44" authorId="0">
      <text>
        <r>
          <rPr>
            <b/>
            <sz val="9"/>
            <color indexed="81"/>
            <rFont val="Tahoma"/>
            <family val="2"/>
          </rPr>
          <t>Purohit, Vikram (Research):</t>
        </r>
        <r>
          <rPr>
            <sz val="9"/>
            <color indexed="81"/>
            <rFont val="Tahoma"/>
            <family val="2"/>
          </rPr>
          <t xml:space="preserve">
Morgan Stanley Research assumption, 4/25/17, based on 8-K commentary of $400M+ in milestones and mgt. commentary that not all will be paid in 2017</t>
        </r>
      </text>
    </comment>
  </commentList>
</comments>
</file>

<file path=xl/sharedStrings.xml><?xml version="1.0" encoding="utf-8"?>
<sst xmlns="http://schemas.openxmlformats.org/spreadsheetml/2006/main" count="2238" uniqueCount="1358">
  <si>
    <t>AMKR.O,mscalc:targetPrice,,,,USD</t>
  </si>
  <si>
    <t>AMKR.O,mscalc:closePriceCurrencyCalc</t>
  </si>
  <si>
    <t>AMKR.O,mscalc:sedolCodeCalc</t>
  </si>
  <si>
    <t>NA</t>
  </si>
  <si>
    <t>Total Palbociclib Revenue to Amgen (8% royalty)</t>
  </si>
  <si>
    <t>Kyprolis</t>
  </si>
  <si>
    <t>Linked from CELG</t>
  </si>
  <si>
    <t># of 1st Line Kyprolis patients</t>
  </si>
  <si>
    <t>#</t>
  </si>
  <si>
    <t>% Combination CRd</t>
  </si>
  <si>
    <t>1st Line Induction Sales</t>
  </si>
  <si>
    <t>Induction Duration (months)</t>
  </si>
  <si>
    <t># Induction Patients</t>
  </si>
  <si>
    <t>$ Induction Revenue ($M)</t>
  </si>
  <si>
    <t>Maintenance Duration (months)</t>
  </si>
  <si>
    <t>Total Duration (months)</t>
  </si>
  <si>
    <t>Current Year</t>
  </si>
  <si>
    <t>PY1</t>
  </si>
  <si>
    <t>PY2</t>
  </si>
  <si>
    <t># Maintenance Patients</t>
  </si>
  <si>
    <t>$ Maintenance Revenue ($M)</t>
  </si>
  <si>
    <t>Average Duration (months)</t>
  </si>
  <si>
    <t>$ Average Cost/Month</t>
  </si>
  <si>
    <t>$ Total Kyprolis 1st Line Induction Sales</t>
  </si>
  <si>
    <t>$ Total Kyprolis Front Line Sales</t>
  </si>
  <si>
    <t>Relapsed (1L) Population</t>
  </si>
  <si>
    <t>Relapsed/Refractory Revenues</t>
  </si>
  <si>
    <t>4Q13A</t>
  </si>
  <si>
    <t>2013A</t>
  </si>
  <si>
    <t>$ Total US Kyprolis Sales</t>
  </si>
  <si>
    <t>$ Total International Kyprolis Sales</t>
  </si>
  <si>
    <t>Legacy Other</t>
  </si>
  <si>
    <t>Co. Guidance</t>
  </si>
  <si>
    <t>Forecasting Adjustments</t>
  </si>
  <si>
    <t>Unrecorded Goodwill from Poolings</t>
  </si>
  <si>
    <t>Revenues</t>
  </si>
  <si>
    <t>Legal settlements</t>
  </si>
  <si>
    <t>Basic Shares - GAAP</t>
  </si>
  <si>
    <t>Diluted Shares - non GAAP</t>
  </si>
  <si>
    <t>Diluted Shares - GAAP</t>
  </si>
  <si>
    <t>Company</t>
  </si>
  <si>
    <t>PhIII</t>
  </si>
  <si>
    <t>Revision</t>
  </si>
  <si>
    <t>Limit</t>
  </si>
  <si>
    <t>x</t>
  </si>
  <si>
    <t>2011A</t>
  </si>
  <si>
    <t>Nplate</t>
  </si>
  <si>
    <t>Sensipar</t>
  </si>
  <si>
    <t>2010A</t>
  </si>
  <si>
    <t>2009A</t>
  </si>
  <si>
    <t>2001A</t>
  </si>
  <si>
    <t>2000</t>
  </si>
  <si>
    <t>1999</t>
  </si>
  <si>
    <t>1998</t>
  </si>
  <si>
    <t>1997</t>
  </si>
  <si>
    <t>1996</t>
  </si>
  <si>
    <t>1995</t>
  </si>
  <si>
    <t>1994</t>
  </si>
  <si>
    <t>1993</t>
  </si>
  <si>
    <t>Total revenue</t>
  </si>
  <si>
    <t>GAAP Net Income</t>
  </si>
  <si>
    <t>SG&amp;A</t>
  </si>
  <si>
    <t>R&amp;D</t>
  </si>
  <si>
    <t>COGS</t>
  </si>
  <si>
    <t>Gross Profit</t>
  </si>
  <si>
    <t>Taxes</t>
  </si>
  <si>
    <t>Tax rate</t>
  </si>
  <si>
    <t>2020E</t>
  </si>
  <si>
    <t>ROW</t>
  </si>
  <si>
    <t>Partner Revenue</t>
  </si>
  <si>
    <t>Net product sales</t>
  </si>
  <si>
    <t>Other revenue</t>
  </si>
  <si>
    <t>Consensus Revenue</t>
  </si>
  <si>
    <t>Pretax Income</t>
  </si>
  <si>
    <t>Consensus EPS</t>
  </si>
  <si>
    <t>Options expense</t>
  </si>
  <si>
    <t>Net Income (incl. options)</t>
  </si>
  <si>
    <t>Non-gaap EPS (incl. options)</t>
  </si>
  <si>
    <t>Reconcilliation to GAAP</t>
  </si>
  <si>
    <t>Non-gaap net income</t>
  </si>
  <si>
    <t>Adjustments to COGS</t>
  </si>
  <si>
    <t>Tax adjustments</t>
  </si>
  <si>
    <t>GAAP EPS (incl. options)</t>
  </si>
  <si>
    <t>COGS (product revenue)</t>
  </si>
  <si>
    <t>Gross Margin (total revenue)</t>
  </si>
  <si>
    <t>SG&amp;A (as a % of sales)</t>
  </si>
  <si>
    <t>R&amp;D (as a % of sales)</t>
  </si>
  <si>
    <t>EBITDA Margin</t>
  </si>
  <si>
    <t>Net Margin</t>
  </si>
  <si>
    <t>Operating margin (EBIT)</t>
  </si>
  <si>
    <t>EBITDA margin</t>
  </si>
  <si>
    <t>Amgen Income Statement</t>
  </si>
  <si>
    <t>Product sales</t>
  </si>
  <si>
    <t>Acquisition-related expense</t>
  </si>
  <si>
    <t>Other operating expenses</t>
  </si>
  <si>
    <t>Non-op Income/Expense</t>
  </si>
  <si>
    <t>Other financing</t>
  </si>
  <si>
    <t>Convertible non-cash</t>
  </si>
  <si>
    <t>2002A</t>
  </si>
  <si>
    <t>2003A</t>
  </si>
  <si>
    <t>2004A</t>
  </si>
  <si>
    <t>2005A</t>
  </si>
  <si>
    <t>2006A</t>
  </si>
  <si>
    <t>2007A</t>
  </si>
  <si>
    <t>2008A</t>
  </si>
  <si>
    <t>2012A</t>
  </si>
  <si>
    <t>2016E</t>
  </si>
  <si>
    <t>Other</t>
  </si>
  <si>
    <t>Palifermin</t>
  </si>
  <si>
    <t>Total Product Sales</t>
  </si>
  <si>
    <t>Total Revenues</t>
  </si>
  <si>
    <t>Total Revenue</t>
  </si>
  <si>
    <t>Operating Income</t>
  </si>
  <si>
    <t>2019E</t>
  </si>
  <si>
    <t>2018E</t>
  </si>
  <si>
    <t>2017E</t>
  </si>
  <si>
    <t>US</t>
  </si>
  <si>
    <t xml:space="preserve">Enbrel </t>
  </si>
  <si>
    <t>XGEVA</t>
  </si>
  <si>
    <t>Prolia</t>
  </si>
  <si>
    <t>Vectibix</t>
  </si>
  <si>
    <t>Neupogen</t>
  </si>
  <si>
    <t>Neulasta</t>
  </si>
  <si>
    <t>Aranesp</t>
  </si>
  <si>
    <t>1993A</t>
  </si>
  <si>
    <t>1994A</t>
  </si>
  <si>
    <t>1995A</t>
  </si>
  <si>
    <t>1996A</t>
  </si>
  <si>
    <t>1997A</t>
  </si>
  <si>
    <t>1998A</t>
  </si>
  <si>
    <t>1999A</t>
  </si>
  <si>
    <t>2000A</t>
  </si>
  <si>
    <t>1Q02A</t>
  </si>
  <si>
    <t>2Q02A</t>
  </si>
  <si>
    <t>3Q02A</t>
  </si>
  <si>
    <t>4Q02A</t>
  </si>
  <si>
    <t>1Q03A</t>
  </si>
  <si>
    <t>2Q03A</t>
  </si>
  <si>
    <t>3Q03A</t>
  </si>
  <si>
    <t>4Q03A</t>
  </si>
  <si>
    <t>1Q04A</t>
  </si>
  <si>
    <t>2Q04A</t>
  </si>
  <si>
    <t>3Q04A</t>
  </si>
  <si>
    <t>4Q04A</t>
  </si>
  <si>
    <t>1Q05A</t>
  </si>
  <si>
    <t>2Q05A</t>
  </si>
  <si>
    <t>3Q05A</t>
  </si>
  <si>
    <t>4Q05A</t>
  </si>
  <si>
    <t>1Q06A</t>
  </si>
  <si>
    <t>2Q06A</t>
  </si>
  <si>
    <t>3Q06A</t>
  </si>
  <si>
    <t>4Q06A</t>
  </si>
  <si>
    <t>1Q07A</t>
  </si>
  <si>
    <t>2Q07A</t>
  </si>
  <si>
    <t>3Q07A</t>
  </si>
  <si>
    <t>4Q07A</t>
  </si>
  <si>
    <t>1Q08A</t>
  </si>
  <si>
    <t>2Q08A</t>
  </si>
  <si>
    <t>3Q08A</t>
  </si>
  <si>
    <t>4Q08A</t>
  </si>
  <si>
    <t>1Q12A</t>
  </si>
  <si>
    <t>2Q12A</t>
  </si>
  <si>
    <t>3Q12A</t>
  </si>
  <si>
    <t>4Q12A</t>
  </si>
  <si>
    <t>1Q13A</t>
  </si>
  <si>
    <t>2Q13A</t>
  </si>
  <si>
    <t>3Q13A</t>
  </si>
  <si>
    <t xml:space="preserve">   R&amp;D</t>
  </si>
  <si>
    <t xml:space="preserve">   SG&amp;A</t>
  </si>
  <si>
    <t xml:space="preserve">   Loss of Affiliates, Net</t>
  </si>
  <si>
    <t xml:space="preserve">   Other </t>
  </si>
  <si>
    <t>Amortization of Acquired Intangibles</t>
  </si>
  <si>
    <t>Write off of IPR&amp;D</t>
  </si>
  <si>
    <t xml:space="preserve">   Interest, Other Income</t>
  </si>
  <si>
    <t xml:space="preserve">   Interest, Other Expense</t>
  </si>
  <si>
    <t>% of operating expense</t>
  </si>
  <si>
    <t>Cumulative effect of a change in accounting principle</t>
  </si>
  <si>
    <t>Depreciation &amp; Amort.</t>
  </si>
  <si>
    <t>EBITDA</t>
  </si>
  <si>
    <t>Convertible interest add-back</t>
  </si>
  <si>
    <t>Stock Buyback</t>
  </si>
  <si>
    <t>Geographic Breakdown</t>
  </si>
  <si>
    <t>Average repurchase Price</t>
  </si>
  <si>
    <t>Cost of share repurchase</t>
  </si>
  <si>
    <t>Remaining Authorization</t>
  </si>
  <si>
    <t xml:space="preserve">United States </t>
  </si>
  <si>
    <t xml:space="preserve">International countries </t>
  </si>
  <si>
    <t>Total revenues</t>
  </si>
  <si>
    <t>Check</t>
  </si>
  <si>
    <t>Product Sales</t>
  </si>
  <si>
    <t>Tax Impact</t>
  </si>
  <si>
    <t>1Q09A</t>
  </si>
  <si>
    <t>2Q09A</t>
  </si>
  <si>
    <t>3Q09A</t>
  </si>
  <si>
    <t>4Q09A</t>
  </si>
  <si>
    <t>1Q10A</t>
  </si>
  <si>
    <t>2Q10A</t>
  </si>
  <si>
    <t>3Q10A</t>
  </si>
  <si>
    <t>4Q10A</t>
  </si>
  <si>
    <t>1Q11A</t>
  </si>
  <si>
    <t>2Q11A</t>
  </si>
  <si>
    <t>3Q11A</t>
  </si>
  <si>
    <t>4Q11A</t>
  </si>
  <si>
    <t>Quarter</t>
  </si>
  <si>
    <t>Market Share</t>
  </si>
  <si>
    <t>Epogen</t>
  </si>
  <si>
    <t>Market Shares</t>
  </si>
  <si>
    <t>Total</t>
  </si>
  <si>
    <t>Growth</t>
  </si>
  <si>
    <t>Sales</t>
  </si>
  <si>
    <t>1Q13</t>
  </si>
  <si>
    <t>2Q13</t>
  </si>
  <si>
    <t>3Q13</t>
  </si>
  <si>
    <t>4Q13</t>
  </si>
  <si>
    <t>AMGN.O</t>
  </si>
  <si>
    <t>Amgen Inc.</t>
  </si>
  <si>
    <t>AMGN.O,mscalc:targetPrice,,,,USD</t>
  </si>
  <si>
    <t>AMGN.O,mscalc:sedolCodeCalc</t>
  </si>
  <si>
    <t>AMGN.O,mscalc:closePriceCurrencyCalc</t>
  </si>
  <si>
    <t>$L$2</t>
  </si>
  <si>
    <t>1Q18</t>
  </si>
  <si>
    <t>2Q18</t>
  </si>
  <si>
    <t>3Q18</t>
  </si>
  <si>
    <t>4Q18</t>
  </si>
  <si>
    <t>1Q19</t>
  </si>
  <si>
    <t>2Q19</t>
  </si>
  <si>
    <t>3Q19</t>
  </si>
  <si>
    <t>4Q19</t>
  </si>
  <si>
    <t>1Q20</t>
  </si>
  <si>
    <t>2Q20</t>
  </si>
  <si>
    <t>3Q20</t>
  </si>
  <si>
    <t>4Q20</t>
  </si>
  <si>
    <t>USD</t>
  </si>
  <si>
    <t>EU</t>
  </si>
  <si>
    <t>United States</t>
  </si>
  <si>
    <t>Enbrel</t>
  </si>
  <si>
    <t>% Other</t>
  </si>
  <si>
    <t>1st line</t>
  </si>
  <si>
    <t>Dosage</t>
  </si>
  <si>
    <t>10 MG</t>
  </si>
  <si>
    <t>SEER Data</t>
  </si>
  <si>
    <t>http://www.nccn.org/professionals/physician_gls/pdf/colon.pdf</t>
  </si>
  <si>
    <t>Penetration</t>
  </si>
  <si>
    <t>Duration</t>
  </si>
  <si>
    <t>Monthly pricing</t>
  </si>
  <si>
    <t>1st line revenue</t>
  </si>
  <si>
    <t># Incidence</t>
  </si>
  <si>
    <t>% Unresectible</t>
  </si>
  <si>
    <t>% Metastatic</t>
  </si>
  <si>
    <t># Eiligible mCRC (Stage III/IV)</t>
  </si>
  <si>
    <t>% KRAS wild-type</t>
  </si>
  <si>
    <t># Vectibix eligible</t>
  </si>
  <si>
    <t>Guess</t>
  </si>
  <si>
    <t>2nd line</t>
  </si>
  <si>
    <t>% Relapsing</t>
  </si>
  <si>
    <t># 2nd line</t>
  </si>
  <si>
    <t># Vectibix naïve</t>
  </si>
  <si>
    <t>3nd line</t>
  </si>
  <si>
    <t>2nd line revenue</t>
  </si>
  <si>
    <t>3rd line revenue</t>
  </si>
  <si>
    <t># 3nd line</t>
  </si>
  <si>
    <t>Total sales</t>
  </si>
  <si>
    <t>Europe</t>
  </si>
  <si>
    <t>Total Vectibix</t>
  </si>
  <si>
    <t>Net Income (Loss)</t>
  </si>
  <si>
    <t>Write-Off Of In-Process Research and Development</t>
  </si>
  <si>
    <t xml:space="preserve">     Depreciation</t>
  </si>
  <si>
    <t xml:space="preserve">     Amortization</t>
  </si>
  <si>
    <t>Tax Benefits Related to Employee Stock Options</t>
  </si>
  <si>
    <t>Options expense (add back)</t>
  </si>
  <si>
    <t>Deferred Income Taxes</t>
  </si>
  <si>
    <t>Increase (decrease) in deferred revenue</t>
  </si>
  <si>
    <t>Loss Of Affiliates, Net</t>
  </si>
  <si>
    <t>Changes in operating assets and liabilities:</t>
  </si>
  <si>
    <t>Trade Receivables</t>
  </si>
  <si>
    <t>Inventories</t>
  </si>
  <si>
    <t>Other Current Assets</t>
  </si>
  <si>
    <t>Accounts Payable</t>
  </si>
  <si>
    <t>Accrued Liabilities</t>
  </si>
  <si>
    <t>Legal Reserve</t>
  </si>
  <si>
    <t>Non-Cash Interest Expense (Conv. Notes)</t>
  </si>
  <si>
    <t>Net cash provided by (used in) operating activities</t>
  </si>
  <si>
    <t>Purchases of PP&amp;E</t>
  </si>
  <si>
    <t>Proceeds From Maturities Of Mktable Sec.</t>
  </si>
  <si>
    <t>Proceeds From Sales Of Mktable Sec.</t>
  </si>
  <si>
    <t>Purchases Of Marketable Securities</t>
  </si>
  <si>
    <t>Acquisitions, Net Of Cash</t>
  </si>
  <si>
    <t>Net cash used in investing activities</t>
  </si>
  <si>
    <t>Net Proceeds from Issuance Of Common Stock Upon</t>
  </si>
  <si>
    <t>Exercise of ESO in connection with ESOP</t>
  </si>
  <si>
    <t>Stock Repurchases</t>
  </si>
  <si>
    <t>Dividends Paid</t>
  </si>
  <si>
    <t>Increase (Decrease) In Commercial Paper</t>
  </si>
  <si>
    <t>Proceeds From Additions To Long-Term Debt</t>
  </si>
  <si>
    <t>Changes in converts</t>
  </si>
  <si>
    <t>Repayments Of Long-Term Debt</t>
  </si>
  <si>
    <t>Net cash provided by financing activities</t>
  </si>
  <si>
    <t xml:space="preserve">Change in cash </t>
  </si>
  <si>
    <t>Cash at beginning of year</t>
  </si>
  <si>
    <t>Cash at end of year</t>
  </si>
  <si>
    <t>Cash and marketable securities at end of year</t>
  </si>
  <si>
    <t xml:space="preserve">Free Cash Flow </t>
  </si>
  <si>
    <t>CFO</t>
  </si>
  <si>
    <t>- Cap Ex</t>
  </si>
  <si>
    <t>+ Tax Benefits of ESO's</t>
  </si>
  <si>
    <t>Free Cash Flow</t>
  </si>
  <si>
    <t>Shares Outstanding</t>
  </si>
  <si>
    <t>Share Price</t>
  </si>
  <si>
    <t>Market Capitalization</t>
  </si>
  <si>
    <t>FCF yield</t>
  </si>
  <si>
    <t>Employee Stock Option Analysis</t>
  </si>
  <si>
    <t xml:space="preserve">Stock Price (average) </t>
  </si>
  <si>
    <t>Option Balance (Beginning Year)</t>
  </si>
  <si>
    <t xml:space="preserve"> Average Options In-the-Money</t>
  </si>
  <si>
    <t xml:space="preserve">   % Exercisable</t>
  </si>
  <si>
    <t>Weighted Average Exercise Price of exercisable</t>
  </si>
  <si>
    <t>Options Cancelled</t>
  </si>
  <si>
    <t xml:space="preserve">   % Cancelled </t>
  </si>
  <si>
    <t>Options Exercised</t>
  </si>
  <si>
    <t xml:space="preserve">   % Exercised</t>
  </si>
  <si>
    <t>Weighted Average Exercise Price</t>
  </si>
  <si>
    <t>Proceeds from option</t>
  </si>
  <si>
    <t>Tax Benefit from Options</t>
  </si>
  <si>
    <t>Options Granted</t>
  </si>
  <si>
    <t xml:space="preserve">     % of Outstanding Options</t>
  </si>
  <si>
    <t>Shares Issued</t>
  </si>
  <si>
    <t>Proceeds from share issuance</t>
  </si>
  <si>
    <t>Shares Repurchased (mm)</t>
  </si>
  <si>
    <t>Dutch Tender</t>
  </si>
  <si>
    <t>Share Repurchase Cost</t>
  </si>
  <si>
    <t>Share Issuance from Acquisitions</t>
  </si>
  <si>
    <t>Stock options expense</t>
  </si>
  <si>
    <t>Total Change in APIC</t>
  </si>
  <si>
    <t>Beginning Period Shares</t>
  </si>
  <si>
    <t>End of Period Shares</t>
  </si>
  <si>
    <t>Option Difference</t>
  </si>
  <si>
    <t>Current diluted EPS</t>
  </si>
  <si>
    <t>Option expense</t>
  </si>
  <si>
    <t>Diluted EPS, pro forma</t>
  </si>
  <si>
    <t xml:space="preserve">Buyback </t>
  </si>
  <si>
    <t>Dividend</t>
  </si>
  <si>
    <t>Payout Ratio</t>
  </si>
  <si>
    <t>Total Returned to Shareholders</t>
  </si>
  <si>
    <t xml:space="preserve">Net Income </t>
  </si>
  <si>
    <t>FCF</t>
  </si>
  <si>
    <t>% on shore (assumed)</t>
  </si>
  <si>
    <t>US FCF</t>
  </si>
  <si>
    <t>Net, US Cash Deficit</t>
  </si>
  <si>
    <t>Cash and Equivalents</t>
  </si>
  <si>
    <t>Marketable Securities</t>
  </si>
  <si>
    <t>Trade Receivables, net</t>
  </si>
  <si>
    <t>Deferred Taxes, Net</t>
  </si>
  <si>
    <t>Total current assets</t>
  </si>
  <si>
    <t>Intangible Assets, net</t>
  </si>
  <si>
    <t>Goodwill</t>
  </si>
  <si>
    <t>Other Assets</t>
  </si>
  <si>
    <t>Total assets</t>
  </si>
  <si>
    <t>Commercial Paper</t>
  </si>
  <si>
    <t>Current Portion of Deferred Revenue</t>
  </si>
  <si>
    <t xml:space="preserve">Current portion of convertible notes </t>
  </si>
  <si>
    <t>Current Portion Long Term Debt</t>
  </si>
  <si>
    <t>Total current liabilities</t>
  </si>
  <si>
    <t>Deferred Tax Liabilities</t>
  </si>
  <si>
    <t>Deferred Revenue, net of current</t>
  </si>
  <si>
    <t>Convertible notes</t>
  </si>
  <si>
    <t xml:space="preserve">Long-Term Debt </t>
  </si>
  <si>
    <t>Other Non Current Liabilites</t>
  </si>
  <si>
    <t>Total liabilities</t>
  </si>
  <si>
    <t>Preferred Stock</t>
  </si>
  <si>
    <t>Common Stock and APIC</t>
  </si>
  <si>
    <t>Retained Earnings</t>
  </si>
  <si>
    <t>AOCI</t>
  </si>
  <si>
    <t>Total stockholders' equity</t>
  </si>
  <si>
    <t>Total Liabilities and Equity</t>
  </si>
  <si>
    <t>Balance Sheet Ratios</t>
  </si>
  <si>
    <t>Operating expenses</t>
  </si>
  <si>
    <t>NI</t>
  </si>
  <si>
    <t>Operating CF</t>
  </si>
  <si>
    <t>Capex</t>
  </si>
  <si>
    <t>Operating Activity</t>
  </si>
  <si>
    <t>AR Turnover (Total Sales / Avg. AR)</t>
  </si>
  <si>
    <t>Inventory Turnover (COGS / Avg. Inv)</t>
  </si>
  <si>
    <t>AP Turnover (COGS / Avg. AP)</t>
  </si>
  <si>
    <t xml:space="preserve">Days receivables outstanding </t>
  </si>
  <si>
    <t xml:space="preserve">Days inventory outstanding </t>
  </si>
  <si>
    <t>Days Sales Outstanding</t>
  </si>
  <si>
    <t>Days payable outstanding (CHECK)</t>
  </si>
  <si>
    <t>Other current assets</t>
  </si>
  <si>
    <t>% of revenue</t>
  </si>
  <si>
    <t>% of operating expenses</t>
  </si>
  <si>
    <t>Trade receivables</t>
  </si>
  <si>
    <t xml:space="preserve">Accounts payable </t>
  </si>
  <si>
    <t>Accrued liabilities</t>
  </si>
  <si>
    <t>% of total current liabilities</t>
  </si>
  <si>
    <t>Liquidity</t>
  </si>
  <si>
    <t>Current Ratio (CA/CL)</t>
  </si>
  <si>
    <t>Quick Ratio ((Cash+AR)/CL)</t>
  </si>
  <si>
    <t>Profitability</t>
  </si>
  <si>
    <t>ROE (NI/Ave. Equity)</t>
  </si>
  <si>
    <t>ROA (NI/Ave. Assets)</t>
  </si>
  <si>
    <t>Gross Profit Margin</t>
  </si>
  <si>
    <t>Profit Margin (NI/Total Sales)</t>
  </si>
  <si>
    <t>Fixed Asset Turnover (Total Sales/Ave. Net PPE)</t>
  </si>
  <si>
    <t>Total Assets Turnover (Total Sales/Ave. Assets)</t>
  </si>
  <si>
    <t>Capital Struct. Leverage (Ave. Assets/Ave. Equity)</t>
  </si>
  <si>
    <t>Leverage</t>
  </si>
  <si>
    <t>Total Leverage (Total Debt/EBITDA)</t>
  </si>
  <si>
    <t>Interest Coverage (EBITDA/Interest)</t>
  </si>
  <si>
    <t>Long Term Debt/Equity</t>
  </si>
  <si>
    <t>OCF/Ave. Current Liabilities</t>
  </si>
  <si>
    <t>OCF/Ave. Total Liabilities</t>
  </si>
  <si>
    <t>OCF/Capital Expenditures</t>
  </si>
  <si>
    <t>Net Debt/Total Capital</t>
  </si>
  <si>
    <t>Cap Ex</t>
  </si>
  <si>
    <t>Property and Equipment, Net</t>
  </si>
  <si>
    <t>Beginning balance</t>
  </si>
  <si>
    <t>Capital expenditures</t>
  </si>
  <si>
    <t>Depreciation</t>
  </si>
  <si>
    <t>Others</t>
  </si>
  <si>
    <t>Ending balance</t>
  </si>
  <si>
    <t>Depreciation and Amortization from</t>
  </si>
  <si>
    <t xml:space="preserve">Existing PP&amp;E </t>
  </si>
  <si>
    <t>2000 capital expenditures</t>
  </si>
  <si>
    <t>2001 capital expenditures</t>
  </si>
  <si>
    <t>2002 capital expenditures</t>
  </si>
  <si>
    <t>2003 capital expenditures</t>
  </si>
  <si>
    <t>2004 capital expenditures</t>
  </si>
  <si>
    <t>2005 capital expenditures</t>
  </si>
  <si>
    <t>2006 capital expenditures</t>
  </si>
  <si>
    <t>Net Issuances/Repurchases</t>
  </si>
  <si>
    <t>Dividends</t>
  </si>
  <si>
    <t>2007 capital expenditures</t>
  </si>
  <si>
    <t>2008 capital expenditures</t>
  </si>
  <si>
    <t>2009 capital expenditures</t>
  </si>
  <si>
    <t>2010 capital expenditures</t>
  </si>
  <si>
    <t>2011 capital expenditures</t>
  </si>
  <si>
    <t>2012 capital expenditures</t>
  </si>
  <si>
    <t>2013 capital expenditures</t>
  </si>
  <si>
    <t>2014 capital expenditures</t>
  </si>
  <si>
    <t>2015 capital expenditures</t>
  </si>
  <si>
    <t>2016 capital expenditures</t>
  </si>
  <si>
    <t>Total depreciation</t>
  </si>
  <si>
    <t>Total depreciation and amortization</t>
  </si>
  <si>
    <t xml:space="preserve"> Depreciation as % operating expenses</t>
  </si>
  <si>
    <t>Amortization as % of operating expenses</t>
  </si>
  <si>
    <t>Acquisitions</t>
  </si>
  <si>
    <t>Additions net of cash:</t>
  </si>
  <si>
    <t>Allocation to IPR&amp;D (Expensed)</t>
  </si>
  <si>
    <t>Allocation (%)</t>
  </si>
  <si>
    <t>Allocation to Goodwill</t>
  </si>
  <si>
    <t>Allocation to Intangibles/Technology Rights</t>
  </si>
  <si>
    <t>Total Goodwill</t>
  </si>
  <si>
    <t>Total Intangibles/Technology Rights, Net</t>
  </si>
  <si>
    <t>Amortization of Existing Intangible Assets</t>
  </si>
  <si>
    <t>Implied Life of Intangibles</t>
  </si>
  <si>
    <t>Return on invested capital (non-GAAP)</t>
  </si>
  <si>
    <t>EBIT</t>
  </si>
  <si>
    <t>NOPAT</t>
  </si>
  <si>
    <t>NOPAT margin</t>
  </si>
  <si>
    <t>Accounts receivables</t>
  </si>
  <si>
    <t>Inventory</t>
  </si>
  <si>
    <t>Net PP&amp;E</t>
  </si>
  <si>
    <t>Noncurrent assets</t>
  </si>
  <si>
    <t>Goodwill &amp; other intangibles</t>
  </si>
  <si>
    <t>Operating assets</t>
  </si>
  <si>
    <t>Accounts payable</t>
  </si>
  <si>
    <t>Other current liabilities</t>
  </si>
  <si>
    <t>Other long-term liabilities</t>
  </si>
  <si>
    <t>Operating liabilities</t>
  </si>
  <si>
    <t>Net operating assets</t>
  </si>
  <si>
    <t>Asset turnover</t>
  </si>
  <si>
    <t>Carrying Value Balances</t>
  </si>
  <si>
    <t>Maturity</t>
  </si>
  <si>
    <t xml:space="preserve">0.125% convertible notes due 2011 (2011 Convertible Notes) </t>
  </si>
  <si>
    <t xml:space="preserve">0.375% convertible notes due 2013 (2013 Convertible Notes) </t>
  </si>
  <si>
    <t>5.85% notes due 2017 (2017 Notes)</t>
  </si>
  <si>
    <t xml:space="preserve">4.85% notes due 2014 (2014 Notes) </t>
  </si>
  <si>
    <t xml:space="preserve">5.70% notes due 2019 (2019 Notes) </t>
  </si>
  <si>
    <t xml:space="preserve">6.40% notes due 2039 (2039 Notes) </t>
  </si>
  <si>
    <t xml:space="preserve">6.375% notes due 2037 (2037 Notes) </t>
  </si>
  <si>
    <t xml:space="preserve">3.45% notes due October 2020 (October 2020 Notes) </t>
  </si>
  <si>
    <t xml:space="preserve">5.75% notes due 2040 (2040 Notes) </t>
  </si>
  <si>
    <t xml:space="preserve">4.95% notes due 2041 (2041 Notes) </t>
  </si>
  <si>
    <t xml:space="preserve">6.15% notes due 2018 (2018 Notes) </t>
  </si>
  <si>
    <t xml:space="preserve">6.90% notes due 2038 (2038 Notes) </t>
  </si>
  <si>
    <t xml:space="preserve">4.50% notes due March 2020 (March 2020 Notes) </t>
  </si>
  <si>
    <t>Zero-coupon modified convertible notes due in 2032 (2032 Modified Convertible Notes)</t>
  </si>
  <si>
    <t>8.125% notes due 2097 (Other notes)</t>
  </si>
  <si>
    <t>4.00% notes due 2009 (2009 Notes)</t>
  </si>
  <si>
    <t>Floating rate notes due 2008 (2008 Floating Rate Notes)</t>
  </si>
  <si>
    <t>5.65% notes due 2042 (2042 Notes)</t>
  </si>
  <si>
    <t>4.10% notes due 2021 (2021 Notes)</t>
  </si>
  <si>
    <t>2.30% notes due 2016 (2016 Notes)</t>
  </si>
  <si>
    <t>1.875% notes due 2014 (2014 Notes)</t>
  </si>
  <si>
    <t>2.50% notes due 2016 (2016 Notes)</t>
  </si>
  <si>
    <t>3.875% notes due 2021 (2021 Notes)</t>
  </si>
  <si>
    <t>5.15% notes due 2041 (2041 Notes)</t>
  </si>
  <si>
    <t>4.375% notes due 2018 (2018 Notes)</t>
  </si>
  <si>
    <t>5.50% notes due 2026 (2026 Notes)</t>
  </si>
  <si>
    <t>2.125% notes due 2017 (2017 Notes)</t>
  </si>
  <si>
    <t>5.375% notes due 2043 (2043 Notes)</t>
  </si>
  <si>
    <t>2.125% bonds due 2019 (EUR denominated)</t>
  </si>
  <si>
    <t>Other debt</t>
  </si>
  <si>
    <t>Revolving credit facilities</t>
  </si>
  <si>
    <t>Total Debt</t>
  </si>
  <si>
    <t>From Model</t>
  </si>
  <si>
    <t>Leverage Ratio</t>
  </si>
  <si>
    <t>Current and Non-Current portion of debt calculation</t>
  </si>
  <si>
    <t xml:space="preserve">Non-Current portion of convertible notes </t>
  </si>
  <si>
    <t>Non-Current Portion Long Term Debt</t>
  </si>
  <si>
    <t>Other Debt</t>
  </si>
  <si>
    <t>Net Issuance (including non-cash interest expense)</t>
  </si>
  <si>
    <t>Convertible Notes Calculation</t>
  </si>
  <si>
    <t>Net carrying amount</t>
  </si>
  <si>
    <t xml:space="preserve">Non-cash interest expense </t>
  </si>
  <si>
    <t>Unamortized Discount</t>
  </si>
  <si>
    <t>Effective interest rate @ 6.24%</t>
  </si>
  <si>
    <t>Effective interest rate @ 6.35%</t>
  </si>
  <si>
    <t>Total Non-Cash Expense</t>
  </si>
  <si>
    <t>Interest rates</t>
  </si>
  <si>
    <t>Estimated Interest Expense</t>
  </si>
  <si>
    <t>Interest Expense</t>
  </si>
  <si>
    <t>Blended Interest Rate (On Opening Debt Balance)</t>
  </si>
  <si>
    <t>Reported Interest Expense</t>
  </si>
  <si>
    <t>Dividend Paid</t>
  </si>
  <si>
    <t xml:space="preserve">   Statuatory Tax rate</t>
  </si>
  <si>
    <t>2017 capital expenditures</t>
  </si>
  <si>
    <t>2018 capital expenditures</t>
  </si>
  <si>
    <t>2019 capital expenditures</t>
  </si>
  <si>
    <t>2020 capital expenditures</t>
  </si>
  <si>
    <t>Difference</t>
  </si>
  <si>
    <t>Diluted shares</t>
  </si>
  <si>
    <t>4Q20E</t>
  </si>
  <si>
    <t>4Q19E</t>
  </si>
  <si>
    <t>4Q18E</t>
  </si>
  <si>
    <t>1Q15A</t>
  </si>
  <si>
    <t>1Q14A</t>
  </si>
  <si>
    <t>No. of shares repurchased (million)</t>
  </si>
  <si>
    <t>Change in carrying balances</t>
  </si>
  <si>
    <t>Fixed Asset Turnover</t>
  </si>
  <si>
    <t>Cash Flows From Operating Activities</t>
  </si>
  <si>
    <t>Cash Flows From Investing Activities</t>
  </si>
  <si>
    <t>Cash Flows From Financing Activities</t>
  </si>
  <si>
    <t>Payout (guidance for &gt; 60%)</t>
  </si>
  <si>
    <t>Master Purchase Agreement Obligation (due September 28, 2018, LIBOR + 1.1%)</t>
  </si>
  <si>
    <t>Term Loan Credit Facility (due October 1, 2018, LIBOR + 1%)</t>
  </si>
  <si>
    <t>Scenario Selector (Bear = 1, Base = 2, Bull = 3)</t>
  </si>
  <si>
    <t>2010</t>
  </si>
  <si>
    <t>2011</t>
  </si>
  <si>
    <t>2012</t>
  </si>
  <si>
    <t>Nexavar</t>
  </si>
  <si>
    <t>HCC</t>
  </si>
  <si>
    <t>Total Patients</t>
  </si>
  <si>
    <t>Duration (months)</t>
  </si>
  <si>
    <t>Cost / Month</t>
  </si>
  <si>
    <t xml:space="preserve">    % growth </t>
  </si>
  <si>
    <t>Realized Price / Month</t>
  </si>
  <si>
    <t>RCC</t>
  </si>
  <si>
    <t>% eligible for therapy</t>
  </si>
  <si>
    <t>Eligible Patient Population</t>
  </si>
  <si>
    <t>Nexavar Penetration</t>
  </si>
  <si>
    <t>Patients Treated</t>
  </si>
  <si>
    <t>US Nexavar</t>
  </si>
  <si>
    <t>Reported</t>
  </si>
  <si>
    <t>Realized Price per Month</t>
  </si>
  <si>
    <t xml:space="preserve">EU Nexavar </t>
  </si>
  <si>
    <t>RoW (Ex-EU, Ex-Japan, Ex-China)</t>
  </si>
  <si>
    <t>RoW Nexavar</t>
  </si>
  <si>
    <t xml:space="preserve">% growth </t>
  </si>
  <si>
    <t>Reported (Ex-US, Ex-Japan, Ex-China)</t>
  </si>
  <si>
    <t>China</t>
  </si>
  <si>
    <t>Avg. Cost per Patient</t>
  </si>
  <si>
    <t>China Nexavar</t>
  </si>
  <si>
    <t>New Indications</t>
  </si>
  <si>
    <t>Advanced Breast Cancer</t>
  </si>
  <si>
    <t xml:space="preserve">Stage III Breast Cancer </t>
  </si>
  <si>
    <t>New Diagnosis</t>
  </si>
  <si>
    <t>Relapse</t>
  </si>
  <si>
    <t>Prevalence</t>
  </si>
  <si>
    <t>Stage IV Breast Cancer</t>
  </si>
  <si>
    <t>First Line mBC HER 2 Negative + chemo</t>
  </si>
  <si>
    <t xml:space="preserve">  % using Xeloda</t>
  </si>
  <si>
    <t>Second Line mBC HER 2 Negative + chemo</t>
  </si>
  <si>
    <t xml:space="preserve">  % treated with Nexavar/Xeloda</t>
  </si>
  <si>
    <t>Patients treated</t>
  </si>
  <si>
    <t>Average Months on Therapy</t>
  </si>
  <si>
    <t>Realized Cost per Month on Therapy</t>
  </si>
  <si>
    <t>Avg. Cost per patient</t>
  </si>
  <si>
    <t>Sales mBC US</t>
  </si>
  <si>
    <t>Sales mBC RoW</t>
  </si>
  <si>
    <t>Total WW mBC</t>
  </si>
  <si>
    <t>X</t>
  </si>
  <si>
    <t>Bear (No mBC)</t>
  </si>
  <si>
    <t>Base (mBC)</t>
  </si>
  <si>
    <t>Bull (mBC)</t>
  </si>
  <si>
    <t>Thyroid Cancer</t>
  </si>
  <si>
    <t>Total Thyroid Cancer Diagnoses</t>
  </si>
  <si>
    <t>Total Thyroid Cancer Prevalence</t>
  </si>
  <si>
    <t>Cases of Well Differentiated TC</t>
  </si>
  <si>
    <t>Regional Spread at  Diagnosis</t>
  </si>
  <si>
    <t>Mets at Diagnosis</t>
  </si>
  <si>
    <t>Prevalent Patients with Hx of RAI</t>
  </si>
  <si>
    <t xml:space="preserve">RAI Patients Relapsing Per Year </t>
  </si>
  <si>
    <t xml:space="preserve">Total Addressable Population </t>
  </si>
  <si>
    <t xml:space="preserve">     Nexavar Penetration</t>
  </si>
  <si>
    <t>Cost per Month on Therapy</t>
  </si>
  <si>
    <t xml:space="preserve">RAI Refractory US Sales </t>
  </si>
  <si>
    <t>Sales Thyroid Cancer RoW</t>
  </si>
  <si>
    <t>Total WW Thyroid</t>
  </si>
  <si>
    <t>WW Nexavar</t>
  </si>
  <si>
    <t>Reported (ex-Japan)</t>
  </si>
  <si>
    <t>Collaboration COGS, SG&amp;A</t>
  </si>
  <si>
    <t>% of Reported Revenue</t>
  </si>
  <si>
    <t>Collaboration Profit</t>
  </si>
  <si>
    <t>Commercial Margin</t>
  </si>
  <si>
    <t>Reimbursement of Expenses</t>
  </si>
  <si>
    <t>Total Nexavar Revenue to Amgen</t>
  </si>
  <si>
    <t>Regorafenib</t>
  </si>
  <si>
    <t>Incidence mCRC</t>
  </si>
  <si>
    <t>Stage III/IV Patients</t>
  </si>
  <si>
    <t>Relapsed Patients</t>
  </si>
  <si>
    <t>Third Line Patients</t>
  </si>
  <si>
    <t>Fourth Line Patients</t>
  </si>
  <si>
    <t>Total line 3/4 Patients</t>
  </si>
  <si>
    <t>Penetration of line 3/4 Patients</t>
  </si>
  <si>
    <t>Average Duration of Therapy (months)</t>
  </si>
  <si>
    <t>Monthly Cost</t>
  </si>
  <si>
    <t>Total Regorafenib mCRC Sales</t>
  </si>
  <si>
    <t>Total US Sales</t>
  </si>
  <si>
    <t>Total RoW</t>
  </si>
  <si>
    <t>Total mCRC Sales</t>
  </si>
  <si>
    <t>GIST Sales WW</t>
  </si>
  <si>
    <t>Total Regorafenib Sales</t>
  </si>
  <si>
    <t>Total Regorafenib Revenue to Amgen</t>
  </si>
  <si>
    <t>Palbociclib (Risinger Model)</t>
  </si>
  <si>
    <t>Palbociclib Sales</t>
  </si>
  <si>
    <t>Bear (No Palbociclib)</t>
  </si>
  <si>
    <t>Bull (Palbociclib)</t>
  </si>
  <si>
    <t>Total Former Onyx Products Revenue (ex-Kyprolis) to Amgen</t>
  </si>
  <si>
    <t>Discovery Research and Translational Sciences</t>
  </si>
  <si>
    <t>Later stage clinical programs</t>
  </si>
  <si>
    <t>Marketed products</t>
  </si>
  <si>
    <t>Term Val</t>
  </si>
  <si>
    <t>YoY growth</t>
  </si>
  <si>
    <t>Intermediate Growth</t>
  </si>
  <si>
    <t>Step-downs for patent expiries</t>
  </si>
  <si>
    <t>PV of FCF</t>
  </si>
  <si>
    <t>Sum of Discounted CF</t>
  </si>
  <si>
    <t>Statutory Tax Rate</t>
  </si>
  <si>
    <t>Net Cash</t>
  </si>
  <si>
    <t>Equity Value</t>
  </si>
  <si>
    <t>Equity Value Per Share</t>
  </si>
  <si>
    <t>Discount Rate</t>
  </si>
  <si>
    <t>Intermediate Growth Rate</t>
  </si>
  <si>
    <t>Terminal Growth Rate</t>
  </si>
  <si>
    <t>Time of Valuation</t>
  </si>
  <si>
    <t>Prolia / Xgeva</t>
  </si>
  <si>
    <t>Enbrel Profit Share</t>
  </si>
  <si>
    <t>Payments to Pfizer</t>
  </si>
  <si>
    <t>Royalty Rate Step Down</t>
  </si>
  <si>
    <t>% of Enbrel Sales</t>
  </si>
  <si>
    <t>Margin Improvement</t>
  </si>
  <si>
    <t>Bull</t>
  </si>
  <si>
    <t>Base</t>
  </si>
  <si>
    <t>Bear</t>
  </si>
  <si>
    <t>Nexavar (Jan 12, 2020)</t>
  </si>
  <si>
    <t>Stivarga (Feb 25, 2020)</t>
  </si>
  <si>
    <t>Palbociclib royalty</t>
  </si>
  <si>
    <t>Canada</t>
  </si>
  <si>
    <t>Late Stage Clinical</t>
  </si>
  <si>
    <t>Discovery and Translational</t>
  </si>
  <si>
    <t>On Market Products</t>
  </si>
  <si>
    <t>Property, Plant &amp; Equipment, net</t>
  </si>
  <si>
    <t>Restricted investments</t>
  </si>
  <si>
    <t>Base (Palbociclib)</t>
  </si>
  <si>
    <t>5.50% notes due 2026 (GBP denominated)</t>
  </si>
  <si>
    <t>Compound</t>
  </si>
  <si>
    <t>Indication</t>
  </si>
  <si>
    <t>Phase</t>
  </si>
  <si>
    <t>Launch</t>
  </si>
  <si>
    <t>Romosozumab</t>
  </si>
  <si>
    <t>Osteoporosis</t>
  </si>
  <si>
    <t>Total Pipeline</t>
  </si>
  <si>
    <t>Pipeline</t>
  </si>
  <si>
    <t>Total Product COGS</t>
  </si>
  <si>
    <t>COGS Numbers</t>
  </si>
  <si>
    <t>COGS %</t>
  </si>
  <si>
    <t>Biosimilars - Amgen</t>
  </si>
  <si>
    <t>Humira, Remicade, +1</t>
  </si>
  <si>
    <t>Avastin, Herceptin, Rituxan, Erbitux</t>
  </si>
  <si>
    <t>Overall Pipeline</t>
  </si>
  <si>
    <t>Total Pipeline COGS</t>
  </si>
  <si>
    <t>Biosimilars - Collab w/ Actavis</t>
  </si>
  <si>
    <t>Selector ---&gt;</t>
  </si>
  <si>
    <t>1 = Bull</t>
  </si>
  <si>
    <t>2 = Base</t>
  </si>
  <si>
    <t>3 = Bear</t>
  </si>
  <si>
    <t>Scenarios</t>
  </si>
  <si>
    <t>% of total revenues</t>
  </si>
  <si>
    <t xml:space="preserve"> </t>
  </si>
  <si>
    <t>Non-GAAP EPS (excl. options)</t>
  </si>
  <si>
    <t>Net Income (Non-GAAP)</t>
  </si>
  <si>
    <t>Margin Analysis (Non-GAAP)</t>
  </si>
  <si>
    <t>Growth Analysis (Non-GAAP)</t>
  </si>
  <si>
    <t>2023607</t>
  </si>
  <si>
    <t>Non-Gaap EPS</t>
  </si>
  <si>
    <t>Senior floating rate notes due 2017 (2017 Floating Rate Notes)</t>
  </si>
  <si>
    <t>Senior floating rate notes due 2019 (2019 Floating Rate Notes)</t>
  </si>
  <si>
    <t>1.250% senior notes due 2017 (2017 Fixed Rate Notes)</t>
  </si>
  <si>
    <t>2.200% senior notes due 2019 (2019 Fixed Rate Notes)</t>
  </si>
  <si>
    <t>Adjustment</t>
  </si>
  <si>
    <t>2Q14A</t>
  </si>
  <si>
    <t>3Q14A</t>
  </si>
  <si>
    <t>52-54%</t>
  </si>
  <si>
    <t>Operating Margin (product sales)</t>
  </si>
  <si>
    <t>AMG334</t>
  </si>
  <si>
    <t>4Q14A</t>
  </si>
  <si>
    <t>Blincyto</t>
  </si>
  <si>
    <t>FY16</t>
  </si>
  <si>
    <t>FY15</t>
  </si>
  <si>
    <t>FY14</t>
  </si>
  <si>
    <t>FY17</t>
  </si>
  <si>
    <t>FY18</t>
  </si>
  <si>
    <t>FY19</t>
  </si>
  <si>
    <t>FY20</t>
  </si>
  <si>
    <t>Blincyto (blinatumomab)</t>
  </si>
  <si>
    <t>2014A</t>
  </si>
  <si>
    <t>2Q15A</t>
  </si>
  <si>
    <t>3Q15A</t>
  </si>
  <si>
    <t>Repatha</t>
  </si>
  <si>
    <t>4Q15A</t>
  </si>
  <si>
    <t>2015A</t>
  </si>
  <si>
    <t>2.125% notes due 2020 (2.125% 2020 Notes)</t>
  </si>
  <si>
    <t>2.70% notes due 2022 (2.70% 2022 Notes)</t>
  </si>
  <si>
    <t>3.125% notes due 2025 (3.125% 2025 Notes)</t>
  </si>
  <si>
    <t>4.40% notes due 2045 (4.40% 2045 Notes)</t>
  </si>
  <si>
    <t>1Q16A</t>
  </si>
  <si>
    <t>FY21</t>
  </si>
  <si>
    <t>FY22</t>
  </si>
  <si>
    <t>FY23</t>
  </si>
  <si>
    <t>FY24</t>
  </si>
  <si>
    <t>FY25</t>
  </si>
  <si>
    <t>FY26</t>
  </si>
  <si>
    <t>FY27</t>
  </si>
  <si>
    <t>FY28</t>
  </si>
  <si>
    <t>FY29</t>
  </si>
  <si>
    <t>FY30</t>
  </si>
  <si>
    <t>1Q21</t>
  </si>
  <si>
    <t>2Q21</t>
  </si>
  <si>
    <t>3Q21</t>
  </si>
  <si>
    <t>4Q21</t>
  </si>
  <si>
    <t>1Q22</t>
  </si>
  <si>
    <t>2Q22</t>
  </si>
  <si>
    <t>3Q22</t>
  </si>
  <si>
    <t>4Q22</t>
  </si>
  <si>
    <t>1Q23</t>
  </si>
  <si>
    <t>2Q23</t>
  </si>
  <si>
    <t>3Q23</t>
  </si>
  <si>
    <t>4Q23</t>
  </si>
  <si>
    <t>1Q24</t>
  </si>
  <si>
    <t>2Q24</t>
  </si>
  <si>
    <t>3Q24</t>
  </si>
  <si>
    <t>4Q24</t>
  </si>
  <si>
    <t>1Q25</t>
  </si>
  <si>
    <t>2Q25</t>
  </si>
  <si>
    <t>3Q25</t>
  </si>
  <si>
    <t>4Q25</t>
  </si>
  <si>
    <t>1Q26</t>
  </si>
  <si>
    <t>2Q26</t>
  </si>
  <si>
    <t>3Q26</t>
  </si>
  <si>
    <t>4Q26</t>
  </si>
  <si>
    <t>1Q27</t>
  </si>
  <si>
    <t>2Q27</t>
  </si>
  <si>
    <t>3Q27</t>
  </si>
  <si>
    <t>4Q27</t>
  </si>
  <si>
    <t>1Q28</t>
  </si>
  <si>
    <t>2Q28</t>
  </si>
  <si>
    <t>3Q28</t>
  </si>
  <si>
    <t>4Q28</t>
  </si>
  <si>
    <t>1Q29</t>
  </si>
  <si>
    <t>2Q29</t>
  </si>
  <si>
    <t>3Q29</t>
  </si>
  <si>
    <t>4Q29</t>
  </si>
  <si>
    <t>1Q30</t>
  </si>
  <si>
    <t>2Q30</t>
  </si>
  <si>
    <t>3Q30</t>
  </si>
  <si>
    <t>4Q30</t>
  </si>
  <si>
    <t>2021E</t>
  </si>
  <si>
    <t>2022E</t>
  </si>
  <si>
    <t>2023E</t>
  </si>
  <si>
    <t>2024E</t>
  </si>
  <si>
    <t>2025E</t>
  </si>
  <si>
    <t>2026E</t>
  </si>
  <si>
    <t>2027E</t>
  </si>
  <si>
    <t>2028E</t>
  </si>
  <si>
    <t>2029E</t>
  </si>
  <si>
    <t>2030E</t>
  </si>
  <si>
    <t>Case Manager</t>
  </si>
  <si>
    <t>2Q16A</t>
  </si>
  <si>
    <t>3.625% notes due 2022 (2022 Notes)</t>
  </si>
  <si>
    <t>3.625% senior notes due 2024 (2024 Fixed Rate Notes)</t>
  </si>
  <si>
    <t>4.000% bonds due 2029 (GBP denominated)</t>
  </si>
  <si>
    <t>1Q21E</t>
  </si>
  <si>
    <t>2Q20E</t>
  </si>
  <si>
    <t>3Q20E</t>
  </si>
  <si>
    <t>4.563% notes due 2048 (4.563% 2048 Notes)</t>
  </si>
  <si>
    <t>4.663% notes due 2051 (4.663% 2051 Notes)</t>
  </si>
  <si>
    <t>1.25% euro-denominated notes due 2022 (1.25% 2022 euro Notes)</t>
  </si>
  <si>
    <t>0.41% Swiss-franc denominated bonds due 2023 (0.41% 2023 Swiss franc Bonds)</t>
  </si>
  <si>
    <t>2.00% euro-denominated notes due 2026 (2.00% 2026 euro Notes)</t>
  </si>
  <si>
    <t>1.850% notes due 2021 (1.850% 2021 Notes)</t>
  </si>
  <si>
    <t>2.250% notes due 2023 (2.250% 2023 notes)</t>
  </si>
  <si>
    <t>2.60% notes due 2026 (2.60% notes due 2026)</t>
  </si>
  <si>
    <t>1Q18E</t>
  </si>
  <si>
    <t>2Q18E</t>
  </si>
  <si>
    <t>3Q18E</t>
  </si>
  <si>
    <t>1Q19E</t>
  </si>
  <si>
    <t>2Q19E</t>
  </si>
  <si>
    <t>3Q19E</t>
  </si>
  <si>
    <t>1Q20E</t>
  </si>
  <si>
    <t>2Q21E</t>
  </si>
  <si>
    <t>3Q21E</t>
  </si>
  <si>
    <t>4Q21E</t>
  </si>
  <si>
    <t>1Q22E</t>
  </si>
  <si>
    <t>2Q22E</t>
  </si>
  <si>
    <t>3Q22E</t>
  </si>
  <si>
    <t>4Q22E</t>
  </si>
  <si>
    <t>1Q23E</t>
  </si>
  <si>
    <t>2Q23E</t>
  </si>
  <si>
    <t>3Q23E</t>
  </si>
  <si>
    <t>4Q23E</t>
  </si>
  <si>
    <t>1Q24E</t>
  </si>
  <si>
    <t>2Q24E</t>
  </si>
  <si>
    <t>3Q24E</t>
  </si>
  <si>
    <t>4Q24E</t>
  </si>
  <si>
    <t>1Q25E</t>
  </si>
  <si>
    <t>2Q25E</t>
  </si>
  <si>
    <t>3Q25E</t>
  </si>
  <si>
    <t>4Q25E</t>
  </si>
  <si>
    <t>1Q26E</t>
  </si>
  <si>
    <t>2Q26E</t>
  </si>
  <si>
    <t>3Q26E</t>
  </si>
  <si>
    <t>4Q26E</t>
  </si>
  <si>
    <t>1Q27E</t>
  </si>
  <si>
    <t>2Q27E</t>
  </si>
  <si>
    <t>3Q27E</t>
  </si>
  <si>
    <t>4Q27E</t>
  </si>
  <si>
    <t>1Q28E</t>
  </si>
  <si>
    <t>2Q28E</t>
  </si>
  <si>
    <t>3Q28E</t>
  </si>
  <si>
    <t>4Q28E</t>
  </si>
  <si>
    <t>1Q29E</t>
  </si>
  <si>
    <t>2Q29E</t>
  </si>
  <si>
    <t>3Q29E</t>
  </si>
  <si>
    <t>4Q29E</t>
  </si>
  <si>
    <t>1Q30E</t>
  </si>
  <si>
    <t>2Q30E</t>
  </si>
  <si>
    <t>3Q30E</t>
  </si>
  <si>
    <t>4Q30E</t>
  </si>
  <si>
    <t>2021 capital expenditures</t>
  </si>
  <si>
    <t>2022 capital expenditures</t>
  </si>
  <si>
    <t>2023 capital expenditures</t>
  </si>
  <si>
    <t>2024 capital expenditures</t>
  </si>
  <si>
    <t>2025 capital expenditures</t>
  </si>
  <si>
    <t>2026 capital expenditures</t>
  </si>
  <si>
    <t>2027 capital expenditures</t>
  </si>
  <si>
    <t>2028 capital expenditures</t>
  </si>
  <si>
    <t>2029 capital expenditures</t>
  </si>
  <si>
    <t>2030 capital expenditures</t>
  </si>
  <si>
    <t>Corlanor</t>
  </si>
  <si>
    <t>Imlygic (Jan 22, 2021)</t>
  </si>
  <si>
    <t>Corlanor (Apr 17, 2026)</t>
  </si>
  <si>
    <t>Total US Population (millions)</t>
  </si>
  <si>
    <t>Population Growth Rate</t>
  </si>
  <si>
    <t>Episodic Migraine Prevalence</t>
  </si>
  <si>
    <t>Chronic Migraine Prevalence</t>
  </si>
  <si>
    <t>Episodic Migraine Prevalence (millions)</t>
  </si>
  <si>
    <t>% Visiting Neurologist</t>
  </si>
  <si>
    <t>Treatable Population (millions)</t>
  </si>
  <si>
    <t>% Responding To Treatment</t>
  </si>
  <si>
    <t>Chronic Migraine Prevalence (millions)</t>
  </si>
  <si>
    <t>Episodic and chronic migraine</t>
  </si>
  <si>
    <t>PhII/III</t>
  </si>
  <si>
    <t>Treated Population</t>
  </si>
  <si>
    <t>AMG334 Treated</t>
  </si>
  <si>
    <t>Treatable Population</t>
  </si>
  <si>
    <t>Total AMG334 Treated</t>
  </si>
  <si>
    <t>Cost/Year</t>
  </si>
  <si>
    <t>Vectibix US Patent Protection</t>
  </si>
  <si>
    <t>Kyprolis US Patent Protection</t>
  </si>
  <si>
    <t>Last patent expires 12/7/2027; both patents below</t>
  </si>
  <si>
    <t>4/14/2025: Methods of treatment</t>
  </si>
  <si>
    <t>12/7/2027: Compositions and compounds</t>
  </si>
  <si>
    <t>AMG334 US patents expected to expire in 2031</t>
  </si>
  <si>
    <t>Parsabiv</t>
  </si>
  <si>
    <t>France, Italy, Spain, UK - 2025)</t>
  </si>
  <si>
    <t>France, Italy, Spain, UK - 2024)</t>
  </si>
  <si>
    <r>
      <t xml:space="preserve">Epogen </t>
    </r>
    <r>
      <rPr>
        <b/>
        <i/>
        <sz val="10"/>
        <rFont val="Arial"/>
        <family val="2"/>
      </rPr>
      <t>(US only - May 26, 2015)</t>
    </r>
  </si>
  <si>
    <r>
      <t xml:space="preserve">US </t>
    </r>
    <r>
      <rPr>
        <i/>
        <sz val="10"/>
        <rFont val="Arial"/>
        <family val="2"/>
      </rPr>
      <t>(May 15, 2024)</t>
    </r>
  </si>
  <si>
    <r>
      <t xml:space="preserve">ROW </t>
    </r>
    <r>
      <rPr>
        <i/>
        <sz val="10"/>
        <rFont val="Arial"/>
        <family val="2"/>
      </rPr>
      <t>(Aug 16, 2014, EU5 2016)</t>
    </r>
  </si>
  <si>
    <r>
      <t xml:space="preserve">US </t>
    </r>
    <r>
      <rPr>
        <i/>
        <sz val="10"/>
        <rFont val="Arial"/>
        <family val="2"/>
      </rPr>
      <t>(Expired)</t>
    </r>
  </si>
  <si>
    <r>
      <t xml:space="preserve">ROW </t>
    </r>
    <r>
      <rPr>
        <i/>
        <sz val="10"/>
        <rFont val="Arial"/>
        <family val="2"/>
      </rPr>
      <t>(Expired)</t>
    </r>
  </si>
  <si>
    <r>
      <t xml:space="preserve">US </t>
    </r>
    <r>
      <rPr>
        <i/>
        <sz val="10"/>
        <rFont val="Arial"/>
        <family val="2"/>
      </rPr>
      <t>(Oct 20, 2015)</t>
    </r>
  </si>
  <si>
    <r>
      <t xml:space="preserve">ROW </t>
    </r>
    <r>
      <rPr>
        <i/>
        <sz val="10"/>
        <rFont val="Arial"/>
        <family val="2"/>
      </rPr>
      <t>(Feb 8, 2015, EU5 2017)</t>
    </r>
  </si>
  <si>
    <r>
      <t xml:space="preserve">US </t>
    </r>
    <r>
      <rPr>
        <i/>
        <sz val="10"/>
        <rFont val="Arial"/>
        <family val="2"/>
      </rPr>
      <t>(April 24, 2029)</t>
    </r>
  </si>
  <si>
    <r>
      <t xml:space="preserve">US </t>
    </r>
    <r>
      <rPr>
        <i/>
        <sz val="10"/>
        <rFont val="Arial"/>
        <family val="2"/>
      </rPr>
      <t>(March 8, 2018)</t>
    </r>
  </si>
  <si>
    <r>
      <t xml:space="preserve">ROW </t>
    </r>
    <r>
      <rPr>
        <i/>
        <sz val="10"/>
        <rFont val="Arial"/>
        <family val="2"/>
      </rPr>
      <t>(Oct 23, 2015, EU5 2019)</t>
    </r>
  </si>
  <si>
    <r>
      <t xml:space="preserve">US </t>
    </r>
    <r>
      <rPr>
        <i/>
        <sz val="10"/>
        <rFont val="Arial"/>
        <family val="2"/>
      </rPr>
      <t>(Apr 8, 2020)</t>
    </r>
  </si>
  <si>
    <r>
      <t xml:space="preserve">ROW </t>
    </r>
    <r>
      <rPr>
        <i/>
        <sz val="10"/>
        <rFont val="Arial"/>
        <family val="2"/>
      </rPr>
      <t>(May 5, 2018, EU5 2022)</t>
    </r>
  </si>
  <si>
    <r>
      <t xml:space="preserve">US </t>
    </r>
    <r>
      <rPr>
        <i/>
        <sz val="10"/>
        <rFont val="Arial"/>
        <family val="2"/>
      </rPr>
      <t>(Feb 19, 2025)</t>
    </r>
  </si>
  <si>
    <r>
      <t xml:space="preserve">ROW </t>
    </r>
    <r>
      <rPr>
        <i/>
        <sz val="10"/>
        <rFont val="Arial"/>
        <family val="2"/>
      </rPr>
      <t>(June 25, 2022;</t>
    </r>
  </si>
  <si>
    <r>
      <t xml:space="preserve">US </t>
    </r>
    <r>
      <rPr>
        <i/>
        <sz val="10"/>
        <rFont val="Arial"/>
        <family val="2"/>
      </rPr>
      <t>(Jan 19, 2022)</t>
    </r>
  </si>
  <si>
    <r>
      <t xml:space="preserve">ROW </t>
    </r>
    <r>
      <rPr>
        <i/>
        <sz val="10"/>
        <rFont val="Arial"/>
        <family val="2"/>
      </rPr>
      <t>(Oct 22, 2019;</t>
    </r>
  </si>
  <si>
    <r>
      <t xml:space="preserve">US </t>
    </r>
    <r>
      <rPr>
        <i/>
        <sz val="10"/>
        <rFont val="Arial"/>
        <family val="2"/>
      </rPr>
      <t>(Oct 8, 2030)</t>
    </r>
  </si>
  <si>
    <r>
      <t xml:space="preserve">US </t>
    </r>
    <r>
      <rPr>
        <i/>
        <sz val="10"/>
        <rFont val="Arial"/>
        <family val="2"/>
      </rPr>
      <t>(Dec 7, 2027)</t>
    </r>
  </si>
  <si>
    <r>
      <t xml:space="preserve">ROW </t>
    </r>
    <r>
      <rPr>
        <i/>
        <sz val="10"/>
        <rFont val="Arial"/>
        <family val="2"/>
      </rPr>
      <t>(Aug 8, 2025)</t>
    </r>
  </si>
  <si>
    <r>
      <t xml:space="preserve">US </t>
    </r>
    <r>
      <rPr>
        <i/>
        <sz val="10"/>
        <rFont val="Arial"/>
        <family val="2"/>
      </rPr>
      <t>(Sept 28, 2027)</t>
    </r>
  </si>
  <si>
    <r>
      <t xml:space="preserve">ROW </t>
    </r>
    <r>
      <rPr>
        <i/>
        <sz val="10"/>
        <rFont val="Arial"/>
        <family val="2"/>
      </rPr>
      <t>(Nov 29, 2026)</t>
    </r>
  </si>
  <si>
    <r>
      <t xml:space="preserve">Product Revenue </t>
    </r>
    <r>
      <rPr>
        <b/>
        <i/>
        <sz val="10"/>
        <rFont val="Arial"/>
        <family val="2"/>
      </rPr>
      <t>(Patent)</t>
    </r>
  </si>
  <si>
    <t>3Q16A</t>
  </si>
  <si>
    <t>US Revenues ($M)</t>
  </si>
  <si>
    <t>4Q16A</t>
  </si>
  <si>
    <t>2016A</t>
  </si>
  <si>
    <t>Other Liabilities</t>
  </si>
  <si>
    <t>Short-term loan</t>
  </si>
  <si>
    <t>Unamortized bond discounts, premiums and issuance costs, net</t>
  </si>
  <si>
    <t>1Q17A</t>
  </si>
  <si>
    <t>U.S. Product Revenue ($M)</t>
  </si>
  <si>
    <t>Royalty to Novartis on U.S. sales (%)</t>
  </si>
  <si>
    <t>Royalty to Novartis on U.S. sales ($M)</t>
  </si>
  <si>
    <t>Ex-U.S. Product Revenues ($M)</t>
  </si>
  <si>
    <t>% of U.S. sales</t>
  </si>
  <si>
    <t>Royalty to Amgen on ex-U.S. sales (%)</t>
  </si>
  <si>
    <t>Royalty to Amgen on ex-U.S. sales ($M)</t>
  </si>
  <si>
    <t>Milestone Payments to Amgen ($M)</t>
  </si>
  <si>
    <t>Erenumab (ex-U.S. royalty)</t>
  </si>
  <si>
    <t>Erenumab (milestone payments)</t>
  </si>
  <si>
    <t>2Q17A</t>
  </si>
  <si>
    <t>3Q17A</t>
  </si>
  <si>
    <r>
      <t xml:space="preserve">US </t>
    </r>
    <r>
      <rPr>
        <i/>
        <sz val="10"/>
        <rFont val="Arial"/>
        <family val="2"/>
      </rPr>
      <t>(July 29, 2030)</t>
    </r>
  </si>
  <si>
    <r>
      <t xml:space="preserve">ROW </t>
    </r>
    <r>
      <rPr>
        <i/>
        <sz val="10"/>
        <rFont val="Arial"/>
        <family val="2"/>
      </rPr>
      <t>(July 29, 2030)</t>
    </r>
  </si>
  <si>
    <t>4Q17A</t>
  </si>
  <si>
    <t>2017A</t>
  </si>
  <si>
    <t>Tezepelumab</t>
  </si>
  <si>
    <t>Asthma</t>
  </si>
  <si>
    <t>1.90% notes due 2019 (1.90% 2019 Notes)</t>
  </si>
  <si>
    <t>Floating rate notes due 2020</t>
  </si>
  <si>
    <t>2.20% notes due 2020 (2.20% 2020 notes)</t>
  </si>
  <si>
    <t>2.65% notes due 2022 (2.65% 2022 notes)</t>
  </si>
  <si>
    <t>3.20% notes due 2027 (3.20% 2027 notes)</t>
  </si>
  <si>
    <t>Currency</t>
  </si>
  <si>
    <t>Current Stock Price</t>
  </si>
  <si>
    <t>Count</t>
  </si>
  <si>
    <t>205</t>
  </si>
  <si>
    <t>1Q18A</t>
  </si>
  <si>
    <t>$21.9-22.8B</t>
  </si>
  <si>
    <t>13.5%-14.5%</t>
  </si>
  <si>
    <t>$12.80-13.70</t>
  </si>
  <si>
    <t>Research</t>
  </si>
  <si>
    <t>MSA72HLP</t>
  </si>
  <si>
    <t>Front Line Treatment - United States</t>
  </si>
  <si>
    <t># Receiving Treatment</t>
  </si>
  <si>
    <t># 1st Line Induction</t>
  </si>
  <si>
    <t>Market Share of Non-SCT Regimines</t>
  </si>
  <si>
    <t>Revlimid containing</t>
  </si>
  <si>
    <t>% on Continuous Therapy</t>
  </si>
  <si>
    <t># on Continuous Therapy</t>
  </si>
  <si>
    <t>Front Line Revenues</t>
  </si>
  <si>
    <t>Relapsed/Refractory Treatment - United States</t>
  </si>
  <si>
    <t>Net prevalence (prevalence - incidence)</t>
  </si>
  <si>
    <t xml:space="preserve">Base </t>
  </si>
  <si>
    <t>% 1L</t>
  </si>
  <si>
    <t>% 2L</t>
  </si>
  <si>
    <t>% 3L</t>
  </si>
  <si>
    <t>% No treatment</t>
  </si>
  <si>
    <t>% Kyprolis containing</t>
  </si>
  <si>
    <t>Patients</t>
  </si>
  <si>
    <t># Kyprolis containing</t>
  </si>
  <si>
    <t>Refractory (2L) Population</t>
  </si>
  <si>
    <t>Double-Refractory (3L) Population</t>
  </si>
  <si>
    <t>1L Duration (months)</t>
  </si>
  <si>
    <t>2L Duration (months)</t>
  </si>
  <si>
    <t>3L Duration (months)</t>
  </si>
  <si>
    <t>$ Total Kyprolis Relapsed/Refractory Sales</t>
  </si>
  <si>
    <t>Front Line Treatment - International</t>
  </si>
  <si>
    <t>Front Line Revenue Calculations</t>
  </si>
  <si>
    <t>Relapsed/Refractory Treatment - International</t>
  </si>
  <si>
    <t>Kyprolis containing</t>
  </si>
  <si>
    <t>3L Market Shares</t>
  </si>
  <si>
    <t># of 3L Patients</t>
  </si>
  <si>
    <t>e = Morgan Stanley Research estimates unless otherwise noted</t>
  </si>
  <si>
    <t>Source: Morgan Stanley Research unless otherwise noted</t>
  </si>
  <si>
    <t>Stocks ratings are relative to the analyst's industry coverage universe.</t>
  </si>
  <si>
    <t>1585 Broadway</t>
  </si>
  <si>
    <t>New York, NY  10036-8293</t>
  </si>
  <si>
    <t>Tel: +1 (1)212 761 4000</t>
  </si>
  <si>
    <t>Authors: Matthew Harrison</t>
  </si>
  <si>
    <t>Date: 26 Apr 2018</t>
  </si>
  <si>
    <t>Ticker: AMGN.O</t>
  </si>
  <si>
    <t>Stock Rating: Overweight</t>
  </si>
  <si>
    <t>Industry: Biotechnology</t>
  </si>
  <si>
    <t>Industry View: In-Line</t>
  </si>
  <si>
    <t>Price as of 26 Apr 2018: 174.09</t>
  </si>
  <si>
    <t>Target Price: 200</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</si>
  <si>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</si>
  <si>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</si>
  <si>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</si>
  <si>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</si>
  <si>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Amgen Inc..</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</si>
  <si>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</si>
  <si>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</si>
  <si>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</si>
  <si>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</si>
  <si>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</si>
  <si>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</si>
  <si>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</si>
  <si>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</si>
  <si>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</si>
  <si>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</si>
  <si>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</si>
  <si>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</si>
  <si>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</si>
  <si>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</si>
  <si>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</si>
  <si>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</si>
  <si>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</si>
  <si>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</si>
  <si>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</si>
  <si>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</si>
  <si>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</si>
  <si>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</si>
  <si>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</si>
  <si>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</si>
  <si>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</si>
  <si>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</si>
  <si>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</si>
  <si>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</si>
  <si>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</si>
  <si>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</si>
  <si>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</si>
  <si>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</si>
  <si>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</si>
  <si>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</si>
  <si>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</si>
  <si>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</si>
  <si>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</si>
  <si>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</si>
  <si>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</si>
  <si>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</si>
  <si>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</si>
  <si>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</si>
  <si>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</si>
  <si>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</si>
  <si>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</si>
  <si>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</si>
  <si>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</si>
  <si>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</si>
  <si>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</si>
  <si>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</si>
  <si>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</si>
  <si>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</si>
  <si>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</si>
  <si>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</si>
  <si>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</si>
  <si>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</si>
  <si>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</si>
  <si>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</si>
  <si>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</si>
  <si>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</si>
  <si>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</si>
  <si>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</si>
  <si>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</si>
  <si>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</si>
  <si>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</si>
  <si>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</si>
  <si>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</si>
  <si>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</si>
  <si>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</si>
  <si>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</si>
  <si>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</si>
  <si>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</si>
  <si>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</si>
  <si>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</si>
  <si>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</si>
  <si>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</si>
  <si>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</si>
  <si>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</si>
  <si>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</si>
  <si>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</si>
  <si>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</si>
  <si>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</si>
  <si>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</si>
  <si>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</si>
  <si>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</si>
  <si>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</si>
  <si>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</si>
  <si>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</si>
  <si>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</si>
  <si>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</si>
  <si>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</si>
  <si>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</si>
  <si>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</si>
  <si>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</si>
  <si>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</si>
  <si>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</si>
  <si>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</si>
  <si>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</si>
  <si>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</si>
  <si>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</si>
  <si>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</si>
  <si>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</si>
  <si>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</si>
  <si>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</si>
  <si>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</si>
  <si>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</si>
  <si>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</si>
  <si>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</si>
  <si>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</si>
  <si>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</si>
  <si>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</si>
  <si>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</si>
  <si>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</si>
  <si>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</si>
  <si>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</si>
  <si>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</si>
  <si>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</si>
  <si>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</si>
  <si>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</si>
  <si>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</si>
  <si>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</si>
  <si>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</si>
  <si>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</si>
  <si>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</si>
  <si>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</si>
  <si>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</si>
  <si>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</si>
  <si>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</si>
  <si>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</si>
  <si>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</si>
  <si>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</si>
  <si>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</si>
  <si>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</si>
  <si>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</si>
  <si>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</si>
  <si>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</si>
  <si>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</si>
  <si>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</si>
  <si>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</si>
  <si>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</si>
  <si>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</si>
  <si>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</si>
  <si>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</si>
  <si>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</si>
  <si>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</si>
  <si>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</si>
  <si>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</si>
  <si>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</si>
  <si>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</si>
  <si>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</si>
  <si>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</si>
  <si>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</si>
  <si>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</si>
  <si>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</si>
  <si>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</si>
  <si>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</si>
  <si>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</si>
  <si>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</si>
  <si>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</si>
  <si>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</si>
  <si>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</si>
  <si>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</si>
  <si>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</si>
  <si>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</si>
  <si>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</si>
  <si>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</si>
  <si>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</si>
  <si>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</si>
  <si>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</si>
  <si>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</si>
  <si>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</si>
  <si>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</si>
  <si>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</si>
  <si>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</si>
  <si>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</si>
  <si>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</si>
  <si>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Amgen Inc..</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</si>
  <si>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</si>
  <si>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</si>
  <si>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</si>
  <si>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</si>
  <si>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</si>
  <si>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</si>
  <si>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</si>
  <si>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</si>
  <si>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</si>
  <si>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</si>
  <si>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</si>
  <si>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</si>
  <si>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</si>
  <si>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</si>
  <si>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</si>
  <si>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</si>
  <si>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</si>
  <si>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</si>
  <si>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</si>
  <si>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</si>
  <si>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</si>
  <si>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</si>
  <si>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</si>
  <si>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</si>
  <si>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</si>
  <si>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</si>
  <si>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</si>
  <si>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</si>
  <si>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</si>
  <si>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</si>
  <si>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</si>
  <si>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</si>
  <si>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</si>
  <si>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</si>
  <si>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</si>
  <si>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</si>
  <si>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</si>
  <si>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</si>
  <si>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</si>
  <si>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</si>
  <si>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</si>
  <si>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</si>
  <si>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</si>
  <si>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</si>
  <si>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</si>
  <si>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</si>
  <si>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</si>
  <si>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</si>
  <si>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</si>
  <si>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</si>
  <si>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</si>
  <si>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</si>
  <si>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</si>
  <si>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</si>
  <si>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</si>
  <si>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</si>
  <si>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</si>
  <si>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</si>
  <si>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</si>
  <si>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</si>
  <si>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</si>
  <si>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</si>
  <si>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</si>
  <si>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</si>
  <si>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</si>
  <si>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</si>
  <si>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</si>
  <si>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</si>
  <si>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Amgen Inc..</t>
  </si>
  <si>
    <t>Within the last 12 months, Morgan Stanley has provided or is providing investment banking services to,</t>
  </si>
  <si>
    <t>or has an investment banking client relationship with, the following company: Amgen Inc..</t>
  </si>
  <si>
    <t>Within the last 12 months, Morgan Stanley has received compensation for products and services other than</t>
  </si>
  <si>
    <t>investment banking services from Amgen Inc..</t>
  </si>
  <si>
    <t>In the next 3 months, Morgan Stanley expects to receive or intends to seek compensation for investment</t>
  </si>
  <si>
    <t>banking services from Amgen Inc..</t>
  </si>
  <si>
    <t>Within the last 12 months, Morgan Stanley has received compensation for investment banking services from</t>
  </si>
  <si>
    <t>Amgen Inc..</t>
  </si>
  <si>
    <t>Within the last 12 months, Morgan Stanley managed or co-managed a public offering (or 144A offering) of</t>
  </si>
  <si>
    <t>securities of Amgen Inc..</t>
  </si>
  <si>
    <t>As of March 29, 2018, Morgan Stanley beneficially owned 1% or more of a class of common equity</t>
  </si>
  <si>
    <t>securities of the following companies covered in Morgan Stanley Research: Amgen Inc..</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</si>
  <si>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</si>
  <si>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</si>
  <si>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</si>
  <si>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</si>
  <si>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</si>
  <si>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Matthew Harrison.</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</si>
  <si>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</si>
  <si>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</si>
  <si>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</si>
  <si>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</si>
  <si>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</si>
  <si>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</si>
  <si>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</si>
  <si>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</si>
  <si>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</si>
  <si>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</si>
  <si>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</si>
  <si>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</si>
  <si>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</si>
  <si>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</si>
  <si>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</si>
  <si>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</si>
  <si>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</si>
  <si>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</si>
  <si>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</si>
  <si>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</si>
  <si>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</si>
  <si>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</si>
  <si>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</si>
  <si>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</si>
  <si>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</si>
  <si>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</si>
  <si>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</si>
  <si>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</si>
  <si>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</si>
  <si>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</si>
  <si>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</si>
  <si>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</si>
  <si>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</si>
  <si>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</si>
  <si>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</si>
  <si>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</si>
  <si>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</si>
  <si>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</si>
  <si>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</si>
  <si>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</si>
  <si>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</si>
  <si>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</si>
  <si>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</si>
  <si>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</si>
  <si>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</si>
  <si>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</si>
  <si>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</si>
  <si>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</si>
  <si>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</si>
  <si>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</si>
  <si>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</si>
  <si>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</si>
  <si>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</si>
  <si>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</si>
  <si>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</si>
  <si>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</si>
  <si>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</si>
  <si>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</si>
  <si>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</si>
  <si>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</si>
  <si>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</si>
  <si>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</si>
  <si>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</si>
  <si>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</si>
  <si>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</si>
  <si>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</si>
  <si>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</si>
  <si>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Overweight / In-Line</t>
  </si>
  <si>
    <t>Quarterly Update</t>
  </si>
  <si>
    <t>NorthAmerica</t>
  </si>
  <si>
    <t>purohvik</t>
  </si>
  <si>
    <t>L:\HEALTH\Biotech\Harrison\Models\AMGN_MH.xlsm</t>
  </si>
  <si>
    <t>[BRO MSA]</t>
  </si>
  <si>
    <t>[PRODUCT MODEL]</t>
  </si>
  <si>
    <t>[EMAIL_ALERT YES]</t>
  </si>
  <si>
    <t>[DISCIPLINE Company]</t>
  </si>
  <si>
    <t>[SUPPRESSED NO]</t>
  </si>
  <si>
    <t>[DOCDAT 2018-04-26]</t>
  </si>
  <si>
    <t>[DOCTIME 11:00]</t>
  </si>
  <si>
    <t>[PSYM AMGN.O(S&amp;P) (None)]</t>
  </si>
  <si>
    <t>[COU 1]</t>
  </si>
  <si>
    <t>[ANA ]</t>
  </si>
  <si>
    <t>[HL AMGN.O Model]</t>
  </si>
  <si>
    <t>[IND BIOTEC]</t>
  </si>
  <si>
    <t>[PANA MSA72HLP]</t>
  </si>
</sst>
</file>

<file path=xl/styles.xml><?xml version="1.0" encoding="utf-8"?>
<styleSheet xmlns="http://schemas.openxmlformats.org/spreadsheetml/2006/main" xmlns:mc="http://schemas.openxmlformats.org/markup-compatibility/2006" xmlns:x14ac="http://schemas.microsoft.com/office/spreadsheetml/2009/9/ac" mc:Ignorable="x14ac">
  <numFmts count="42">
    <numFmt numFmtId="5" formatCode="&quot;$&quot;#,##0_);\(&quot;$&quot;#,##0\)"/>
    <numFmt numFmtId="6" formatCode="&quot;$&quot;#,##0_);[Red]\(&quot;$&quot;#,##0\)"/>
    <numFmt numFmtId="7" formatCode="&quot;$&quot;#,##0.00_);\(&quot;$&quot;#,##0.00\)"/>
    <numFmt numFmtId="8" formatCode="&quot;$&quot;#,##0.00_);[Red]\(&quot;$&quot;#,##0.00\)"/>
    <numFmt numFmtId="41" formatCode="_(* #,##0_);_(* \(#,##0\);_(* &quot;-&quot;_);_(@_)"/>
    <numFmt numFmtId="44" formatCode="_(&quot;$&quot;* #,##0.00_);_(&quot;$&quot;* \(#,##0.00\);_(&quot;$&quot;* &quot;-&quot;??_);_(@_)"/>
    <numFmt numFmtId="43" formatCode="_(* #,##0.00_);_(* \(#,##0.00\);_(* &quot;-&quot;??_);_(@_)"/>
    <numFmt numFmtId="164" formatCode="_(* #,##0_);_(* \(#,##0\);_(* &quot;-&quot;??_);_(@_)"/>
    <numFmt numFmtId="165" formatCode="0.0%"/>
    <numFmt numFmtId="166" formatCode="#,##0.0_);\(#,##0.0\)"/>
    <numFmt numFmtId="167" formatCode="#,##0.0"/>
    <numFmt numFmtId="168" formatCode="&quot;$&quot;#,##0.00"/>
    <numFmt numFmtId="169" formatCode="0.0"/>
    <numFmt numFmtId="170" formatCode="0.0%_);\(0.0%\)"/>
    <numFmt numFmtId="171" formatCode="#,##0.0_);[Red]\(#,##0.0\)"/>
    <numFmt numFmtId="172" formatCode="&quot;$&quot;#,##0"/>
    <numFmt numFmtId="173" formatCode="0_);\(0\)"/>
    <numFmt numFmtId="174" formatCode="0.000%"/>
    <numFmt numFmtId="175" formatCode="0_);[Red]\(0\)"/>
    <numFmt numFmtId="176" formatCode="m/d/yy;@"/>
    <numFmt numFmtId="177" formatCode="_(* #,##0.0_);_(* \(#,##0.0\);_(* &quot;-&quot;??_);_(@_)"/>
    <numFmt numFmtId="178" formatCode="####&quot;E&quot;"/>
    <numFmt numFmtId="179" formatCode="#,##0.0000"/>
    <numFmt numFmtId="180" formatCode="_(* #,##0.000_);_(* \(#,##0.000\);_(* &quot;-&quot;_);_(@_)"/>
    <numFmt numFmtId="181" formatCode="0.0_);\(0.0\)"/>
    <numFmt numFmtId="182" formatCode="#,##0.0000_);\(#,##0.0000\)"/>
    <numFmt numFmtId="183" formatCode="0.0000"/>
    <numFmt numFmtId="184" formatCode="0%_);\(0%\)"/>
    <numFmt numFmtId="185" formatCode="0.00%_);\(0.00%\)"/>
    <numFmt numFmtId="186" formatCode="&quot;$&quot;#,##0.00000"/>
    <numFmt numFmtId="187" formatCode="#,##0.000000"/>
    <numFmt numFmtId="188" formatCode="#,##0.00000_);[Red]\(#,##0.00000\)"/>
    <numFmt numFmtId="189" formatCode="&quot;$&quot;#,##0.0_);\(&quot;$&quot;#,##0.0\)"/>
    <numFmt numFmtId="190" formatCode="0.00_);\(0.00\)"/>
    <numFmt numFmtId="191" formatCode="_(* #,##0.0_);_(* \(#,##0.0\);_(* &quot;-&quot;?_);_(@_)"/>
    <numFmt numFmtId="192" formatCode="0.0\x"/>
    <numFmt numFmtId="193" formatCode="####&quot;A&quot;"/>
    <numFmt numFmtId="194" formatCode="_(* #,##0_);_(* \(#,##0\);_(* &quot;-&quot;?_);_(@_)"/>
    <numFmt numFmtId="195" formatCode="0.000"/>
    <numFmt numFmtId="196" formatCode="0_)"/>
    <numFmt numFmtId="197" formatCode="#,##0_);\ \(#,##0\);\ &quot;- &quot;"/>
    <numFmt numFmtId="198" formatCode="mm/dd/yy\ hh:mm"/>
  </numFmts>
  <fonts count="85">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indexed="8"/>
      <name val="Calibri"/>
      <family val="2"/>
    </font>
    <font>
      <sz val="10"/>
      <name val="Arial"/>
      <family val="2"/>
    </font>
    <font>
      <sz val="10"/>
      <name val="Arial"/>
      <family val="2"/>
    </font>
    <font>
      <sz val="10"/>
      <name val="MS Sans Serif"/>
      <family val="2"/>
    </font>
    <font>
      <b/>
      <sz val="10"/>
      <color indexed="8"/>
      <name val="Times New Roman"/>
      <family val="1"/>
    </font>
    <font>
      <i/>
      <sz val="11"/>
      <color indexed="23"/>
      <name val="Calibri"/>
      <family val="2"/>
    </font>
    <font>
      <b/>
      <sz val="15"/>
      <color indexed="62"/>
      <name val="Calibri"/>
      <family val="2"/>
    </font>
    <font>
      <b/>
      <sz val="13"/>
      <color indexed="62"/>
      <name val="Calibri"/>
      <family val="2"/>
    </font>
    <font>
      <b/>
      <sz val="11"/>
      <color indexed="62"/>
      <name val="Calibri"/>
      <family val="2"/>
    </font>
    <font>
      <u/>
      <sz val="10"/>
      <color indexed="12"/>
      <name val="Arial"/>
      <family val="2"/>
    </font>
    <font>
      <sz val="11"/>
      <color indexed="62"/>
      <name val="Calibri"/>
      <family val="2"/>
    </font>
    <font>
      <sz val="11"/>
      <color indexed="52"/>
      <name val="Calibri"/>
      <family val="2"/>
    </font>
    <font>
      <b/>
      <sz val="11"/>
      <color indexed="63"/>
      <name val="Calibri"/>
      <family val="2"/>
    </font>
    <font>
      <sz val="9"/>
      <name val="Times New Roman"/>
      <family val="1"/>
    </font>
    <font>
      <sz val="10"/>
      <color indexed="8"/>
      <name val="Times New Roman"/>
      <family val="1"/>
    </font>
    <font>
      <i/>
      <sz val="8"/>
      <name val="Times New Roman"/>
      <family val="1"/>
    </font>
    <font>
      <b/>
      <sz val="18"/>
      <color indexed="62"/>
      <name val="Cambria"/>
      <family val="2"/>
    </font>
    <font>
      <b/>
      <sz val="11"/>
      <color indexed="8"/>
      <name val="Calibri"/>
      <family val="2"/>
    </font>
    <font>
      <sz val="8"/>
      <name val="Arial"/>
      <family val="2"/>
    </font>
    <font>
      <b/>
      <sz val="10"/>
      <name val="Arial"/>
      <family val="2"/>
    </font>
    <font>
      <i/>
      <sz val="10"/>
      <name val="Arial"/>
      <family val="2"/>
    </font>
    <font>
      <sz val="8"/>
      <color indexed="81"/>
      <name val="Tahoma"/>
      <family val="2"/>
    </font>
    <font>
      <b/>
      <sz val="8"/>
      <color indexed="81"/>
      <name val="Tahoma"/>
      <family val="2"/>
    </font>
    <font>
      <sz val="10"/>
      <color indexed="8"/>
      <name val="Arial"/>
      <family val="2"/>
    </font>
    <font>
      <i/>
      <sz val="10"/>
      <color indexed="48"/>
      <name val="Arial"/>
      <family val="2"/>
    </font>
    <font>
      <sz val="10"/>
      <color indexed="48"/>
      <name val="Arial"/>
      <family val="2"/>
    </font>
    <font>
      <sz val="10"/>
      <color indexed="9"/>
      <name val="Arial"/>
      <family val="2"/>
    </font>
    <font>
      <b/>
      <i/>
      <sz val="10"/>
      <name val="Arial"/>
      <family val="2"/>
    </font>
    <font>
      <sz val="11"/>
      <color indexed="8"/>
      <name val="Calibri"/>
      <family val="2"/>
    </font>
    <font>
      <sz val="11"/>
      <color indexed="9"/>
      <name val="Calibri"/>
      <family val="2"/>
    </font>
    <font>
      <sz val="11"/>
      <color indexed="16"/>
      <name val="Calibri"/>
      <family val="2"/>
    </font>
    <font>
      <b/>
      <sz val="11"/>
      <color indexed="53"/>
      <name val="Calibri"/>
      <family val="2"/>
    </font>
    <font>
      <b/>
      <sz val="11"/>
      <color indexed="9"/>
      <name val="Calibri"/>
      <family val="2"/>
    </font>
    <font>
      <sz val="11"/>
      <color indexed="58"/>
      <name val="Calibri"/>
      <family val="2"/>
    </font>
    <font>
      <sz val="11"/>
      <color indexed="13"/>
      <name val="Calibri"/>
      <family val="2"/>
    </font>
    <font>
      <sz val="11"/>
      <color indexed="10"/>
      <name val="Calibri"/>
      <family val="2"/>
    </font>
    <font>
      <sz val="10"/>
      <color indexed="41"/>
      <name val="Arial"/>
      <family val="2"/>
    </font>
    <font>
      <sz val="9"/>
      <color indexed="8"/>
      <name val="Arial"/>
      <family val="2"/>
    </font>
    <font>
      <sz val="10"/>
      <name val="Arial"/>
      <family val="2"/>
    </font>
    <font>
      <sz val="10"/>
      <color indexed="12"/>
      <name val="Arial"/>
      <family val="2"/>
    </font>
    <font>
      <sz val="10"/>
      <color indexed="10"/>
      <name val="Arial"/>
      <family val="2"/>
    </font>
    <font>
      <sz val="10"/>
      <color indexed="58"/>
      <name val="Arial"/>
      <family val="2"/>
    </font>
    <font>
      <sz val="11"/>
      <name val="Arial"/>
      <family val="2"/>
    </font>
    <font>
      <sz val="9"/>
      <color indexed="81"/>
      <name val="Tahoma"/>
      <family val="2"/>
    </font>
    <font>
      <b/>
      <sz val="9"/>
      <color indexed="81"/>
      <name val="Tahoma"/>
      <family val="2"/>
    </font>
    <font>
      <sz val="10"/>
      <color indexed="24"/>
      <name val="Arial"/>
      <family val="2"/>
    </font>
    <font>
      <b/>
      <sz val="10"/>
      <color indexed="8"/>
      <name val="Arial"/>
      <family val="2"/>
    </font>
    <font>
      <b/>
      <sz val="10"/>
      <color indexed="9"/>
      <name val="Arial"/>
      <family val="2"/>
    </font>
    <font>
      <i/>
      <sz val="10"/>
      <color indexed="8"/>
      <name val="Arial"/>
      <family val="2"/>
    </font>
    <font>
      <sz val="10.5"/>
      <name val="Frutiger 45 Light"/>
    </font>
    <font>
      <b/>
      <sz val="10"/>
      <color indexed="41"/>
      <name val="Arial"/>
      <family val="2"/>
    </font>
    <font>
      <sz val="8"/>
      <name val="Arial"/>
      <family val="2"/>
    </font>
    <font>
      <sz val="11"/>
      <color theme="1"/>
      <name val="Calibri"/>
      <family val="2"/>
      <scheme val="minor"/>
    </font>
    <font>
      <b/>
      <i/>
      <sz val="10"/>
      <color theme="8" tint="-0.249977111117893"/>
      <name val="Arial"/>
      <family val="2"/>
    </font>
    <font>
      <sz val="10"/>
      <color theme="8" tint="-0.249977111117893"/>
      <name val="Arial"/>
      <family val="2"/>
    </font>
    <font>
      <sz val="10"/>
      <color theme="0" tint="-0.499984740745262"/>
      <name val="Arial"/>
      <family val="2"/>
    </font>
    <font>
      <sz val="10"/>
      <color theme="1"/>
      <name val="Arial"/>
      <family val="2"/>
    </font>
    <font>
      <b/>
      <sz val="10"/>
      <color theme="1"/>
      <name val="Arial"/>
      <family val="2"/>
    </font>
    <font>
      <b/>
      <i/>
      <sz val="10"/>
      <color theme="1"/>
      <name val="Arial"/>
      <family val="2"/>
    </font>
    <font>
      <b/>
      <sz val="10"/>
      <color theme="0"/>
      <name val="Arial"/>
      <family val="2"/>
    </font>
    <font>
      <b/>
      <i/>
      <sz val="10"/>
      <color rgb="FFFF0000"/>
      <name val="Arial"/>
      <family val="2"/>
    </font>
    <font>
      <sz val="10"/>
      <color rgb="FF0000FF"/>
      <name val="Arial"/>
      <family val="2"/>
    </font>
    <font>
      <b/>
      <sz val="10"/>
      <color theme="9" tint="-0.249977111117893"/>
      <name val="Arial"/>
      <family val="2"/>
    </font>
    <font>
      <sz val="10"/>
      <color theme="0"/>
      <name val="Arial"/>
      <family val="2"/>
    </font>
    <font>
      <b/>
      <sz val="10"/>
      <color rgb="FF0000FF"/>
      <name val="Arial"/>
      <family val="2"/>
    </font>
    <font>
      <b/>
      <sz val="10"/>
      <color rgb="FFFF0000"/>
      <name val="Arial"/>
      <family val="2"/>
    </font>
    <font>
      <i/>
      <sz val="10"/>
      <color rgb="FF0000FF"/>
      <name val="Arial"/>
      <family val="2"/>
    </font>
    <font>
      <sz val="10"/>
      <color rgb="FFFF0000"/>
      <name val="Arial"/>
      <family val="2"/>
    </font>
    <font>
      <sz val="10"/>
      <color theme="9" tint="-0.499984740745262"/>
      <name val="Arial"/>
      <family val="2"/>
    </font>
    <font>
      <sz val="12"/>
      <color theme="1"/>
      <name val="Calibri"/>
      <family val="2"/>
      <scheme val="minor"/>
    </font>
    <font>
      <sz val="10"/>
      <color rgb="FFFFFFFF"/>
      <name val="Arial"/>
      <family val="2"/>
    </font>
    <font>
      <b/>
      <i/>
      <sz val="10"/>
      <color theme="0"/>
      <name val="Arial"/>
      <family val="2"/>
    </font>
    <font>
      <sz val="10"/>
      <color rgb="FFC00000"/>
      <name val="Arial"/>
      <family val="2"/>
    </font>
    <font>
      <sz val="10"/>
      <color theme="0" tint="-0.14999847407452621"/>
      <name val="Arial"/>
      <family val="2"/>
    </font>
    <font>
      <u/>
      <sz val="10"/>
      <color theme="10"/>
      <name val="Arial"/>
      <family val="2"/>
    </font>
    <font>
      <sz val="10"/>
      <color theme="2"/>
      <name val="Arial"/>
      <family val="2"/>
    </font>
    <font>
      <sz val="10"/>
      <name val="Courier"/>
      <family val="3"/>
    </font>
    <font>
      <sz val="10"/>
      <color rgb="FF000000"/>
      <name val="Arial"/>
      <family val="2"/>
    </font>
    <font>
      <b/>
      <sz val="12"/>
      <color rgb="FF000080"/>
      <name val="Arial"/>
      <family val="2"/>
    </font>
  </fonts>
  <fills count="49">
    <fill>
      <patternFill patternType="none"/>
    </fill>
    <fill>
      <patternFill patternType="gray125"/>
    </fill>
    <fill>
      <patternFill patternType="solid">
        <fgColor indexed="22"/>
        <bgColor indexed="64"/>
      </patternFill>
    </fill>
    <fill>
      <patternFill patternType="solid">
        <fgColor indexed="43"/>
      </patternFill>
    </fill>
    <fill>
      <patternFill patternType="solid">
        <fgColor indexed="41"/>
      </patternFill>
    </fill>
    <fill>
      <patternFill patternType="solid">
        <fgColor indexed="44"/>
      </patternFill>
    </fill>
    <fill>
      <patternFill patternType="solid">
        <fgColor indexed="47"/>
      </patternFill>
    </fill>
    <fill>
      <patternFill patternType="solid">
        <fgColor indexed="29"/>
      </patternFill>
    </fill>
    <fill>
      <patternFill patternType="solid">
        <fgColor indexed="42"/>
      </patternFill>
    </fill>
    <fill>
      <patternFill patternType="solid">
        <fgColor indexed="60"/>
      </patternFill>
    </fill>
    <fill>
      <patternFill patternType="solid">
        <fgColor indexed="22"/>
      </patternFill>
    </fill>
    <fill>
      <patternFill patternType="solid">
        <fgColor indexed="15"/>
      </patternFill>
    </fill>
    <fill>
      <patternFill patternType="solid">
        <fgColor indexed="28"/>
      </patternFill>
    </fill>
    <fill>
      <patternFill patternType="solid">
        <fgColor indexed="53"/>
      </patternFill>
    </fill>
    <fill>
      <patternFill patternType="solid">
        <fgColor indexed="35"/>
      </patternFill>
    </fill>
    <fill>
      <patternFill patternType="solid">
        <fgColor indexed="43"/>
        <bgColor indexed="64"/>
      </patternFill>
    </fill>
    <fill>
      <patternFill patternType="solid">
        <fgColor indexed="48"/>
      </patternFill>
    </fill>
    <fill>
      <patternFill patternType="solid">
        <fgColor indexed="38"/>
      </patternFill>
    </fill>
    <fill>
      <patternFill patternType="solid">
        <fgColor indexed="39"/>
      </patternFill>
    </fill>
    <fill>
      <patternFill patternType="solid">
        <fgColor indexed="23"/>
      </patternFill>
    </fill>
    <fill>
      <patternFill patternType="solid">
        <fgColor indexed="31"/>
      </patternFill>
    </fill>
    <fill>
      <patternFill patternType="solid">
        <fgColor indexed="41"/>
        <bgColor indexed="64"/>
      </patternFill>
    </fill>
    <fill>
      <patternFill patternType="solid">
        <fgColor indexed="9"/>
      </patternFill>
    </fill>
    <fill>
      <patternFill patternType="solid">
        <fgColor indexed="55"/>
      </patternFill>
    </fill>
    <fill>
      <patternFill patternType="solid">
        <fgColor indexed="9"/>
        <bgColor indexed="64"/>
      </patternFill>
    </fill>
    <fill>
      <patternFill patternType="solid">
        <fgColor indexed="47"/>
        <bgColor indexed="64"/>
      </patternFill>
    </fill>
    <fill>
      <patternFill patternType="solid">
        <fgColor indexed="49"/>
        <bgColor indexed="64"/>
      </patternFill>
    </fill>
    <fill>
      <patternFill patternType="solid">
        <fgColor theme="3" tint="0.79998168889431442"/>
        <bgColor indexed="64"/>
      </patternFill>
    </fill>
    <fill>
      <patternFill patternType="solid">
        <fgColor theme="3" tint="0.39997558519241921"/>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2"/>
        <bgColor indexed="64"/>
      </patternFill>
    </fill>
    <fill>
      <patternFill patternType="solid">
        <fgColor rgb="FFFFC000"/>
        <bgColor indexed="64"/>
      </patternFill>
    </fill>
    <fill>
      <patternFill patternType="solid">
        <fgColor theme="6" tint="0.79998168889431442"/>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rgb="FFFFFF00"/>
        <bgColor indexed="64"/>
      </patternFill>
    </fill>
    <fill>
      <patternFill patternType="solid">
        <fgColor theme="0"/>
        <bgColor indexed="64"/>
      </patternFill>
    </fill>
    <fill>
      <patternFill patternType="solid">
        <fgColor indexed="65"/>
        <bgColor indexed="64"/>
      </patternFill>
    </fill>
    <fill>
      <patternFill patternType="solid">
        <fgColor rgb="FFACD6FF"/>
        <bgColor indexed="64"/>
      </patternFill>
    </fill>
    <fill>
      <patternFill patternType="solid">
        <fgColor rgb="FFF4CBBF"/>
        <bgColor indexed="64"/>
      </patternFill>
    </fill>
    <fill>
      <patternFill patternType="solid">
        <fgColor theme="7" tint="0.79998168889431442"/>
        <bgColor indexed="64"/>
      </patternFill>
    </fill>
    <fill>
      <patternFill patternType="solid">
        <fgColor rgb="FFEAEAEA"/>
        <bgColor indexed="64"/>
      </patternFill>
    </fill>
    <fill>
      <patternFill patternType="solid">
        <fgColor theme="4" tint="-0.499984740745262"/>
        <bgColor indexed="64"/>
      </patternFill>
    </fill>
  </fills>
  <borders count="50">
    <border>
      <left/>
      <right/>
      <top/>
      <bottom/>
      <diagonal/>
    </border>
    <border>
      <left/>
      <right/>
      <top style="thin">
        <color indexed="64"/>
      </top>
      <bottom/>
      <diagonal/>
    </border>
    <border>
      <left/>
      <right/>
      <top style="thin">
        <color indexed="64"/>
      </top>
      <bottom style="thin">
        <color indexed="64"/>
      </bottom>
      <diagonal/>
    </border>
    <border>
      <left/>
      <right/>
      <top/>
      <bottom style="thin">
        <color indexed="64"/>
      </bottom>
      <diagonal/>
    </border>
    <border>
      <left/>
      <right/>
      <top/>
      <bottom style="medium">
        <color indexed="64"/>
      </bottom>
      <diagonal/>
    </border>
    <border>
      <left style="thin">
        <color indexed="23"/>
      </left>
      <right style="thin">
        <color indexed="23"/>
      </right>
      <top style="thin">
        <color indexed="23"/>
      </top>
      <bottom style="thin">
        <color indexed="23"/>
      </bottom>
      <diagonal/>
    </border>
    <border>
      <left style="thin">
        <color indexed="64"/>
      </left>
      <right style="thin">
        <color indexed="64"/>
      </right>
      <top style="thin">
        <color indexed="64"/>
      </top>
      <bottom style="thin">
        <color indexed="64"/>
      </bottom>
      <diagonal/>
    </border>
    <border>
      <left style="double">
        <color indexed="63"/>
      </left>
      <right style="double">
        <color indexed="63"/>
      </right>
      <top style="double">
        <color indexed="63"/>
      </top>
      <bottom style="double">
        <color indexed="63"/>
      </bottom>
      <diagonal/>
    </border>
    <border>
      <left style="thin">
        <color indexed="64"/>
      </left>
      <right/>
      <top style="thin">
        <color indexed="64"/>
      </top>
      <bottom/>
      <diagonal/>
    </border>
    <border>
      <left/>
      <right/>
      <top style="medium">
        <color indexed="64"/>
      </top>
      <bottom style="medium">
        <color indexed="64"/>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8"/>
      </bottom>
      <diagonal/>
    </border>
    <border>
      <left/>
      <right/>
      <top style="thin">
        <color indexed="64"/>
      </top>
      <bottom style="medium">
        <color indexed="64"/>
      </bottom>
      <diagonal/>
    </border>
    <border>
      <left/>
      <right/>
      <top style="thin">
        <color indexed="49"/>
      </top>
      <bottom style="double">
        <color indexed="49"/>
      </bottom>
      <diagonal/>
    </border>
    <border>
      <left/>
      <right/>
      <top style="thin">
        <color indexed="64"/>
      </top>
      <bottom style="double">
        <color indexed="64"/>
      </bottom>
      <diagonal/>
    </border>
    <border>
      <left/>
      <right/>
      <top style="medium">
        <color indexed="64"/>
      </top>
      <bottom style="thin">
        <color indexed="64"/>
      </bottom>
      <diagonal/>
    </border>
    <border>
      <left style="medium">
        <color indexed="22"/>
      </left>
      <right style="medium">
        <color indexed="22"/>
      </right>
      <top style="medium">
        <color indexed="22"/>
      </top>
      <bottom style="medium">
        <color indexed="22"/>
      </bottom>
      <diagonal/>
    </border>
    <border>
      <left style="thin">
        <color indexed="64"/>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8"/>
      </left>
      <right style="medium">
        <color indexed="22"/>
      </right>
      <top style="thin">
        <color indexed="8"/>
      </top>
      <bottom style="medium">
        <color indexed="22"/>
      </bottom>
      <diagonal/>
    </border>
    <border>
      <left style="medium">
        <color indexed="22"/>
      </left>
      <right style="medium">
        <color indexed="22"/>
      </right>
      <top style="thin">
        <color indexed="8"/>
      </top>
      <bottom style="medium">
        <color indexed="22"/>
      </bottom>
      <diagonal/>
    </border>
    <border>
      <left style="thin">
        <color indexed="8"/>
      </left>
      <right style="medium">
        <color indexed="22"/>
      </right>
      <top style="medium">
        <color indexed="22"/>
      </top>
      <bottom style="medium">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88">
    <xf numFmtId="0" fontId="0" fillId="0" borderId="0"/>
    <xf numFmtId="0" fontId="7" fillId="15" borderId="0" applyNumberFormat="0" applyFont="0" applyBorder="0" applyAlignment="0" applyProtection="0"/>
    <xf numFmtId="0" fontId="8" fillId="0" borderId="0"/>
    <xf numFmtId="0" fontId="7" fillId="0" borderId="0"/>
    <xf numFmtId="0" fontId="7" fillId="0" borderId="0" applyNumberFormat="0" applyFill="0" applyBorder="0" applyAlignment="0" applyProtection="0"/>
    <xf numFmtId="0" fontId="7" fillId="0" borderId="0">
      <alignment vertical="top"/>
    </xf>
    <xf numFmtId="0" fontId="8" fillId="0" borderId="0"/>
    <xf numFmtId="0" fontId="7" fillId="0" borderId="0"/>
    <xf numFmtId="0" fontId="9" fillId="0" borderId="0"/>
    <xf numFmtId="0" fontId="9" fillId="0" borderId="0"/>
    <xf numFmtId="0" fontId="9" fillId="0" borderId="0"/>
    <xf numFmtId="0" fontId="9" fillId="0" borderId="0"/>
    <xf numFmtId="0" fontId="34" fillId="4" borderId="0" applyNumberFormat="0" applyBorder="0" applyAlignment="0" applyProtection="0"/>
    <xf numFmtId="0" fontId="34" fillId="6" borderId="0" applyNumberFormat="0" applyBorder="0" applyAlignment="0" applyProtection="0"/>
    <xf numFmtId="0" fontId="34" fillId="8" borderId="0" applyNumberFormat="0" applyBorder="0" applyAlignment="0" applyProtection="0"/>
    <xf numFmtId="0" fontId="34" fillId="9" borderId="0" applyNumberFormat="0" applyBorder="0" applyAlignment="0" applyProtection="0"/>
    <xf numFmtId="0" fontId="34" fillId="4" borderId="0" applyNumberFormat="0" applyBorder="0" applyAlignment="0" applyProtection="0"/>
    <xf numFmtId="0" fontId="34" fillId="6" borderId="0" applyNumberFormat="0" applyBorder="0" applyAlignment="0" applyProtection="0"/>
    <xf numFmtId="0" fontId="34" fillId="5" borderId="0" applyNumberFormat="0" applyBorder="0" applyAlignment="0" applyProtection="0"/>
    <xf numFmtId="0" fontId="34" fillId="6" borderId="0" applyNumberFormat="0" applyBorder="0" applyAlignment="0" applyProtection="0"/>
    <xf numFmtId="0" fontId="34" fillId="7" borderId="0" applyNumberFormat="0" applyBorder="0" applyAlignment="0" applyProtection="0"/>
    <xf numFmtId="0" fontId="34" fillId="10" borderId="0" applyNumberFormat="0" applyBorder="0" applyAlignment="0" applyProtection="0"/>
    <xf numFmtId="0" fontId="34" fillId="11" borderId="0" applyNumberFormat="0" applyBorder="0" applyAlignment="0" applyProtection="0"/>
    <xf numFmtId="0" fontId="34" fillId="6" borderId="0" applyNumberFormat="0" applyBorder="0" applyAlignment="0" applyProtection="0"/>
    <xf numFmtId="0" fontId="35" fillId="5" borderId="0" applyNumberFormat="0" applyBorder="0" applyAlignment="0" applyProtection="0"/>
    <xf numFmtId="0" fontId="35" fillId="12" borderId="0" applyNumberFormat="0" applyBorder="0" applyAlignment="0" applyProtection="0"/>
    <xf numFmtId="0" fontId="35" fillId="7" borderId="0" applyNumberFormat="0" applyBorder="0" applyAlignment="0" applyProtection="0"/>
    <xf numFmtId="0" fontId="35" fillId="10" borderId="0" applyNumberFormat="0" applyBorder="0" applyAlignment="0" applyProtection="0"/>
    <xf numFmtId="0" fontId="35" fillId="14" borderId="0" applyNumberFormat="0" applyBorder="0" applyAlignment="0" applyProtection="0"/>
    <xf numFmtId="0" fontId="35" fillId="6" borderId="0" applyNumberFormat="0" applyBorder="0" applyAlignment="0" applyProtection="0"/>
    <xf numFmtId="0" fontId="35" fillId="16" borderId="0" applyNumberFormat="0" applyBorder="0" applyAlignment="0" applyProtection="0"/>
    <xf numFmtId="0" fontId="35" fillId="17" borderId="0" applyNumberFormat="0" applyBorder="0" applyAlignment="0" applyProtection="0"/>
    <xf numFmtId="0" fontId="35" fillId="18" borderId="0" applyNumberFormat="0" applyBorder="0" applyAlignment="0" applyProtection="0"/>
    <xf numFmtId="0" fontId="35" fillId="19" borderId="0" applyNumberFormat="0" applyBorder="0" applyAlignment="0" applyProtection="0"/>
    <xf numFmtId="0" fontId="35" fillId="16" borderId="0" applyNumberFormat="0" applyBorder="0" applyAlignment="0" applyProtection="0"/>
    <xf numFmtId="0" fontId="35" fillId="13" borderId="0" applyNumberFormat="0" applyBorder="0" applyAlignment="0" applyProtection="0"/>
    <xf numFmtId="0" fontId="36" fillId="20" borderId="0" applyNumberFormat="0" applyBorder="0" applyAlignment="0" applyProtection="0"/>
    <xf numFmtId="0" fontId="10" fillId="0" borderId="0"/>
    <xf numFmtId="0" fontId="37" fillId="22" borderId="5" applyNumberFormat="0" applyAlignment="0" applyProtection="0"/>
    <xf numFmtId="0" fontId="38" fillId="23" borderId="7" applyNumberFormat="0" applyAlignment="0" applyProtection="0"/>
    <xf numFmtId="43" fontId="7" fillId="0" borderId="0" applyFont="0" applyFill="0" applyBorder="0" applyAlignment="0" applyProtection="0"/>
    <xf numFmtId="43" fontId="7" fillId="0" borderId="0" applyFont="0" applyFill="0" applyBorder="0" applyAlignment="0" applyProtection="0"/>
    <xf numFmtId="0" fontId="11" fillId="0" borderId="0" applyNumberFormat="0" applyFill="0" applyBorder="0" applyAlignment="0" applyProtection="0"/>
    <xf numFmtId="0" fontId="39" fillId="7" borderId="0" applyNumberFormat="0" applyBorder="0" applyAlignment="0" applyProtection="0"/>
    <xf numFmtId="0" fontId="12" fillId="0" borderId="10" applyNumberFormat="0" applyFill="0" applyAlignment="0" applyProtection="0"/>
    <xf numFmtId="0" fontId="13" fillId="0" borderId="11" applyNumberFormat="0" applyFill="0" applyAlignment="0" applyProtection="0"/>
    <xf numFmtId="0" fontId="14" fillId="0" borderId="12" applyNumberFormat="0" applyFill="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6" fillId="3" borderId="5" applyNumberFormat="0" applyAlignment="0" applyProtection="0"/>
    <xf numFmtId="0" fontId="17" fillId="0" borderId="13" applyNumberFormat="0" applyFill="0" applyAlignment="0" applyProtection="0"/>
    <xf numFmtId="0" fontId="40" fillId="3" borderId="0" applyNumberFormat="0" applyBorder="0" applyAlignment="0" applyProtection="0"/>
    <xf numFmtId="0" fontId="8" fillId="0" borderId="0"/>
    <xf numFmtId="0" fontId="7" fillId="0" borderId="0"/>
    <xf numFmtId="0" fontId="58" fillId="0" borderId="0"/>
    <xf numFmtId="0" fontId="7" fillId="0" borderId="0"/>
    <xf numFmtId="0" fontId="7" fillId="0" borderId="0"/>
    <xf numFmtId="0" fontId="8" fillId="0" borderId="0"/>
    <xf numFmtId="0" fontId="8" fillId="0" borderId="0"/>
    <xf numFmtId="0" fontId="8" fillId="0" borderId="0" applyNumberFormat="0" applyFill="0" applyBorder="0" applyAlignment="0" applyProtection="0"/>
    <xf numFmtId="0" fontId="7" fillId="3" borderId="14" applyNumberFormat="0" applyFont="0" applyAlignment="0" applyProtection="0"/>
    <xf numFmtId="0" fontId="18" fillId="22" borderId="15" applyNumberFormat="0" applyAlignment="0" applyProtection="0"/>
    <xf numFmtId="0" fontId="19" fillId="0" borderId="0">
      <alignment vertical="center"/>
    </xf>
    <xf numFmtId="9" fontId="7" fillId="0" borderId="0" applyFont="0" applyFill="0" applyBorder="0" applyAlignment="0" applyProtection="0"/>
    <xf numFmtId="9" fontId="44" fillId="0" borderId="0" applyFont="0" applyFill="0" applyBorder="0" applyAlignment="0" applyProtection="0"/>
    <xf numFmtId="9" fontId="6" fillId="0" borderId="0" applyFont="0" applyFill="0" applyBorder="0" applyAlignment="0" applyProtection="0"/>
    <xf numFmtId="184" fontId="8" fillId="0" borderId="0" applyFont="0" applyFill="0" applyBorder="0" applyAlignment="0" applyProtection="0"/>
    <xf numFmtId="9" fontId="55" fillId="0" borderId="0" applyFont="0" applyFill="0" applyBorder="0" applyAlignment="0" applyProtection="0"/>
    <xf numFmtId="0" fontId="20" fillId="0" borderId="0"/>
    <xf numFmtId="0" fontId="20" fillId="0" borderId="18">
      <alignment horizontal="centerContinuous"/>
    </xf>
    <xf numFmtId="0" fontId="21" fillId="0" borderId="18"/>
    <xf numFmtId="0" fontId="22" fillId="0" borderId="0" applyNumberFormat="0" applyFill="0" applyBorder="0" applyAlignment="0" applyProtection="0"/>
    <xf numFmtId="0" fontId="23" fillId="0" borderId="20" applyNumberFormat="0" applyFill="0" applyAlignment="0" applyProtection="0"/>
    <xf numFmtId="0" fontId="41" fillId="0" borderId="0" applyNumberFormat="0" applyFill="0" applyBorder="0" applyAlignment="0" applyProtection="0"/>
    <xf numFmtId="0" fontId="7" fillId="0" borderId="0"/>
    <xf numFmtId="0" fontId="5" fillId="0" borderId="0"/>
    <xf numFmtId="0" fontId="75" fillId="0" borderId="0"/>
    <xf numFmtId="0" fontId="4" fillId="0" borderId="0"/>
    <xf numFmtId="0" fontId="3" fillId="0" borderId="0"/>
    <xf numFmtId="0" fontId="7" fillId="0" borderId="0"/>
    <xf numFmtId="44" fontId="7" fillId="0" borderId="0" applyFont="0" applyFill="0" applyBorder="0" applyAlignment="0" applyProtection="0"/>
    <xf numFmtId="196" fontId="9" fillId="0" borderId="0"/>
    <xf numFmtId="0" fontId="9" fillId="0" borderId="0"/>
    <xf numFmtId="196" fontId="9" fillId="0" borderId="0"/>
    <xf numFmtId="0" fontId="2" fillId="0" borderId="0"/>
    <xf numFmtId="0" fontId="80" fillId="0" borderId="0" applyNumberFormat="0" applyFill="0" applyBorder="0" applyAlignment="0" applyProtection="0">
      <alignment vertical="top"/>
      <protection locked="0"/>
    </xf>
    <xf numFmtId="0" fontId="1" fillId="0" borderId="0"/>
    <xf numFmtId="0" fontId="82" fillId="0" borderId="0"/>
  </cellStyleXfs>
  <cellXfs count="855">
    <xf numFmtId="0" fontId="0" fillId="0" borderId="0" xfId="0"/>
    <xf numFmtId="3" fontId="0" fillId="0" borderId="0" xfId="0" applyNumberFormat="1"/>
    <xf numFmtId="0" fontId="0" fillId="0" borderId="0" xfId="0" applyAlignment="1">
      <alignment horizontal="left" indent="1"/>
    </xf>
    <xf numFmtId="0" fontId="0" fillId="0" borderId="0" xfId="0" applyBorder="1"/>
    <xf numFmtId="0" fontId="25" fillId="0" borderId="0" xfId="0" applyFont="1" applyFill="1" applyBorder="1"/>
    <xf numFmtId="0" fontId="8" fillId="0" borderId="0" xfId="0" applyFont="1" applyFill="1" applyBorder="1"/>
    <xf numFmtId="164" fontId="26" fillId="0" borderId="0" xfId="59" applyNumberFormat="1" applyFont="1" applyFill="1" applyBorder="1" applyAlignment="1">
      <alignment horizontal="right"/>
    </xf>
    <xf numFmtId="164" fontId="26" fillId="0" borderId="0" xfId="59" applyNumberFormat="1" applyFont="1" applyFill="1" applyBorder="1" applyAlignment="1">
      <alignment horizontal="center"/>
    </xf>
    <xf numFmtId="3" fontId="25" fillId="0" borderId="19" xfId="59" applyNumberFormat="1" applyFont="1" applyFill="1" applyBorder="1" applyAlignment="1">
      <alignment wrapText="1"/>
    </xf>
    <xf numFmtId="3" fontId="25" fillId="21" borderId="19" xfId="59" applyNumberFormat="1" applyFont="1" applyFill="1" applyBorder="1" applyAlignment="1">
      <alignment wrapText="1"/>
    </xf>
    <xf numFmtId="5" fontId="25" fillId="0" borderId="3" xfId="59" applyNumberFormat="1" applyFont="1" applyFill="1" applyBorder="1"/>
    <xf numFmtId="3" fontId="25" fillId="0" borderId="3" xfId="59" applyNumberFormat="1" applyFont="1" applyFill="1" applyBorder="1" applyAlignment="1">
      <alignment horizontal="right"/>
    </xf>
    <xf numFmtId="3" fontId="25" fillId="21" borderId="3" xfId="59" applyNumberFormat="1" applyFont="1" applyFill="1" applyBorder="1" applyAlignment="1">
      <alignment horizontal="right"/>
    </xf>
    <xf numFmtId="0" fontId="25" fillId="0" borderId="22" xfId="59" applyFont="1" applyFill="1" applyBorder="1"/>
    <xf numFmtId="49" fontId="25" fillId="0" borderId="22" xfId="59" applyNumberFormat="1" applyFont="1" applyFill="1" applyBorder="1" applyAlignment="1">
      <alignment horizontal="center"/>
    </xf>
    <xf numFmtId="39" fontId="25" fillId="0" borderId="0" xfId="59" applyNumberFormat="1" applyFont="1" applyFill="1" applyBorder="1" applyAlignment="1">
      <alignment horizontal="left" vertical="center"/>
    </xf>
    <xf numFmtId="164" fontId="25" fillId="0" borderId="0" xfId="59" applyNumberFormat="1" applyFont="1" applyFill="1" applyBorder="1" applyAlignment="1">
      <alignment horizontal="center"/>
    </xf>
    <xf numFmtId="37" fontId="25" fillId="0" borderId="0" xfId="59" applyNumberFormat="1" applyFont="1" applyFill="1" applyBorder="1" applyAlignment="1">
      <alignment horizontal="left"/>
    </xf>
    <xf numFmtId="37" fontId="25" fillId="0" borderId="0" xfId="59" applyNumberFormat="1" applyFont="1" applyFill="1" applyBorder="1"/>
    <xf numFmtId="3" fontId="25" fillId="0" borderId="0" xfId="59" applyNumberFormat="1" applyFont="1" applyFill="1" applyBorder="1"/>
    <xf numFmtId="3" fontId="25" fillId="0" borderId="0" xfId="59" applyNumberFormat="1" applyFont="1" applyFill="1" applyBorder="1" applyAlignment="1"/>
    <xf numFmtId="3" fontId="25" fillId="21" borderId="0" xfId="59" applyNumberFormat="1" applyFont="1" applyFill="1" applyBorder="1"/>
    <xf numFmtId="3" fontId="25" fillId="21" borderId="0" xfId="59" applyNumberFormat="1" applyFont="1" applyFill="1" applyBorder="1" applyAlignment="1">
      <alignment horizontal="right"/>
    </xf>
    <xf numFmtId="3" fontId="25" fillId="0" borderId="0" xfId="59" applyNumberFormat="1" applyFont="1" applyFill="1" applyBorder="1" applyAlignment="1">
      <alignment horizontal="right"/>
    </xf>
    <xf numFmtId="3" fontId="25" fillId="21" borderId="0" xfId="59" applyNumberFormat="1" applyFont="1" applyFill="1" applyBorder="1" applyAlignment="1"/>
    <xf numFmtId="0" fontId="0" fillId="0" borderId="4" xfId="0" applyBorder="1"/>
    <xf numFmtId="0" fontId="25" fillId="0" borderId="2" xfId="0" applyFont="1" applyBorder="1"/>
    <xf numFmtId="0" fontId="26" fillId="0" borderId="0" xfId="0" applyFont="1" applyAlignment="1">
      <alignment horizontal="left" indent="1"/>
    </xf>
    <xf numFmtId="0" fontId="25" fillId="0" borderId="19" xfId="0" applyFont="1" applyBorder="1"/>
    <xf numFmtId="0" fontId="0" fillId="0" borderId="0" xfId="0" applyAlignment="1">
      <alignment horizontal="left"/>
    </xf>
    <xf numFmtId="0" fontId="0" fillId="0" borderId="0" xfId="0" applyBorder="1" applyAlignment="1">
      <alignment horizontal="left" indent="1"/>
    </xf>
    <xf numFmtId="0" fontId="0" fillId="0" borderId="4" xfId="0" applyBorder="1" applyAlignment="1">
      <alignment horizontal="left" indent="1"/>
    </xf>
    <xf numFmtId="6" fontId="0" fillId="0" borderId="0" xfId="0" applyNumberFormat="1"/>
    <xf numFmtId="10" fontId="0" fillId="0" borderId="0" xfId="0" applyNumberFormat="1"/>
    <xf numFmtId="8" fontId="0" fillId="0" borderId="0" xfId="0" applyNumberFormat="1"/>
    <xf numFmtId="9" fontId="0" fillId="0" borderId="0" xfId="0" applyNumberFormat="1"/>
    <xf numFmtId="3" fontId="25" fillId="0" borderId="2" xfId="0" applyNumberFormat="1" applyFont="1" applyBorder="1"/>
    <xf numFmtId="165" fontId="26" fillId="0" borderId="0" xfId="0" applyNumberFormat="1" applyFont="1"/>
    <xf numFmtId="172" fontId="25" fillId="0" borderId="19" xfId="0" applyNumberFormat="1" applyFont="1" applyBorder="1"/>
    <xf numFmtId="168" fontId="25" fillId="0" borderId="19" xfId="0" applyNumberFormat="1" applyFont="1" applyBorder="1"/>
    <xf numFmtId="0" fontId="25" fillId="0" borderId="0" xfId="0" applyFont="1"/>
    <xf numFmtId="0" fontId="25" fillId="0" borderId="22" xfId="0" applyFont="1" applyBorder="1"/>
    <xf numFmtId="0" fontId="25" fillId="0" borderId="22" xfId="0" applyFont="1" applyBorder="1" applyAlignment="1">
      <alignment horizontal="right"/>
    </xf>
    <xf numFmtId="0" fontId="0" fillId="0" borderId="22" xfId="0" applyBorder="1"/>
    <xf numFmtId="9" fontId="26" fillId="0" borderId="0" xfId="0" applyNumberFormat="1" applyFont="1"/>
    <xf numFmtId="168" fontId="0" fillId="0" borderId="0" xfId="0" applyNumberFormat="1"/>
    <xf numFmtId="172" fontId="0" fillId="0" borderId="0" xfId="0" applyNumberFormat="1"/>
    <xf numFmtId="0" fontId="25" fillId="21" borderId="22" xfId="0" applyFont="1" applyFill="1" applyBorder="1" applyAlignment="1">
      <alignment horizontal="right"/>
    </xf>
    <xf numFmtId="3" fontId="0" fillId="21" borderId="0" xfId="0" applyNumberFormat="1" applyFill="1"/>
    <xf numFmtId="3" fontId="25" fillId="21" borderId="2" xfId="0" applyNumberFormat="1" applyFont="1" applyFill="1" applyBorder="1"/>
    <xf numFmtId="165" fontId="26" fillId="21" borderId="0" xfId="0" applyNumberFormat="1" applyFont="1" applyFill="1"/>
    <xf numFmtId="172" fontId="25" fillId="21" borderId="19" xfId="0" applyNumberFormat="1" applyFont="1" applyFill="1" applyBorder="1"/>
    <xf numFmtId="6" fontId="0" fillId="21" borderId="0" xfId="0" applyNumberFormat="1" applyFill="1"/>
    <xf numFmtId="168" fontId="25" fillId="21" borderId="19" xfId="0" applyNumberFormat="1" applyFont="1" applyFill="1" applyBorder="1"/>
    <xf numFmtId="8" fontId="0" fillId="21" borderId="0" xfId="0" applyNumberFormat="1" applyFill="1"/>
    <xf numFmtId="0" fontId="0" fillId="21" borderId="0" xfId="0" applyFill="1"/>
    <xf numFmtId="172" fontId="0" fillId="21" borderId="0" xfId="0" applyNumberFormat="1" applyFill="1"/>
    <xf numFmtId="168" fontId="0" fillId="21" borderId="0" xfId="0" applyNumberFormat="1" applyFill="1"/>
    <xf numFmtId="9" fontId="26" fillId="21" borderId="0" xfId="0" applyNumberFormat="1" applyFont="1" applyFill="1"/>
    <xf numFmtId="9" fontId="0" fillId="0" borderId="0" xfId="63" applyFont="1"/>
    <xf numFmtId="0" fontId="0" fillId="0" borderId="0" xfId="0" applyFill="1" applyBorder="1" applyAlignment="1">
      <alignment horizontal="left" indent="1"/>
    </xf>
    <xf numFmtId="9" fontId="0" fillId="0" borderId="4" xfId="63" applyFont="1" applyBorder="1"/>
    <xf numFmtId="9" fontId="0" fillId="0" borderId="4" xfId="0" applyNumberFormat="1" applyBorder="1"/>
    <xf numFmtId="0" fontId="25" fillId="2" borderId="22" xfId="0" applyFont="1" applyFill="1" applyBorder="1"/>
    <xf numFmtId="0" fontId="0" fillId="21" borderId="4" xfId="0" applyFill="1" applyBorder="1"/>
    <xf numFmtId="9" fontId="0" fillId="21" borderId="0" xfId="0" applyNumberFormat="1" applyFill="1"/>
    <xf numFmtId="9" fontId="0" fillId="21" borderId="4" xfId="0" applyNumberFormat="1" applyFill="1" applyBorder="1"/>
    <xf numFmtId="9" fontId="0" fillId="21" borderId="0" xfId="63" applyFont="1" applyFill="1"/>
    <xf numFmtId="9" fontId="0" fillId="21" borderId="4" xfId="63" applyFont="1" applyFill="1" applyBorder="1"/>
    <xf numFmtId="14" fontId="0" fillId="0" borderId="0" xfId="0" applyNumberFormat="1"/>
    <xf numFmtId="165" fontId="0" fillId="0" borderId="0" xfId="63" applyNumberFormat="1" applyFont="1"/>
    <xf numFmtId="9" fontId="8" fillId="0" borderId="0" xfId="63" applyFont="1" applyFill="1" applyBorder="1"/>
    <xf numFmtId="0" fontId="0" fillId="0" borderId="0" xfId="0" applyFill="1"/>
    <xf numFmtId="9" fontId="30" fillId="0" borderId="0" xfId="0" applyNumberFormat="1" applyFont="1"/>
    <xf numFmtId="165" fontId="0" fillId="0" borderId="0" xfId="0" applyNumberFormat="1"/>
    <xf numFmtId="2" fontId="0" fillId="0" borderId="0" xfId="0" applyNumberFormat="1"/>
    <xf numFmtId="169" fontId="0" fillId="0" borderId="0" xfId="0" applyNumberFormat="1"/>
    <xf numFmtId="1" fontId="0" fillId="0" borderId="0" xfId="0" applyNumberFormat="1"/>
    <xf numFmtId="0" fontId="26" fillId="0" borderId="0" xfId="0" applyFont="1"/>
    <xf numFmtId="9" fontId="26" fillId="0" borderId="0" xfId="63" applyFont="1"/>
    <xf numFmtId="3" fontId="26" fillId="0" borderId="0" xfId="0" applyNumberFormat="1" applyFont="1"/>
    <xf numFmtId="9" fontId="31" fillId="0" borderId="0" xfId="0" applyNumberFormat="1" applyFont="1"/>
    <xf numFmtId="0" fontId="25" fillId="0" borderId="0" xfId="0" applyFont="1" applyBorder="1"/>
    <xf numFmtId="4" fontId="42" fillId="21" borderId="0" xfId="59" applyNumberFormat="1" applyFont="1" applyFill="1" applyBorder="1" applyAlignment="1"/>
    <xf numFmtId="0" fontId="0" fillId="0" borderId="0" xfId="0" applyAlignment="1">
      <alignment horizontal="left" indent="2"/>
    </xf>
    <xf numFmtId="9" fontId="7" fillId="0" borderId="0" xfId="63" applyFont="1"/>
    <xf numFmtId="0" fontId="15" fillId="0" borderId="0" xfId="48"/>
    <xf numFmtId="9" fontId="7" fillId="0" borderId="0" xfId="0" applyNumberFormat="1" applyFont="1"/>
    <xf numFmtId="0" fontId="31" fillId="0" borderId="0" xfId="0" applyFont="1"/>
    <xf numFmtId="169" fontId="26" fillId="0" borderId="0" xfId="0" applyNumberFormat="1" applyFont="1"/>
    <xf numFmtId="0" fontId="43" fillId="2" borderId="35" xfId="0" applyFont="1" applyFill="1" applyBorder="1" applyAlignment="1">
      <alignment wrapText="1"/>
    </xf>
    <xf numFmtId="0" fontId="43" fillId="2" borderId="36" xfId="0" applyFont="1" applyFill="1" applyBorder="1" applyAlignment="1">
      <alignment wrapText="1"/>
    </xf>
    <xf numFmtId="14" fontId="43" fillId="24" borderId="37" xfId="0" applyNumberFormat="1" applyFont="1" applyFill="1" applyBorder="1" applyAlignment="1">
      <alignment horizontal="center" wrapText="1"/>
    </xf>
    <xf numFmtId="8" fontId="43" fillId="24" borderId="23" xfId="0" applyNumberFormat="1" applyFont="1" applyFill="1" applyBorder="1" applyAlignment="1">
      <alignment horizontal="right" wrapText="1"/>
    </xf>
    <xf numFmtId="0" fontId="43" fillId="24" borderId="23" xfId="0" applyFont="1" applyFill="1" applyBorder="1" applyAlignment="1">
      <alignment horizontal="right" wrapText="1"/>
    </xf>
    <xf numFmtId="176" fontId="43" fillId="24" borderId="23" xfId="0" applyNumberFormat="1" applyFont="1" applyFill="1" applyBorder="1" applyAlignment="1">
      <alignment horizontal="center" wrapText="1"/>
    </xf>
    <xf numFmtId="0" fontId="0" fillId="25" borderId="0" xfId="0" applyFill="1"/>
    <xf numFmtId="0" fontId="25" fillId="25" borderId="0" xfId="0" applyFont="1" applyFill="1"/>
    <xf numFmtId="0" fontId="25" fillId="21" borderId="38" xfId="0" applyFont="1" applyFill="1" applyBorder="1"/>
    <xf numFmtId="3" fontId="25" fillId="21" borderId="9" xfId="0" applyNumberFormat="1" applyFont="1" applyFill="1" applyBorder="1"/>
    <xf numFmtId="0" fontId="25" fillId="26" borderId="3" xfId="0" applyFont="1" applyFill="1" applyBorder="1"/>
    <xf numFmtId="3" fontId="25" fillId="21" borderId="39" xfId="0" applyNumberFormat="1" applyFont="1" applyFill="1" applyBorder="1"/>
    <xf numFmtId="37" fontId="8" fillId="0" borderId="0" xfId="0" applyNumberFormat="1" applyFont="1" applyFill="1" applyBorder="1"/>
    <xf numFmtId="1" fontId="8" fillId="0" borderId="0" xfId="0" applyNumberFormat="1" applyFont="1" applyFill="1" applyBorder="1"/>
    <xf numFmtId="9" fontId="8" fillId="0" borderId="0" xfId="0" applyNumberFormat="1" applyFont="1" applyFill="1" applyBorder="1"/>
    <xf numFmtId="166" fontId="8" fillId="0" borderId="0" xfId="0" applyNumberFormat="1" applyFont="1" applyFill="1" applyBorder="1"/>
    <xf numFmtId="0" fontId="8" fillId="0" borderId="0" xfId="0" applyFont="1" applyFill="1" applyBorder="1" applyAlignment="1">
      <alignment vertical="center"/>
    </xf>
    <xf numFmtId="175" fontId="8" fillId="0" borderId="0" xfId="0" applyNumberFormat="1" applyFont="1" applyFill="1" applyBorder="1"/>
    <xf numFmtId="49" fontId="25" fillId="0" borderId="0" xfId="0" applyNumberFormat="1" applyFont="1" applyFill="1" applyBorder="1" applyAlignment="1">
      <alignment horizontal="center" wrapText="1"/>
    </xf>
    <xf numFmtId="0" fontId="25" fillId="0" borderId="0" xfId="0" applyFont="1" applyFill="1" applyBorder="1" applyAlignment="1">
      <alignment horizontal="center"/>
    </xf>
    <xf numFmtId="175" fontId="25" fillId="0" borderId="0" xfId="0" applyNumberFormat="1" applyFont="1" applyFill="1" applyBorder="1" applyAlignment="1">
      <alignment horizontal="center"/>
    </xf>
    <xf numFmtId="175" fontId="25" fillId="0" borderId="0" xfId="0" applyNumberFormat="1" applyFont="1" applyFill="1" applyBorder="1" applyAlignment="1">
      <alignment wrapText="1"/>
    </xf>
    <xf numFmtId="37" fontId="8" fillId="0" borderId="0" xfId="0" applyNumberFormat="1" applyFont="1" applyFill="1" applyBorder="1" applyAlignment="1">
      <alignment horizontal="center" wrapText="1"/>
    </xf>
    <xf numFmtId="37" fontId="8" fillId="0" borderId="0" xfId="0" applyNumberFormat="1" applyFont="1" applyFill="1" applyBorder="1" applyAlignment="1">
      <alignment horizontal="center"/>
    </xf>
    <xf numFmtId="37" fontId="25" fillId="0" borderId="0" xfId="0" applyNumberFormat="1" applyFont="1" applyFill="1" applyBorder="1"/>
    <xf numFmtId="5" fontId="25" fillId="0" borderId="0" xfId="0" applyNumberFormat="1" applyFont="1" applyFill="1" applyBorder="1" applyAlignment="1">
      <alignment wrapText="1"/>
    </xf>
    <xf numFmtId="5" fontId="25" fillId="0" borderId="0" xfId="0" applyNumberFormat="1" applyFont="1" applyFill="1" applyBorder="1" applyAlignment="1">
      <alignment horizontal="center"/>
    </xf>
    <xf numFmtId="37" fontId="25" fillId="0" borderId="0" xfId="0" applyNumberFormat="1" applyFont="1" applyFill="1" applyBorder="1" applyAlignment="1">
      <alignment horizontal="center" wrapText="1"/>
    </xf>
    <xf numFmtId="37" fontId="8" fillId="0" borderId="0" xfId="63" applyNumberFormat="1" applyFont="1" applyFill="1" applyBorder="1" applyAlignment="1">
      <alignment horizontal="center"/>
    </xf>
    <xf numFmtId="38" fontId="8" fillId="0" borderId="0" xfId="0" applyNumberFormat="1" applyFont="1" applyFill="1" applyBorder="1"/>
    <xf numFmtId="9" fontId="8" fillId="0" borderId="0" xfId="0" applyNumberFormat="1" applyFont="1" applyFill="1" applyBorder="1" applyAlignment="1">
      <alignment horizontal="center"/>
    </xf>
    <xf numFmtId="37" fontId="8" fillId="0" borderId="0" xfId="0" applyNumberFormat="1" applyFont="1" applyFill="1" applyBorder="1" applyAlignment="1">
      <alignment wrapText="1"/>
    </xf>
    <xf numFmtId="37" fontId="25" fillId="0" borderId="0" xfId="0" applyNumberFormat="1" applyFont="1" applyFill="1" applyBorder="1" applyAlignment="1">
      <alignment wrapText="1"/>
    </xf>
    <xf numFmtId="37" fontId="25" fillId="0" borderId="0" xfId="0" applyNumberFormat="1" applyFont="1" applyFill="1" applyBorder="1" applyAlignment="1">
      <alignment horizontal="center"/>
    </xf>
    <xf numFmtId="0" fontId="8" fillId="0" borderId="0" xfId="0" applyFont="1" applyFill="1" applyBorder="1" applyAlignment="1">
      <alignment horizontal="center"/>
    </xf>
    <xf numFmtId="175" fontId="8" fillId="0" borderId="0" xfId="0" applyNumberFormat="1" applyFont="1" applyFill="1" applyBorder="1" applyAlignment="1">
      <alignment horizontal="center"/>
    </xf>
    <xf numFmtId="37" fontId="25" fillId="0" borderId="0" xfId="0" applyNumberFormat="1" applyFont="1" applyFill="1" applyBorder="1" applyAlignment="1">
      <alignment horizontal="right"/>
    </xf>
    <xf numFmtId="37" fontId="8" fillId="0" borderId="0" xfId="0" applyNumberFormat="1" applyFont="1" applyFill="1" applyBorder="1" applyAlignment="1">
      <alignment horizontal="right"/>
    </xf>
    <xf numFmtId="37" fontId="8" fillId="0" borderId="0" xfId="0" applyNumberFormat="1" applyFont="1" applyFill="1" applyBorder="1" applyAlignment="1">
      <alignment horizontal="left" indent="1"/>
    </xf>
    <xf numFmtId="5" fontId="25" fillId="0" borderId="0" xfId="0" applyNumberFormat="1" applyFont="1" applyFill="1" applyBorder="1"/>
    <xf numFmtId="5" fontId="25" fillId="0" borderId="0" xfId="0" applyNumberFormat="1" applyFont="1" applyFill="1" applyBorder="1" applyAlignment="1">
      <alignment horizontal="right"/>
    </xf>
    <xf numFmtId="175" fontId="8" fillId="0" borderId="0" xfId="0" applyNumberFormat="1" applyFont="1" applyFill="1" applyBorder="1" applyAlignment="1">
      <alignment horizontal="right"/>
    </xf>
    <xf numFmtId="7" fontId="8" fillId="0" borderId="0" xfId="0" applyNumberFormat="1" applyFont="1" applyFill="1" applyBorder="1" applyAlignment="1">
      <alignment horizontal="right"/>
    </xf>
    <xf numFmtId="175" fontId="25" fillId="0" borderId="0" xfId="0" applyNumberFormat="1" applyFont="1" applyFill="1" applyBorder="1"/>
    <xf numFmtId="175" fontId="25" fillId="0" borderId="0" xfId="0" applyNumberFormat="1" applyFont="1" applyFill="1" applyBorder="1" applyAlignment="1">
      <alignment horizontal="right"/>
    </xf>
    <xf numFmtId="165" fontId="25" fillId="0" borderId="0" xfId="0" applyNumberFormat="1" applyFont="1" applyFill="1" applyBorder="1" applyAlignment="1">
      <alignment horizontal="right"/>
    </xf>
    <xf numFmtId="10" fontId="25" fillId="0" borderId="0" xfId="0" applyNumberFormat="1" applyFont="1" applyFill="1" applyBorder="1"/>
    <xf numFmtId="172" fontId="25" fillId="0" borderId="0" xfId="0" applyNumberFormat="1" applyFont="1" applyFill="1" applyBorder="1" applyAlignment="1">
      <alignment horizontal="center"/>
    </xf>
    <xf numFmtId="7" fontId="25" fillId="0" borderId="0" xfId="0" applyNumberFormat="1" applyFont="1" applyFill="1" applyBorder="1" applyAlignment="1">
      <alignment horizontal="right"/>
    </xf>
    <xf numFmtId="166" fontId="8" fillId="0" borderId="0" xfId="0" applyNumberFormat="1" applyFont="1" applyFill="1" applyBorder="1" applyAlignment="1">
      <alignment horizontal="center"/>
    </xf>
    <xf numFmtId="166" fontId="8" fillId="0" borderId="0" xfId="0" applyNumberFormat="1" applyFont="1" applyFill="1" applyBorder="1" applyAlignment="1">
      <alignment horizontal="right"/>
    </xf>
    <xf numFmtId="165" fontId="8" fillId="0" borderId="0" xfId="63" applyNumberFormat="1" applyFont="1" applyFill="1" applyBorder="1" applyAlignment="1">
      <alignment horizontal="right"/>
    </xf>
    <xf numFmtId="9" fontId="8" fillId="0" borderId="0" xfId="63" applyFont="1" applyFill="1" applyBorder="1" applyAlignment="1">
      <alignment horizontal="right"/>
    </xf>
    <xf numFmtId="166" fontId="25" fillId="0" borderId="0" xfId="0" applyNumberFormat="1" applyFont="1" applyFill="1" applyBorder="1"/>
    <xf numFmtId="166" fontId="25" fillId="0" borderId="0" xfId="0" applyNumberFormat="1" applyFont="1" applyFill="1" applyBorder="1" applyAlignment="1">
      <alignment horizontal="center"/>
    </xf>
    <xf numFmtId="166" fontId="25" fillId="0" borderId="0" xfId="0" applyNumberFormat="1" applyFont="1" applyFill="1" applyBorder="1" applyAlignment="1">
      <alignment horizontal="right"/>
    </xf>
    <xf numFmtId="170" fontId="8" fillId="0" borderId="0" xfId="63" applyNumberFormat="1" applyFont="1" applyFill="1" applyBorder="1" applyAlignment="1">
      <alignment horizontal="right"/>
    </xf>
    <xf numFmtId="9" fontId="8" fillId="0" borderId="0" xfId="0" applyNumberFormat="1" applyFont="1" applyFill="1" applyBorder="1" applyAlignment="1">
      <alignment horizontal="right"/>
    </xf>
    <xf numFmtId="0" fontId="8" fillId="0" borderId="0" xfId="0" applyFont="1" applyFill="1" applyBorder="1" applyAlignment="1">
      <alignment horizontal="right"/>
    </xf>
    <xf numFmtId="37" fontId="8" fillId="0" borderId="0" xfId="0" applyNumberFormat="1" applyFont="1" applyFill="1" applyBorder="1" applyAlignment="1"/>
    <xf numFmtId="37" fontId="26" fillId="0" borderId="0" xfId="0" applyNumberFormat="1" applyFont="1" applyFill="1" applyBorder="1"/>
    <xf numFmtId="0" fontId="8" fillId="0" borderId="0" xfId="0" applyFont="1" applyFill="1" applyBorder="1" applyAlignment="1">
      <alignment wrapText="1"/>
    </xf>
    <xf numFmtId="177" fontId="8" fillId="0" borderId="0" xfId="0" applyNumberFormat="1" applyFont="1" applyFill="1" applyBorder="1"/>
    <xf numFmtId="7" fontId="8" fillId="0" borderId="0" xfId="0" applyNumberFormat="1" applyFont="1" applyFill="1" applyBorder="1" applyAlignment="1">
      <alignment wrapText="1"/>
    </xf>
    <xf numFmtId="7" fontId="8" fillId="0" borderId="0" xfId="0" applyNumberFormat="1" applyFont="1" applyFill="1" applyBorder="1"/>
    <xf numFmtId="37" fontId="8" fillId="0" borderId="0" xfId="0" applyNumberFormat="1" applyFont="1" applyFill="1" applyBorder="1" applyAlignment="1">
      <alignment horizontal="left"/>
    </xf>
    <xf numFmtId="3" fontId="8" fillId="0" borderId="0" xfId="0" applyNumberFormat="1" applyFont="1" applyFill="1" applyBorder="1"/>
    <xf numFmtId="0" fontId="26" fillId="0" borderId="0" xfId="0" applyFont="1" applyFill="1" applyBorder="1" applyAlignment="1">
      <alignment horizontal="left" indent="1"/>
    </xf>
    <xf numFmtId="0" fontId="26" fillId="0" borderId="0" xfId="0" applyFont="1" applyFill="1" applyBorder="1"/>
    <xf numFmtId="3" fontId="26" fillId="0" borderId="0" xfId="0" applyNumberFormat="1" applyFont="1" applyFill="1" applyBorder="1"/>
    <xf numFmtId="9" fontId="26" fillId="0" borderId="0" xfId="0" applyNumberFormat="1" applyFont="1" applyFill="1" applyBorder="1"/>
    <xf numFmtId="3" fontId="25" fillId="0" borderId="0" xfId="0" applyNumberFormat="1" applyFont="1" applyFill="1" applyBorder="1"/>
    <xf numFmtId="5" fontId="8" fillId="0" borderId="0" xfId="0" applyNumberFormat="1" applyFont="1" applyFill="1" applyBorder="1"/>
    <xf numFmtId="0" fontId="25" fillId="0" borderId="0" xfId="0" applyFont="1" applyFill="1" applyBorder="1" applyAlignment="1">
      <alignment horizontal="right"/>
    </xf>
    <xf numFmtId="5" fontId="8" fillId="0" borderId="0" xfId="0" applyNumberFormat="1" applyFont="1" applyFill="1" applyBorder="1" applyAlignment="1">
      <alignment horizontal="center"/>
    </xf>
    <xf numFmtId="9" fontId="26" fillId="0" borderId="0" xfId="0" applyNumberFormat="1" applyFont="1" applyFill="1" applyBorder="1" applyAlignment="1">
      <alignment horizontal="center"/>
    </xf>
    <xf numFmtId="0" fontId="25" fillId="0" borderId="0" xfId="0" quotePrefix="1" applyFont="1" applyFill="1" applyBorder="1" applyAlignment="1">
      <alignment vertical="center"/>
    </xf>
    <xf numFmtId="0" fontId="25" fillId="0" borderId="0" xfId="0" applyFont="1" applyFill="1" applyBorder="1" applyAlignment="1">
      <alignment vertical="center"/>
    </xf>
    <xf numFmtId="49" fontId="25" fillId="0" borderId="0" xfId="0" applyNumberFormat="1" applyFont="1" applyFill="1" applyBorder="1" applyAlignment="1">
      <alignment horizontal="left" wrapText="1"/>
    </xf>
    <xf numFmtId="3" fontId="8" fillId="0" borderId="0" xfId="0" applyNumberFormat="1" applyFont="1" applyFill="1" applyBorder="1" applyAlignment="1">
      <alignment horizontal="center"/>
    </xf>
    <xf numFmtId="38" fontId="25" fillId="0" borderId="0" xfId="0" applyNumberFormat="1" applyFont="1" applyFill="1" applyBorder="1"/>
    <xf numFmtId="171" fontId="8" fillId="0" borderId="0" xfId="0" applyNumberFormat="1" applyFont="1" applyFill="1" applyBorder="1"/>
    <xf numFmtId="165" fontId="8" fillId="0" borderId="0" xfId="0" applyNumberFormat="1" applyFont="1" applyFill="1" applyBorder="1"/>
    <xf numFmtId="165" fontId="8" fillId="0" borderId="0" xfId="0" applyNumberFormat="1" applyFont="1" applyFill="1" applyBorder="1" applyAlignment="1">
      <alignment horizontal="left" indent="1"/>
    </xf>
    <xf numFmtId="0" fontId="8" fillId="0" borderId="0" xfId="0" applyFont="1" applyFill="1" applyBorder="1" applyAlignment="1">
      <alignment horizontal="left"/>
    </xf>
    <xf numFmtId="165" fontId="8" fillId="0" borderId="0" xfId="64" applyNumberFormat="1" applyFont="1" applyFill="1" applyBorder="1"/>
    <xf numFmtId="0" fontId="26" fillId="0" borderId="0" xfId="0" applyFont="1" applyFill="1" applyBorder="1" applyAlignment="1">
      <alignment horizontal="left" indent="2"/>
    </xf>
    <xf numFmtId="165" fontId="8" fillId="0" borderId="0" xfId="0" applyNumberFormat="1" applyFont="1" applyFill="1" applyBorder="1" applyAlignment="1">
      <alignment horizontal="left" indent="2"/>
    </xf>
    <xf numFmtId="5" fontId="25" fillId="0" borderId="0" xfId="0" applyNumberFormat="1" applyFont="1" applyFill="1" applyBorder="1" applyAlignment="1">
      <alignment horizontal="left" indent="1"/>
    </xf>
    <xf numFmtId="5" fontId="25" fillId="0" borderId="0" xfId="0" applyNumberFormat="1" applyFont="1" applyFill="1" applyBorder="1" applyAlignment="1">
      <alignment horizontal="left"/>
    </xf>
    <xf numFmtId="37" fontId="8" fillId="0" borderId="0" xfId="64" applyNumberFormat="1" applyFont="1" applyFill="1" applyBorder="1" applyAlignment="1">
      <alignment horizontal="left" indent="2"/>
    </xf>
    <xf numFmtId="165" fontId="8" fillId="0" borderId="0" xfId="64" applyNumberFormat="1" applyFont="1" applyFill="1" applyBorder="1" applyAlignment="1">
      <alignment horizontal="left" indent="2"/>
    </xf>
    <xf numFmtId="175" fontId="8" fillId="0" borderId="0" xfId="0" applyNumberFormat="1" applyFont="1" applyFill="1" applyBorder="1" applyAlignment="1">
      <alignment horizontal="left" indent="1"/>
    </xf>
    <xf numFmtId="9" fontId="8" fillId="0" borderId="0" xfId="64" applyFont="1" applyFill="1" applyBorder="1" applyAlignment="1">
      <alignment horizontal="left" indent="2"/>
    </xf>
    <xf numFmtId="166" fontId="25" fillId="0" borderId="0" xfId="0" applyNumberFormat="1" applyFont="1" applyFill="1" applyBorder="1" applyAlignment="1">
      <alignment horizontal="left"/>
    </xf>
    <xf numFmtId="165" fontId="25" fillId="0" borderId="0" xfId="0" applyNumberFormat="1" applyFont="1" applyFill="1" applyBorder="1"/>
    <xf numFmtId="165" fontId="25" fillId="0" borderId="0" xfId="0" applyNumberFormat="1" applyFont="1" applyFill="1" applyBorder="1" applyAlignment="1">
      <alignment horizontal="center"/>
    </xf>
    <xf numFmtId="5" fontId="8" fillId="0" borderId="0" xfId="0" applyNumberFormat="1" applyFont="1" applyFill="1" applyBorder="1" applyAlignment="1">
      <alignment horizontal="right"/>
    </xf>
    <xf numFmtId="9" fontId="8" fillId="0" borderId="0" xfId="63" applyFont="1" applyFill="1" applyBorder="1" applyAlignment="1">
      <alignment horizontal="center" wrapText="1"/>
    </xf>
    <xf numFmtId="37" fontId="8" fillId="0" borderId="0" xfId="0" applyNumberFormat="1" applyFont="1" applyFill="1" applyBorder="1" applyAlignment="1">
      <alignment horizontal="right" wrapText="1"/>
    </xf>
    <xf numFmtId="7" fontId="8" fillId="0" borderId="0" xfId="0" applyNumberFormat="1" applyFont="1" applyFill="1" applyBorder="1" applyAlignment="1">
      <alignment horizontal="left" wrapText="1" indent="1"/>
    </xf>
    <xf numFmtId="7" fontId="8" fillId="0" borderId="0" xfId="0" applyNumberFormat="1" applyFont="1" applyFill="1" applyBorder="1" applyAlignment="1">
      <alignment horizontal="left" indent="1"/>
    </xf>
    <xf numFmtId="0" fontId="8" fillId="0" borderId="0" xfId="0" applyFont="1" applyFill="1" applyBorder="1" applyAlignment="1">
      <alignment horizontal="left" wrapText="1" indent="1"/>
    </xf>
    <xf numFmtId="37" fontId="25" fillId="0" borderId="0" xfId="0" applyNumberFormat="1" applyFont="1" applyFill="1" applyBorder="1" applyAlignment="1">
      <alignment horizontal="left" indent="1"/>
    </xf>
    <xf numFmtId="166" fontId="8" fillId="0" borderId="0" xfId="0" applyNumberFormat="1" applyFont="1" applyFill="1" applyBorder="1" applyAlignment="1">
      <alignment horizontal="left" indent="1"/>
    </xf>
    <xf numFmtId="0" fontId="8" fillId="0" borderId="0" xfId="0" applyFont="1" applyFill="1" applyBorder="1" applyAlignment="1">
      <alignment horizontal="left" indent="1"/>
    </xf>
    <xf numFmtId="37" fontId="8" fillId="0" borderId="0" xfId="0" applyNumberFormat="1" applyFont="1" applyFill="1" applyBorder="1" applyAlignment="1">
      <alignment horizontal="left" indent="2"/>
    </xf>
    <xf numFmtId="37" fontId="8" fillId="0" borderId="0" xfId="0" applyNumberFormat="1" applyFont="1" applyFill="1" applyBorder="1" applyAlignment="1">
      <alignment horizontal="left" wrapText="1" indent="2"/>
    </xf>
    <xf numFmtId="38" fontId="8" fillId="0" borderId="0" xfId="0" applyNumberFormat="1" applyFont="1" applyFill="1" applyBorder="1" applyAlignment="1">
      <alignment horizontal="left" indent="1"/>
    </xf>
    <xf numFmtId="175" fontId="25" fillId="0" borderId="0" xfId="0" applyNumberFormat="1" applyFont="1" applyFill="1" applyBorder="1" applyAlignment="1">
      <alignment horizontal="left" indent="1"/>
    </xf>
    <xf numFmtId="0" fontId="25" fillId="0" borderId="0" xfId="0" applyFont="1" applyFill="1" applyBorder="1" applyAlignment="1">
      <alignment horizontal="left" indent="1"/>
    </xf>
    <xf numFmtId="166" fontId="25" fillId="0" borderId="0" xfId="0" applyNumberFormat="1" applyFont="1" applyFill="1" applyBorder="1" applyAlignment="1">
      <alignment horizontal="left" indent="1"/>
    </xf>
    <xf numFmtId="37" fontId="8" fillId="0" borderId="0" xfId="0" applyNumberFormat="1" applyFont="1" applyFill="1" applyBorder="1" applyAlignment="1">
      <alignment horizontal="right" vertical="center"/>
    </xf>
    <xf numFmtId="37" fontId="8" fillId="0" borderId="0" xfId="0" applyNumberFormat="1" applyFont="1" applyFill="1" applyBorder="1" applyAlignment="1" applyProtection="1">
      <alignment horizontal="right" vertical="center"/>
    </xf>
    <xf numFmtId="37" fontId="8" fillId="0" borderId="0" xfId="0" applyNumberFormat="1" applyFont="1" applyFill="1" applyBorder="1" applyAlignment="1">
      <alignment vertical="center"/>
    </xf>
    <xf numFmtId="0" fontId="46" fillId="0" borderId="0" xfId="0" applyFont="1" applyFill="1" applyBorder="1" applyAlignment="1">
      <alignment horizontal="left" vertical="center"/>
    </xf>
    <xf numFmtId="0" fontId="25" fillId="0" borderId="0" xfId="0" applyNumberFormat="1" applyFont="1" applyFill="1" applyBorder="1" applyAlignment="1">
      <alignment vertical="center"/>
    </xf>
    <xf numFmtId="0" fontId="8" fillId="0" borderId="0" xfId="0" applyNumberFormat="1" applyFont="1" applyFill="1" applyBorder="1" applyAlignment="1">
      <alignment horizontal="center"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38" fontId="8" fillId="0" borderId="0" xfId="0" applyNumberFormat="1" applyFont="1" applyFill="1" applyBorder="1" applyAlignment="1">
      <alignment horizontal="right" vertical="center"/>
    </xf>
    <xf numFmtId="37" fontId="8" fillId="0" borderId="0" xfId="0" applyNumberFormat="1" applyFont="1" applyFill="1" applyBorder="1" applyAlignment="1">
      <alignment horizontal="left" vertical="center"/>
    </xf>
    <xf numFmtId="173" fontId="8" fillId="0" borderId="0" xfId="0" applyNumberFormat="1" applyFont="1" applyFill="1" applyBorder="1" applyAlignment="1">
      <alignment horizontal="center" vertical="center"/>
    </xf>
    <xf numFmtId="173" fontId="8" fillId="0" borderId="0" xfId="0" applyNumberFormat="1" applyFont="1" applyFill="1" applyBorder="1" applyAlignment="1">
      <alignment horizontal="right" vertical="center"/>
    </xf>
    <xf numFmtId="37" fontId="25" fillId="0" borderId="0" xfId="0" applyNumberFormat="1" applyFont="1" applyFill="1" applyBorder="1" applyAlignment="1">
      <alignment vertical="center"/>
    </xf>
    <xf numFmtId="37" fontId="25" fillId="0" borderId="0" xfId="0" applyNumberFormat="1" applyFont="1" applyFill="1" applyBorder="1" applyAlignment="1" applyProtection="1">
      <alignment horizontal="right" vertical="center"/>
    </xf>
    <xf numFmtId="5" fontId="25" fillId="0" borderId="0" xfId="0" applyNumberFormat="1" applyFont="1" applyFill="1" applyBorder="1" applyAlignment="1" applyProtection="1">
      <alignment horizontal="right" vertical="center"/>
    </xf>
    <xf numFmtId="180" fontId="8" fillId="0" borderId="0" xfId="0" applyNumberFormat="1" applyFont="1" applyFill="1" applyBorder="1" applyAlignment="1" applyProtection="1">
      <alignment horizontal="right" vertical="center"/>
    </xf>
    <xf numFmtId="41" fontId="8" fillId="0" borderId="0" xfId="0" applyNumberFormat="1" applyFont="1" applyFill="1" applyBorder="1" applyAlignment="1" applyProtection="1">
      <alignment horizontal="right" vertical="center"/>
    </xf>
    <xf numFmtId="37" fontId="25" fillId="0" borderId="0" xfId="0" applyNumberFormat="1" applyFont="1" applyFill="1" applyBorder="1" applyAlignment="1">
      <alignment horizontal="right" vertical="center"/>
    </xf>
    <xf numFmtId="166" fontId="25" fillId="0" borderId="0" xfId="0" applyNumberFormat="1" applyFont="1" applyFill="1" applyBorder="1" applyAlignment="1">
      <alignment vertical="center"/>
    </xf>
    <xf numFmtId="0" fontId="8" fillId="0" borderId="0" xfId="0" applyFont="1" applyFill="1" applyBorder="1" applyAlignment="1" applyProtection="1">
      <alignment horizontal="right" vertical="center"/>
    </xf>
    <xf numFmtId="166" fontId="8" fillId="0" borderId="0" xfId="0" applyNumberFormat="1" applyFont="1" applyFill="1" applyBorder="1" applyAlignment="1">
      <alignment horizontal="right" vertical="center"/>
    </xf>
    <xf numFmtId="166" fontId="8" fillId="0" borderId="0" xfId="0" applyNumberFormat="1" applyFont="1" applyFill="1" applyBorder="1" applyAlignment="1">
      <alignment vertical="center"/>
    </xf>
    <xf numFmtId="166" fontId="8" fillId="0" borderId="0" xfId="0" applyNumberFormat="1" applyFont="1" applyFill="1" applyBorder="1" applyAlignment="1">
      <alignment horizontal="left" vertical="center"/>
    </xf>
    <xf numFmtId="0" fontId="8" fillId="0" borderId="0" xfId="0" applyFont="1" applyFill="1" applyBorder="1" applyAlignment="1">
      <alignment horizontal="left" vertical="center"/>
    </xf>
    <xf numFmtId="37" fontId="25" fillId="0" borderId="0" xfId="0" applyNumberFormat="1" applyFont="1" applyFill="1" applyBorder="1" applyAlignment="1">
      <alignment horizontal="left" vertical="center"/>
    </xf>
    <xf numFmtId="166" fontId="8" fillId="0" borderId="0" xfId="0" applyNumberFormat="1" applyFont="1" applyFill="1" applyBorder="1" applyAlignment="1" applyProtection="1">
      <alignment horizontal="right" vertical="center"/>
    </xf>
    <xf numFmtId="174" fontId="8" fillId="0" borderId="0" xfId="0" applyNumberFormat="1" applyFont="1" applyFill="1" applyBorder="1" applyAlignment="1">
      <alignment horizontal="left" vertical="center"/>
    </xf>
    <xf numFmtId="174" fontId="8" fillId="0" borderId="0" xfId="0" applyNumberFormat="1" applyFont="1" applyFill="1" applyBorder="1" applyAlignment="1">
      <alignment horizontal="right" vertical="center"/>
    </xf>
    <xf numFmtId="174" fontId="8" fillId="0" borderId="0" xfId="0" applyNumberFormat="1" applyFont="1" applyFill="1" applyBorder="1" applyAlignment="1" applyProtection="1">
      <alignment horizontal="right" vertical="center"/>
    </xf>
    <xf numFmtId="174" fontId="8" fillId="0" borderId="0" xfId="0" applyNumberFormat="1" applyFont="1" applyFill="1" applyBorder="1" applyAlignment="1">
      <alignment vertical="center"/>
    </xf>
    <xf numFmtId="10" fontId="8" fillId="0" borderId="0" xfId="0" applyNumberFormat="1" applyFont="1" applyFill="1" applyBorder="1" applyAlignment="1" applyProtection="1">
      <alignment horizontal="right" vertical="center"/>
    </xf>
    <xf numFmtId="174" fontId="25" fillId="0" borderId="0" xfId="0" applyNumberFormat="1" applyFont="1" applyFill="1" applyBorder="1" applyAlignment="1">
      <alignment vertical="center"/>
    </xf>
    <xf numFmtId="174" fontId="25" fillId="0" borderId="0" xfId="0" applyNumberFormat="1" applyFont="1" applyFill="1" applyBorder="1" applyAlignment="1">
      <alignment horizontal="right" vertical="center"/>
    </xf>
    <xf numFmtId="10" fontId="25" fillId="0" borderId="0" xfId="0" applyNumberFormat="1" applyFont="1" applyFill="1" applyBorder="1" applyAlignment="1">
      <alignment horizontal="right" vertical="center"/>
    </xf>
    <xf numFmtId="181" fontId="8" fillId="0" borderId="0" xfId="0" applyNumberFormat="1" applyFont="1" applyFill="1" applyBorder="1" applyAlignment="1">
      <alignment vertical="center"/>
    </xf>
    <xf numFmtId="181" fontId="8" fillId="0" borderId="0" xfId="0" applyNumberFormat="1" applyFont="1" applyFill="1" applyBorder="1" applyAlignment="1">
      <alignment horizontal="right" vertical="center"/>
    </xf>
    <xf numFmtId="182" fontId="8" fillId="0" borderId="0" xfId="0" applyNumberFormat="1" applyFont="1" applyFill="1" applyBorder="1" applyAlignment="1">
      <alignment horizontal="right" vertical="center"/>
    </xf>
    <xf numFmtId="183" fontId="0" fillId="0" borderId="0" xfId="0" applyNumberFormat="1"/>
    <xf numFmtId="38" fontId="8" fillId="0" borderId="0" xfId="57" applyNumberFormat="1" applyFont="1" applyFill="1" applyBorder="1"/>
    <xf numFmtId="0" fontId="25" fillId="24" borderId="25" xfId="52" applyFont="1" applyFill="1" applyBorder="1" applyAlignment="1">
      <alignment horizontal="center"/>
    </xf>
    <xf numFmtId="38" fontId="25" fillId="0" borderId="0" xfId="57" quotePrefix="1" applyNumberFormat="1" applyFont="1" applyFill="1" applyBorder="1" applyAlignment="1">
      <alignment horizontal="right"/>
    </xf>
    <xf numFmtId="175" fontId="25" fillId="0" borderId="0" xfId="57" applyNumberFormat="1" applyFont="1" applyFill="1" applyBorder="1"/>
    <xf numFmtId="0" fontId="8" fillId="0" borderId="0" xfId="52" applyFont="1" applyFill="1" applyBorder="1"/>
    <xf numFmtId="0" fontId="25" fillId="24" borderId="26" xfId="52" applyFont="1" applyFill="1" applyBorder="1" applyAlignment="1">
      <alignment horizontal="center"/>
    </xf>
    <xf numFmtId="38" fontId="25" fillId="0" borderId="2" xfId="57" applyNumberFormat="1" applyFont="1" applyFill="1" applyBorder="1"/>
    <xf numFmtId="172" fontId="25" fillId="0" borderId="2" xfId="57" applyNumberFormat="1" applyFont="1" applyFill="1" applyBorder="1"/>
    <xf numFmtId="38" fontId="25" fillId="0" borderId="0" xfId="57" applyNumberFormat="1" applyFont="1" applyFill="1" applyBorder="1"/>
    <xf numFmtId="172" fontId="25" fillId="0" borderId="0" xfId="57" applyNumberFormat="1" applyFont="1" applyFill="1" applyBorder="1"/>
    <xf numFmtId="38" fontId="8" fillId="0" borderId="0" xfId="57" applyNumberFormat="1" applyFont="1" applyFill="1" applyBorder="1" applyAlignment="1">
      <alignment horizontal="left" indent="1"/>
    </xf>
    <xf numFmtId="3" fontId="8" fillId="0" borderId="0" xfId="57" applyNumberFormat="1" applyFont="1" applyFill="1" applyBorder="1"/>
    <xf numFmtId="184" fontId="8" fillId="0" borderId="0" xfId="66" applyFont="1" applyFill="1" applyBorder="1"/>
    <xf numFmtId="9" fontId="8" fillId="0" borderId="0" xfId="57" applyNumberFormat="1" applyFont="1" applyFill="1" applyBorder="1"/>
    <xf numFmtId="38" fontId="0" fillId="0" borderId="0" xfId="57" applyNumberFormat="1" applyFont="1" applyFill="1" applyBorder="1" applyAlignment="1">
      <alignment horizontal="left" indent="1"/>
    </xf>
    <xf numFmtId="38" fontId="0" fillId="0" borderId="0" xfId="57" applyNumberFormat="1" applyFont="1" applyFill="1" applyBorder="1" applyAlignment="1">
      <alignment horizontal="left" indent="2"/>
    </xf>
    <xf numFmtId="172" fontId="8" fillId="0" borderId="0" xfId="57" applyNumberFormat="1" applyFont="1" applyFill="1" applyBorder="1"/>
    <xf numFmtId="38" fontId="25" fillId="0" borderId="0" xfId="57" applyNumberFormat="1" applyFont="1" applyFill="1" applyBorder="1" applyAlignment="1">
      <alignment horizontal="left" indent="1"/>
    </xf>
    <xf numFmtId="165" fontId="8" fillId="0" borderId="0" xfId="66" applyNumberFormat="1" applyFont="1" applyFill="1" applyBorder="1"/>
    <xf numFmtId="185" fontId="8" fillId="0" borderId="0" xfId="66" applyNumberFormat="1" applyFont="1" applyFill="1" applyBorder="1"/>
    <xf numFmtId="184" fontId="25" fillId="0" borderId="0" xfId="66" applyFont="1" applyFill="1" applyBorder="1"/>
    <xf numFmtId="186" fontId="25" fillId="0" borderId="0" xfId="57" applyNumberFormat="1" applyFont="1" applyFill="1" applyBorder="1"/>
    <xf numFmtId="38" fontId="26" fillId="0" borderId="0" xfId="57" applyNumberFormat="1" applyFont="1" applyFill="1" applyBorder="1" applyAlignment="1">
      <alignment horizontal="left" indent="1"/>
    </xf>
    <xf numFmtId="172" fontId="33" fillId="0" borderId="0" xfId="57" applyNumberFormat="1" applyFont="1" applyFill="1" applyBorder="1"/>
    <xf numFmtId="38" fontId="25" fillId="0" borderId="2" xfId="57" quotePrefix="1" applyNumberFormat="1" applyFont="1" applyFill="1" applyBorder="1" applyAlignment="1">
      <alignment horizontal="right"/>
    </xf>
    <xf numFmtId="175" fontId="25" fillId="0" borderId="2" xfId="57" applyNumberFormat="1" applyFont="1" applyFill="1" applyBorder="1"/>
    <xf numFmtId="38" fontId="8" fillId="0" borderId="0" xfId="57" applyNumberFormat="1" applyFont="1" applyFill="1" applyBorder="1" applyAlignment="1">
      <alignment horizontal="left" indent="2"/>
    </xf>
    <xf numFmtId="187" fontId="8" fillId="0" borderId="0" xfId="57" applyNumberFormat="1" applyFont="1" applyFill="1" applyBorder="1"/>
    <xf numFmtId="185" fontId="25" fillId="0" borderId="0" xfId="66" applyNumberFormat="1" applyFont="1" applyFill="1" applyBorder="1"/>
    <xf numFmtId="172" fontId="25" fillId="0" borderId="0" xfId="66" applyNumberFormat="1" applyFont="1" applyFill="1" applyBorder="1"/>
    <xf numFmtId="186" fontId="8" fillId="0" borderId="0" xfId="57" applyNumberFormat="1" applyFont="1" applyFill="1" applyBorder="1"/>
    <xf numFmtId="175" fontId="25" fillId="0" borderId="2" xfId="57" applyNumberFormat="1" applyFont="1" applyFill="1" applyBorder="1" applyAlignment="1">
      <alignment horizontal="right"/>
    </xf>
    <xf numFmtId="170" fontId="8" fillId="0" borderId="0" xfId="66" applyNumberFormat="1" applyFont="1" applyFill="1" applyBorder="1"/>
    <xf numFmtId="3" fontId="8" fillId="0" borderId="0" xfId="66" applyNumberFormat="1" applyFont="1" applyFill="1" applyBorder="1"/>
    <xf numFmtId="1" fontId="0" fillId="0" borderId="0" xfId="66" applyNumberFormat="1" applyFont="1" applyFill="1" applyBorder="1"/>
    <xf numFmtId="1" fontId="8" fillId="0" borderId="0" xfId="66" applyNumberFormat="1" applyFont="1" applyFill="1" applyBorder="1"/>
    <xf numFmtId="38" fontId="8" fillId="0" borderId="2" xfId="57" applyNumberFormat="1" applyFont="1" applyFill="1" applyBorder="1"/>
    <xf numFmtId="38" fontId="25" fillId="0" borderId="0" xfId="57" applyNumberFormat="1" applyFont="1" applyFill="1" applyBorder="1" applyAlignment="1">
      <alignment vertical="center"/>
    </xf>
    <xf numFmtId="172" fontId="25" fillId="0" borderId="0" xfId="57" applyNumberFormat="1" applyFont="1" applyFill="1" applyBorder="1" applyAlignment="1">
      <alignment horizontal="right" vertical="center"/>
    </xf>
    <xf numFmtId="38" fontId="8" fillId="0" borderId="0" xfId="57" applyNumberFormat="1" applyFont="1" applyFill="1" applyBorder="1" applyAlignment="1">
      <alignment vertical="center"/>
    </xf>
    <xf numFmtId="3" fontId="25" fillId="0" borderId="0" xfId="57" applyNumberFormat="1" applyFont="1" applyFill="1" applyBorder="1" applyAlignment="1">
      <alignment horizontal="right" vertical="center"/>
    </xf>
    <xf numFmtId="38" fontId="8" fillId="0" borderId="0" xfId="57" applyNumberFormat="1" applyFont="1" applyFill="1" applyBorder="1" applyAlignment="1">
      <alignment horizontal="left" vertical="center" indent="1"/>
    </xf>
    <xf numFmtId="3" fontId="8" fillId="0" borderId="0" xfId="57" applyNumberFormat="1" applyFont="1" applyFill="1" applyBorder="1" applyAlignment="1">
      <alignment horizontal="right" vertical="center"/>
    </xf>
    <xf numFmtId="9" fontId="8" fillId="0" borderId="0" xfId="57" applyNumberFormat="1" applyFont="1" applyFill="1" applyBorder="1" applyAlignment="1">
      <alignment horizontal="right" vertical="center"/>
    </xf>
    <xf numFmtId="38" fontId="8" fillId="0" borderId="0" xfId="57" applyNumberFormat="1" applyFont="1" applyFill="1" applyBorder="1" applyAlignment="1">
      <alignment horizontal="left" vertical="center"/>
    </xf>
    <xf numFmtId="172" fontId="8" fillId="0" borderId="0" xfId="57" applyNumberFormat="1" applyFont="1" applyFill="1" applyBorder="1" applyAlignment="1">
      <alignment horizontal="right" vertical="center"/>
    </xf>
    <xf numFmtId="172" fontId="25" fillId="0" borderId="0" xfId="57" applyNumberFormat="1" applyFont="1" applyFill="1" applyBorder="1" applyAlignment="1">
      <alignment vertical="center"/>
    </xf>
    <xf numFmtId="0" fontId="46" fillId="0" borderId="0" xfId="52" applyFont="1" applyFill="1" applyBorder="1" applyAlignment="1">
      <alignment horizontal="center" vertical="center"/>
    </xf>
    <xf numFmtId="0" fontId="46" fillId="25" borderId="0" xfId="58" applyFont="1" applyFill="1" applyBorder="1" applyAlignment="1" applyProtection="1">
      <alignment horizontal="left" indent="1"/>
      <protection locked="0"/>
    </xf>
    <xf numFmtId="172" fontId="25" fillId="25" borderId="0" xfId="57" applyNumberFormat="1" applyFont="1" applyFill="1" applyBorder="1" applyAlignment="1">
      <alignment vertical="center"/>
    </xf>
    <xf numFmtId="172" fontId="8" fillId="25" borderId="0" xfId="57" applyNumberFormat="1" applyFont="1" applyFill="1" applyBorder="1" applyAlignment="1">
      <alignment vertical="center"/>
    </xf>
    <xf numFmtId="0" fontId="8" fillId="0" borderId="0" xfId="52" applyFont="1" applyFill="1" applyBorder="1" applyAlignment="1">
      <alignment horizontal="center" vertical="center"/>
    </xf>
    <xf numFmtId="0" fontId="0" fillId="25" borderId="0" xfId="58" applyFont="1" applyFill="1" applyBorder="1" applyAlignment="1" applyProtection="1">
      <alignment horizontal="left" indent="1"/>
      <protection locked="0"/>
    </xf>
    <xf numFmtId="0" fontId="47" fillId="0" borderId="0" xfId="52" applyFont="1" applyFill="1" applyBorder="1" applyAlignment="1">
      <alignment horizontal="center" vertical="center"/>
    </xf>
    <xf numFmtId="0" fontId="47" fillId="25" borderId="0" xfId="58" applyFont="1" applyFill="1" applyBorder="1" applyAlignment="1" applyProtection="1">
      <alignment horizontal="left" indent="1"/>
      <protection locked="0"/>
    </xf>
    <xf numFmtId="38" fontId="0" fillId="0" borderId="0" xfId="57" applyNumberFormat="1" applyFont="1" applyFill="1" applyBorder="1" applyAlignment="1">
      <alignment vertical="center"/>
    </xf>
    <xf numFmtId="165" fontId="8" fillId="0" borderId="0" xfId="66" applyNumberFormat="1" applyFont="1" applyFill="1" applyBorder="1" applyAlignment="1">
      <alignment vertical="center"/>
    </xf>
    <xf numFmtId="9" fontId="8" fillId="0" borderId="0" xfId="66" applyNumberFormat="1" applyFont="1" applyFill="1" applyBorder="1" applyAlignment="1">
      <alignment vertical="center"/>
    </xf>
    <xf numFmtId="3" fontId="8" fillId="0" borderId="0" xfId="57" applyNumberFormat="1" applyFont="1" applyFill="1" applyBorder="1" applyAlignment="1">
      <alignment vertical="center"/>
    </xf>
    <xf numFmtId="172" fontId="8" fillId="0" borderId="0" xfId="57" applyNumberFormat="1" applyFont="1" applyFill="1" applyBorder="1" applyAlignment="1">
      <alignment vertical="center"/>
    </xf>
    <xf numFmtId="38" fontId="25" fillId="0" borderId="0" xfId="57" applyNumberFormat="1" applyFont="1" applyFill="1" applyBorder="1" applyAlignment="1">
      <alignment horizontal="left" vertical="center"/>
    </xf>
    <xf numFmtId="188" fontId="8" fillId="0" borderId="0" xfId="57" applyNumberFormat="1" applyFont="1" applyFill="1" applyBorder="1"/>
    <xf numFmtId="6" fontId="8" fillId="0" borderId="0" xfId="57" applyNumberFormat="1" applyFont="1" applyFill="1" applyBorder="1"/>
    <xf numFmtId="9" fontId="26" fillId="0" borderId="0" xfId="57" applyNumberFormat="1" applyFont="1" applyFill="1" applyBorder="1"/>
    <xf numFmtId="37" fontId="8" fillId="0" borderId="0" xfId="52" applyNumberFormat="1" applyFont="1" applyFill="1" applyBorder="1"/>
    <xf numFmtId="0" fontId="8" fillId="0" borderId="0" xfId="52" applyFont="1" applyFill="1" applyBorder="1" applyAlignment="1">
      <alignment horizontal="left" indent="1"/>
    </xf>
    <xf numFmtId="184" fontId="8" fillId="0" borderId="0" xfId="66" applyNumberFormat="1" applyFont="1" applyFill="1" applyBorder="1"/>
    <xf numFmtId="9" fontId="8" fillId="0" borderId="0" xfId="52" applyNumberFormat="1" applyFont="1" applyFill="1" applyBorder="1"/>
    <xf numFmtId="0" fontId="25" fillId="25" borderId="0" xfId="52" applyFont="1" applyFill="1" applyBorder="1"/>
    <xf numFmtId="37" fontId="25" fillId="25" borderId="0" xfId="52" applyNumberFormat="1" applyFont="1" applyFill="1" applyBorder="1"/>
    <xf numFmtId="3" fontId="8" fillId="0" borderId="0" xfId="52" applyNumberFormat="1" applyFont="1" applyFill="1" applyBorder="1" applyAlignment="1">
      <alignment horizontal="center"/>
    </xf>
    <xf numFmtId="3" fontId="8" fillId="0" borderId="0" xfId="52" applyNumberFormat="1" applyFont="1" applyFill="1" applyBorder="1" applyAlignment="1">
      <alignment horizontal="right"/>
    </xf>
    <xf numFmtId="49" fontId="25" fillId="0" borderId="0" xfId="52" applyNumberFormat="1" applyFont="1" applyFill="1" applyBorder="1" applyAlignment="1">
      <alignment horizontal="center"/>
    </xf>
    <xf numFmtId="0" fontId="25" fillId="0" borderId="0" xfId="52" applyFont="1" applyFill="1" applyBorder="1"/>
    <xf numFmtId="3" fontId="8" fillId="0" borderId="0" xfId="52" applyNumberFormat="1" applyFont="1" applyFill="1" applyBorder="1"/>
    <xf numFmtId="0" fontId="8" fillId="0" borderId="0" xfId="52" applyFont="1" applyFill="1" applyBorder="1" applyAlignment="1">
      <alignment horizontal="left" indent="2"/>
    </xf>
    <xf numFmtId="6" fontId="8" fillId="0" borderId="0" xfId="52" applyNumberFormat="1" applyFont="1" applyFill="1" applyBorder="1"/>
    <xf numFmtId="8" fontId="8" fillId="0" borderId="0" xfId="52" applyNumberFormat="1" applyFont="1" applyFill="1" applyBorder="1"/>
    <xf numFmtId="6" fontId="25" fillId="0" borderId="0" xfId="52" applyNumberFormat="1" applyFont="1" applyFill="1" applyBorder="1"/>
    <xf numFmtId="0" fontId="33" fillId="0" borderId="0" xfId="52" applyFont="1" applyFill="1" applyBorder="1"/>
    <xf numFmtId="0" fontId="8" fillId="0" borderId="0" xfId="52" applyFont="1" applyFill="1" applyBorder="1" applyAlignment="1"/>
    <xf numFmtId="6" fontId="8" fillId="0" borderId="0" xfId="52" applyNumberFormat="1" applyFont="1" applyFill="1" applyBorder="1" applyAlignment="1"/>
    <xf numFmtId="169" fontId="8" fillId="0" borderId="0" xfId="52" applyNumberFormat="1" applyFont="1" applyFill="1" applyBorder="1" applyAlignment="1"/>
    <xf numFmtId="0" fontId="25" fillId="0" borderId="0" xfId="53" applyFont="1" applyFill="1" applyBorder="1"/>
    <xf numFmtId="172" fontId="25" fillId="0" borderId="0" xfId="41" applyNumberFormat="1" applyFont="1" applyFill="1" applyBorder="1"/>
    <xf numFmtId="0" fontId="25" fillId="25" borderId="0" xfId="58" applyFont="1" applyFill="1" applyBorder="1" applyProtection="1">
      <protection locked="0"/>
    </xf>
    <xf numFmtId="0" fontId="8" fillId="25" borderId="0" xfId="52" applyFont="1" applyFill="1" applyBorder="1"/>
    <xf numFmtId="164" fontId="25" fillId="25" borderId="0" xfId="41" applyNumberFormat="1" applyFont="1" applyFill="1" applyBorder="1"/>
    <xf numFmtId="172" fontId="25" fillId="25" borderId="0" xfId="58" applyNumberFormat="1" applyFont="1" applyFill="1" applyBorder="1" applyProtection="1">
      <protection locked="0"/>
    </xf>
    <xf numFmtId="164" fontId="8" fillId="25" borderId="0" xfId="41" applyNumberFormat="1" applyFont="1" applyFill="1" applyBorder="1"/>
    <xf numFmtId="172" fontId="8" fillId="25" borderId="0" xfId="58" applyNumberFormat="1" applyFont="1" applyFill="1" applyBorder="1" applyProtection="1">
      <protection locked="0"/>
    </xf>
    <xf numFmtId="0" fontId="25" fillId="25" borderId="19" xfId="52" applyFont="1" applyFill="1" applyBorder="1"/>
    <xf numFmtId="0" fontId="8" fillId="25" borderId="19" xfId="52" applyFont="1" applyFill="1" applyBorder="1"/>
    <xf numFmtId="6" fontId="25" fillId="25" borderId="19" xfId="52" applyNumberFormat="1" applyFont="1" applyFill="1" applyBorder="1"/>
    <xf numFmtId="1" fontId="8" fillId="0" borderId="0" xfId="52" applyNumberFormat="1" applyFont="1" applyFill="1" applyBorder="1"/>
    <xf numFmtId="6" fontId="25" fillId="25" borderId="0" xfId="57" applyNumberFormat="1" applyFont="1" applyFill="1" applyBorder="1"/>
    <xf numFmtId="38" fontId="25" fillId="25" borderId="0" xfId="57" applyNumberFormat="1" applyFont="1" applyFill="1" applyBorder="1"/>
    <xf numFmtId="172" fontId="25" fillId="25" borderId="0" xfId="57" applyNumberFormat="1" applyFont="1" applyFill="1" applyBorder="1"/>
    <xf numFmtId="172" fontId="25" fillId="25" borderId="0" xfId="66" applyNumberFormat="1" applyFont="1" applyFill="1" applyBorder="1"/>
    <xf numFmtId="0" fontId="25" fillId="0" borderId="0" xfId="54" applyFont="1" applyAlignment="1">
      <alignment horizontal="center"/>
    </xf>
    <xf numFmtId="9" fontId="26" fillId="0" borderId="0" xfId="65" applyFont="1"/>
    <xf numFmtId="165" fontId="26" fillId="0" borderId="0" xfId="0" applyNumberFormat="1" applyFont="1" applyFill="1" applyBorder="1"/>
    <xf numFmtId="165" fontId="26" fillId="0" borderId="0" xfId="63" applyNumberFormat="1" applyFont="1" applyFill="1" applyBorder="1"/>
    <xf numFmtId="9" fontId="26" fillId="0" borderId="0" xfId="63" applyFont="1" applyFill="1" applyBorder="1"/>
    <xf numFmtId="5" fontId="25" fillId="0" borderId="19" xfId="59" applyNumberFormat="1" applyFont="1" applyFill="1" applyBorder="1" applyAlignment="1">
      <alignment vertical="center" wrapText="1"/>
    </xf>
    <xf numFmtId="1" fontId="25" fillId="0" borderId="0" xfId="0" applyNumberFormat="1" applyFont="1" applyFill="1" applyBorder="1"/>
    <xf numFmtId="0" fontId="7" fillId="0" borderId="0" xfId="0" applyFont="1" applyAlignment="1">
      <alignment horizontal="left" indent="2"/>
    </xf>
    <xf numFmtId="9" fontId="26" fillId="0" borderId="0" xfId="63" applyNumberFormat="1" applyFont="1"/>
    <xf numFmtId="0" fontId="7" fillId="0" borderId="0" xfId="0" applyFont="1" applyAlignment="1">
      <alignment horizontal="left" indent="1"/>
    </xf>
    <xf numFmtId="0" fontId="7" fillId="0" borderId="0" xfId="0" applyFont="1"/>
    <xf numFmtId="0" fontId="7" fillId="0" borderId="0" xfId="0" applyFont="1" applyAlignment="1">
      <alignment horizontal="center"/>
    </xf>
    <xf numFmtId="37" fontId="7" fillId="0" borderId="0" xfId="59" applyNumberFormat="1" applyFont="1" applyFill="1" applyBorder="1" applyAlignment="1">
      <alignment horizontal="left" indent="2"/>
    </xf>
    <xf numFmtId="0" fontId="26" fillId="0" borderId="0" xfId="0" applyFont="1" applyAlignment="1">
      <alignment horizontal="center"/>
    </xf>
    <xf numFmtId="0" fontId="25" fillId="0" borderId="0" xfId="0" applyFont="1" applyAlignment="1">
      <alignment horizontal="left" indent="2"/>
    </xf>
    <xf numFmtId="37" fontId="7" fillId="0" borderId="0" xfId="59" applyNumberFormat="1" applyFont="1" applyFill="1" applyBorder="1" applyAlignment="1">
      <alignment horizontal="left" indent="1"/>
    </xf>
    <xf numFmtId="3" fontId="7" fillId="0" borderId="0" xfId="59" applyNumberFormat="1" applyFont="1" applyFill="1" applyBorder="1"/>
    <xf numFmtId="3" fontId="7" fillId="0" borderId="0" xfId="59" applyNumberFormat="1" applyFont="1" applyFill="1" applyBorder="1" applyAlignment="1"/>
    <xf numFmtId="3" fontId="7" fillId="21" borderId="0" xfId="59" applyNumberFormat="1" applyFont="1" applyFill="1" applyBorder="1"/>
    <xf numFmtId="3" fontId="7" fillId="21" borderId="0" xfId="59" applyNumberFormat="1" applyFont="1" applyFill="1" applyBorder="1" applyAlignment="1"/>
    <xf numFmtId="0" fontId="7" fillId="0" borderId="0" xfId="0" applyFont="1" applyFill="1" applyBorder="1"/>
    <xf numFmtId="37" fontId="25" fillId="0" borderId="0" xfId="59" applyNumberFormat="1" applyFont="1" applyFill="1" applyBorder="1" applyAlignment="1"/>
    <xf numFmtId="4" fontId="56" fillId="21" borderId="0" xfId="59" applyNumberFormat="1" applyFont="1" applyFill="1" applyBorder="1" applyAlignment="1"/>
    <xf numFmtId="4" fontId="53" fillId="0" borderId="0" xfId="59" applyNumberFormat="1" applyFont="1" applyFill="1" applyBorder="1" applyAlignment="1"/>
    <xf numFmtId="3" fontId="7" fillId="0" borderId="0" xfId="0" applyNumberFormat="1" applyFont="1"/>
    <xf numFmtId="9" fontId="7" fillId="0" borderId="0" xfId="0" applyNumberFormat="1" applyFont="1" applyAlignment="1">
      <alignment horizontal="right"/>
    </xf>
    <xf numFmtId="0" fontId="0" fillId="0" borderId="0" xfId="0" applyAlignment="1">
      <alignment horizontal="left" indent="3"/>
    </xf>
    <xf numFmtId="0" fontId="7" fillId="0" borderId="0" xfId="0" applyFont="1" applyAlignment="1">
      <alignment horizontal="left" indent="3"/>
    </xf>
    <xf numFmtId="172" fontId="25" fillId="0" borderId="0" xfId="0" applyNumberFormat="1" applyFont="1"/>
    <xf numFmtId="172" fontId="7" fillId="0" borderId="0" xfId="0" applyNumberFormat="1" applyFont="1"/>
    <xf numFmtId="9" fontId="7" fillId="0" borderId="0" xfId="63" applyFont="1" applyAlignment="1">
      <alignment horizontal="right"/>
    </xf>
    <xf numFmtId="3" fontId="7" fillId="0" borderId="0" xfId="0" applyNumberFormat="1" applyFont="1" applyAlignment="1">
      <alignment horizontal="right"/>
    </xf>
    <xf numFmtId="168" fontId="25" fillId="21" borderId="0" xfId="0" applyNumberFormat="1" applyFont="1" applyFill="1" applyBorder="1"/>
    <xf numFmtId="168" fontId="25" fillId="0" borderId="0" xfId="0" applyNumberFormat="1" applyFont="1" applyBorder="1"/>
    <xf numFmtId="3" fontId="25" fillId="21" borderId="0" xfId="0" applyNumberFormat="1" applyFont="1" applyFill="1" applyBorder="1"/>
    <xf numFmtId="3" fontId="25" fillId="0" borderId="0" xfId="0" applyNumberFormat="1" applyFont="1" applyBorder="1"/>
    <xf numFmtId="0" fontId="7" fillId="0" borderId="0" xfId="0" quotePrefix="1" applyFont="1" applyFill="1" applyBorder="1" applyAlignment="1">
      <alignment horizontal="left"/>
    </xf>
    <xf numFmtId="49" fontId="0" fillId="0" borderId="0" xfId="0" applyNumberFormat="1"/>
    <xf numFmtId="0" fontId="7" fillId="0" borderId="0" xfId="0" applyFont="1" applyFill="1" applyBorder="1" applyAlignment="1">
      <alignment horizontal="left"/>
    </xf>
    <xf numFmtId="0" fontId="25" fillId="27" borderId="3" xfId="0" applyFont="1" applyFill="1" applyBorder="1" applyAlignment="1">
      <alignment horizontal="right"/>
    </xf>
    <xf numFmtId="3" fontId="0" fillId="27" borderId="0" xfId="0" applyNumberFormat="1" applyFill="1"/>
    <xf numFmtId="3" fontId="25" fillId="27" borderId="2" xfId="0" applyNumberFormat="1" applyFont="1" applyFill="1" applyBorder="1"/>
    <xf numFmtId="3" fontId="25" fillId="27" borderId="0" xfId="0" applyNumberFormat="1" applyFont="1" applyFill="1" applyBorder="1"/>
    <xf numFmtId="0" fontId="0" fillId="27" borderId="0" xfId="0" applyFill="1"/>
    <xf numFmtId="1" fontId="0" fillId="27" borderId="0" xfId="0" applyNumberFormat="1" applyFill="1"/>
    <xf numFmtId="165" fontId="0" fillId="27" borderId="0" xfId="0" applyNumberFormat="1" applyFill="1"/>
    <xf numFmtId="172" fontId="25" fillId="27" borderId="19" xfId="0" applyNumberFormat="1" applyFont="1" applyFill="1" applyBorder="1"/>
    <xf numFmtId="168" fontId="0" fillId="27" borderId="0" xfId="0" applyNumberFormat="1" applyFill="1"/>
    <xf numFmtId="168" fontId="25" fillId="27" borderId="19" xfId="0" applyNumberFormat="1" applyFont="1" applyFill="1" applyBorder="1"/>
    <xf numFmtId="168" fontId="25" fillId="27" borderId="0" xfId="0" applyNumberFormat="1" applyFont="1" applyFill="1" applyBorder="1"/>
    <xf numFmtId="8" fontId="0" fillId="27" borderId="0" xfId="0" applyNumberFormat="1" applyFill="1"/>
    <xf numFmtId="165" fontId="26" fillId="27" borderId="0" xfId="63" applyNumberFormat="1" applyFont="1" applyFill="1"/>
    <xf numFmtId="172" fontId="0" fillId="27" borderId="0" xfId="0" applyNumberFormat="1" applyFill="1"/>
    <xf numFmtId="6" fontId="0" fillId="27" borderId="0" xfId="0" applyNumberFormat="1" applyFill="1"/>
    <xf numFmtId="9" fontId="0" fillId="27" borderId="0" xfId="0" applyNumberFormat="1" applyFill="1"/>
    <xf numFmtId="9" fontId="0" fillId="27" borderId="0" xfId="63" applyFont="1" applyFill="1"/>
    <xf numFmtId="9" fontId="0" fillId="27" borderId="4" xfId="0" applyNumberFormat="1" applyFill="1" applyBorder="1"/>
    <xf numFmtId="9" fontId="0" fillId="27" borderId="4" xfId="63" applyFont="1" applyFill="1" applyBorder="1"/>
    <xf numFmtId="9" fontId="26" fillId="27" borderId="0" xfId="63" applyFont="1" applyFill="1"/>
    <xf numFmtId="0" fontId="25" fillId="0" borderId="0" xfId="0" applyFont="1" applyAlignment="1">
      <alignment horizontal="right"/>
    </xf>
    <xf numFmtId="0" fontId="0" fillId="0" borderId="0" xfId="0" applyAlignment="1">
      <alignment horizontal="center"/>
    </xf>
    <xf numFmtId="0" fontId="0" fillId="0" borderId="0" xfId="0" applyAlignment="1"/>
    <xf numFmtId="0" fontId="61" fillId="0" borderId="0" xfId="54" applyFont="1"/>
    <xf numFmtId="0" fontId="62" fillId="0" borderId="0" xfId="54" applyFont="1"/>
    <xf numFmtId="0" fontId="7" fillId="0" borderId="0" xfId="54" applyFont="1" applyFill="1" applyBorder="1" applyAlignment="1">
      <alignment horizontal="center"/>
    </xf>
    <xf numFmtId="0" fontId="7" fillId="0" borderId="0" xfId="54" applyFont="1" applyAlignment="1">
      <alignment horizontal="center"/>
    </xf>
    <xf numFmtId="0" fontId="62" fillId="0" borderId="0" xfId="54" applyFont="1" applyAlignment="1">
      <alignment horizontal="center"/>
    </xf>
    <xf numFmtId="0" fontId="7" fillId="29" borderId="17" xfId="54" applyFont="1" applyFill="1" applyBorder="1" applyAlignment="1">
      <alignment horizontal="center"/>
    </xf>
    <xf numFmtId="0" fontId="7" fillId="29" borderId="6" xfId="54" applyFont="1" applyFill="1" applyBorder="1" applyAlignment="1">
      <alignment horizontal="center"/>
    </xf>
    <xf numFmtId="0" fontId="62" fillId="29" borderId="41" xfId="54" applyFont="1" applyFill="1" applyBorder="1" applyAlignment="1">
      <alignment horizontal="center"/>
    </xf>
    <xf numFmtId="0" fontId="62" fillId="0" borderId="0" xfId="54" applyFont="1" applyFill="1"/>
    <xf numFmtId="0" fontId="7" fillId="0" borderId="0" xfId="54" applyFont="1" applyFill="1" applyAlignment="1">
      <alignment horizontal="center"/>
    </xf>
    <xf numFmtId="0" fontId="62" fillId="0" borderId="0" xfId="54" applyFont="1" applyAlignment="1">
      <alignment horizontal="left"/>
    </xf>
    <xf numFmtId="172" fontId="7" fillId="0" borderId="0" xfId="54" applyNumberFormat="1" applyFont="1"/>
    <xf numFmtId="0" fontId="62" fillId="0" borderId="0" xfId="54" applyFont="1" applyAlignment="1">
      <alignment horizontal="right"/>
    </xf>
    <xf numFmtId="9" fontId="63" fillId="31" borderId="1" xfId="54" applyNumberFormat="1" applyFont="1" applyFill="1" applyBorder="1"/>
    <xf numFmtId="9" fontId="63" fillId="31" borderId="40" xfId="54" applyNumberFormat="1" applyFont="1" applyFill="1" applyBorder="1"/>
    <xf numFmtId="0" fontId="63" fillId="0" borderId="0" xfId="54" applyFont="1" applyFill="1" applyBorder="1" applyAlignment="1">
      <alignment horizontal="center"/>
    </xf>
    <xf numFmtId="172" fontId="62" fillId="0" borderId="0" xfId="54" applyNumberFormat="1" applyFont="1"/>
    <xf numFmtId="0" fontId="63" fillId="0" borderId="0" xfId="54" applyFont="1"/>
    <xf numFmtId="172" fontId="63" fillId="0" borderId="0" xfId="54" applyNumberFormat="1" applyFont="1"/>
    <xf numFmtId="0" fontId="62" fillId="0" borderId="0" xfId="54" applyFont="1" applyFill="1" applyBorder="1"/>
    <xf numFmtId="0" fontId="64" fillId="0" borderId="0" xfId="54" applyFont="1" applyFill="1" applyBorder="1"/>
    <xf numFmtId="9" fontId="62" fillId="0" borderId="0" xfId="54" applyNumberFormat="1" applyFont="1"/>
    <xf numFmtId="37" fontId="62" fillId="0" borderId="0" xfId="54" applyNumberFormat="1" applyFont="1"/>
    <xf numFmtId="168" fontId="62" fillId="0" borderId="0" xfId="54" applyNumberFormat="1" applyFont="1"/>
    <xf numFmtId="0" fontId="25" fillId="27" borderId="22" xfId="0" applyFont="1" applyFill="1" applyBorder="1" applyAlignment="1">
      <alignment horizontal="right"/>
    </xf>
    <xf numFmtId="3" fontId="65" fillId="28" borderId="38" xfId="0" applyNumberFormat="1" applyFont="1" applyFill="1" applyBorder="1"/>
    <xf numFmtId="3" fontId="65" fillId="28" borderId="9" xfId="0" applyNumberFormat="1" applyFont="1" applyFill="1" applyBorder="1"/>
    <xf numFmtId="3" fontId="65" fillId="28" borderId="39" xfId="0" applyNumberFormat="1" applyFont="1" applyFill="1" applyBorder="1" applyAlignment="1">
      <alignment horizontal="right"/>
    </xf>
    <xf numFmtId="0" fontId="0" fillId="32" borderId="0" xfId="0" applyFill="1"/>
    <xf numFmtId="1" fontId="67" fillId="27" borderId="0" xfId="0" applyNumberFormat="1" applyFont="1" applyFill="1"/>
    <xf numFmtId="3" fontId="67" fillId="27" borderId="0" xfId="0" applyNumberFormat="1" applyFont="1" applyFill="1"/>
    <xf numFmtId="0" fontId="67" fillId="27" borderId="0" xfId="0" applyFont="1" applyFill="1"/>
    <xf numFmtId="165" fontId="26" fillId="27" borderId="0" xfId="0" applyNumberFormat="1" applyFont="1" applyFill="1"/>
    <xf numFmtId="3" fontId="66" fillId="0" borderId="0" xfId="0" applyNumberFormat="1" applyFont="1" applyFill="1" applyAlignment="1">
      <alignment horizontal="right"/>
    </xf>
    <xf numFmtId="0" fontId="68" fillId="27" borderId="0" xfId="0" applyFont="1" applyFill="1"/>
    <xf numFmtId="0" fontId="69" fillId="0" borderId="0" xfId="0" applyFont="1"/>
    <xf numFmtId="9" fontId="26" fillId="32" borderId="0" xfId="63" applyFont="1" applyFill="1"/>
    <xf numFmtId="0" fontId="59" fillId="33" borderId="0" xfId="0" applyFont="1" applyFill="1" applyAlignment="1">
      <alignment horizontal="left" indent="1"/>
    </xf>
    <xf numFmtId="8" fontId="60" fillId="33" borderId="0" xfId="0" applyNumberFormat="1" applyFont="1" applyFill="1"/>
    <xf numFmtId="0" fontId="60" fillId="33" borderId="0" xfId="0" applyFont="1" applyFill="1"/>
    <xf numFmtId="3" fontId="60" fillId="33" borderId="0" xfId="0" applyNumberFormat="1" applyFont="1" applyFill="1"/>
    <xf numFmtId="10" fontId="60" fillId="33" borderId="0" xfId="0" applyNumberFormat="1" applyFont="1" applyFill="1"/>
    <xf numFmtId="3" fontId="59" fillId="33" borderId="0" xfId="0" applyNumberFormat="1" applyFont="1" applyFill="1"/>
    <xf numFmtId="4" fontId="59" fillId="33" borderId="0" xfId="0" applyNumberFormat="1" applyFont="1" applyFill="1" applyAlignment="1">
      <alignment horizontal="right"/>
    </xf>
    <xf numFmtId="39" fontId="7" fillId="0" borderId="0" xfId="59" applyNumberFormat="1" applyFont="1" applyFill="1" applyBorder="1" applyAlignment="1">
      <alignment horizontal="left" vertical="center"/>
    </xf>
    <xf numFmtId="0" fontId="7" fillId="0" borderId="0" xfId="59" applyFont="1" applyFill="1" applyBorder="1"/>
    <xf numFmtId="37" fontId="7" fillId="0" borderId="0" xfId="59" applyNumberFormat="1" applyFont="1" applyFill="1" applyBorder="1" applyAlignment="1">
      <alignment horizontal="left"/>
    </xf>
    <xf numFmtId="3" fontId="7" fillId="21" borderId="0" xfId="59" applyNumberFormat="1" applyFont="1" applyFill="1" applyBorder="1" applyAlignment="1">
      <alignment horizontal="right"/>
    </xf>
    <xf numFmtId="37" fontId="7" fillId="0" borderId="0" xfId="59" applyNumberFormat="1" applyFont="1" applyFill="1" applyBorder="1" applyAlignment="1"/>
    <xf numFmtId="3" fontId="7" fillId="0" borderId="0" xfId="59" applyNumberFormat="1" applyFont="1" applyFill="1" applyBorder="1" applyAlignment="1">
      <alignment horizontal="right"/>
    </xf>
    <xf numFmtId="1" fontId="7" fillId="0" borderId="0" xfId="59" applyNumberFormat="1" applyFont="1" applyFill="1" applyBorder="1" applyAlignment="1"/>
    <xf numFmtId="4" fontId="32" fillId="0" borderId="0" xfId="59" applyNumberFormat="1" applyFont="1" applyFill="1" applyBorder="1" applyAlignment="1"/>
    <xf numFmtId="37" fontId="7" fillId="0" borderId="0" xfId="59" applyNumberFormat="1" applyFont="1" applyFill="1" applyBorder="1" applyAlignment="1">
      <alignment horizontal="left" indent="3"/>
    </xf>
    <xf numFmtId="37" fontId="7" fillId="0" borderId="0" xfId="59" applyNumberFormat="1" applyFont="1" applyFill="1" applyBorder="1" applyAlignment="1">
      <alignment horizontal="left" indent="4"/>
    </xf>
    <xf numFmtId="37" fontId="7" fillId="0" borderId="0" xfId="59" applyNumberFormat="1" applyFont="1" applyFill="1" applyBorder="1"/>
    <xf numFmtId="3" fontId="67" fillId="0" borderId="0" xfId="59" applyNumberFormat="1" applyFont="1" applyFill="1" applyBorder="1" applyAlignment="1"/>
    <xf numFmtId="3" fontId="7" fillId="0" borderId="0" xfId="0" applyNumberFormat="1" applyFont="1" applyFill="1" applyBorder="1"/>
    <xf numFmtId="165" fontId="7" fillId="0" borderId="0" xfId="63" applyNumberFormat="1" applyFont="1" applyFill="1" applyBorder="1"/>
    <xf numFmtId="0" fontId="7" fillId="0" borderId="0" xfId="0" applyFont="1" applyFill="1" applyBorder="1" applyAlignment="1">
      <alignment horizontal="left" indent="1"/>
    </xf>
    <xf numFmtId="1" fontId="7" fillId="0" borderId="0" xfId="0" applyNumberFormat="1" applyFont="1" applyFill="1" applyBorder="1"/>
    <xf numFmtId="174" fontId="7" fillId="0" borderId="0" xfId="63" applyNumberFormat="1" applyFont="1" applyFill="1" applyBorder="1"/>
    <xf numFmtId="49" fontId="25" fillId="27" borderId="22" xfId="59" applyNumberFormat="1" applyFont="1" applyFill="1" applyBorder="1" applyAlignment="1">
      <alignment horizontal="center"/>
    </xf>
    <xf numFmtId="3" fontId="25" fillId="27" borderId="0" xfId="59" applyNumberFormat="1" applyFont="1" applyFill="1" applyBorder="1" applyAlignment="1"/>
    <xf numFmtId="37" fontId="7" fillId="27" borderId="0" xfId="59" applyNumberFormat="1" applyFont="1" applyFill="1" applyBorder="1" applyAlignment="1"/>
    <xf numFmtId="3" fontId="25" fillId="27" borderId="0" xfId="59" applyNumberFormat="1" applyFont="1" applyFill="1" applyBorder="1" applyAlignment="1">
      <alignment horizontal="right"/>
    </xf>
    <xf numFmtId="1" fontId="7" fillId="27" borderId="0" xfId="59" applyNumberFormat="1" applyFont="1" applyFill="1" applyBorder="1" applyAlignment="1"/>
    <xf numFmtId="3" fontId="7" fillId="27" borderId="0" xfId="59" applyNumberFormat="1" applyFont="1" applyFill="1" applyBorder="1" applyAlignment="1"/>
    <xf numFmtId="4" fontId="42" fillId="27" borderId="0" xfId="59" applyNumberFormat="1" applyFont="1" applyFill="1" applyBorder="1" applyAlignment="1"/>
    <xf numFmtId="4" fontId="56" fillId="27" borderId="0" xfId="59" applyNumberFormat="1" applyFont="1" applyFill="1" applyBorder="1" applyAlignment="1"/>
    <xf numFmtId="3" fontId="25" fillId="27" borderId="3" xfId="59" applyNumberFormat="1" applyFont="1" applyFill="1" applyBorder="1" applyAlignment="1">
      <alignment horizontal="right"/>
    </xf>
    <xf numFmtId="3" fontId="25" fillId="27" borderId="19" xfId="59" applyNumberFormat="1" applyFont="1" applyFill="1" applyBorder="1" applyAlignment="1">
      <alignment wrapText="1"/>
    </xf>
    <xf numFmtId="3" fontId="70" fillId="27" borderId="0" xfId="59" applyNumberFormat="1" applyFont="1" applyFill="1" applyBorder="1" applyAlignment="1"/>
    <xf numFmtId="1" fontId="67" fillId="27" borderId="0" xfId="59" applyNumberFormat="1" applyFont="1" applyFill="1" applyBorder="1" applyAlignment="1"/>
    <xf numFmtId="3" fontId="67" fillId="27" borderId="0" xfId="59" applyNumberFormat="1" applyFont="1" applyFill="1" applyBorder="1" applyAlignment="1"/>
    <xf numFmtId="0" fontId="25" fillId="37" borderId="0" xfId="0" applyFont="1" applyFill="1"/>
    <xf numFmtId="9" fontId="7" fillId="38" borderId="0" xfId="0" applyNumberFormat="1" applyFont="1" applyFill="1"/>
    <xf numFmtId="9" fontId="7" fillId="0" borderId="0" xfId="63" applyFont="1" applyFill="1" applyBorder="1"/>
    <xf numFmtId="0" fontId="7" fillId="38" borderId="0" xfId="0" applyFont="1" applyFill="1" applyAlignment="1">
      <alignment horizontal="left" indent="2"/>
    </xf>
    <xf numFmtId="9" fontId="7" fillId="38" borderId="0" xfId="63" applyFont="1" applyFill="1"/>
    <xf numFmtId="9" fontId="67" fillId="38" borderId="0" xfId="63" applyFont="1" applyFill="1"/>
    <xf numFmtId="0" fontId="7" fillId="38" borderId="0" xfId="0" applyFont="1" applyFill="1" applyAlignment="1">
      <alignment horizontal="left" indent="1"/>
    </xf>
    <xf numFmtId="172" fontId="25" fillId="35" borderId="2" xfId="0" applyNumberFormat="1" applyFont="1" applyFill="1" applyBorder="1"/>
    <xf numFmtId="0" fontId="0" fillId="36" borderId="0" xfId="0" applyFill="1"/>
    <xf numFmtId="9" fontId="71" fillId="38" borderId="0" xfId="0" applyNumberFormat="1" applyFont="1" applyFill="1"/>
    <xf numFmtId="0" fontId="7" fillId="38" borderId="0" xfId="0" applyFont="1" applyFill="1"/>
    <xf numFmtId="0" fontId="25" fillId="35" borderId="2" xfId="0" applyFont="1" applyFill="1" applyBorder="1"/>
    <xf numFmtId="0" fontId="25" fillId="35" borderId="0" xfId="0" applyFont="1" applyFill="1"/>
    <xf numFmtId="0" fontId="25" fillId="27" borderId="28" xfId="0" applyFont="1" applyFill="1" applyBorder="1"/>
    <xf numFmtId="0" fontId="67" fillId="39" borderId="0" xfId="0" applyFont="1" applyFill="1" applyAlignment="1">
      <alignment horizontal="center"/>
    </xf>
    <xf numFmtId="9" fontId="73" fillId="38" borderId="0" xfId="0" applyNumberFormat="1" applyFont="1" applyFill="1" applyAlignment="1">
      <alignment horizontal="center"/>
    </xf>
    <xf numFmtId="0" fontId="25" fillId="31" borderId="1" xfId="0" applyFont="1" applyFill="1" applyBorder="1"/>
    <xf numFmtId="0" fontId="7" fillId="31" borderId="1" xfId="0" applyFont="1" applyFill="1" applyBorder="1"/>
    <xf numFmtId="0" fontId="25" fillId="37" borderId="0" xfId="0" applyFont="1" applyFill="1" applyAlignment="1">
      <alignment horizontal="left" indent="1"/>
    </xf>
    <xf numFmtId="0" fontId="67" fillId="0" borderId="0" xfId="0" applyFont="1"/>
    <xf numFmtId="0" fontId="7" fillId="34" borderId="0" xfId="0" applyFont="1" applyFill="1" applyAlignment="1">
      <alignment horizontal="left" indent="2"/>
    </xf>
    <xf numFmtId="0" fontId="0" fillId="34" borderId="0" xfId="0" applyFill="1"/>
    <xf numFmtId="1" fontId="0" fillId="34" borderId="0" xfId="0" applyNumberFormat="1" applyFill="1"/>
    <xf numFmtId="169" fontId="0" fillId="34" borderId="0" xfId="0" applyNumberFormat="1" applyFill="1"/>
    <xf numFmtId="1" fontId="67" fillId="34" borderId="0" xfId="0" applyNumberFormat="1" applyFont="1" applyFill="1"/>
    <xf numFmtId="0" fontId="73" fillId="34" borderId="0" xfId="0" applyFont="1" applyFill="1"/>
    <xf numFmtId="1" fontId="71" fillId="34" borderId="0" xfId="0" applyNumberFormat="1" applyFont="1" applyFill="1"/>
    <xf numFmtId="9" fontId="7" fillId="38" borderId="0" xfId="0" applyNumberFormat="1" applyFont="1" applyFill="1" applyAlignment="1">
      <alignment horizontal="left" indent="1"/>
    </xf>
    <xf numFmtId="0" fontId="25" fillId="30" borderId="1" xfId="0" applyFont="1" applyFill="1" applyBorder="1"/>
    <xf numFmtId="0" fontId="25" fillId="27" borderId="3" xfId="52" applyFont="1" applyFill="1" applyBorder="1"/>
    <xf numFmtId="38" fontId="25" fillId="27" borderId="2" xfId="57" quotePrefix="1" applyNumberFormat="1" applyFont="1" applyFill="1" applyBorder="1" applyAlignment="1">
      <alignment horizontal="right"/>
    </xf>
    <xf numFmtId="175" fontId="25" fillId="27" borderId="2" xfId="57" applyNumberFormat="1" applyFont="1" applyFill="1" applyBorder="1"/>
    <xf numFmtId="0" fontId="25" fillId="27" borderId="2" xfId="52" applyFont="1" applyFill="1" applyBorder="1"/>
    <xf numFmtId="3" fontId="8" fillId="27" borderId="2" xfId="52" applyNumberFormat="1" applyFont="1" applyFill="1" applyBorder="1" applyAlignment="1">
      <alignment horizontal="center"/>
    </xf>
    <xf numFmtId="0" fontId="0" fillId="0" borderId="0" xfId="0" applyAlignment="1">
      <alignment horizontal="center"/>
    </xf>
    <xf numFmtId="0" fontId="25" fillId="0" borderId="0" xfId="0" applyNumberFormat="1" applyFont="1" applyFill="1" applyBorder="1" applyAlignment="1">
      <alignment horizontal="right"/>
    </xf>
    <xf numFmtId="3" fontId="8" fillId="0" borderId="0" xfId="0" applyNumberFormat="1" applyFont="1" applyFill="1" applyBorder="1" applyAlignment="1">
      <alignment horizontal="right"/>
    </xf>
    <xf numFmtId="0" fontId="26" fillId="0" borderId="0" xfId="0" applyFont="1" applyFill="1" applyBorder="1" applyAlignment="1">
      <alignment horizontal="right"/>
    </xf>
    <xf numFmtId="171" fontId="8" fillId="0" borderId="0" xfId="0" applyNumberFormat="1" applyFont="1" applyFill="1" applyBorder="1" applyAlignment="1">
      <alignment horizontal="right"/>
    </xf>
    <xf numFmtId="165" fontId="8" fillId="0" borderId="0" xfId="0" applyNumberFormat="1" applyFont="1" applyFill="1" applyBorder="1" applyAlignment="1">
      <alignment horizontal="right"/>
    </xf>
    <xf numFmtId="165" fontId="8" fillId="0" borderId="0" xfId="64" applyNumberFormat="1" applyFont="1" applyFill="1" applyBorder="1" applyAlignment="1">
      <alignment horizontal="right"/>
    </xf>
    <xf numFmtId="165" fontId="51" fillId="0" borderId="0" xfId="0" applyNumberFormat="1" applyFont="1" applyFill="1" applyBorder="1" applyAlignment="1">
      <alignment horizontal="right"/>
    </xf>
    <xf numFmtId="5" fontId="7" fillId="0" borderId="0" xfId="0" applyNumberFormat="1" applyFont="1" applyFill="1" applyBorder="1"/>
    <xf numFmtId="3" fontId="25" fillId="0" borderId="0" xfId="0" applyNumberFormat="1" applyFont="1" applyFill="1" applyBorder="1" applyAlignment="1">
      <alignment horizontal="left" wrapText="1"/>
    </xf>
    <xf numFmtId="3" fontId="25" fillId="0" borderId="0" xfId="0" applyNumberFormat="1" applyFont="1" applyFill="1" applyBorder="1" applyAlignment="1">
      <alignment horizontal="center" wrapText="1"/>
    </xf>
    <xf numFmtId="3" fontId="25" fillId="0" borderId="0" xfId="0" applyNumberFormat="1" applyFont="1" applyFill="1" applyBorder="1" applyAlignment="1">
      <alignment horizontal="center"/>
    </xf>
    <xf numFmtId="3" fontId="25" fillId="0" borderId="0" xfId="0" applyNumberFormat="1" applyFont="1" applyFill="1" applyBorder="1" applyAlignment="1">
      <alignment horizontal="right"/>
    </xf>
    <xf numFmtId="3" fontId="8" fillId="0" borderId="0" xfId="0" applyNumberFormat="1" applyFont="1" applyFill="1" applyBorder="1" applyAlignment="1">
      <alignment horizontal="left" indent="1"/>
    </xf>
    <xf numFmtId="3" fontId="7" fillId="0" borderId="1" xfId="0" applyNumberFormat="1" applyFont="1" applyFill="1" applyBorder="1" applyAlignment="1">
      <alignment wrapText="1"/>
    </xf>
    <xf numFmtId="3" fontId="7" fillId="0" borderId="1" xfId="0" applyNumberFormat="1" applyFont="1" applyFill="1" applyBorder="1" applyAlignment="1">
      <alignment horizontal="center"/>
    </xf>
    <xf numFmtId="3" fontId="7" fillId="0" borderId="1" xfId="0" applyNumberFormat="1" applyFont="1" applyFill="1" applyBorder="1" applyAlignment="1">
      <alignment horizontal="right"/>
    </xf>
    <xf numFmtId="3" fontId="25" fillId="0" borderId="0" xfId="0" applyNumberFormat="1" applyFont="1" applyFill="1" applyBorder="1" applyAlignment="1">
      <alignment wrapText="1"/>
    </xf>
    <xf numFmtId="3" fontId="8" fillId="0" borderId="0" xfId="0" applyNumberFormat="1" applyFont="1" applyFill="1" applyBorder="1" applyAlignment="1">
      <alignment horizontal="center" wrapText="1"/>
    </xf>
    <xf numFmtId="3" fontId="26" fillId="0" borderId="0" xfId="0" applyNumberFormat="1" applyFont="1" applyFill="1" applyBorder="1" applyAlignment="1">
      <alignment horizontal="right"/>
    </xf>
    <xf numFmtId="3" fontId="7" fillId="0" borderId="0" xfId="0" applyNumberFormat="1" applyFont="1" applyFill="1" applyBorder="1" applyAlignment="1">
      <alignment wrapText="1"/>
    </xf>
    <xf numFmtId="3" fontId="7" fillId="0" borderId="0" xfId="0" applyNumberFormat="1" applyFont="1" applyFill="1" applyBorder="1" applyAlignment="1">
      <alignment horizontal="center"/>
    </xf>
    <xf numFmtId="3" fontId="7" fillId="0" borderId="0" xfId="0" applyNumberFormat="1" applyFont="1" applyFill="1" applyBorder="1" applyAlignment="1">
      <alignment horizontal="right"/>
    </xf>
    <xf numFmtId="3" fontId="7" fillId="0" borderId="0" xfId="0" applyNumberFormat="1" applyFont="1" applyFill="1" applyBorder="1" applyAlignment="1">
      <alignment horizontal="left" indent="1"/>
    </xf>
    <xf numFmtId="3" fontId="25" fillId="0" borderId="21" xfId="0" applyNumberFormat="1" applyFont="1" applyFill="1" applyBorder="1" applyAlignment="1">
      <alignment wrapText="1"/>
    </xf>
    <xf numFmtId="3" fontId="25" fillId="0" borderId="21" xfId="0" applyNumberFormat="1" applyFont="1" applyFill="1" applyBorder="1" applyAlignment="1">
      <alignment horizontal="center"/>
    </xf>
    <xf numFmtId="3" fontId="25" fillId="0" borderId="21" xfId="0" applyNumberFormat="1" applyFont="1" applyFill="1" applyBorder="1" applyAlignment="1">
      <alignment horizontal="right"/>
    </xf>
    <xf numFmtId="3" fontId="67" fillId="0" borderId="0" xfId="0" applyNumberFormat="1" applyFont="1" applyFill="1" applyBorder="1" applyAlignment="1">
      <alignment horizontal="right"/>
    </xf>
    <xf numFmtId="3" fontId="25" fillId="0" borderId="2" xfId="0" applyNumberFormat="1" applyFont="1" applyFill="1" applyBorder="1" applyAlignment="1">
      <alignment wrapText="1"/>
    </xf>
    <xf numFmtId="3" fontId="25" fillId="0" borderId="2" xfId="0" applyNumberFormat="1" applyFont="1" applyFill="1" applyBorder="1" applyAlignment="1">
      <alignment horizontal="center"/>
    </xf>
    <xf numFmtId="3" fontId="25" fillId="0" borderId="2" xfId="0" applyNumberFormat="1" applyFont="1" applyFill="1" applyBorder="1" applyAlignment="1">
      <alignment horizontal="right"/>
    </xf>
    <xf numFmtId="3" fontId="8" fillId="0" borderId="0" xfId="0" applyNumberFormat="1" applyFont="1" applyFill="1" applyBorder="1" applyAlignment="1">
      <alignment horizontal="right" wrapText="1"/>
    </xf>
    <xf numFmtId="3" fontId="67" fillId="0" borderId="0" xfId="0" applyNumberFormat="1" applyFont="1" applyFill="1" applyBorder="1" applyAlignment="1">
      <alignment horizontal="right" wrapText="1"/>
    </xf>
    <xf numFmtId="189" fontId="25" fillId="0" borderId="0" xfId="0" applyNumberFormat="1" applyFont="1" applyFill="1" applyBorder="1" applyAlignment="1">
      <alignment horizontal="center"/>
    </xf>
    <xf numFmtId="166" fontId="8" fillId="0" borderId="0" xfId="0" applyNumberFormat="1" applyFont="1" applyFill="1" applyBorder="1" applyAlignment="1">
      <alignment horizontal="center" wrapText="1"/>
    </xf>
    <xf numFmtId="166" fontId="67" fillId="0" borderId="0" xfId="0" applyNumberFormat="1" applyFont="1" applyFill="1" applyBorder="1" applyAlignment="1">
      <alignment horizontal="right"/>
    </xf>
    <xf numFmtId="166" fontId="70" fillId="0" borderId="0" xfId="0" applyNumberFormat="1" applyFont="1" applyFill="1" applyBorder="1" applyAlignment="1">
      <alignment horizontal="right"/>
    </xf>
    <xf numFmtId="165" fontId="74" fillId="0" borderId="0" xfId="63" applyNumberFormat="1" applyFont="1" applyFill="1" applyBorder="1" applyAlignment="1">
      <alignment horizontal="right"/>
    </xf>
    <xf numFmtId="7" fontId="67" fillId="0" borderId="0" xfId="0" applyNumberFormat="1" applyFont="1" applyFill="1" applyBorder="1" applyAlignment="1">
      <alignment horizontal="right"/>
    </xf>
    <xf numFmtId="9" fontId="74" fillId="0" borderId="0" xfId="0" applyNumberFormat="1" applyFont="1" applyFill="1" applyBorder="1" applyAlignment="1">
      <alignment horizontal="right"/>
    </xf>
    <xf numFmtId="37" fontId="67" fillId="0" borderId="0" xfId="0" applyNumberFormat="1" applyFont="1" applyFill="1" applyBorder="1" applyAlignment="1">
      <alignment horizontal="right"/>
    </xf>
    <xf numFmtId="169" fontId="0" fillId="27" borderId="0" xfId="0" applyNumberFormat="1" applyFill="1"/>
    <xf numFmtId="169" fontId="67" fillId="27" borderId="0" xfId="0" applyNumberFormat="1" applyFont="1" applyFill="1"/>
    <xf numFmtId="166" fontId="74" fillId="0" borderId="0" xfId="0" applyNumberFormat="1" applyFont="1" applyFill="1" applyBorder="1" applyAlignment="1">
      <alignment horizontal="right"/>
    </xf>
    <xf numFmtId="37" fontId="74" fillId="0" borderId="0" xfId="0" applyNumberFormat="1" applyFont="1" applyFill="1" applyBorder="1" applyAlignment="1">
      <alignment horizontal="right"/>
    </xf>
    <xf numFmtId="37" fontId="7" fillId="0" borderId="0" xfId="0" applyNumberFormat="1" applyFont="1" applyFill="1" applyBorder="1" applyAlignment="1">
      <alignment horizontal="right"/>
    </xf>
    <xf numFmtId="165" fontId="74" fillId="0" borderId="0" xfId="0" applyNumberFormat="1" applyFont="1" applyFill="1" applyBorder="1" applyAlignment="1">
      <alignment horizontal="right"/>
    </xf>
    <xf numFmtId="0" fontId="7" fillId="25" borderId="0" xfId="58" applyFont="1" applyFill="1" applyBorder="1" applyAlignment="1" applyProtection="1">
      <alignment horizontal="left" indent="1"/>
      <protection locked="0"/>
    </xf>
    <xf numFmtId="0" fontId="7" fillId="27" borderId="0" xfId="0" applyFont="1" applyFill="1" applyBorder="1"/>
    <xf numFmtId="3" fontId="8" fillId="0" borderId="0" xfId="0" applyNumberFormat="1" applyFont="1" applyFill="1" applyBorder="1" applyAlignment="1">
      <alignment horizontal="right" vertical="center"/>
    </xf>
    <xf numFmtId="3" fontId="8" fillId="0" borderId="0" xfId="0" applyNumberFormat="1" applyFont="1" applyFill="1" applyBorder="1" applyAlignment="1" applyProtection="1">
      <alignment horizontal="right" vertical="center"/>
    </xf>
    <xf numFmtId="3" fontId="25" fillId="0" borderId="0" xfId="0" applyNumberFormat="1" applyFont="1" applyFill="1" applyBorder="1" applyAlignment="1" applyProtection="1">
      <alignment horizontal="right" vertical="center"/>
    </xf>
    <xf numFmtId="3" fontId="25" fillId="0" borderId="0" xfId="0" applyNumberFormat="1" applyFont="1" applyFill="1" applyBorder="1" applyAlignment="1">
      <alignment horizontal="right" vertical="center"/>
    </xf>
    <xf numFmtId="3" fontId="67" fillId="0" borderId="0" xfId="0" applyNumberFormat="1" applyFont="1" applyFill="1" applyBorder="1" applyAlignment="1">
      <alignment horizontal="right" vertical="center"/>
    </xf>
    <xf numFmtId="167" fontId="25" fillId="0" borderId="0" xfId="0" applyNumberFormat="1" applyFont="1" applyFill="1" applyBorder="1" applyAlignment="1" applyProtection="1">
      <alignment horizontal="right" vertical="center"/>
    </xf>
    <xf numFmtId="37" fontId="7" fillId="0" borderId="0" xfId="0" applyNumberFormat="1" applyFont="1" applyFill="1" applyBorder="1" applyAlignment="1">
      <alignment horizontal="left" vertical="center"/>
    </xf>
    <xf numFmtId="10" fontId="8" fillId="0" borderId="0" xfId="63" applyNumberFormat="1" applyFont="1" applyFill="1" applyBorder="1" applyAlignment="1" applyProtection="1">
      <alignment horizontal="right" vertical="center"/>
    </xf>
    <xf numFmtId="0" fontId="25" fillId="0" borderId="2" xfId="0" applyFont="1" applyBorder="1" applyAlignment="1">
      <alignment horizontal="center"/>
    </xf>
    <xf numFmtId="9" fontId="26" fillId="27" borderId="0" xfId="0" applyNumberFormat="1" applyFont="1" applyFill="1"/>
    <xf numFmtId="0" fontId="25" fillId="27" borderId="22" xfId="0" applyFont="1" applyFill="1" applyBorder="1"/>
    <xf numFmtId="9" fontId="7" fillId="0" borderId="0" xfId="0" applyNumberFormat="1" applyFont="1" applyFill="1" applyBorder="1"/>
    <xf numFmtId="169" fontId="7" fillId="0" borderId="0" xfId="0" applyNumberFormat="1" applyFont="1" applyFill="1" applyBorder="1"/>
    <xf numFmtId="165" fontId="7" fillId="0" borderId="0" xfId="0" applyNumberFormat="1" applyFont="1" applyFill="1" applyBorder="1"/>
    <xf numFmtId="179" fontId="7" fillId="0" borderId="0" xfId="0" applyNumberFormat="1" applyFont="1" applyFill="1" applyBorder="1"/>
    <xf numFmtId="0" fontId="7" fillId="36" borderId="0" xfId="0" applyFont="1" applyFill="1"/>
    <xf numFmtId="0" fontId="0" fillId="36" borderId="0" xfId="0" applyFill="1" applyAlignment="1">
      <alignment horizontal="center"/>
    </xf>
    <xf numFmtId="3" fontId="71" fillId="36" borderId="0" xfId="0" applyNumberFormat="1" applyFont="1" applyFill="1"/>
    <xf numFmtId="0" fontId="71" fillId="36" borderId="0" xfId="0" applyFont="1" applyFill="1"/>
    <xf numFmtId="0" fontId="0" fillId="33" borderId="0" xfId="0" applyFill="1"/>
    <xf numFmtId="168" fontId="25" fillId="0" borderId="0" xfId="0" applyNumberFormat="1" applyFont="1" applyFill="1" applyBorder="1"/>
    <xf numFmtId="168" fontId="7" fillId="0" borderId="0" xfId="0" applyNumberFormat="1" applyFont="1" applyFill="1" applyBorder="1"/>
    <xf numFmtId="168" fontId="45" fillId="32" borderId="0" xfId="0" applyNumberFormat="1" applyFont="1" applyFill="1" applyBorder="1"/>
    <xf numFmtId="168" fontId="7" fillId="32" borderId="0" xfId="0" applyNumberFormat="1" applyFont="1" applyFill="1" applyBorder="1"/>
    <xf numFmtId="168" fontId="7" fillId="0" borderId="0" xfId="0" applyNumberFormat="1" applyFont="1" applyFill="1" applyBorder="1" applyAlignment="1">
      <alignment horizontal="center"/>
    </xf>
    <xf numFmtId="168" fontId="7" fillId="0" borderId="0" xfId="0" applyNumberFormat="1" applyFont="1" applyFill="1" applyBorder="1" applyAlignment="1">
      <alignment horizontal="right"/>
    </xf>
    <xf numFmtId="168" fontId="7" fillId="32" borderId="0" xfId="0" applyNumberFormat="1" applyFont="1" applyFill="1" applyBorder="1" applyAlignment="1">
      <alignment horizontal="center"/>
    </xf>
    <xf numFmtId="168" fontId="7" fillId="32" borderId="0" xfId="0" applyNumberFormat="1" applyFont="1" applyFill="1" applyBorder="1" applyAlignment="1"/>
    <xf numFmtId="168" fontId="7" fillId="27" borderId="0" xfId="0" applyNumberFormat="1" applyFont="1" applyFill="1" applyBorder="1" applyAlignment="1">
      <alignment horizontal="right"/>
    </xf>
    <xf numFmtId="0" fontId="7" fillId="39" borderId="28" xfId="74" applyFill="1" applyBorder="1" applyAlignment="1">
      <alignment horizontal="center"/>
    </xf>
    <xf numFmtId="0" fontId="52" fillId="37" borderId="29" xfId="75" applyFont="1" applyFill="1" applyBorder="1"/>
    <xf numFmtId="0" fontId="29" fillId="37" borderId="31" xfId="75" applyFont="1" applyFill="1" applyBorder="1"/>
    <xf numFmtId="0" fontId="29" fillId="37" borderId="33" xfId="75" applyFont="1" applyFill="1" applyBorder="1"/>
    <xf numFmtId="0" fontId="29" fillId="37" borderId="0" xfId="75" applyFont="1" applyFill="1" applyBorder="1"/>
    <xf numFmtId="0" fontId="29" fillId="37" borderId="4" xfId="75" applyFont="1" applyFill="1" applyBorder="1"/>
    <xf numFmtId="0" fontId="52" fillId="0" borderId="0" xfId="75" applyFont="1"/>
    <xf numFmtId="0" fontId="25" fillId="27" borderId="19" xfId="0" applyFont="1" applyFill="1" applyBorder="1"/>
    <xf numFmtId="0" fontId="25" fillId="27" borderId="19" xfId="0" applyFont="1" applyFill="1" applyBorder="1" applyAlignment="1">
      <alignment horizontal="right"/>
    </xf>
    <xf numFmtId="0" fontId="25" fillId="0" borderId="2" xfId="0" applyFont="1" applyFill="1" applyBorder="1"/>
    <xf numFmtId="0" fontId="7" fillId="0" borderId="2" xfId="0" applyFont="1" applyFill="1" applyBorder="1"/>
    <xf numFmtId="3" fontId="7" fillId="0" borderId="2" xfId="0" applyNumberFormat="1" applyFont="1" applyFill="1" applyBorder="1"/>
    <xf numFmtId="9" fontId="0" fillId="0" borderId="0" xfId="63" applyNumberFormat="1" applyFont="1"/>
    <xf numFmtId="175" fontId="7" fillId="0" borderId="0" xfId="0" quotePrefix="1" applyNumberFormat="1" applyFont="1" applyFill="1" applyBorder="1"/>
    <xf numFmtId="168" fontId="7" fillId="27" borderId="0" xfId="0" applyNumberFormat="1" applyFont="1" applyFill="1" applyBorder="1"/>
    <xf numFmtId="1" fontId="25" fillId="0" borderId="0" xfId="0" applyNumberFormat="1" applyFont="1" applyFill="1" applyBorder="1" applyAlignment="1">
      <alignment horizontal="right" vertical="center"/>
    </xf>
    <xf numFmtId="10" fontId="8" fillId="0" borderId="0" xfId="0" applyNumberFormat="1" applyFont="1" applyFill="1" applyBorder="1" applyAlignment="1">
      <alignment horizontal="right" vertical="center"/>
    </xf>
    <xf numFmtId="0" fontId="73" fillId="0" borderId="0" xfId="0" applyFont="1" applyFill="1" applyBorder="1"/>
    <xf numFmtId="9" fontId="7" fillId="27" borderId="0" xfId="63" applyFont="1" applyFill="1" applyBorder="1" applyAlignment="1"/>
    <xf numFmtId="9" fontId="25" fillId="0" borderId="0" xfId="63" applyFont="1" applyFill="1" applyBorder="1" applyAlignment="1">
      <alignment horizontal="right"/>
    </xf>
    <xf numFmtId="0" fontId="25" fillId="0" borderId="2" xfId="0" applyFont="1" applyBorder="1" applyAlignment="1">
      <alignment horizontal="right"/>
    </xf>
    <xf numFmtId="9" fontId="26" fillId="30" borderId="8" xfId="65" applyNumberFormat="1" applyFont="1" applyFill="1" applyBorder="1"/>
    <xf numFmtId="9" fontId="26" fillId="30" borderId="1" xfId="65" applyNumberFormat="1" applyFont="1" applyFill="1" applyBorder="1"/>
    <xf numFmtId="9" fontId="26" fillId="30" borderId="40" xfId="65" applyNumberFormat="1" applyFont="1" applyFill="1" applyBorder="1"/>
    <xf numFmtId="9" fontId="26" fillId="0" borderId="0" xfId="65" applyNumberFormat="1" applyFont="1"/>
    <xf numFmtId="167" fontId="7" fillId="0" borderId="0" xfId="0" applyNumberFormat="1" applyFont="1" applyAlignment="1">
      <alignment horizontal="right"/>
    </xf>
    <xf numFmtId="9" fontId="7" fillId="0" borderId="0" xfId="63" applyFont="1" applyFill="1"/>
    <xf numFmtId="1" fontId="73" fillId="0" borderId="0" xfId="0" applyNumberFormat="1" applyFont="1"/>
    <xf numFmtId="0" fontId="7" fillId="42" borderId="0" xfId="0" applyFont="1" applyFill="1"/>
    <xf numFmtId="172" fontId="25" fillId="0" borderId="0" xfId="0" applyNumberFormat="1" applyFont="1" applyFill="1"/>
    <xf numFmtId="0" fontId="7" fillId="0" borderId="0" xfId="0" applyFont="1" applyFill="1"/>
    <xf numFmtId="3" fontId="7" fillId="0" borderId="0" xfId="0" applyNumberFormat="1" applyFont="1" applyFill="1"/>
    <xf numFmtId="9" fontId="7" fillId="0" borderId="0" xfId="0" applyNumberFormat="1" applyFont="1" applyFill="1"/>
    <xf numFmtId="3" fontId="7" fillId="0" borderId="0" xfId="0" applyNumberFormat="1" applyFont="1" applyFill="1" applyAlignment="1">
      <alignment horizontal="right"/>
    </xf>
    <xf numFmtId="167" fontId="7" fillId="0" borderId="0" xfId="0" applyNumberFormat="1" applyFont="1" applyFill="1" applyAlignment="1">
      <alignment horizontal="right"/>
    </xf>
    <xf numFmtId="0" fontId="25" fillId="0" borderId="0" xfId="0" applyFont="1" applyFill="1"/>
    <xf numFmtId="0" fontId="73" fillId="0" borderId="0" xfId="0" applyFont="1" applyFill="1"/>
    <xf numFmtId="0" fontId="7" fillId="27" borderId="0" xfId="0" applyFont="1" applyFill="1"/>
    <xf numFmtId="1" fontId="7" fillId="27" borderId="0" xfId="0" applyNumberFormat="1" applyFont="1" applyFill="1"/>
    <xf numFmtId="3" fontId="7" fillId="27" borderId="0" xfId="0" applyNumberFormat="1" applyFont="1" applyFill="1"/>
    <xf numFmtId="165" fontId="7" fillId="0" borderId="0" xfId="40" applyNumberFormat="1" applyFont="1" applyFill="1" applyBorder="1"/>
    <xf numFmtId="43" fontId="26" fillId="0" borderId="0" xfId="59" applyNumberFormat="1" applyFont="1" applyFill="1" applyBorder="1" applyAlignment="1">
      <alignment horizontal="center"/>
    </xf>
    <xf numFmtId="0" fontId="7" fillId="0" borderId="0" xfId="0" applyFont="1" applyBorder="1" applyAlignment="1">
      <alignment horizontal="left" indent="1"/>
    </xf>
    <xf numFmtId="37" fontId="73" fillId="0" borderId="0" xfId="0" applyNumberFormat="1" applyFont="1" applyFill="1" applyBorder="1" applyAlignment="1">
      <alignment horizontal="left" vertical="center"/>
    </xf>
    <xf numFmtId="173" fontId="73" fillId="0" borderId="0" xfId="0" applyNumberFormat="1" applyFont="1" applyFill="1" applyBorder="1" applyAlignment="1">
      <alignment horizontal="center" vertical="center"/>
    </xf>
    <xf numFmtId="3" fontId="73" fillId="0" borderId="0" xfId="0" applyNumberFormat="1" applyFont="1" applyFill="1" applyBorder="1" applyAlignment="1">
      <alignment horizontal="right" vertical="center"/>
    </xf>
    <xf numFmtId="10" fontId="73" fillId="0" borderId="0" xfId="0" applyNumberFormat="1" applyFont="1" applyFill="1" applyBorder="1" applyAlignment="1" applyProtection="1">
      <alignment horizontal="right" vertical="center"/>
    </xf>
    <xf numFmtId="10" fontId="73" fillId="0" borderId="0" xfId="63" applyNumberFormat="1" applyFont="1" applyFill="1" applyBorder="1" applyAlignment="1" applyProtection="1">
      <alignment horizontal="right" vertical="center"/>
    </xf>
    <xf numFmtId="10" fontId="73" fillId="41" borderId="0" xfId="0" applyNumberFormat="1" applyFont="1" applyFill="1" applyBorder="1" applyAlignment="1" applyProtection="1">
      <alignment horizontal="right" vertical="center"/>
    </xf>
    <xf numFmtId="9" fontId="25" fillId="0" borderId="0" xfId="63" applyFont="1" applyBorder="1"/>
    <xf numFmtId="49" fontId="25" fillId="27" borderId="22" xfId="59" applyNumberFormat="1" applyFont="1" applyFill="1" applyBorder="1" applyAlignment="1">
      <alignment horizontal="right"/>
    </xf>
    <xf numFmtId="43" fontId="7" fillId="0" borderId="0" xfId="0" applyNumberFormat="1" applyFont="1" applyFill="1" applyBorder="1"/>
    <xf numFmtId="165" fontId="25" fillId="0" borderId="0" xfId="63" applyNumberFormat="1" applyFont="1" applyFill="1" applyBorder="1" applyAlignment="1">
      <alignment horizontal="right" vertical="center"/>
    </xf>
    <xf numFmtId="1" fontId="67" fillId="0" borderId="0" xfId="0" applyNumberFormat="1" applyFont="1" applyFill="1"/>
    <xf numFmtId="3" fontId="0" fillId="0" borderId="0" xfId="0" applyNumberFormat="1" applyFill="1"/>
    <xf numFmtId="168" fontId="67" fillId="27" borderId="0" xfId="0" applyNumberFormat="1" applyFont="1" applyFill="1" applyBorder="1" applyAlignment="1">
      <alignment horizontal="right"/>
    </xf>
    <xf numFmtId="169" fontId="62" fillId="0" borderId="0" xfId="54" applyNumberFormat="1" applyFont="1" applyFill="1"/>
    <xf numFmtId="0" fontId="7" fillId="0" borderId="0" xfId="53"/>
    <xf numFmtId="3" fontId="65" fillId="28" borderId="38" xfId="0" applyNumberFormat="1" applyFont="1" applyFill="1" applyBorder="1" applyAlignment="1">
      <alignment horizontal="left"/>
    </xf>
    <xf numFmtId="3" fontId="65" fillId="28" borderId="9" xfId="0" applyNumberFormat="1" applyFont="1" applyFill="1" applyBorder="1" applyAlignment="1">
      <alignment horizontal="right"/>
    </xf>
    <xf numFmtId="37" fontId="67" fillId="27" borderId="0" xfId="59" applyNumberFormat="1" applyFont="1" applyFill="1" applyBorder="1" applyAlignment="1"/>
    <xf numFmtId="172" fontId="25" fillId="27" borderId="4" xfId="0" applyNumberFormat="1" applyFont="1" applyFill="1" applyBorder="1"/>
    <xf numFmtId="172" fontId="25" fillId="0" borderId="4" xfId="0" applyNumberFormat="1" applyFont="1" applyBorder="1"/>
    <xf numFmtId="165" fontId="26" fillId="27" borderId="0" xfId="0" applyNumberFormat="1" applyFont="1" applyFill="1" applyBorder="1"/>
    <xf numFmtId="165" fontId="26" fillId="0" borderId="0" xfId="0" applyNumberFormat="1" applyFont="1" applyBorder="1"/>
    <xf numFmtId="3" fontId="25" fillId="0" borderId="3" xfId="0" applyNumberFormat="1" applyFont="1" applyFill="1" applyBorder="1" applyAlignment="1">
      <alignment horizontal="right"/>
    </xf>
    <xf numFmtId="3" fontId="25" fillId="27" borderId="3" xfId="0" applyNumberFormat="1" applyFont="1" applyFill="1" applyBorder="1"/>
    <xf numFmtId="3" fontId="65" fillId="27" borderId="0" xfId="0" applyNumberFormat="1" applyFont="1" applyFill="1" applyBorder="1"/>
    <xf numFmtId="3" fontId="65" fillId="0" borderId="0" xfId="0" applyNumberFormat="1" applyFont="1" applyFill="1" applyBorder="1" applyAlignment="1">
      <alignment horizontal="right"/>
    </xf>
    <xf numFmtId="1" fontId="0" fillId="0" borderId="0" xfId="0" applyNumberFormat="1" applyFill="1"/>
    <xf numFmtId="0" fontId="69" fillId="0" borderId="0" xfId="0" applyFont="1" applyFill="1"/>
    <xf numFmtId="165" fontId="25" fillId="30" borderId="0" xfId="63" applyNumberFormat="1" applyFont="1" applyFill="1" applyBorder="1"/>
    <xf numFmtId="169" fontId="25" fillId="30" borderId="0" xfId="63" applyNumberFormat="1" applyFont="1" applyFill="1" applyBorder="1"/>
    <xf numFmtId="0" fontId="67" fillId="0" borderId="0" xfId="0" applyFont="1" applyFill="1"/>
    <xf numFmtId="191" fontId="73" fillId="0" borderId="0" xfId="0" applyNumberFormat="1" applyFont="1" applyFill="1" applyBorder="1"/>
    <xf numFmtId="191" fontId="73" fillId="0" borderId="0" xfId="0" applyNumberFormat="1" applyFont="1" applyFill="1" applyBorder="1" applyAlignment="1">
      <alignment horizontal="center"/>
    </xf>
    <xf numFmtId="191" fontId="73" fillId="0" borderId="0" xfId="0" applyNumberFormat="1" applyFont="1" applyFill="1" applyBorder="1" applyAlignment="1">
      <alignment horizontal="right"/>
    </xf>
    <xf numFmtId="169" fontId="25" fillId="30" borderId="0" xfId="0" applyNumberFormat="1" applyFont="1" applyFill="1" applyBorder="1"/>
    <xf numFmtId="172" fontId="7" fillId="0" borderId="0" xfId="63" applyNumberFormat="1" applyFont="1" applyFill="1" applyBorder="1"/>
    <xf numFmtId="168" fontId="7" fillId="0" borderId="0" xfId="0" applyNumberFormat="1" applyFont="1"/>
    <xf numFmtId="37" fontId="0" fillId="27" borderId="0" xfId="0" applyNumberFormat="1" applyFill="1"/>
    <xf numFmtId="37" fontId="7" fillId="27" borderId="0" xfId="0" applyNumberFormat="1" applyFont="1" applyFill="1"/>
    <xf numFmtId="9" fontId="7" fillId="0" borderId="0" xfId="63" applyFont="1" applyFill="1" applyBorder="1" applyAlignment="1"/>
    <xf numFmtId="192" fontId="0" fillId="0" borderId="0" xfId="0" applyNumberFormat="1"/>
    <xf numFmtId="1" fontId="7" fillId="0" borderId="0" xfId="0" applyNumberFormat="1" applyFont="1"/>
    <xf numFmtId="0" fontId="0" fillId="44" borderId="0" xfId="0" applyFill="1"/>
    <xf numFmtId="0" fontId="67" fillId="44" borderId="0" xfId="0" applyFont="1" applyFill="1"/>
    <xf numFmtId="1" fontId="67" fillId="44" borderId="0" xfId="0" applyNumberFormat="1" applyFont="1" applyFill="1"/>
    <xf numFmtId="1" fontId="67" fillId="0" borderId="0" xfId="0" applyNumberFormat="1" applyFont="1"/>
    <xf numFmtId="173" fontId="7" fillId="0" borderId="0" xfId="0" applyNumberFormat="1" applyFont="1" applyFill="1" applyBorder="1" applyAlignment="1">
      <alignment horizontal="center" vertical="center"/>
    </xf>
    <xf numFmtId="3" fontId="7" fillId="0" borderId="0" xfId="0" applyNumberFormat="1" applyFont="1" applyFill="1" applyBorder="1" applyAlignment="1">
      <alignment horizontal="right" vertical="center"/>
    </xf>
    <xf numFmtId="0" fontId="62" fillId="0" borderId="0" xfId="54" applyFont="1" applyFill="1" applyBorder="1" applyAlignment="1">
      <alignment horizontal="center"/>
    </xf>
    <xf numFmtId="9" fontId="62" fillId="0" borderId="0" xfId="63" applyFont="1" applyAlignment="1">
      <alignment horizontal="center"/>
    </xf>
    <xf numFmtId="9" fontId="62" fillId="0" borderId="0" xfId="63" applyFont="1" applyFill="1" applyBorder="1" applyAlignment="1">
      <alignment horizontal="center"/>
    </xf>
    <xf numFmtId="0" fontId="25" fillId="27" borderId="0" xfId="0" applyFont="1" applyFill="1" applyBorder="1" applyAlignment="1">
      <alignment horizontal="right"/>
    </xf>
    <xf numFmtId="4" fontId="76" fillId="0" borderId="0" xfId="59" applyNumberFormat="1" applyFont="1" applyFill="1" applyBorder="1" applyAlignment="1"/>
    <xf numFmtId="2" fontId="76" fillId="0" borderId="0" xfId="63" applyNumberFormat="1" applyFont="1" applyFill="1" applyBorder="1" applyAlignment="1"/>
    <xf numFmtId="0" fontId="25" fillId="0" borderId="0" xfId="59" applyNumberFormat="1" applyFont="1" applyFill="1" applyBorder="1" applyAlignment="1">
      <alignment wrapText="1"/>
    </xf>
    <xf numFmtId="3" fontId="25" fillId="44" borderId="0" xfId="59" applyNumberFormat="1" applyFont="1" applyFill="1" applyBorder="1" applyAlignment="1"/>
    <xf numFmtId="3" fontId="7" fillId="44" borderId="0" xfId="59" applyNumberFormat="1" applyFont="1" applyFill="1" applyBorder="1" applyAlignment="1"/>
    <xf numFmtId="164" fontId="0" fillId="0" borderId="0" xfId="40" applyNumberFormat="1" applyFont="1"/>
    <xf numFmtId="0" fontId="25" fillId="37" borderId="6" xfId="0" applyFont="1" applyFill="1" applyBorder="1" applyAlignment="1">
      <alignment horizontal="center"/>
    </xf>
    <xf numFmtId="5" fontId="0" fillId="0" borderId="0" xfId="0" applyNumberFormat="1"/>
    <xf numFmtId="0" fontId="26" fillId="45" borderId="26" xfId="0" applyFont="1" applyFill="1" applyBorder="1" applyAlignment="1">
      <alignment horizontal="center"/>
    </xf>
    <xf numFmtId="0" fontId="33" fillId="0" borderId="43" xfId="0" applyFont="1" applyFill="1" applyBorder="1" applyAlignment="1">
      <alignment horizontal="center"/>
    </xf>
    <xf numFmtId="9" fontId="26" fillId="0" borderId="0" xfId="63" applyFont="1" applyFill="1" applyBorder="1" applyAlignment="1">
      <alignment horizontal="center"/>
    </xf>
    <xf numFmtId="0" fontId="7" fillId="43" borderId="0" xfId="53" applyFill="1"/>
    <xf numFmtId="10" fontId="7" fillId="0" borderId="0" xfId="63" applyNumberFormat="1" applyFont="1" applyFill="1"/>
    <xf numFmtId="3" fontId="7" fillId="0" borderId="0" xfId="0" applyNumberFormat="1" applyFont="1" applyFill="1" applyBorder="1" applyAlignment="1">
      <alignment horizontal="right" wrapText="1"/>
    </xf>
    <xf numFmtId="7" fontId="70" fillId="0" borderId="0" xfId="0" applyNumberFormat="1" applyFont="1" applyFill="1" applyBorder="1" applyAlignment="1">
      <alignment horizontal="right"/>
    </xf>
    <xf numFmtId="193" fontId="25" fillId="0" borderId="2" xfId="0" applyNumberFormat="1" applyFont="1" applyBorder="1" applyAlignment="1">
      <alignment horizontal="right"/>
    </xf>
    <xf numFmtId="194" fontId="73" fillId="0" borderId="0" xfId="0" applyNumberFormat="1" applyFont="1" applyFill="1" applyBorder="1" applyAlignment="1">
      <alignment horizontal="right"/>
    </xf>
    <xf numFmtId="194" fontId="73" fillId="0" borderId="0" xfId="0" applyNumberFormat="1" applyFont="1" applyFill="1" applyBorder="1"/>
    <xf numFmtId="9" fontId="25" fillId="0" borderId="0" xfId="63" applyFont="1" applyFill="1" applyBorder="1" applyAlignment="1">
      <alignment horizontal="left" wrapText="1"/>
    </xf>
    <xf numFmtId="37" fontId="7" fillId="0" borderId="0" xfId="0" applyNumberFormat="1" applyFont="1" applyFill="1" applyBorder="1" applyAlignment="1">
      <alignment horizontal="left" indent="1"/>
    </xf>
    <xf numFmtId="39" fontId="76" fillId="0" borderId="0" xfId="59" applyNumberFormat="1" applyFont="1" applyFill="1" applyBorder="1" applyAlignment="1"/>
    <xf numFmtId="190" fontId="76" fillId="0" borderId="0" xfId="63" applyNumberFormat="1" applyFont="1" applyFill="1" applyBorder="1"/>
    <xf numFmtId="190" fontId="42" fillId="27" borderId="0" xfId="59" applyNumberFormat="1" applyFont="1" applyFill="1" applyBorder="1" applyAlignment="1"/>
    <xf numFmtId="190" fontId="76" fillId="0" borderId="0" xfId="59" applyNumberFormat="1" applyFont="1" applyFill="1" applyBorder="1" applyAlignment="1"/>
    <xf numFmtId="190" fontId="76" fillId="0" borderId="0" xfId="63" applyNumberFormat="1" applyFont="1" applyFill="1" applyBorder="1" applyAlignment="1"/>
    <xf numFmtId="0" fontId="0" fillId="0" borderId="0" xfId="0" applyAlignment="1">
      <alignment horizontal="center"/>
    </xf>
    <xf numFmtId="190" fontId="76" fillId="0" borderId="0" xfId="0" applyNumberFormat="1" applyFont="1" applyFill="1" applyBorder="1"/>
    <xf numFmtId="0" fontId="67" fillId="0" borderId="0" xfId="0" applyFont="1" applyFill="1" applyBorder="1"/>
    <xf numFmtId="1" fontId="7" fillId="27" borderId="0" xfId="0" applyNumberFormat="1" applyFont="1" applyFill="1" applyBorder="1"/>
    <xf numFmtId="0" fontId="29" fillId="0" borderId="0" xfId="78" applyFont="1"/>
    <xf numFmtId="1" fontId="52" fillId="0" borderId="22" xfId="78" applyNumberFormat="1" applyFont="1" applyBorder="1"/>
    <xf numFmtId="178" fontId="52" fillId="0" borderId="22" xfId="78" applyNumberFormat="1" applyFont="1" applyBorder="1"/>
    <xf numFmtId="1" fontId="29" fillId="0" borderId="0" xfId="78" applyNumberFormat="1" applyFont="1"/>
    <xf numFmtId="0" fontId="54" fillId="0" borderId="3" xfId="78" applyFont="1" applyBorder="1" applyAlignment="1">
      <alignment horizontal="left" indent="1"/>
    </xf>
    <xf numFmtId="9" fontId="54" fillId="0" borderId="3" xfId="78" applyNumberFormat="1" applyFont="1" applyBorder="1"/>
    <xf numFmtId="0" fontId="54" fillId="0" borderId="0" xfId="78" applyFont="1"/>
    <xf numFmtId="165" fontId="29" fillId="0" borderId="0" xfId="78" applyNumberFormat="1" applyFont="1"/>
    <xf numFmtId="0" fontId="29" fillId="0" borderId="3" xfId="78" applyFont="1" applyBorder="1"/>
    <xf numFmtId="165" fontId="29" fillId="0" borderId="3" xfId="78" applyNumberFormat="1" applyFont="1" applyBorder="1"/>
    <xf numFmtId="0" fontId="29" fillId="0" borderId="0" xfId="78" applyFont="1" applyBorder="1"/>
    <xf numFmtId="165" fontId="29" fillId="0" borderId="0" xfId="78" applyNumberFormat="1" applyFont="1" applyBorder="1"/>
    <xf numFmtId="0" fontId="52" fillId="0" borderId="0" xfId="78" applyFont="1"/>
    <xf numFmtId="2" fontId="52" fillId="0" borderId="0" xfId="78" applyNumberFormat="1" applyFont="1"/>
    <xf numFmtId="0" fontId="54" fillId="0" borderId="0" xfId="78" applyFont="1" applyAlignment="1">
      <alignment horizontal="left" indent="1"/>
    </xf>
    <xf numFmtId="10" fontId="54" fillId="0" borderId="0" xfId="78" applyNumberFormat="1" applyFont="1"/>
    <xf numFmtId="169" fontId="29" fillId="0" borderId="0" xfId="78" applyNumberFormat="1" applyFont="1"/>
    <xf numFmtId="9" fontId="54" fillId="0" borderId="0" xfId="78" applyNumberFormat="1" applyFont="1"/>
    <xf numFmtId="3" fontId="29" fillId="0" borderId="0" xfId="78" applyNumberFormat="1" applyFont="1"/>
    <xf numFmtId="0" fontId="54" fillId="0" borderId="0" xfId="78" applyFont="1" applyFill="1" applyAlignment="1">
      <alignment horizontal="left" indent="1"/>
    </xf>
    <xf numFmtId="9" fontId="54" fillId="0" borderId="0" xfId="78" applyNumberFormat="1" applyFont="1" applyFill="1"/>
    <xf numFmtId="3" fontId="29" fillId="0" borderId="2" xfId="78" applyNumberFormat="1" applyFont="1" applyBorder="1" applyAlignment="1">
      <alignment horizontal="left" indent="1"/>
    </xf>
    <xf numFmtId="3" fontId="29" fillId="0" borderId="2" xfId="78" applyNumberFormat="1" applyFont="1" applyBorder="1"/>
    <xf numFmtId="3" fontId="52" fillId="0" borderId="2" xfId="78" applyNumberFormat="1" applyFont="1" applyBorder="1"/>
    <xf numFmtId="3" fontId="32" fillId="0" borderId="0" xfId="78" applyNumberFormat="1" applyFont="1" applyFill="1"/>
    <xf numFmtId="3" fontId="53" fillId="0" borderId="0" xfId="78" applyNumberFormat="1" applyFont="1" applyFill="1"/>
    <xf numFmtId="193" fontId="52" fillId="0" borderId="22" xfId="78" applyNumberFormat="1" applyFont="1" applyBorder="1"/>
    <xf numFmtId="3" fontId="52" fillId="0" borderId="38" xfId="78" applyNumberFormat="1" applyFont="1" applyBorder="1"/>
    <xf numFmtId="172" fontId="29" fillId="0" borderId="0" xfId="78" applyNumberFormat="1" applyFont="1"/>
    <xf numFmtId="172" fontId="52" fillId="0" borderId="9" xfId="78" applyNumberFormat="1" applyFont="1" applyBorder="1"/>
    <xf numFmtId="0" fontId="33" fillId="0" borderId="43" xfId="0" applyFont="1" applyFill="1" applyBorder="1" applyAlignment="1">
      <alignment horizontal="center" vertical="center"/>
    </xf>
    <xf numFmtId="0" fontId="26" fillId="45" borderId="26" xfId="0" applyFont="1" applyFill="1" applyBorder="1" applyAlignment="1">
      <alignment horizontal="center" vertical="center"/>
    </xf>
    <xf numFmtId="14" fontId="7" fillId="0" borderId="0" xfId="0" applyNumberFormat="1" applyFont="1" applyAlignment="1">
      <alignment horizontal="left"/>
    </xf>
    <xf numFmtId="0" fontId="54" fillId="46" borderId="0" xfId="78" applyFont="1" applyFill="1" applyAlignment="1">
      <alignment horizontal="left" indent="1"/>
    </xf>
    <xf numFmtId="9" fontId="54" fillId="46" borderId="0" xfId="78" applyNumberFormat="1" applyFont="1" applyFill="1"/>
    <xf numFmtId="0" fontId="7" fillId="0" borderId="0" xfId="53" applyFont="1"/>
    <xf numFmtId="37" fontId="26" fillId="0" borderId="0" xfId="59" applyNumberFormat="1" applyFont="1" applyFill="1" applyBorder="1" applyAlignment="1">
      <alignment horizontal="left" vertical="center" indent="2"/>
    </xf>
    <xf numFmtId="37" fontId="26" fillId="0" borderId="0" xfId="59" applyNumberFormat="1" applyFont="1" applyFill="1" applyBorder="1" applyAlignment="1">
      <alignment horizontal="left" indent="2"/>
    </xf>
    <xf numFmtId="165" fontId="67" fillId="0" borderId="0" xfId="0" applyNumberFormat="1" applyFont="1" applyFill="1" applyBorder="1" applyAlignment="1">
      <alignment horizontal="right"/>
    </xf>
    <xf numFmtId="0" fontId="0" fillId="0" borderId="0" xfId="0" applyAlignment="1">
      <alignment vertical="center"/>
    </xf>
    <xf numFmtId="0" fontId="7" fillId="0" borderId="0" xfId="0" applyFont="1" applyAlignment="1">
      <alignment vertical="center"/>
    </xf>
    <xf numFmtId="5" fontId="0" fillId="0" borderId="0" xfId="0" applyNumberFormat="1" applyAlignment="1">
      <alignment vertical="center"/>
    </xf>
    <xf numFmtId="0" fontId="65" fillId="48" borderId="0" xfId="0" applyFont="1" applyFill="1" applyAlignment="1">
      <alignment vertical="center"/>
    </xf>
    <xf numFmtId="0" fontId="65" fillId="48" borderId="0" xfId="0" applyFont="1" applyFill="1" applyAlignment="1">
      <alignment horizontal="center" vertical="center"/>
    </xf>
    <xf numFmtId="5" fontId="0" fillId="0" borderId="0" xfId="0" applyNumberFormat="1" applyAlignment="1">
      <alignment horizontal="center" vertical="center"/>
    </xf>
    <xf numFmtId="0" fontId="25" fillId="0" borderId="0" xfId="0" applyFont="1" applyAlignment="1">
      <alignment vertical="center"/>
    </xf>
    <xf numFmtId="5" fontId="25" fillId="0" borderId="0" xfId="0" applyNumberFormat="1" applyFont="1" applyAlignment="1">
      <alignment horizontal="center" vertical="center"/>
    </xf>
    <xf numFmtId="0" fontId="26" fillId="0" borderId="0" xfId="0" applyFont="1" applyAlignment="1">
      <alignment vertical="center"/>
    </xf>
    <xf numFmtId="0" fontId="77" fillId="48" borderId="0" xfId="0" applyFont="1" applyFill="1" applyAlignment="1">
      <alignment vertical="center"/>
    </xf>
    <xf numFmtId="5" fontId="67" fillId="0" borderId="0" xfId="0" applyNumberFormat="1" applyFont="1" applyAlignment="1">
      <alignment horizontal="center" vertical="center"/>
    </xf>
    <xf numFmtId="5" fontId="25" fillId="0" borderId="0" xfId="0" applyNumberFormat="1" applyFont="1" applyAlignment="1">
      <alignment vertical="center"/>
    </xf>
    <xf numFmtId="0" fontId="33" fillId="32" borderId="38" xfId="0" applyFont="1" applyFill="1" applyBorder="1" applyAlignment="1">
      <alignment vertical="center"/>
    </xf>
    <xf numFmtId="5" fontId="33" fillId="32" borderId="9" xfId="0" applyNumberFormat="1" applyFont="1" applyFill="1" applyBorder="1" applyAlignment="1">
      <alignment horizontal="center" vertical="center"/>
    </xf>
    <xf numFmtId="5" fontId="33" fillId="32" borderId="39" xfId="0" applyNumberFormat="1" applyFont="1" applyFill="1" applyBorder="1" applyAlignment="1">
      <alignment horizontal="center" vertical="center"/>
    </xf>
    <xf numFmtId="172" fontId="62" fillId="0" borderId="0" xfId="54" applyNumberFormat="1" applyFont="1" applyFill="1" applyBorder="1"/>
    <xf numFmtId="172" fontId="62" fillId="0" borderId="0" xfId="63" applyNumberFormat="1" applyFont="1" applyFill="1" applyBorder="1" applyAlignment="1">
      <alignment horizontal="center"/>
    </xf>
    <xf numFmtId="172" fontId="62" fillId="0" borderId="0" xfId="54" applyNumberFormat="1" applyFont="1" applyFill="1" applyBorder="1" applyAlignment="1">
      <alignment horizontal="center"/>
    </xf>
    <xf numFmtId="172" fontId="62" fillId="0" borderId="0" xfId="54" applyNumberFormat="1" applyFont="1" applyAlignment="1">
      <alignment horizontal="center"/>
    </xf>
    <xf numFmtId="172" fontId="0" fillId="0" borderId="0" xfId="40" applyNumberFormat="1" applyFont="1"/>
    <xf numFmtId="5" fontId="7" fillId="0" borderId="0" xfId="0" applyNumberFormat="1" applyFont="1" applyAlignment="1">
      <alignment horizontal="center" vertical="center"/>
    </xf>
    <xf numFmtId="195" fontId="7" fillId="0" borderId="0" xfId="0" applyNumberFormat="1" applyFont="1"/>
    <xf numFmtId="183" fontId="7" fillId="0" borderId="0" xfId="0" applyNumberFormat="1" applyFont="1"/>
    <xf numFmtId="0" fontId="0" fillId="0" borderId="0" xfId="0" applyFill="1" applyAlignment="1">
      <alignment vertical="center"/>
    </xf>
    <xf numFmtId="3" fontId="65" fillId="0" borderId="0" xfId="0" applyNumberFormat="1" applyFont="1" applyFill="1" applyBorder="1"/>
    <xf numFmtId="166" fontId="7" fillId="0" borderId="0" xfId="0" applyNumberFormat="1" applyFont="1" applyFill="1" applyBorder="1" applyAlignment="1">
      <alignment horizontal="left" vertical="center"/>
    </xf>
    <xf numFmtId="0" fontId="7" fillId="0" borderId="0" xfId="0" applyFont="1" applyFill="1" applyAlignment="1">
      <alignment vertical="center"/>
    </xf>
    <xf numFmtId="5" fontId="67" fillId="0" borderId="0" xfId="0" applyNumberFormat="1" applyFont="1" applyFill="1" applyAlignment="1">
      <alignment horizontal="center" vertical="center"/>
    </xf>
    <xf numFmtId="5" fontId="7" fillId="0" borderId="0" xfId="0" applyNumberFormat="1" applyFont="1" applyFill="1" applyAlignment="1">
      <alignment horizontal="center" vertical="center"/>
    </xf>
    <xf numFmtId="5" fontId="0" fillId="0" borderId="0" xfId="0" applyNumberFormat="1" applyFill="1" applyAlignment="1">
      <alignment horizontal="center" vertical="center"/>
    </xf>
    <xf numFmtId="5" fontId="25" fillId="0" borderId="0" xfId="0" applyNumberFormat="1" applyFont="1" applyFill="1" applyAlignment="1">
      <alignment horizontal="center" vertical="center"/>
    </xf>
    <xf numFmtId="0" fontId="78" fillId="0" borderId="0" xfId="0" applyFont="1" applyFill="1" applyAlignment="1">
      <alignment horizontal="center" vertical="center"/>
    </xf>
    <xf numFmtId="9" fontId="72" fillId="0" borderId="0" xfId="78" applyNumberFormat="1" applyFont="1"/>
    <xf numFmtId="0" fontId="52" fillId="0" borderId="38" xfId="78" applyFont="1" applyBorder="1"/>
    <xf numFmtId="5" fontId="52" fillId="0" borderId="9" xfId="78" applyNumberFormat="1" applyFont="1" applyBorder="1"/>
    <xf numFmtId="5" fontId="52" fillId="0" borderId="39" xfId="78" applyNumberFormat="1" applyFont="1" applyBorder="1"/>
    <xf numFmtId="0" fontId="52" fillId="47" borderId="0" xfId="78" applyFont="1" applyFill="1" applyAlignment="1">
      <alignment horizontal="left" indent="1"/>
    </xf>
    <xf numFmtId="9" fontId="72" fillId="47" borderId="0" xfId="78" applyNumberFormat="1" applyFont="1" applyFill="1"/>
    <xf numFmtId="9" fontId="54" fillId="47" borderId="0" xfId="78" applyNumberFormat="1" applyFont="1" applyFill="1"/>
    <xf numFmtId="5" fontId="29" fillId="47" borderId="0" xfId="78" applyNumberFormat="1" applyFont="1" applyFill="1"/>
    <xf numFmtId="5" fontId="67" fillId="47" borderId="0" xfId="78" applyNumberFormat="1" applyFont="1" applyFill="1"/>
    <xf numFmtId="1" fontId="67" fillId="27" borderId="0" xfId="0" applyNumberFormat="1" applyFont="1" applyFill="1" applyBorder="1"/>
    <xf numFmtId="0" fontId="67" fillId="27" borderId="0" xfId="0" applyFont="1" applyFill="1" applyBorder="1"/>
    <xf numFmtId="0" fontId="25" fillId="0" borderId="0" xfId="0" applyFont="1" applyFill="1" applyAlignment="1">
      <alignment vertical="center"/>
    </xf>
    <xf numFmtId="173" fontId="67" fillId="27" borderId="0" xfId="0" applyNumberFormat="1" applyFont="1" applyFill="1"/>
    <xf numFmtId="197" fontId="79" fillId="0" borderId="0" xfId="53" applyNumberFormat="1" applyFont="1"/>
    <xf numFmtId="165" fontId="67" fillId="0" borderId="0" xfId="0" applyNumberFormat="1" applyFont="1" applyFill="1" applyBorder="1"/>
    <xf numFmtId="165" fontId="67" fillId="0" borderId="0" xfId="63" applyNumberFormat="1" applyFont="1" applyFill="1" applyBorder="1"/>
    <xf numFmtId="5" fontId="0" fillId="27" borderId="0" xfId="0" applyNumberFormat="1" applyFill="1"/>
    <xf numFmtId="9" fontId="81" fillId="27" borderId="0" xfId="63" applyFont="1" applyFill="1" applyBorder="1" applyAlignment="1"/>
    <xf numFmtId="9" fontId="42" fillId="27" borderId="0" xfId="63" applyFont="1" applyFill="1" applyBorder="1" applyAlignment="1"/>
    <xf numFmtId="9" fontId="32" fillId="0" borderId="0" xfId="63" applyFont="1" applyFill="1" applyBorder="1" applyAlignment="1"/>
    <xf numFmtId="9" fontId="32" fillId="0" borderId="0" xfId="63" applyFont="1" applyFill="1" applyBorder="1" applyAlignment="1">
      <alignment horizontal="right"/>
    </xf>
    <xf numFmtId="165" fontId="0" fillId="27" borderId="3" xfId="0" applyNumberFormat="1" applyFill="1" applyBorder="1"/>
    <xf numFmtId="3" fontId="65" fillId="0" borderId="3" xfId="0" applyNumberFormat="1" applyFont="1" applyFill="1" applyBorder="1" applyAlignment="1">
      <alignment horizontal="right"/>
    </xf>
    <xf numFmtId="0" fontId="0" fillId="0" borderId="0" xfId="0" applyAlignment="1">
      <alignment horizontal="center"/>
    </xf>
    <xf numFmtId="5" fontId="25" fillId="40" borderId="0" xfId="0" applyNumberFormat="1" applyFont="1" applyFill="1" applyAlignment="1">
      <alignment horizontal="center" vertical="center"/>
    </xf>
    <xf numFmtId="37" fontId="7" fillId="33" borderId="0" xfId="0" applyNumberFormat="1" applyFont="1" applyFill="1" applyBorder="1" applyAlignment="1">
      <alignment horizontal="left" vertical="center"/>
    </xf>
    <xf numFmtId="173" fontId="8" fillId="33" borderId="0" xfId="0" applyNumberFormat="1" applyFont="1" applyFill="1" applyBorder="1" applyAlignment="1">
      <alignment horizontal="center" vertical="center"/>
    </xf>
    <xf numFmtId="11" fontId="0" fillId="0" borderId="0" xfId="0" applyNumberFormat="1"/>
    <xf numFmtId="0" fontId="7" fillId="43" borderId="0" xfId="87" applyFont="1" applyFill="1" applyAlignment="1">
      <alignment vertical="top"/>
    </xf>
    <xf numFmtId="0" fontId="7" fillId="43" borderId="0" xfId="53" applyFill="1" applyAlignment="1">
      <alignment vertical="top"/>
    </xf>
    <xf numFmtId="0" fontId="48" fillId="43" borderId="0" xfId="87" applyFont="1" applyFill="1" applyAlignment="1">
      <alignment horizontal="left" vertical="top"/>
    </xf>
    <xf numFmtId="0" fontId="7" fillId="43" borderId="0" xfId="53" applyFont="1" applyFill="1" applyAlignment="1">
      <alignment vertical="top"/>
    </xf>
    <xf numFmtId="0" fontId="26" fillId="43" borderId="0" xfId="87" applyFont="1" applyFill="1" applyAlignment="1">
      <alignment vertical="top"/>
    </xf>
    <xf numFmtId="0" fontId="0" fillId="43" borderId="0" xfId="0" applyFill="1" applyAlignment="1">
      <alignment vertical="top"/>
    </xf>
    <xf numFmtId="0" fontId="83" fillId="43" borderId="0" xfId="0" applyFont="1" applyFill="1" applyAlignment="1">
      <alignment vertical="top"/>
    </xf>
    <xf numFmtId="0" fontId="84" fillId="43" borderId="0" xfId="0" applyFont="1" applyFill="1" applyAlignment="1">
      <alignment vertical="top"/>
    </xf>
    <xf numFmtId="0" fontId="83" fillId="43" borderId="44" xfId="0" applyFont="1" applyFill="1" applyBorder="1" applyAlignment="1">
      <alignment vertical="top"/>
    </xf>
    <xf numFmtId="9" fontId="83" fillId="43" borderId="44" xfId="0" applyNumberFormat="1" applyFont="1" applyFill="1" applyBorder="1" applyAlignment="1">
      <alignment vertical="top"/>
    </xf>
    <xf numFmtId="3" fontId="83" fillId="43" borderId="44" xfId="0" applyNumberFormat="1" applyFont="1" applyFill="1" applyBorder="1" applyAlignment="1">
      <alignment vertical="top"/>
    </xf>
    <xf numFmtId="2" fontId="7" fillId="0" borderId="0" xfId="53" applyNumberFormat="1" applyAlignment="1">
      <alignment horizontal="left"/>
    </xf>
    <xf numFmtId="0" fontId="7" fillId="0" borderId="0" xfId="53" applyNumberFormat="1" applyAlignment="1">
      <alignment horizontal="left"/>
    </xf>
    <xf numFmtId="1" fontId="7" fillId="0" borderId="0" xfId="53" applyNumberFormat="1" applyAlignment="1">
      <alignment horizontal="left"/>
    </xf>
    <xf numFmtId="198" fontId="7" fillId="0" borderId="0" xfId="53" applyNumberFormat="1" applyAlignment="1">
      <alignment horizontal="left"/>
    </xf>
    <xf numFmtId="49" fontId="7" fillId="0" borderId="0" xfId="53" applyNumberFormat="1"/>
    <xf numFmtId="0" fontId="0" fillId="43" borderId="49" xfId="0" applyFill="1" applyBorder="1" applyAlignment="1">
      <alignment vertical="top"/>
    </xf>
    <xf numFmtId="0" fontId="83" fillId="43" borderId="0" xfId="0" applyFont="1" applyFill="1" applyAlignment="1">
      <alignment vertical="top"/>
    </xf>
    <xf numFmtId="0" fontId="83" fillId="43" borderId="45" xfId="0" applyFont="1" applyFill="1" applyBorder="1" applyAlignment="1">
      <alignment vertical="top"/>
    </xf>
    <xf numFmtId="0" fontId="83" fillId="43" borderId="46" xfId="0" applyFont="1" applyFill="1" applyBorder="1" applyAlignment="1">
      <alignment vertical="top"/>
    </xf>
    <xf numFmtId="0" fontId="83" fillId="43" borderId="47" xfId="0" applyFont="1" applyFill="1" applyBorder="1" applyAlignment="1">
      <alignment vertical="top"/>
    </xf>
    <xf numFmtId="0" fontId="84" fillId="43" borderId="0" xfId="0" applyFont="1" applyFill="1" applyAlignment="1">
      <alignment vertical="top"/>
    </xf>
    <xf numFmtId="0" fontId="0" fillId="43" borderId="0" xfId="0" applyFill="1" applyAlignment="1">
      <alignment vertical="top"/>
    </xf>
    <xf numFmtId="0" fontId="0" fillId="43" borderId="48" xfId="0" applyFill="1" applyBorder="1" applyAlignment="1">
      <alignment vertical="top"/>
    </xf>
    <xf numFmtId="0" fontId="63" fillId="31" borderId="24" xfId="54" applyFont="1" applyFill="1" applyBorder="1" applyAlignment="1">
      <alignment horizontal="center"/>
    </xf>
    <xf numFmtId="0" fontId="63" fillId="31" borderId="3" xfId="54" applyFont="1" applyFill="1" applyBorder="1" applyAlignment="1">
      <alignment horizontal="center"/>
    </xf>
    <xf numFmtId="0" fontId="63" fillId="31" borderId="42" xfId="54" applyFont="1" applyFill="1" applyBorder="1" applyAlignment="1">
      <alignment horizontal="center"/>
    </xf>
    <xf numFmtId="0" fontId="29" fillId="37" borderId="4" xfId="75" applyFont="1" applyFill="1" applyBorder="1" applyAlignment="1">
      <alignment horizontal="center"/>
    </xf>
    <xf numFmtId="0" fontId="29" fillId="37" borderId="34" xfId="75" applyFont="1" applyFill="1" applyBorder="1" applyAlignment="1">
      <alignment horizontal="center"/>
    </xf>
    <xf numFmtId="0" fontId="7" fillId="37" borderId="28" xfId="74" applyFill="1" applyBorder="1" applyAlignment="1">
      <alignment horizontal="center"/>
    </xf>
    <xf numFmtId="0" fontId="7" fillId="37" borderId="30" xfId="74" applyFill="1" applyBorder="1" applyAlignment="1">
      <alignment horizontal="center"/>
    </xf>
    <xf numFmtId="0" fontId="29" fillId="37" borderId="0" xfId="75" applyFont="1" applyFill="1" applyBorder="1" applyAlignment="1">
      <alignment horizontal="center"/>
    </xf>
    <xf numFmtId="0" fontId="29" fillId="37" borderId="32" xfId="75" applyFont="1" applyFill="1" applyBorder="1" applyAlignment="1">
      <alignment horizontal="center"/>
    </xf>
    <xf numFmtId="0" fontId="62" fillId="29" borderId="41" xfId="54" applyFont="1" applyFill="1" applyBorder="1" applyAlignment="1">
      <alignment horizontal="center"/>
    </xf>
    <xf numFmtId="0" fontId="62" fillId="29" borderId="2" xfId="54" applyFont="1" applyFill="1" applyBorder="1" applyAlignment="1">
      <alignment horizontal="center"/>
    </xf>
    <xf numFmtId="0" fontId="62" fillId="29" borderId="16" xfId="54" applyFont="1" applyFill="1" applyBorder="1" applyAlignment="1">
      <alignment horizontal="center"/>
    </xf>
    <xf numFmtId="0" fontId="7" fillId="29" borderId="27" xfId="54" applyFont="1" applyFill="1" applyBorder="1" applyAlignment="1">
      <alignment horizontal="center" vertical="center" wrapText="1"/>
    </xf>
    <xf numFmtId="0" fontId="7" fillId="29" borderId="17" xfId="54" applyFont="1" applyFill="1" applyBorder="1" applyAlignment="1">
      <alignment horizontal="center" vertical="center" wrapText="1"/>
    </xf>
    <xf numFmtId="0" fontId="63" fillId="30" borderId="24" xfId="54" applyFont="1" applyFill="1" applyBorder="1" applyAlignment="1">
      <alignment horizontal="center"/>
    </xf>
    <xf numFmtId="0" fontId="63" fillId="30" borderId="3" xfId="54" applyFont="1" applyFill="1" applyBorder="1" applyAlignment="1">
      <alignment horizontal="center"/>
    </xf>
    <xf numFmtId="0" fontId="63" fillId="30" borderId="42" xfId="54" applyFont="1" applyFill="1" applyBorder="1" applyAlignment="1">
      <alignment horizontal="center"/>
    </xf>
    <xf numFmtId="0" fontId="25" fillId="0" borderId="4" xfId="0" applyFont="1" applyBorder="1" applyAlignment="1">
      <alignment horizontal="right"/>
    </xf>
    <xf numFmtId="0" fontId="25" fillId="0" borderId="0" xfId="0" applyFont="1" applyAlignment="1">
      <alignment horizontal="right"/>
    </xf>
    <xf numFmtId="0" fontId="25" fillId="0" borderId="0" xfId="59" applyNumberFormat="1" applyFont="1" applyFill="1" applyBorder="1" applyAlignment="1">
      <alignment horizontal="center" wrapText="1"/>
    </xf>
    <xf numFmtId="0" fontId="25" fillId="0" borderId="0" xfId="59" applyFont="1" applyFill="1" applyBorder="1" applyAlignment="1">
      <alignment horizontal="center" wrapText="1"/>
    </xf>
  </cellXfs>
  <cellStyles count="88">
    <cellStyle name=" 1" xfId="2"/>
    <cellStyle name=" 1 2" xfId="3"/>
    <cellStyle name=" 1 3" xfId="4"/>
    <cellStyle name=" 2" xfId="5"/>
    <cellStyle name=" Writer Import]_x000d__x000a_Display Dialog=No_x000d__x000a__x000d__x000a_[Horizontal Arrange]_x000d__x000a_Dimensions Interlocking=Yes_x000d__x000a_Sum Hierarchy=Yes_x000d__x000a_Generate" xfId="79"/>
    <cellStyle name="_Balance Sheet " xfId="6"/>
    <cellStyle name="_SUMMARY " xfId="7"/>
    <cellStyle name="0_Capex &amp; Depreciation " xfId="8"/>
    <cellStyle name="0_P&amp;L-adj " xfId="9"/>
    <cellStyle name="0_Pension_UTX Example_Acute Care " xfId="81"/>
    <cellStyle name="0_Quarterly " xfId="10"/>
    <cellStyle name="0_Quarterly-ITMN " xfId="82"/>
    <cellStyle name="0_TPP.N Ver 15_Acute Care " xfId="83"/>
    <cellStyle name="0_Valuing BP " xfId="11"/>
    <cellStyle name="20% - Accent1" xfId="12" builtinId="30" customBuiltin="1"/>
    <cellStyle name="20% - Accent2" xfId="13" builtinId="34" customBuiltin="1"/>
    <cellStyle name="20% - Accent3" xfId="14" builtinId="38" customBuiltin="1"/>
    <cellStyle name="20% - Accent4" xfId="15" builtinId="42" customBuiltin="1"/>
    <cellStyle name="20% - Accent5" xfId="16" builtinId="46" customBuiltin="1"/>
    <cellStyle name="20% - Accent6" xfId="17" builtinId="50" customBuiltin="1"/>
    <cellStyle name="40% - Accent1" xfId="18" builtinId="31" customBuiltin="1"/>
    <cellStyle name="40% - Accent2" xfId="19" builtinId="35" customBuiltin="1"/>
    <cellStyle name="40% - Accent3" xfId="20" builtinId="39" customBuiltin="1"/>
    <cellStyle name="40% - Accent4" xfId="21" builtinId="43" customBuiltin="1"/>
    <cellStyle name="40% - Accent5" xfId="22" builtinId="47" customBuiltin="1"/>
    <cellStyle name="40% - Accent6" xfId="23" builtinId="51" customBuiltin="1"/>
    <cellStyle name="60% - Accent1" xfId="24" builtinId="32" customBuiltin="1"/>
    <cellStyle name="60% - Accent2" xfId="25" builtinId="36" customBuiltin="1"/>
    <cellStyle name="60% - Accent3" xfId="26" builtinId="40" customBuiltin="1"/>
    <cellStyle name="60% - Accent4" xfId="27" builtinId="44" customBuiltin="1"/>
    <cellStyle name="60% - Accent5" xfId="28" builtinId="48" customBuiltin="1"/>
    <cellStyle name="60% - Accent6" xfId="29" builtinId="52" customBuiltin="1"/>
    <cellStyle name="Accent1" xfId="30" builtinId="29" customBuiltin="1"/>
    <cellStyle name="Accent2" xfId="31" builtinId="33" customBuiltin="1"/>
    <cellStyle name="Accent3" xfId="32" builtinId="37" customBuiltin="1"/>
    <cellStyle name="Accent4" xfId="33" builtinId="41" customBuiltin="1"/>
    <cellStyle name="Accent5" xfId="34" builtinId="45" customBuiltin="1"/>
    <cellStyle name="Accent6" xfId="35" builtinId="49" customBuiltin="1"/>
    <cellStyle name="Bad" xfId="36" builtinId="27" customBuiltin="1"/>
    <cellStyle name="c_HardInc " xfId="37"/>
    <cellStyle name="Calculation" xfId="38" builtinId="22" customBuiltin="1"/>
    <cellStyle name="Check Cell" xfId="39" builtinId="23" customBuiltin="1"/>
    <cellStyle name="Comma" xfId="40" builtinId="3"/>
    <cellStyle name="Comma 2" xfId="41"/>
    <cellStyle name="Currency 2" xfId="80"/>
    <cellStyle name="Explanatory Text" xfId="42" builtinId="53" customBuiltin="1"/>
    <cellStyle name="Good" xfId="43" builtinId="26" customBuiltin="1"/>
    <cellStyle name="Heading 1" xfId="44" builtinId="16" customBuiltin="1"/>
    <cellStyle name="Heading 2" xfId="45" builtinId="17" customBuiltin="1"/>
    <cellStyle name="Heading 3" xfId="46" builtinId="18" customBuiltin="1"/>
    <cellStyle name="Heading 4" xfId="47" builtinId="19" customBuiltin="1"/>
    <cellStyle name="Hyperlink" xfId="48" builtinId="8"/>
    <cellStyle name="Hyperlink 2 2" xfId="85"/>
    <cellStyle name="Input" xfId="49" builtinId="20" customBuiltin="1"/>
    <cellStyle name="Linked Cell" xfId="50" builtinId="24" customBuiltin="1"/>
    <cellStyle name="Neutral" xfId="51" builtinId="28" customBuiltin="1"/>
    <cellStyle name="Normal" xfId="0" builtinId="0"/>
    <cellStyle name="Normal 15" xfId="77"/>
    <cellStyle name="Normal 16" xfId="78"/>
    <cellStyle name="Normal 18" xfId="84"/>
    <cellStyle name="Normal 2" xfId="52"/>
    <cellStyle name="Normal 2 2" xfId="53"/>
    <cellStyle name="Normal 3 2" xfId="54"/>
    <cellStyle name="Normal 3 2 3" xfId="86"/>
    <cellStyle name="Normal 3 5" xfId="75"/>
    <cellStyle name="Normal 4" xfId="55"/>
    <cellStyle name="Normal 5" xfId="56"/>
    <cellStyle name="Normal 7" xfId="74"/>
    <cellStyle name="Normal 9" xfId="76"/>
    <cellStyle name="Normal_DisclaimerSheet Samples" xfId="87"/>
    <cellStyle name="Normal_Nexavar_Model" xfId="57"/>
    <cellStyle name="Normal_PFE_WYEwk-old" xfId="58"/>
    <cellStyle name="Normal_Sheet2" xfId="59"/>
    <cellStyle name="Note" xfId="60" builtinId="10" customBuiltin="1"/>
    <cellStyle name="Output" xfId="61" builtinId="21" customBuiltin="1"/>
    <cellStyle name="p " xfId="62"/>
    <cellStyle name="Percent" xfId="63" builtinId="5"/>
    <cellStyle name="Percent 2" xfId="64"/>
    <cellStyle name="Percent 2 3" xfId="65"/>
    <cellStyle name="Percent 3" xfId="66"/>
    <cellStyle name="Percent 4" xfId="67"/>
    <cellStyle name="RRSInstruction" xfId="1"/>
    <cellStyle name="s_HardInc " xfId="68"/>
    <cellStyle name="s_Valuation " xfId="69"/>
    <cellStyle name="ssp " xfId="70"/>
    <cellStyle name="Title" xfId="71" builtinId="15" customBuiltin="1"/>
    <cellStyle name="Total" xfId="72" builtinId="25" customBuiltin="1"/>
    <cellStyle name="Warning Text" xfId="73"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74BE74"/>
      <rgbColor rgb="002270AB"/>
      <rgbColor rgb="00F8CD14"/>
      <rgbColor rgb="00F26163"/>
      <rgbColor rgb="00A8D7E2"/>
      <rgbColor rgb="00B2122B"/>
      <rgbColor rgb="00238B45"/>
      <rgbColor rgb="001B4694"/>
      <rgbColor rgb="0041A95C"/>
      <rgbColor rgb="00800080"/>
      <rgbColor rgb="00238B45"/>
      <rgbColor rgb="00C0C0C0"/>
      <rgbColor rgb="00808080"/>
      <rgbColor rgb="00137CB1"/>
      <rgbColor rgb="00EACC80"/>
      <rgbColor rgb="004AAC6B"/>
      <rgbColor rgb="00A8D7E2"/>
      <rgbColor rgb="00E58061"/>
      <rgbColor rgb="00BCE3A1"/>
      <rgbColor rgb="008E466A"/>
      <rgbColor rgb="00F3A7A9"/>
      <rgbColor rgb="001275A6"/>
      <rgbColor rgb="00E5BF61"/>
      <rgbColor rgb="004AAC6B"/>
      <rgbColor rgb="0097D0DD"/>
      <rgbColor rgb="00763A58"/>
      <rgbColor rgb="00EF8D8F"/>
      <rgbColor rgb="00E2704C"/>
      <rgbColor rgb="00A5D981"/>
      <rgbColor rgb="0069ADCA"/>
      <rgbColor rgb="00C6D9E2"/>
      <rgbColor rgb="00E3EEDE"/>
      <rgbColor rgb="00F3EEA1"/>
      <rgbColor rgb="009DC9DC"/>
      <rgbColor rgb="00EFC1D2"/>
      <rgbColor rgb="009DC9DC"/>
      <rgbColor rgb="00EAEAEA"/>
      <rgbColor rgb="004091BF"/>
      <rgbColor rgb="0097D0DD"/>
      <rgbColor rgb="00A5D981"/>
      <rgbColor rgb="00F8CD14"/>
      <rgbColor rgb="00EACC80"/>
      <rgbColor rgb="00FC7114"/>
      <rgbColor rgb="004091BF"/>
      <rgbColor rgb="00969696"/>
      <rgbColor rgb="00003366"/>
      <rgbColor rgb="0041A95C"/>
      <rgbColor rgb="00125A31"/>
      <rgbColor rgb="00125A31"/>
      <rgbColor rgb="00DDDDDD"/>
      <rgbColor rgb="008E466A"/>
      <rgbColor rgb="001B4694"/>
      <rgbColor rgb="00333333"/>
    </indexedColors>
    <mruColors>
      <color rgb="FF0000FF"/>
      <color rgb="FFF79646"/>
      <color rgb="FFEAEAEA"/>
      <color rgb="FFCCFFFF"/>
      <color rgb="FFD9D9D9"/>
      <color rgb="FFF4CBBF"/>
      <color rgb="FFABC7D3"/>
      <color rgb="FFABBFD3"/>
      <color rgb="FFC6D9E2"/>
      <color rgb="FFACD6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externalLinks/externalLink1.xml" Type="http://schemas.openxmlformats.org/officeDocument/2006/relationships/externalLink"/>
<Relationship Id="rId18" Target="externalLinks/externalLink2.xml" Type="http://schemas.openxmlformats.org/officeDocument/2006/relationships/externalLink"/>
<Relationship Id="rId19" Target="externalLinks/externalLink3.xml" Type="http://schemas.openxmlformats.org/officeDocument/2006/relationships/externalLink"/>
<Relationship Id="rId2" Target="worksheets/sheet2.xml" Type="http://schemas.openxmlformats.org/officeDocument/2006/relationships/worksheet"/>
<Relationship Id="rId20" Target="externalLinks/externalLink4.xml" Type="http://schemas.openxmlformats.org/officeDocument/2006/relationships/externalLink"/>
<Relationship Id="rId21" Target="externalLinks/externalLink5.xml" Type="http://schemas.openxmlformats.org/officeDocument/2006/relationships/externalLink"/>
<Relationship Id="rId22" Target="externalLinks/externalLink6.xml" Type="http://schemas.openxmlformats.org/officeDocument/2006/relationships/externalLink"/>
<Relationship Id="rId23" Target="externalLinks/externalLink7.xml" Type="http://schemas.openxmlformats.org/officeDocument/2006/relationships/externalLink"/>
<Relationship Id="rId24" Target="externalLinks/externalLink8.xml" Type="http://schemas.openxmlformats.org/officeDocument/2006/relationships/externalLink"/>
<Relationship Id="rId25" Target="externalLinks/externalLink9.xml" Type="http://schemas.openxmlformats.org/officeDocument/2006/relationships/externalLink"/>
<Relationship Id="rId26" Target="externalLinks/externalLink10.xml" Type="http://schemas.openxmlformats.org/officeDocument/2006/relationships/externalLink"/>
<Relationship Id="rId27" Target="theme/theme1.xml" Type="http://schemas.openxmlformats.org/officeDocument/2006/relationships/theme"/>
<Relationship Id="rId28" Target="styles.xml" Type="http://schemas.openxmlformats.org/officeDocument/2006/relationships/styles"/>
<Relationship Id="rId29" Target="sharedStrings.xml" Type="http://schemas.openxmlformats.org/officeDocument/2006/relationships/sharedStrings"/>
<Relationship Id="rId3" Target="worksheets/sheet3.xml" Type="http://schemas.openxmlformats.org/officeDocument/2006/relationships/worksheet"/>
<Relationship Id="rId30" Target="calcChain.xml" Type="http://schemas.openxmlformats.org/officeDocument/2006/relationships/calcChain"/>
<Relationship Id="rId31" Target="../customXml/item1.xml" Type="http://schemas.openxmlformats.org/officeDocument/2006/relationships/customXml"/>
<Relationship Id="rId32" Target="../customXml/item2.xml" Type="http://schemas.openxmlformats.org/officeDocument/2006/relationships/customXml"/>
<Relationship Id="rId33" Target="vbaProject.bin" Type="http://schemas.microsoft.com/office/2006/relationships/vbaProjec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183</xdr:row>
      <xdr:rowOff>0</xdr:rowOff>
    </xdr:from>
    <xdr:to>
      <xdr:col>7</xdr:col>
      <xdr:colOff>390525</xdr:colOff>
      <xdr:row>206</xdr:row>
      <xdr:rowOff>104775</xdr:rowOff>
    </xdr:to>
    <xdr:pic>
      <xdr:nvPicPr>
        <xdr:cNvPr id="319489" name="Picture 1" descr="C:\Users\purohvik\AppData\Local\Temp\MercuryPriceRatingHistoryChart\AMGN.O_2018_04_25_18_40_01.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8260675"/>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
<Relationship Id="rId1" Target="file://///msad/root/na/ny/users/johndasc/Docs/ID/Charts/Chart_Gallery/From%20Vlad/B11_BarSingle_AverageLine.xls" TargetMode="External" Type="http://schemas.openxmlformats.org/officeDocument/2006/relationships/externalLinkPath"/>
</Relationships>

</file>

<file path=xl/externalLinks/_rels/externalLink2.xml.rels><?xml version="1.0" encoding="UTF-8" standalone="yes"?>
<Relationships xmlns="http://schemas.openxmlformats.org/package/2006/relationships">
<Relationship Id="rId1" Target="HEALTH/Pharma/Risinger/models/LLY/LLYwk.xls" TargetMode="External" Type="http://schemas.microsoft.com/office/2006/relationships/xlExternalLinkPath/xlStartup"/>
</Relationships>

</file>

<file path=xl/externalLinks/_rels/externalLink3.xml.rels><?xml version="1.0" encoding="UTF-8" standalone="yes"?>
<Relationships xmlns="http://schemas.openxmlformats.org/package/2006/relationships">
<Relationship Id="rId1" Target="HEALTH/Pharma/Risinger/models/WYE/WYE_Charts.xls" TargetMode="External" Type="http://schemas.microsoft.com/office/2006/relationships/xlExternalLinkPath/xlStartup"/>
</Relationships>

</file>

<file path=xl/externalLinks/_rels/externalLink4.xml.rels><?xml version="1.0" encoding="UTF-8" standalone="yes"?>
<Relationships xmlns="http://schemas.openxmlformats.org/package/2006/relationships">
<Relationship Id="rId1" Target="HEALTH/Pharma/Risinger/models/PFE/PFE_Charts.xls" TargetMode="External" Type="http://schemas.microsoft.com/office/2006/relationships/xlExternalLinkPath/xlStartup"/>
</Relationships>

</file>

<file path=xl/externalLinks/_rels/externalLink5.xml.rels><?xml version="1.0" encoding="UTF-8" standalone="yes"?>
<Relationships xmlns="http://schemas.openxmlformats.org/package/2006/relationships">
<Relationship Id="rId1" Target="file://///msad/root/na/ny/users/johndasc/Docs/ID/Charts/Sandbox/BtoB.xls" TargetMode="External" Type="http://schemas.openxmlformats.org/officeDocument/2006/relationships/externalLinkPath"/>
</Relationships>

</file>

<file path=xl/externalLinks/_rels/externalLink6.xml.rels><?xml version="1.0" encoding="UTF-8" standalone="yes"?>
<Relationships xmlns="http://schemas.openxmlformats.org/package/2006/relationships">
<Relationship Id="rId1" Target="HEALTH/Sapna/Companies/CELG/Miscellaneous/Revlimid%20Pricing.xls" TargetMode="External" Type="http://schemas.microsoft.com/office/2006/relationships/xlExternalLinkPath/xlStartup"/>
</Relationships>

</file>

<file path=xl/externalLinks/_rels/externalLink7.xml.rels><?xml version="1.0" encoding="UTF-8" standalone="yes"?>
<Relationships xmlns="http://schemas.openxmlformats.org/package/2006/relationships">
<Relationship Id="rId1" Target="HEALTH/Pharma/Risinger/models/LLY/LLY_Charts.xls" TargetMode="External" Type="http://schemas.microsoft.com/office/2006/relationships/xlExternalLinkPath/xlStartup"/>
</Relationships>

</file>

<file path=xl/externalLinks/_rels/externalLink8.xml.rels><?xml version="1.0" encoding="UTF-8" standalone="yes"?>
<Relationships xmlns="http://schemas.openxmlformats.org/package/2006/relationships">
<Relationship Id="rId1" Target="HEALTH/Pharma/Risinger/models/BMY/BMY_Charts.xls" TargetMode="External" Type="http://schemas.microsoft.com/office/2006/relationships/xlExternalLinkPath/xlStartup"/>
</Relationships>

</file>

<file path=xl/externalLinks/_rels/externalLink9.xml.rels><?xml version="1.0" encoding="UTF-8" standalone="yes"?>
<Relationships xmlns="http://schemas.openxmlformats.org/package/2006/relationships">
<Relationship Id="rId1" Target="file://///Sony/c/business/&#38750;&#37444;/&#38750;&#37444;&#20250;~1/&#21516;&#21644;&#37489;&#26989;/5714work.wk4" TargetMode="External" Type="http://schemas.openxmlformats.org/officeDocument/2006/relationships/externalLinkPath"/>
</Relationships>

</file>

<file path=xl/externalLinks/_rels/externalLink10.xml.rels><?xml version="1.0" encoding="UTF-8" standalone="yes"?>
<Relationships xmlns="http://schemas.openxmlformats.org/package/2006/relationships">
<Relationship Id="rId1" Target="health/RubinJ/Company/WLA/WLAwork1.XLS" TargetMode="External" Type="http://schemas.microsoft.com/office/2006/relationships/xlExternalLinkPath/xlStartup"/>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Cash"/>
      <sheetName val="Exhibit 3"/>
      <sheetName val="Cash_published"/>
      <sheetName val="NVF_published"/>
      <sheetName val="Exhibit 5"/>
      <sheetName val="IFRS"/>
      <sheetName val="Exhibit 4"/>
      <sheetName val="IFRS Life"/>
      <sheetName val="Exhibit 1"/>
      <sheetName val="Exhibit 2"/>
      <sheetName val="MCEV Roll-up"/>
      <sheetName val="Weekahead"/>
      <sheetName val="MCEV_Capital"/>
      <sheetName val="Assets(new)"/>
      <sheetName val="MCEV P&amp;L"/>
      <sheetName val="RI"/>
      <sheetName val="BULLBEAR"/>
      <sheetName val="Sheet2"/>
      <sheetName val="DCF"/>
      <sheetName val="MWA RR"/>
      <sheetName val="Cash Flow"/>
      <sheetName val="upside_downside"/>
      <sheetName val="Income Statement"/>
      <sheetName val="Balance Sheet"/>
      <sheetName val="REVENUE BY GEOGRAPHY"/>
      <sheetName val="NonQtr"/>
      <sheetName val="Data 20d"/>
      <sheetName val="Data"/>
      <sheetName val="Risk-Reward_View_Chart"/>
      <sheetName val="Valsum"/>
      <sheetName val="Interims"/>
      <sheetName val="Financial Statements"/>
      <sheetName val="Good 12-00 (2)"/>
      <sheetName val="Good 11-36"/>
      <sheetName val="Good 11-50"/>
      <sheetName val="Sheet3 (5)"/>
      <sheetName val="Inputs"/>
      <sheetName val="FX"/>
      <sheetName val="Summary"/>
      <sheetName val="Floater Demand"/>
      <sheetName val="CPB"/>
      <sheetName val="Total_Food_Promo"/>
      <sheetName val="CPB_2yr"/>
      <sheetName val="B11_BarSingle_AverageLine"/>
      <sheetName val="Quero_Sales"/>
      <sheetName val="L2005"/>
      <sheetName val="C2000"/>
      <sheetName val="Cell Reference"/>
      <sheetName val="Shading Period-Level"/>
      <sheetName val="Sources of Change"/>
      <sheetName val="Basic (gridlines)"/>
      <sheetName val="Average (reference) Line"/>
      <sheetName val="Double (overlapping)"/>
      <sheetName val="Reference Step Line"/>
      <sheetName val="Double (gridlines)"/>
      <sheetName val="Growth Line"/>
      <sheetName val="Reference Marks"/>
      <sheetName val="Single-point highlighting"/>
      <sheetName val="CPNO"/>
      <sheetName val="MMP"/>
      <sheetName val="PAA"/>
      <sheetName val="EEP"/>
      <sheetName val="KMP"/>
      <sheetName val="ETP"/>
      <sheetName val="BPL"/>
      <sheetName val="NS"/>
      <sheetName val="BWP"/>
      <sheetName val="EPD"/>
      <sheetName val="RGNC"/>
      <sheetName val="画像1"/>
      <sheetName val="業績推移"/>
      <sheetName val="バリュエーション比較"/>
      <sheetName val="自動車設備投資"/>
      <sheetName val="ロボット機械統計年"/>
      <sheetName val="ロボット機械統計"/>
      <sheetName val="株価と関連指標"/>
      <sheetName val="画像3"/>
      <sheetName val="利益率比較"/>
      <sheetName val="ロボット試算"/>
      <sheetName val="画像2"/>
      <sheetName val="内訳"/>
      <sheetName val="株価(過去1年) "/>
      <sheetName val="WWロボット出荷台数"/>
      <sheetName val="長期営業利益"/>
      <sheetName val="中国NC化率"/>
      <sheetName val="画像4"/>
      <sheetName val="成長率比較"/>
      <sheetName val="バリュエーション"/>
      <sheetName val="四半期"/>
      <sheetName val="画像5"/>
      <sheetName val="RRBox"/>
      <sheetName val="シェアと競合"/>
      <sheetName val="rev change analysis"/>
      <sheetName val="rev contribution analysis"/>
      <sheetName val="WP Detail "/>
      <sheetName val="Model"/>
      <sheetName val="Sheet4"/>
      <sheetName val="ForeignStake"/>
      <sheetName val="WPZ"/>
      <sheetName val="TPP"/>
      <sheetName val="EPE"/>
      <sheetName val="WMZ"/>
      <sheetName val="HEP"/>
      <sheetName val="MGG"/>
      <sheetName val="ETE"/>
      <sheetName val="BGH"/>
      <sheetName val="SEP"/>
      <sheetName val="TCLP"/>
      <sheetName val="SXL"/>
      <sheetName val="WES"/>
      <sheetName val="HTC"/>
      <sheetName val="MS Tele Rep"/>
      <sheetName val="China Handset"/>
      <sheetName val="Smartphone"/>
      <sheetName val="IDC"/>
      <sheetName val="CW"/>
      <sheetName val="R2000"/>
      <sheetName val="__FDS_DOWNL_SCRATCH_SHEET__"/>
      <sheetName val="FIH"/>
      <sheetName val="MIC"/>
      <sheetName val="Valuation"/>
      <sheetName val="Sales by App"/>
      <sheetName val="Net Income &amp; EPS"/>
      <sheetName val="IDC_2"/>
      <sheetName val="Sales by Region Comp"/>
      <sheetName val="What's Changed"/>
      <sheetName val="Outsourcing"/>
      <sheetName val="Nokia vs HTC"/>
      <sheetName val="2012 Outlook"/>
      <sheetName val="Basket_June09_2010"/>
      <sheetName val="C1070"/>
      <sheetName val="Basket_Jan09"/>
      <sheetName val="Basket_2010"/>
      <sheetName val="Inflation v Price 6mth lag"/>
      <sheetName val="Basket_2011"/>
      <sheetName val="Basket_June09"/>
      <sheetName val="Basket_June09_Futures"/>
      <sheetName val="Commodities Exposure"/>
      <sheetName val=" Capital"/>
      <sheetName val="New Business"/>
      <sheetName val="Charts"/>
      <sheetName val="Pension"/>
      <sheetName val="Walk"/>
      <sheetName val="Chart 6"/>
    </sheetNames>
    <sheetDataSet>
      <sheetData sheetId="0" refreshError="1">
        <row r="5">
          <cell r="F5" t="str">
            <v>Display horizontal line for the average?</v>
          </cell>
        </row>
        <row r="10">
          <cell r="Y10" t="str">
            <v>invisible1</v>
          </cell>
        </row>
        <row r="11">
          <cell r="D11" t="str">
            <v>Jupiter</v>
          </cell>
          <cell r="E11">
            <v>78</v>
          </cell>
          <cell r="X11" t="str">
            <v xml:space="preserve">  </v>
          </cell>
          <cell r="Y11">
            <v>44.5</v>
          </cell>
        </row>
        <row r="12">
          <cell r="D12" t="str">
            <v>Juno</v>
          </cell>
          <cell r="E12">
            <v>58</v>
          </cell>
        </row>
        <row r="13">
          <cell r="D13" t="str">
            <v>Neptune</v>
          </cell>
          <cell r="E13">
            <v>45</v>
          </cell>
          <cell r="X13" t="str">
            <v>width</v>
          </cell>
          <cell r="Y13">
            <v>0.624</v>
          </cell>
        </row>
        <row r="14">
          <cell r="D14" t="str">
            <v>Pluto</v>
          </cell>
          <cell r="E14">
            <v>37</v>
          </cell>
        </row>
        <row r="15">
          <cell r="D15" t="str">
            <v>Minerva</v>
          </cell>
          <cell r="E15">
            <v>26</v>
          </cell>
          <cell r="X15" t="str">
            <v>scaling</v>
          </cell>
          <cell r="Y15">
            <v>8.0000000000000002E-3</v>
          </cell>
        </row>
        <row r="16">
          <cell r="D16" t="str">
            <v>Hermes</v>
          </cell>
          <cell r="E16">
            <v>23</v>
          </cell>
        </row>
        <row r="17">
          <cell r="X17" t="str">
            <v>label</v>
          </cell>
          <cell r="Y17" t="str">
            <v>average: 44.5</v>
          </cell>
        </row>
        <row r="28">
          <cell r="R28" t="b">
            <v>1</v>
          </cell>
        </row>
        <row r="34">
          <cell r="R34" t="str">
            <v>Notes:</v>
          </cell>
        </row>
        <row r="35">
          <cell r="R35" t="str">
            <v>-doesn't work for negative average</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mportantDisclosures"/>
      <sheetName val="summary"/>
      <sheetName val="consensus"/>
      <sheetName val="Gaap Adj"/>
      <sheetName val="COVER SHEET"/>
      <sheetName val="MW-Cache"/>
      <sheetName val="__FDSCACHE__"/>
      <sheetName val="IS-ANNUAL"/>
      <sheetName val="IS-QTRLY"/>
      <sheetName val="REV-ANNUAL"/>
      <sheetName val="REV-QTRLY"/>
      <sheetName val="SEL_FRANCHISES"/>
      <sheetName val="CFBS"/>
      <sheetName val="FOOTNOTES"/>
      <sheetName val="AGREEMENTS"/>
      <sheetName val="MGMT PROJECTIONS"/>
      <sheetName val="PIPELINE"/>
      <sheetName val="PIPELINE_UNADJ"/>
      <sheetName val="DCF"/>
      <sheetName val="DEBT"/>
      <sheetName val="patent expirations"/>
      <sheetName val="Var-YOY"/>
      <sheetName val="Var-Seq"/>
      <sheetName val="revenue snapshot"/>
      <sheetName val="rev contribution analysis"/>
      <sheetName val="rev change analysis"/>
      <sheetName val="2015 rev change"/>
      <sheetName val="MWA RR"/>
      <sheetName val="mwareDates"/>
      <sheetName val="MW Valuation"/>
      <sheetName val="mwareSettings"/>
      <sheetName val="ANOMALIES"/>
      <sheetName val="ASSUMPTIONS"/>
      <sheetName val="2008 pro forma EPS (wIMCL)"/>
      <sheetName val="prasugrel sales potential"/>
      <sheetName val="prasugrel npv"/>
      <sheetName val="Cialis JV"/>
      <sheetName val="tabs"/>
      <sheetName val="pipeline_summary"/>
      <sheetName val="C38001"/>
      <sheetName val="C3800"/>
      <sheetName val="Product Mix"/>
      <sheetName val="calendar"/>
      <sheetName val="patents"/>
      <sheetName val="launches"/>
      <sheetName val="pipeline handout"/>
      <sheetName val="FCF vs Guidance"/>
      <sheetName val="#REF"/>
      <sheetName val="diabetes_multiple"/>
      <sheetName val="TR Convert"/>
      <sheetName val="Annual"/>
      <sheetName val="Becker"/>
      <sheetName val="HGSI"/>
      <sheetName val="Partnerships"/>
    </sheetNames>
    <sheetDataSet>
      <sheetData sheetId="0" refreshError="1"/>
      <sheetData sheetId="1">
        <row r="1">
          <cell r="B1" t="str">
            <v>Eli Lilly &amp; Co.</v>
          </cell>
        </row>
      </sheetData>
      <sheetData sheetId="2"/>
      <sheetData sheetId="3"/>
      <sheetData sheetId="4"/>
      <sheetData sheetId="5"/>
      <sheetData sheetId="6"/>
      <sheetData sheetId="7" refreshError="1"/>
      <sheetData sheetId="8"/>
      <sheetData sheetId="9" refreshError="1"/>
      <sheetData sheetId="10"/>
      <sheetData sheetId="11"/>
      <sheetData sheetId="12"/>
      <sheetData sheetId="13" refreshError="1"/>
      <sheetData sheetId="14" refreshError="1"/>
      <sheetData sheetId="15"/>
      <sheetData sheetId="16"/>
      <sheetData sheetId="17"/>
      <sheetData sheetId="18" refreshError="1"/>
      <sheetData sheetId="19"/>
      <sheetData sheetId="20"/>
      <sheetData sheetId="21"/>
      <sheetData sheetId="22"/>
      <sheetData sheetId="23"/>
      <sheetData sheetId="24" refreshError="1">
        <row r="1">
          <cell r="U1" t="str">
            <v>SmartCharts</v>
          </cell>
          <cell r="BD1" t="str">
            <v>.</v>
          </cell>
        </row>
        <row r="2">
          <cell r="BD2" t="str">
            <v>.</v>
          </cell>
        </row>
        <row r="3">
          <cell r="BD3" t="str">
            <v>.</v>
          </cell>
        </row>
        <row r="4">
          <cell r="BD4" t="str">
            <v>.</v>
          </cell>
        </row>
        <row r="5">
          <cell r="C5" t="str">
            <v>Define value axis here:</v>
          </cell>
        </row>
        <row r="6">
          <cell r="C6" t="str">
            <v>Eli Lilly revenue contributions 2010E-2015E</v>
          </cell>
        </row>
        <row r="10">
          <cell r="C10" t="str">
            <v>Input your data here:</v>
          </cell>
          <cell r="BD10" t="str">
            <v>.</v>
          </cell>
        </row>
        <row r="11">
          <cell r="C11" t="str">
            <v>Sales ($M)</v>
          </cell>
          <cell r="D11" t="str">
            <v>2010E</v>
          </cell>
          <cell r="E11" t="str">
            <v>2011E</v>
          </cell>
          <cell r="F11" t="str">
            <v>2012E</v>
          </cell>
          <cell r="G11" t="str">
            <v>2013E</v>
          </cell>
          <cell r="H11" t="str">
            <v>2014E</v>
          </cell>
          <cell r="I11" t="str">
            <v>2015E</v>
          </cell>
          <cell r="BD11" t="str">
            <v>.</v>
          </cell>
        </row>
        <row r="12">
          <cell r="C12" t="str">
            <v>In-line products</v>
          </cell>
          <cell r="D12">
            <v>8741.7301775000014</v>
          </cell>
          <cell r="E12">
            <v>9422.206420550001</v>
          </cell>
          <cell r="F12">
            <v>9908.4720542889991</v>
          </cell>
          <cell r="G12">
            <v>10300.675416810274</v>
          </cell>
          <cell r="H12">
            <v>10709.128179281421</v>
          </cell>
          <cell r="I12">
            <v>10990.829805762725</v>
          </cell>
          <cell r="BD12" t="str">
            <v>.</v>
          </cell>
        </row>
        <row r="13">
          <cell r="C13" t="str">
            <v>Pipeline products launching 2010–2015</v>
          </cell>
          <cell r="D13">
            <v>141.25</v>
          </cell>
          <cell r="E13">
            <v>332.1875</v>
          </cell>
          <cell r="F13">
            <v>643.02499999999986</v>
          </cell>
          <cell r="G13">
            <v>1188.9100000000001</v>
          </cell>
          <cell r="H13">
            <v>2060.8072999999999</v>
          </cell>
          <cell r="I13">
            <v>3252.5061575</v>
          </cell>
          <cell r="BD13" t="str">
            <v>.</v>
          </cell>
        </row>
        <row r="14">
          <cell r="C14" t="str">
            <v>Products expiring 2010–2015</v>
          </cell>
          <cell r="D14">
            <v>13516.758760000001</v>
          </cell>
          <cell r="E14">
            <v>13145.262609800002</v>
          </cell>
          <cell r="F14">
            <v>10919.249930854003</v>
          </cell>
          <cell r="G14">
            <v>10206.164042898221</v>
          </cell>
          <cell r="H14">
            <v>7639.4611699592915</v>
          </cell>
          <cell r="I14">
            <v>5257.1242554678174</v>
          </cell>
          <cell r="BD14" t="str">
            <v>.</v>
          </cell>
        </row>
        <row r="15">
          <cell r="C15" t="str">
            <v>Δ in expiring products off 2010 base</v>
          </cell>
          <cell r="D15">
            <v>0</v>
          </cell>
          <cell r="E15">
            <v>-371.49615019999874</v>
          </cell>
          <cell r="F15">
            <v>-2597.5088291459979</v>
          </cell>
          <cell r="G15">
            <v>-3310.5947171017797</v>
          </cell>
          <cell r="H15">
            <v>-5877.2975900407091</v>
          </cell>
          <cell r="I15">
            <v>-8259.6345045321832</v>
          </cell>
          <cell r="BD15" t="str">
            <v>.</v>
          </cell>
        </row>
        <row r="16">
          <cell r="C16" t="str">
            <v>Net product sales</v>
          </cell>
          <cell r="D16">
            <v>22399.738937500002</v>
          </cell>
          <cell r="E16">
            <v>22899.656530350003</v>
          </cell>
          <cell r="F16">
            <v>21470.746985143003</v>
          </cell>
          <cell r="G16">
            <v>21695.749459708495</v>
          </cell>
          <cell r="H16">
            <v>20409.396649240713</v>
          </cell>
          <cell r="I16">
            <v>19500.460218730543</v>
          </cell>
          <cell r="BD16" t="str">
            <v>.</v>
          </cell>
        </row>
        <row r="17">
          <cell r="BD17" t="str">
            <v>.</v>
          </cell>
        </row>
        <row r="18">
          <cell r="BD18" t="str">
            <v>.</v>
          </cell>
        </row>
        <row r="20">
          <cell r="BD20" t="str">
            <v>.</v>
          </cell>
        </row>
        <row r="21">
          <cell r="BD21" t="str">
            <v>.</v>
          </cell>
        </row>
        <row r="22">
          <cell r="BD22" t="str">
            <v>.</v>
          </cell>
        </row>
        <row r="23">
          <cell r="BD23" t="str">
            <v>.</v>
          </cell>
        </row>
        <row r="24">
          <cell r="BD24" t="str">
            <v>.</v>
          </cell>
        </row>
        <row r="25">
          <cell r="BD25" t="str">
            <v>.</v>
          </cell>
        </row>
        <row r="26">
          <cell r="BD26" t="str">
            <v>.</v>
          </cell>
        </row>
        <row r="27">
          <cell r="BD27" t="str">
            <v>.</v>
          </cell>
        </row>
        <row r="28">
          <cell r="BD28" t="str">
            <v>.</v>
          </cell>
        </row>
        <row r="29">
          <cell r="BD29" t="str">
            <v>.</v>
          </cell>
        </row>
        <row r="30">
          <cell r="BD30" t="str">
            <v>.</v>
          </cell>
        </row>
        <row r="31">
          <cell r="BD31" t="str">
            <v>.</v>
          </cell>
        </row>
        <row r="32">
          <cell r="BD32" t="str">
            <v>.</v>
          </cell>
        </row>
        <row r="33">
          <cell r="BD33" t="str">
            <v>.</v>
          </cell>
        </row>
        <row r="34">
          <cell r="BD34" t="str">
            <v>.</v>
          </cell>
        </row>
        <row r="35">
          <cell r="BD35" t="str">
            <v>.</v>
          </cell>
        </row>
        <row r="36">
          <cell r="BD36" t="str">
            <v>.</v>
          </cell>
        </row>
        <row r="37">
          <cell r="M37" t="str">
            <v>Do not change the width of the exhibit or font sizes (they are optimized for export to Word).</v>
          </cell>
          <cell r="BD37" t="str">
            <v>.</v>
          </cell>
        </row>
        <row r="38">
          <cell r="BD38" t="str">
            <v>.</v>
          </cell>
        </row>
        <row r="39">
          <cell r="M39" t="str">
            <v>Do not delete any rows or columns (some gray cells are used for calculations).</v>
          </cell>
          <cell r="BD39" t="str">
            <v>.</v>
          </cell>
        </row>
        <row r="40">
          <cell r="BD40" t="str">
            <v>.</v>
          </cell>
        </row>
        <row r="41">
          <cell r="BD41" t="str">
            <v>.</v>
          </cell>
        </row>
        <row r="42">
          <cell r="BD42" t="str">
            <v>.</v>
          </cell>
        </row>
        <row r="43">
          <cell r="BD43" t="str">
            <v>.</v>
          </cell>
        </row>
        <row r="44">
          <cell r="BD44" t="str">
            <v>.</v>
          </cell>
        </row>
        <row r="45">
          <cell r="BD45" t="str">
            <v>.</v>
          </cell>
        </row>
        <row r="46">
          <cell r="BD46" t="str">
            <v>.</v>
          </cell>
        </row>
        <row r="47">
          <cell r="BD47" t="str">
            <v>.</v>
          </cell>
        </row>
        <row r="48">
          <cell r="BD48" t="str">
            <v>.</v>
          </cell>
        </row>
        <row r="49">
          <cell r="BD49" t="str">
            <v>.</v>
          </cell>
        </row>
        <row r="50">
          <cell r="BD50" t="str">
            <v>.</v>
          </cell>
        </row>
        <row r="51">
          <cell r="BD51" t="str">
            <v>.</v>
          </cell>
        </row>
        <row r="52">
          <cell r="BD52" t="str">
            <v>.</v>
          </cell>
        </row>
        <row r="53">
          <cell r="BD53" t="str">
            <v>.</v>
          </cell>
        </row>
        <row r="54">
          <cell r="BD54" t="str">
            <v>.</v>
          </cell>
        </row>
        <row r="55">
          <cell r="BD55" t="str">
            <v>.</v>
          </cell>
        </row>
        <row r="56">
          <cell r="BD56" t="str">
            <v>.</v>
          </cell>
        </row>
        <row r="57">
          <cell r="BD57" t="str">
            <v>.</v>
          </cell>
        </row>
        <row r="58">
          <cell r="BD58" t="str">
            <v>.</v>
          </cell>
        </row>
        <row r="59">
          <cell r="BD59" t="str">
            <v>.</v>
          </cell>
        </row>
        <row r="60">
          <cell r="BD60" t="str">
            <v>.</v>
          </cell>
        </row>
        <row r="61">
          <cell r="BD61" t="str">
            <v>.</v>
          </cell>
        </row>
        <row r="62">
          <cell r="BD62" t="str">
            <v>.</v>
          </cell>
        </row>
        <row r="63">
          <cell r="BD63" t="str">
            <v>.</v>
          </cell>
        </row>
        <row r="64">
          <cell r="BD64" t="str">
            <v>.</v>
          </cell>
        </row>
        <row r="65">
          <cell r="BD65" t="str">
            <v>.</v>
          </cell>
        </row>
        <row r="66">
          <cell r="BD66" t="str">
            <v>.</v>
          </cell>
        </row>
        <row r="67">
          <cell r="BD67" t="str">
            <v>.</v>
          </cell>
        </row>
        <row r="68">
          <cell r="BD68" t="str">
            <v>.</v>
          </cell>
        </row>
        <row r="69">
          <cell r="BD69" t="str">
            <v>.</v>
          </cell>
        </row>
        <row r="70">
          <cell r="BD70" t="str">
            <v>.</v>
          </cell>
        </row>
        <row r="71">
          <cell r="BD71" t="str">
            <v>.</v>
          </cell>
        </row>
        <row r="72">
          <cell r="BD72" t="str">
            <v>.</v>
          </cell>
        </row>
        <row r="73">
          <cell r="BD73" t="str">
            <v>.</v>
          </cell>
        </row>
        <row r="74">
          <cell r="BD74" t="str">
            <v>.</v>
          </cell>
        </row>
        <row r="75">
          <cell r="BD75" t="str">
            <v>.</v>
          </cell>
        </row>
        <row r="76">
          <cell r="BD76" t="str">
            <v>.</v>
          </cell>
        </row>
        <row r="77">
          <cell r="BD77" t="str">
            <v>.</v>
          </cell>
        </row>
        <row r="78">
          <cell r="BD78" t="str">
            <v>.</v>
          </cell>
        </row>
        <row r="79">
          <cell r="BD79" t="str">
            <v>.</v>
          </cell>
        </row>
        <row r="80">
          <cell r="BD80" t="str">
            <v>.</v>
          </cell>
        </row>
        <row r="81">
          <cell r="BD81" t="str">
            <v>.</v>
          </cell>
        </row>
        <row r="82">
          <cell r="BD82" t="str">
            <v>.</v>
          </cell>
        </row>
        <row r="83">
          <cell r="BD83" t="str">
            <v>.</v>
          </cell>
        </row>
        <row r="84">
          <cell r="BD84" t="str">
            <v>.</v>
          </cell>
        </row>
        <row r="85">
          <cell r="BD85" t="str">
            <v>.</v>
          </cell>
        </row>
        <row r="86">
          <cell r="BD86" t="str">
            <v>.</v>
          </cell>
        </row>
        <row r="87">
          <cell r="BD87" t="str">
            <v>.</v>
          </cell>
        </row>
        <row r="88">
          <cell r="BD88" t="str">
            <v>.</v>
          </cell>
        </row>
        <row r="89">
          <cell r="BD89" t="str">
            <v>.</v>
          </cell>
        </row>
        <row r="90">
          <cell r="BD90" t="str">
            <v>.</v>
          </cell>
        </row>
        <row r="91">
          <cell r="BD91" t="str">
            <v>.</v>
          </cell>
        </row>
        <row r="92">
          <cell r="BD92" t="str">
            <v>.</v>
          </cell>
        </row>
        <row r="93">
          <cell r="BD93" t="str">
            <v>.</v>
          </cell>
        </row>
        <row r="94">
          <cell r="BD94" t="str">
            <v>.</v>
          </cell>
        </row>
        <row r="95">
          <cell r="BD95" t="str">
            <v>.</v>
          </cell>
        </row>
        <row r="96">
          <cell r="BD96" t="str">
            <v>.</v>
          </cell>
        </row>
        <row r="97">
          <cell r="BD97" t="str">
            <v>.</v>
          </cell>
        </row>
        <row r="98">
          <cell r="BD98" t="str">
            <v>.</v>
          </cell>
        </row>
        <row r="99">
          <cell r="BD99" t="str">
            <v>.</v>
          </cell>
        </row>
        <row r="100">
          <cell r="BD100" t="str">
            <v>.</v>
          </cell>
        </row>
        <row r="101">
          <cell r="BD101" t="str">
            <v>.</v>
          </cell>
        </row>
        <row r="102">
          <cell r="BD102" t="str">
            <v>.</v>
          </cell>
        </row>
        <row r="103">
          <cell r="BD103" t="str">
            <v>.</v>
          </cell>
        </row>
        <row r="104">
          <cell r="BD104" t="str">
            <v>.</v>
          </cell>
        </row>
        <row r="105">
          <cell r="BD105" t="str">
            <v>.</v>
          </cell>
        </row>
        <row r="106">
          <cell r="BD106" t="str">
            <v>.</v>
          </cell>
        </row>
        <row r="107">
          <cell r="BD107" t="str">
            <v>.</v>
          </cell>
        </row>
        <row r="108">
          <cell r="BD108" t="str">
            <v>.</v>
          </cell>
        </row>
        <row r="109">
          <cell r="BD109" t="str">
            <v>.</v>
          </cell>
        </row>
        <row r="110">
          <cell r="BD110" t="str">
            <v>.</v>
          </cell>
        </row>
        <row r="111">
          <cell r="BD111" t="str">
            <v>.</v>
          </cell>
        </row>
        <row r="112">
          <cell r="BD112" t="str">
            <v>.</v>
          </cell>
        </row>
        <row r="113">
          <cell r="BD113" t="str">
            <v>.</v>
          </cell>
        </row>
        <row r="114">
          <cell r="BD114" t="str">
            <v>.</v>
          </cell>
        </row>
        <row r="115">
          <cell r="BD115" t="str">
            <v>.</v>
          </cell>
        </row>
        <row r="116">
          <cell r="BD116" t="str">
            <v>.</v>
          </cell>
        </row>
        <row r="117">
          <cell r="BD117" t="str">
            <v>.</v>
          </cell>
        </row>
        <row r="118">
          <cell r="BD118" t="str">
            <v>.</v>
          </cell>
        </row>
        <row r="119">
          <cell r="BD119" t="str">
            <v>.</v>
          </cell>
        </row>
        <row r="120">
          <cell r="BD120" t="str">
            <v>.</v>
          </cell>
        </row>
        <row r="121">
          <cell r="BD121" t="str">
            <v>.</v>
          </cell>
        </row>
        <row r="122">
          <cell r="BD122" t="str">
            <v>.</v>
          </cell>
        </row>
        <row r="123">
          <cell r="BD123" t="str">
            <v>.</v>
          </cell>
        </row>
        <row r="124">
          <cell r="BD124" t="str">
            <v>.</v>
          </cell>
        </row>
        <row r="125">
          <cell r="BD125" t="str">
            <v>.</v>
          </cell>
        </row>
        <row r="126">
          <cell r="BD126" t="str">
            <v>.</v>
          </cell>
        </row>
        <row r="127">
          <cell r="BD127" t="str">
            <v>.</v>
          </cell>
        </row>
        <row r="128">
          <cell r="BD128" t="str">
            <v>.</v>
          </cell>
        </row>
        <row r="129">
          <cell r="BD129" t="str">
            <v>.</v>
          </cell>
        </row>
        <row r="130">
          <cell r="BD130" t="str">
            <v>.</v>
          </cell>
        </row>
        <row r="131">
          <cell r="BD131" t="str">
            <v>.</v>
          </cell>
        </row>
        <row r="132">
          <cell r="BD132" t="str">
            <v>.</v>
          </cell>
        </row>
        <row r="133">
          <cell r="BD133" t="str">
            <v>.</v>
          </cell>
        </row>
        <row r="134">
          <cell r="BD134" t="str">
            <v>.</v>
          </cell>
        </row>
        <row r="135">
          <cell r="BD135" t="str">
            <v>.</v>
          </cell>
        </row>
        <row r="136">
          <cell r="BD136" t="str">
            <v>.</v>
          </cell>
        </row>
        <row r="137">
          <cell r="BD137" t="str">
            <v>.</v>
          </cell>
        </row>
        <row r="138">
          <cell r="BD138" t="str">
            <v>.</v>
          </cell>
        </row>
        <row r="139">
          <cell r="BD139" t="str">
            <v>.</v>
          </cell>
        </row>
        <row r="140">
          <cell r="BD140" t="str">
            <v>.</v>
          </cell>
        </row>
        <row r="141">
          <cell r="BD141" t="str">
            <v>.</v>
          </cell>
        </row>
        <row r="142">
          <cell r="BD142" t="str">
            <v>.</v>
          </cell>
        </row>
        <row r="143">
          <cell r="BD143" t="str">
            <v>.</v>
          </cell>
        </row>
        <row r="144">
          <cell r="BD144" t="str">
            <v>.</v>
          </cell>
        </row>
        <row r="145">
          <cell r="BD145" t="str">
            <v>.</v>
          </cell>
        </row>
        <row r="146">
          <cell r="BD146" t="str">
            <v>.</v>
          </cell>
        </row>
        <row r="147">
          <cell r="BD147" t="str">
            <v>.</v>
          </cell>
        </row>
        <row r="148">
          <cell r="BD148" t="str">
            <v>.</v>
          </cell>
        </row>
        <row r="149">
          <cell r="BD149" t="str">
            <v>.</v>
          </cell>
        </row>
        <row r="150">
          <cell r="BD150" t="str">
            <v>.</v>
          </cell>
        </row>
        <row r="151">
          <cell r="BD151" t="str">
            <v>.</v>
          </cell>
        </row>
        <row r="152">
          <cell r="BD152" t="str">
            <v>.</v>
          </cell>
        </row>
        <row r="153">
          <cell r="BD153" t="str">
            <v>.</v>
          </cell>
        </row>
        <row r="154">
          <cell r="BD154" t="str">
            <v>.</v>
          </cell>
        </row>
        <row r="155">
          <cell r="BD155" t="str">
            <v>.</v>
          </cell>
        </row>
        <row r="156">
          <cell r="BD156" t="str">
            <v>.</v>
          </cell>
        </row>
        <row r="157">
          <cell r="BD157" t="str">
            <v>.</v>
          </cell>
        </row>
        <row r="158">
          <cell r="BD158" t="str">
            <v>.</v>
          </cell>
        </row>
        <row r="159">
          <cell r="BD159" t="str">
            <v>.</v>
          </cell>
        </row>
        <row r="160">
          <cell r="BD160" t="str">
            <v>.</v>
          </cell>
        </row>
        <row r="161">
          <cell r="BD161" t="str">
            <v>.</v>
          </cell>
        </row>
        <row r="162">
          <cell r="BD162" t="str">
            <v>.</v>
          </cell>
        </row>
        <row r="163">
          <cell r="BD163" t="str">
            <v>.</v>
          </cell>
        </row>
        <row r="164">
          <cell r="BD164" t="str">
            <v>.</v>
          </cell>
        </row>
        <row r="165">
          <cell r="BD165" t="str">
            <v>.</v>
          </cell>
        </row>
        <row r="166">
          <cell r="BD166" t="str">
            <v>.</v>
          </cell>
        </row>
        <row r="167">
          <cell r="BD167" t="str">
            <v>.</v>
          </cell>
        </row>
        <row r="168">
          <cell r="BD168" t="str">
            <v>.</v>
          </cell>
        </row>
        <row r="169">
          <cell r="BD169" t="str">
            <v>.</v>
          </cell>
        </row>
        <row r="170">
          <cell r="BD170" t="str">
            <v>.</v>
          </cell>
        </row>
        <row r="171">
          <cell r="BD171" t="str">
            <v>.</v>
          </cell>
        </row>
        <row r="172">
          <cell r="BD172" t="str">
            <v>.</v>
          </cell>
        </row>
        <row r="173">
          <cell r="BD173" t="str">
            <v>.</v>
          </cell>
        </row>
        <row r="174">
          <cell r="BD174" t="str">
            <v>.</v>
          </cell>
        </row>
        <row r="175">
          <cell r="BD175" t="str">
            <v>.</v>
          </cell>
        </row>
        <row r="176">
          <cell r="BD176" t="str">
            <v>.</v>
          </cell>
        </row>
        <row r="177">
          <cell r="BD177" t="str">
            <v>.</v>
          </cell>
        </row>
        <row r="178">
          <cell r="BD178" t="str">
            <v>.</v>
          </cell>
        </row>
        <row r="179">
          <cell r="BD179" t="str">
            <v>.</v>
          </cell>
        </row>
        <row r="180">
          <cell r="BD180" t="str">
            <v>.</v>
          </cell>
        </row>
        <row r="181">
          <cell r="BD181" t="str">
            <v>.</v>
          </cell>
        </row>
        <row r="182">
          <cell r="BD182" t="str">
            <v>.</v>
          </cell>
        </row>
        <row r="183">
          <cell r="BD183" t="str">
            <v>.</v>
          </cell>
        </row>
        <row r="184">
          <cell r="BD184" t="str">
            <v>.</v>
          </cell>
        </row>
        <row r="185">
          <cell r="BD185" t="str">
            <v>.</v>
          </cell>
        </row>
        <row r="186">
          <cell r="BD186" t="str">
            <v>.</v>
          </cell>
        </row>
        <row r="187">
          <cell r="BD187" t="str">
            <v>.</v>
          </cell>
        </row>
        <row r="188">
          <cell r="BD188" t="str">
            <v>.</v>
          </cell>
        </row>
        <row r="189">
          <cell r="BD189" t="str">
            <v>.</v>
          </cell>
        </row>
        <row r="190">
          <cell r="BD190" t="str">
            <v>.</v>
          </cell>
        </row>
        <row r="191">
          <cell r="BD191" t="str">
            <v>.</v>
          </cell>
        </row>
        <row r="192">
          <cell r="BD192" t="str">
            <v>.</v>
          </cell>
        </row>
        <row r="193">
          <cell r="BD193" t="str">
            <v>.</v>
          </cell>
        </row>
        <row r="194">
          <cell r="BD194" t="str">
            <v>.</v>
          </cell>
        </row>
        <row r="195">
          <cell r="BD195" t="str">
            <v>.</v>
          </cell>
        </row>
        <row r="196">
          <cell r="BD196" t="str">
            <v>.</v>
          </cell>
        </row>
        <row r="197">
          <cell r="BD197" t="str">
            <v>.</v>
          </cell>
        </row>
        <row r="198">
          <cell r="BD198" t="str">
            <v>.</v>
          </cell>
        </row>
        <row r="199">
          <cell r="BD199" t="str">
            <v>.</v>
          </cell>
        </row>
        <row r="200">
          <cell r="BD200" t="str">
            <v>.</v>
          </cell>
        </row>
        <row r="201">
          <cell r="BD201" t="str">
            <v>.</v>
          </cell>
        </row>
        <row r="202">
          <cell r="BD202" t="str">
            <v>.</v>
          </cell>
        </row>
        <row r="203">
          <cell r="BD203" t="str">
            <v>.</v>
          </cell>
        </row>
        <row r="204">
          <cell r="BD204" t="str">
            <v>.</v>
          </cell>
        </row>
        <row r="205">
          <cell r="BD205" t="str">
            <v>.</v>
          </cell>
        </row>
        <row r="206">
          <cell r="BD206" t="str">
            <v>.</v>
          </cell>
        </row>
        <row r="207">
          <cell r="BD207" t="str">
            <v>.</v>
          </cell>
        </row>
        <row r="208">
          <cell r="BD208" t="str">
            <v>.</v>
          </cell>
        </row>
        <row r="209">
          <cell r="BD209" t="str">
            <v>.</v>
          </cell>
        </row>
        <row r="210">
          <cell r="BD210" t="str">
            <v>.</v>
          </cell>
        </row>
        <row r="211">
          <cell r="BD211" t="str">
            <v>.</v>
          </cell>
        </row>
        <row r="212">
          <cell r="BD212" t="str">
            <v>.</v>
          </cell>
        </row>
        <row r="213">
          <cell r="BD213" t="str">
            <v>.</v>
          </cell>
        </row>
        <row r="214">
          <cell r="BD214" t="str">
            <v>.</v>
          </cell>
        </row>
        <row r="215">
          <cell r="BD215" t="str">
            <v>.</v>
          </cell>
        </row>
        <row r="216">
          <cell r="BD216" t="str">
            <v>.</v>
          </cell>
        </row>
        <row r="217">
          <cell r="BD217" t="str">
            <v>.</v>
          </cell>
        </row>
        <row r="218">
          <cell r="BD218" t="str">
            <v>.</v>
          </cell>
        </row>
        <row r="219">
          <cell r="BD219" t="str">
            <v>.</v>
          </cell>
        </row>
        <row r="220">
          <cell r="BD220" t="str">
            <v>.</v>
          </cell>
        </row>
        <row r="221">
          <cell r="BD221" t="str">
            <v>.</v>
          </cell>
        </row>
        <row r="222">
          <cell r="BD222" t="str">
            <v>.</v>
          </cell>
        </row>
        <row r="223">
          <cell r="BD223" t="str">
            <v>.</v>
          </cell>
        </row>
        <row r="224">
          <cell r="BD224" t="str">
            <v>.</v>
          </cell>
        </row>
        <row r="225">
          <cell r="BD225" t="str">
            <v>.</v>
          </cell>
        </row>
        <row r="226">
          <cell r="BD226" t="str">
            <v>.</v>
          </cell>
        </row>
        <row r="227">
          <cell r="BD227" t="str">
            <v>.</v>
          </cell>
        </row>
        <row r="228">
          <cell r="BD228" t="str">
            <v>.</v>
          </cell>
        </row>
        <row r="229">
          <cell r="BD229" t="str">
            <v>.</v>
          </cell>
        </row>
        <row r="230">
          <cell r="BD230" t="str">
            <v>.</v>
          </cell>
        </row>
        <row r="231">
          <cell r="BD231" t="str">
            <v>.</v>
          </cell>
        </row>
        <row r="232">
          <cell r="BD232" t="str">
            <v>.</v>
          </cell>
        </row>
        <row r="233">
          <cell r="BD233" t="str">
            <v>.</v>
          </cell>
        </row>
        <row r="234">
          <cell r="BD234" t="str">
            <v>.</v>
          </cell>
        </row>
        <row r="235">
          <cell r="BD235" t="str">
            <v>.</v>
          </cell>
        </row>
        <row r="236">
          <cell r="BD236" t="str">
            <v>.</v>
          </cell>
        </row>
        <row r="237">
          <cell r="BD237" t="str">
            <v>.</v>
          </cell>
        </row>
        <row r="238">
          <cell r="BD238" t="str">
            <v>.</v>
          </cell>
        </row>
        <row r="239">
          <cell r="BD239" t="str">
            <v>.</v>
          </cell>
        </row>
        <row r="240">
          <cell r="BD240" t="str">
            <v>.</v>
          </cell>
        </row>
        <row r="241">
          <cell r="BD241" t="str">
            <v>.</v>
          </cell>
        </row>
        <row r="242">
          <cell r="BD242" t="str">
            <v>.</v>
          </cell>
        </row>
        <row r="243">
          <cell r="BD243" t="str">
            <v>.</v>
          </cell>
        </row>
        <row r="244">
          <cell r="BD244" t="str">
            <v>.</v>
          </cell>
        </row>
        <row r="245">
          <cell r="BD245" t="str">
            <v>.</v>
          </cell>
        </row>
        <row r="246">
          <cell r="BD246" t="str">
            <v>.</v>
          </cell>
        </row>
        <row r="247">
          <cell r="BD247" t="str">
            <v>.</v>
          </cell>
        </row>
        <row r="248">
          <cell r="BD248" t="str">
            <v>.</v>
          </cell>
        </row>
        <row r="249">
          <cell r="BD249" t="str">
            <v>.</v>
          </cell>
        </row>
        <row r="250">
          <cell r="BD250" t="str">
            <v>.</v>
          </cell>
        </row>
        <row r="251">
          <cell r="BD251" t="str">
            <v>.</v>
          </cell>
        </row>
        <row r="252">
          <cell r="BD252" t="str">
            <v>.</v>
          </cell>
        </row>
        <row r="253">
          <cell r="BD253" t="str">
            <v>.</v>
          </cell>
        </row>
        <row r="254">
          <cell r="BD254" t="str">
            <v>.</v>
          </cell>
        </row>
        <row r="255">
          <cell r="BD255" t="str">
            <v>.</v>
          </cell>
        </row>
        <row r="256">
          <cell r="BD256" t="str">
            <v>.</v>
          </cell>
        </row>
        <row r="257">
          <cell r="BD257" t="str">
            <v>.</v>
          </cell>
        </row>
        <row r="258">
          <cell r="BD258" t="str">
            <v>.</v>
          </cell>
        </row>
        <row r="259">
          <cell r="BD259" t="str">
            <v>.</v>
          </cell>
        </row>
        <row r="260">
          <cell r="BD260" t="str">
            <v>.</v>
          </cell>
        </row>
        <row r="261">
          <cell r="BD261" t="str">
            <v>.</v>
          </cell>
        </row>
        <row r="262">
          <cell r="BD262" t="str">
            <v>.</v>
          </cell>
        </row>
        <row r="263">
          <cell r="BD263" t="str">
            <v>.</v>
          </cell>
        </row>
        <row r="264">
          <cell r="BD264" t="str">
            <v>.</v>
          </cell>
        </row>
        <row r="265">
          <cell r="BD265" t="str">
            <v>.</v>
          </cell>
        </row>
        <row r="266">
          <cell r="BD266" t="str">
            <v>.</v>
          </cell>
        </row>
        <row r="267">
          <cell r="BD267" t="str">
            <v>.</v>
          </cell>
        </row>
        <row r="268">
          <cell r="BD268" t="str">
            <v>.</v>
          </cell>
        </row>
        <row r="269">
          <cell r="BD269" t="str">
            <v>.</v>
          </cell>
        </row>
        <row r="270">
          <cell r="BD270" t="str">
            <v>.</v>
          </cell>
        </row>
        <row r="271">
          <cell r="BD271" t="str">
            <v>.</v>
          </cell>
        </row>
        <row r="272">
          <cell r="BD272" t="str">
            <v>.</v>
          </cell>
        </row>
        <row r="273">
          <cell r="BD273" t="str">
            <v>.</v>
          </cell>
        </row>
        <row r="274">
          <cell r="BD274" t="str">
            <v>.</v>
          </cell>
        </row>
        <row r="275">
          <cell r="BD275" t="str">
            <v>.</v>
          </cell>
        </row>
        <row r="276">
          <cell r="BD276" t="str">
            <v>.</v>
          </cell>
        </row>
        <row r="277">
          <cell r="BD277" t="str">
            <v>.</v>
          </cell>
        </row>
        <row r="278">
          <cell r="BD278" t="str">
            <v>.</v>
          </cell>
        </row>
        <row r="279">
          <cell r="BD279" t="str">
            <v>.</v>
          </cell>
        </row>
        <row r="280">
          <cell r="BD280" t="str">
            <v>.</v>
          </cell>
        </row>
        <row r="281">
          <cell r="BD281" t="str">
            <v>.</v>
          </cell>
        </row>
        <row r="282">
          <cell r="BD282" t="str">
            <v>.</v>
          </cell>
        </row>
        <row r="283">
          <cell r="BD283" t="str">
            <v>.</v>
          </cell>
        </row>
        <row r="284">
          <cell r="BD284" t="str">
            <v>.</v>
          </cell>
        </row>
        <row r="285">
          <cell r="BD285" t="str">
            <v>.</v>
          </cell>
        </row>
        <row r="286">
          <cell r="BD286" t="str">
            <v>.</v>
          </cell>
        </row>
        <row r="287">
          <cell r="BD287" t="str">
            <v>.</v>
          </cell>
        </row>
        <row r="288">
          <cell r="BD288" t="str">
            <v>.</v>
          </cell>
        </row>
        <row r="289">
          <cell r="BD289" t="str">
            <v>.</v>
          </cell>
        </row>
        <row r="290">
          <cell r="BD290" t="str">
            <v>.</v>
          </cell>
        </row>
        <row r="291">
          <cell r="BD291" t="str">
            <v>.</v>
          </cell>
        </row>
        <row r="292">
          <cell r="BD292" t="str">
            <v>.</v>
          </cell>
        </row>
        <row r="293">
          <cell r="BD293" t="str">
            <v>.</v>
          </cell>
        </row>
        <row r="294">
          <cell r="BD294" t="str">
            <v>.</v>
          </cell>
        </row>
        <row r="295">
          <cell r="BD295" t="str">
            <v>.</v>
          </cell>
        </row>
        <row r="296">
          <cell r="BD296" t="str">
            <v>.</v>
          </cell>
        </row>
        <row r="297">
          <cell r="BD297" t="str">
            <v>.</v>
          </cell>
        </row>
        <row r="298">
          <cell r="BD298" t="str">
            <v>.</v>
          </cell>
        </row>
        <row r="299">
          <cell r="BD299" t="str">
            <v>.</v>
          </cell>
        </row>
        <row r="300">
          <cell r="BD300" t="str">
            <v>.</v>
          </cell>
        </row>
        <row r="301">
          <cell r="BD301" t="str">
            <v>.</v>
          </cell>
        </row>
        <row r="302">
          <cell r="BD302" t="str">
            <v>.</v>
          </cell>
        </row>
        <row r="303">
          <cell r="BD303" t="str">
            <v>.</v>
          </cell>
        </row>
        <row r="304">
          <cell r="BD304" t="str">
            <v>.</v>
          </cell>
        </row>
        <row r="305">
          <cell r="BD305" t="str">
            <v>.</v>
          </cell>
        </row>
        <row r="306">
          <cell r="BD306" t="str">
            <v>.</v>
          </cell>
        </row>
        <row r="307">
          <cell r="BD307" t="str">
            <v>.</v>
          </cell>
        </row>
        <row r="308">
          <cell r="BD308" t="str">
            <v>.</v>
          </cell>
        </row>
        <row r="309">
          <cell r="BD309" t="str">
            <v>.</v>
          </cell>
        </row>
        <row r="310">
          <cell r="BD310" t="str">
            <v>.</v>
          </cell>
        </row>
        <row r="311">
          <cell r="BD311" t="str">
            <v>.</v>
          </cell>
        </row>
        <row r="312">
          <cell r="BD312" t="str">
            <v>.</v>
          </cell>
        </row>
        <row r="313">
          <cell r="BD313" t="str">
            <v>.</v>
          </cell>
        </row>
        <row r="314">
          <cell r="BD314" t="str">
            <v>.</v>
          </cell>
        </row>
        <row r="315">
          <cell r="BD315" t="str">
            <v>.</v>
          </cell>
        </row>
        <row r="316">
          <cell r="BD316" t="str">
            <v>.</v>
          </cell>
        </row>
        <row r="317">
          <cell r="BD317" t="str">
            <v>.</v>
          </cell>
        </row>
        <row r="318">
          <cell r="BD318" t="str">
            <v>.</v>
          </cell>
        </row>
        <row r="319">
          <cell r="BD319" t="str">
            <v>.</v>
          </cell>
        </row>
        <row r="320">
          <cell r="BD320" t="str">
            <v>.</v>
          </cell>
        </row>
        <row r="321">
          <cell r="BD321" t="str">
            <v>.</v>
          </cell>
        </row>
        <row r="322">
          <cell r="BD322" t="str">
            <v>.</v>
          </cell>
        </row>
        <row r="323">
          <cell r="BD323" t="str">
            <v>.</v>
          </cell>
        </row>
        <row r="324">
          <cell r="BD324" t="str">
            <v>.</v>
          </cell>
        </row>
        <row r="325">
          <cell r="BD325" t="str">
            <v>.</v>
          </cell>
        </row>
        <row r="326">
          <cell r="BD326" t="str">
            <v>.</v>
          </cell>
        </row>
        <row r="327">
          <cell r="BD327" t="str">
            <v>.</v>
          </cell>
        </row>
        <row r="328">
          <cell r="BD328" t="str">
            <v>.</v>
          </cell>
        </row>
        <row r="329">
          <cell r="BD329" t="str">
            <v>.</v>
          </cell>
        </row>
        <row r="330">
          <cell r="BD330" t="str">
            <v>.</v>
          </cell>
        </row>
        <row r="331">
          <cell r="BD331" t="str">
            <v>.</v>
          </cell>
        </row>
        <row r="332">
          <cell r="BD332" t="str">
            <v>.</v>
          </cell>
        </row>
        <row r="333">
          <cell r="BD333" t="str">
            <v>.</v>
          </cell>
        </row>
        <row r="334">
          <cell r="BD334" t="str">
            <v>.</v>
          </cell>
        </row>
        <row r="335">
          <cell r="BD335" t="str">
            <v>.</v>
          </cell>
        </row>
        <row r="336">
          <cell r="BD336" t="str">
            <v>.</v>
          </cell>
        </row>
        <row r="337">
          <cell r="BD337" t="str">
            <v>.</v>
          </cell>
        </row>
        <row r="338">
          <cell r="BD338" t="str">
            <v>.</v>
          </cell>
        </row>
        <row r="339">
          <cell r="BD339" t="str">
            <v>.</v>
          </cell>
        </row>
        <row r="340">
          <cell r="BD340" t="str">
            <v>.</v>
          </cell>
        </row>
        <row r="341">
          <cell r="BD341" t="str">
            <v>.</v>
          </cell>
        </row>
        <row r="342">
          <cell r="BD342" t="str">
            <v>.</v>
          </cell>
        </row>
        <row r="343">
          <cell r="BD343" t="str">
            <v>.</v>
          </cell>
        </row>
        <row r="344">
          <cell r="BD344" t="str">
            <v>.</v>
          </cell>
        </row>
        <row r="345">
          <cell r="BD345" t="str">
            <v>.</v>
          </cell>
        </row>
        <row r="346">
          <cell r="BD346" t="str">
            <v>.</v>
          </cell>
        </row>
        <row r="347">
          <cell r="BD347" t="str">
            <v>.</v>
          </cell>
        </row>
        <row r="348">
          <cell r="BD348" t="str">
            <v>.</v>
          </cell>
        </row>
        <row r="349">
          <cell r="BD349" t="str">
            <v>.</v>
          </cell>
        </row>
        <row r="350">
          <cell r="BD350" t="str">
            <v>.</v>
          </cell>
        </row>
        <row r="351">
          <cell r="BD351" t="str">
            <v>.</v>
          </cell>
        </row>
        <row r="352">
          <cell r="BD352" t="str">
            <v>.</v>
          </cell>
        </row>
        <row r="353">
          <cell r="BD353" t="str">
            <v>.</v>
          </cell>
        </row>
        <row r="354">
          <cell r="BD354" t="str">
            <v>.</v>
          </cell>
        </row>
        <row r="355">
          <cell r="BD355" t="str">
            <v>.</v>
          </cell>
        </row>
        <row r="356">
          <cell r="BD356" t="str">
            <v>.</v>
          </cell>
        </row>
        <row r="357">
          <cell r="BD357" t="str">
            <v>.</v>
          </cell>
        </row>
        <row r="358">
          <cell r="BD358" t="str">
            <v>.</v>
          </cell>
        </row>
        <row r="359">
          <cell r="BD359" t="str">
            <v>.</v>
          </cell>
        </row>
        <row r="360">
          <cell r="BD360" t="str">
            <v>.</v>
          </cell>
        </row>
        <row r="361">
          <cell r="BD361" t="str">
            <v>.</v>
          </cell>
        </row>
        <row r="362">
          <cell r="BD362" t="str">
            <v>.</v>
          </cell>
        </row>
        <row r="363">
          <cell r="BD363" t="str">
            <v>.</v>
          </cell>
        </row>
        <row r="364">
          <cell r="BD364" t="str">
            <v>.</v>
          </cell>
        </row>
        <row r="365">
          <cell r="BD365" t="str">
            <v>.</v>
          </cell>
        </row>
        <row r="366">
          <cell r="BD366" t="str">
            <v>.</v>
          </cell>
        </row>
        <row r="367">
          <cell r="BD367" t="str">
            <v>.</v>
          </cell>
        </row>
        <row r="368">
          <cell r="BD368" t="str">
            <v>.</v>
          </cell>
        </row>
        <row r="369">
          <cell r="BD369" t="str">
            <v>.</v>
          </cell>
        </row>
        <row r="370">
          <cell r="BD370" t="str">
            <v>.</v>
          </cell>
        </row>
        <row r="371">
          <cell r="BD371" t="str">
            <v>.</v>
          </cell>
        </row>
        <row r="372">
          <cell r="BD372" t="str">
            <v>.</v>
          </cell>
        </row>
        <row r="373">
          <cell r="BD373" t="str">
            <v>.</v>
          </cell>
        </row>
        <row r="374">
          <cell r="BD374" t="str">
            <v>.</v>
          </cell>
        </row>
        <row r="375">
          <cell r="BD375" t="str">
            <v>.</v>
          </cell>
        </row>
        <row r="376">
          <cell r="BD376" t="str">
            <v>.</v>
          </cell>
        </row>
        <row r="377">
          <cell r="BD377" t="str">
            <v>.</v>
          </cell>
        </row>
        <row r="378">
          <cell r="BD378" t="str">
            <v>.</v>
          </cell>
        </row>
        <row r="379">
          <cell r="BD379" t="str">
            <v>.</v>
          </cell>
        </row>
        <row r="380">
          <cell r="BD380" t="str">
            <v>.</v>
          </cell>
        </row>
        <row r="381">
          <cell r="BD381" t="str">
            <v>.</v>
          </cell>
        </row>
        <row r="382">
          <cell r="BD382" t="str">
            <v>.</v>
          </cell>
        </row>
        <row r="383">
          <cell r="BD383" t="str">
            <v>.</v>
          </cell>
        </row>
        <row r="384">
          <cell r="BD384" t="str">
            <v>.</v>
          </cell>
        </row>
        <row r="385">
          <cell r="BD385" t="str">
            <v>.</v>
          </cell>
        </row>
        <row r="386">
          <cell r="BD386" t="str">
            <v>.</v>
          </cell>
        </row>
        <row r="387">
          <cell r="BD387" t="str">
            <v>.</v>
          </cell>
        </row>
        <row r="388">
          <cell r="BD388" t="str">
            <v>.</v>
          </cell>
        </row>
        <row r="389">
          <cell r="BD389" t="str">
            <v>.</v>
          </cell>
        </row>
        <row r="390">
          <cell r="BD390" t="str">
            <v>.</v>
          </cell>
        </row>
        <row r="391">
          <cell r="BD391" t="str">
            <v>.</v>
          </cell>
        </row>
        <row r="392">
          <cell r="BD392" t="str">
            <v>.</v>
          </cell>
        </row>
        <row r="393">
          <cell r="BD393" t="str">
            <v>.</v>
          </cell>
        </row>
        <row r="394">
          <cell r="BD394" t="str">
            <v>.</v>
          </cell>
        </row>
        <row r="395">
          <cell r="BD395" t="str">
            <v>.</v>
          </cell>
        </row>
        <row r="396">
          <cell r="BD396" t="str">
            <v>.</v>
          </cell>
        </row>
        <row r="397">
          <cell r="BD397" t="str">
            <v>.</v>
          </cell>
        </row>
        <row r="398">
          <cell r="BD398" t="str">
            <v>.</v>
          </cell>
        </row>
        <row r="399">
          <cell r="BD399" t="str">
            <v>.</v>
          </cell>
        </row>
        <row r="400">
          <cell r="BD400" t="str">
            <v>.</v>
          </cell>
        </row>
        <row r="401">
          <cell r="BD401" t="str">
            <v>.</v>
          </cell>
        </row>
        <row r="402">
          <cell r="BD402" t="str">
            <v>.</v>
          </cell>
        </row>
        <row r="403">
          <cell r="BD403" t="str">
            <v>.</v>
          </cell>
        </row>
        <row r="404">
          <cell r="BD404" t="str">
            <v>.</v>
          </cell>
        </row>
        <row r="405">
          <cell r="BD405" t="str">
            <v>.</v>
          </cell>
        </row>
        <row r="406">
          <cell r="BD406" t="str">
            <v>.</v>
          </cell>
        </row>
        <row r="407">
          <cell r="BD407" t="str">
            <v>.</v>
          </cell>
        </row>
        <row r="408">
          <cell r="BD408" t="str">
            <v>.</v>
          </cell>
        </row>
        <row r="409">
          <cell r="BD409" t="str">
            <v>.</v>
          </cell>
        </row>
        <row r="410">
          <cell r="BD410" t="str">
            <v>.</v>
          </cell>
        </row>
        <row r="411">
          <cell r="BD411" t="str">
            <v>.</v>
          </cell>
        </row>
        <row r="412">
          <cell r="BD412" t="str">
            <v>.</v>
          </cell>
        </row>
        <row r="413">
          <cell r="BD413" t="str">
            <v>.</v>
          </cell>
        </row>
        <row r="414">
          <cell r="BD414" t="str">
            <v>.</v>
          </cell>
        </row>
        <row r="415">
          <cell r="BD415" t="str">
            <v>.</v>
          </cell>
        </row>
        <row r="416">
          <cell r="BD416" t="str">
            <v>.</v>
          </cell>
        </row>
        <row r="417">
          <cell r="BD417" t="str">
            <v>.</v>
          </cell>
        </row>
        <row r="418">
          <cell r="BD418" t="str">
            <v>.</v>
          </cell>
        </row>
        <row r="419">
          <cell r="BD419" t="str">
            <v>.</v>
          </cell>
        </row>
        <row r="420">
          <cell r="BD420" t="str">
            <v>.</v>
          </cell>
        </row>
        <row r="421">
          <cell r="BD421" t="str">
            <v>.</v>
          </cell>
        </row>
        <row r="422">
          <cell r="BD422" t="str">
            <v>.</v>
          </cell>
        </row>
        <row r="423">
          <cell r="BD423" t="str">
            <v>.</v>
          </cell>
        </row>
        <row r="424">
          <cell r="BD424" t="str">
            <v>.</v>
          </cell>
        </row>
        <row r="425">
          <cell r="BD425" t="str">
            <v>.</v>
          </cell>
        </row>
        <row r="426">
          <cell r="BD426" t="str">
            <v>.</v>
          </cell>
        </row>
        <row r="427">
          <cell r="BD427" t="str">
            <v>.</v>
          </cell>
        </row>
        <row r="428">
          <cell r="BD428" t="str">
            <v>.</v>
          </cell>
        </row>
        <row r="429">
          <cell r="BD429" t="str">
            <v>.</v>
          </cell>
        </row>
        <row r="430">
          <cell r="BD430" t="str">
            <v>.</v>
          </cell>
        </row>
        <row r="431">
          <cell r="BD431" t="str">
            <v>.</v>
          </cell>
        </row>
        <row r="432">
          <cell r="BD432" t="str">
            <v>.</v>
          </cell>
        </row>
        <row r="433">
          <cell r="BD433" t="str">
            <v>.</v>
          </cell>
        </row>
        <row r="434">
          <cell r="BD434" t="str">
            <v>.</v>
          </cell>
        </row>
        <row r="435">
          <cell r="BD435" t="str">
            <v>.</v>
          </cell>
        </row>
        <row r="436">
          <cell r="BD436" t="str">
            <v>.</v>
          </cell>
        </row>
        <row r="437">
          <cell r="BD437" t="str">
            <v>.</v>
          </cell>
        </row>
        <row r="438">
          <cell r="BD438" t="str">
            <v>.</v>
          </cell>
        </row>
        <row r="439">
          <cell r="BD439" t="str">
            <v>.</v>
          </cell>
        </row>
        <row r="440">
          <cell r="BD440" t="str">
            <v>.</v>
          </cell>
        </row>
        <row r="441">
          <cell r="BD441" t="str">
            <v>.</v>
          </cell>
        </row>
        <row r="442">
          <cell r="BD442" t="str">
            <v>.</v>
          </cell>
        </row>
        <row r="443">
          <cell r="BD443" t="str">
            <v>.</v>
          </cell>
        </row>
        <row r="444">
          <cell r="BD444" t="str">
            <v>.</v>
          </cell>
        </row>
        <row r="445">
          <cell r="BD445" t="str">
            <v>.</v>
          </cell>
        </row>
        <row r="446">
          <cell r="BD446" t="str">
            <v>.</v>
          </cell>
        </row>
        <row r="447">
          <cell r="BD447" t="str">
            <v>.</v>
          </cell>
        </row>
        <row r="448">
          <cell r="BD448" t="str">
            <v>.</v>
          </cell>
        </row>
        <row r="449">
          <cell r="BD449" t="str">
            <v>.</v>
          </cell>
        </row>
        <row r="450">
          <cell r="BD450" t="str">
            <v>.</v>
          </cell>
        </row>
        <row r="451">
          <cell r="BD451" t="str">
            <v>.</v>
          </cell>
        </row>
        <row r="452">
          <cell r="BD452" t="str">
            <v>.</v>
          </cell>
        </row>
        <row r="453">
          <cell r="BD453" t="str">
            <v>.</v>
          </cell>
        </row>
        <row r="454">
          <cell r="BD454" t="str">
            <v>.</v>
          </cell>
        </row>
        <row r="455">
          <cell r="BD455" t="str">
            <v>.</v>
          </cell>
        </row>
        <row r="456">
          <cell r="BD456" t="str">
            <v>.</v>
          </cell>
        </row>
        <row r="457">
          <cell r="BD457" t="str">
            <v>.</v>
          </cell>
        </row>
        <row r="458">
          <cell r="BD458" t="str">
            <v>.</v>
          </cell>
        </row>
        <row r="459">
          <cell r="BD459" t="str">
            <v>.</v>
          </cell>
        </row>
        <row r="460">
          <cell r="BD460" t="str">
            <v>.</v>
          </cell>
        </row>
        <row r="461">
          <cell r="BD461" t="str">
            <v>.</v>
          </cell>
        </row>
        <row r="462">
          <cell r="BD462" t="str">
            <v>.</v>
          </cell>
        </row>
        <row r="463">
          <cell r="BD463" t="str">
            <v>.</v>
          </cell>
        </row>
        <row r="464">
          <cell r="BD464" t="str">
            <v>.</v>
          </cell>
        </row>
        <row r="465">
          <cell r="BD465" t="str">
            <v>.</v>
          </cell>
        </row>
        <row r="466">
          <cell r="BD466" t="str">
            <v>.</v>
          </cell>
        </row>
        <row r="467">
          <cell r="BD467" t="str">
            <v>.</v>
          </cell>
        </row>
        <row r="468">
          <cell r="BD468" t="str">
            <v>.</v>
          </cell>
        </row>
        <row r="469">
          <cell r="BD469" t="str">
            <v>.</v>
          </cell>
        </row>
        <row r="470">
          <cell r="BD470" t="str">
            <v>.</v>
          </cell>
        </row>
        <row r="471">
          <cell r="BD471" t="str">
            <v>.</v>
          </cell>
        </row>
        <row r="472">
          <cell r="BD472" t="str">
            <v>.</v>
          </cell>
        </row>
        <row r="473">
          <cell r="BD473" t="str">
            <v>.</v>
          </cell>
        </row>
        <row r="474">
          <cell r="BD474" t="str">
            <v>.</v>
          </cell>
        </row>
        <row r="475">
          <cell r="BD475" t="str">
            <v>.</v>
          </cell>
        </row>
        <row r="476">
          <cell r="BD476" t="str">
            <v>.</v>
          </cell>
        </row>
        <row r="477">
          <cell r="BD477" t="str">
            <v>.</v>
          </cell>
        </row>
        <row r="478">
          <cell r="BD478" t="str">
            <v>.</v>
          </cell>
        </row>
        <row r="479">
          <cell r="BD479" t="str">
            <v>.</v>
          </cell>
        </row>
        <row r="480">
          <cell r="BD480" t="str">
            <v>.</v>
          </cell>
        </row>
        <row r="481">
          <cell r="BD481" t="str">
            <v>.</v>
          </cell>
        </row>
        <row r="482">
          <cell r="BD482" t="str">
            <v>.</v>
          </cell>
        </row>
        <row r="483">
          <cell r="BD483" t="str">
            <v>.</v>
          </cell>
        </row>
        <row r="484">
          <cell r="BD484" t="str">
            <v>.</v>
          </cell>
        </row>
        <row r="485">
          <cell r="BD485" t="str">
            <v>.</v>
          </cell>
        </row>
        <row r="486">
          <cell r="BD486" t="str">
            <v>.</v>
          </cell>
        </row>
        <row r="487">
          <cell r="BD487" t="str">
            <v>.</v>
          </cell>
        </row>
        <row r="488">
          <cell r="BD488" t="str">
            <v>.</v>
          </cell>
        </row>
        <row r="489">
          <cell r="BD489" t="str">
            <v>.</v>
          </cell>
        </row>
        <row r="490">
          <cell r="BD490" t="str">
            <v>.</v>
          </cell>
        </row>
        <row r="491">
          <cell r="BD491" t="str">
            <v>.</v>
          </cell>
        </row>
        <row r="492">
          <cell r="BD492" t="str">
            <v>.</v>
          </cell>
        </row>
        <row r="493">
          <cell r="BD493" t="str">
            <v>.</v>
          </cell>
        </row>
        <row r="494">
          <cell r="BD494" t="str">
            <v>.</v>
          </cell>
        </row>
        <row r="495">
          <cell r="BD495" t="str">
            <v>.</v>
          </cell>
        </row>
        <row r="496">
          <cell r="BD496" t="str">
            <v>.</v>
          </cell>
        </row>
        <row r="497">
          <cell r="BD497" t="str">
            <v>.</v>
          </cell>
        </row>
        <row r="498">
          <cell r="BD498" t="str">
            <v>.</v>
          </cell>
        </row>
        <row r="499">
          <cell r="BD499" t="str">
            <v>.</v>
          </cell>
        </row>
        <row r="500">
          <cell r="BD500" t="str">
            <v>.</v>
          </cell>
        </row>
        <row r="501">
          <cell r="BD501" t="str">
            <v>.</v>
          </cell>
        </row>
        <row r="502">
          <cell r="BD502" t="str">
            <v>.</v>
          </cell>
        </row>
        <row r="503">
          <cell r="BD503" t="str">
            <v>.</v>
          </cell>
        </row>
        <row r="504">
          <cell r="BD504" t="str">
            <v>.</v>
          </cell>
        </row>
        <row r="505">
          <cell r="BD505" t="str">
            <v>.</v>
          </cell>
        </row>
        <row r="506">
          <cell r="BD506" t="str">
            <v>.</v>
          </cell>
        </row>
        <row r="507">
          <cell r="BD507" t="str">
            <v>.</v>
          </cell>
        </row>
        <row r="508">
          <cell r="BD508" t="str">
            <v>.</v>
          </cell>
        </row>
        <row r="509">
          <cell r="BD509" t="str">
            <v>.</v>
          </cell>
        </row>
        <row r="510">
          <cell r="BD510" t="str">
            <v>.</v>
          </cell>
        </row>
        <row r="511">
          <cell r="BD511" t="str">
            <v>.</v>
          </cell>
        </row>
        <row r="512">
          <cell r="BD512" t="str">
            <v>.</v>
          </cell>
        </row>
        <row r="513">
          <cell r="BD513" t="str">
            <v>.</v>
          </cell>
        </row>
        <row r="514">
          <cell r="BD514" t="str">
            <v>.</v>
          </cell>
        </row>
        <row r="515">
          <cell r="BD515" t="str">
            <v>.</v>
          </cell>
        </row>
        <row r="516">
          <cell r="BD516" t="str">
            <v>.</v>
          </cell>
        </row>
        <row r="517">
          <cell r="BD517" t="str">
            <v>.</v>
          </cell>
        </row>
        <row r="518">
          <cell r="BD518" t="str">
            <v>.</v>
          </cell>
        </row>
        <row r="519">
          <cell r="BD519" t="str">
            <v>.</v>
          </cell>
        </row>
        <row r="520">
          <cell r="BD520" t="str">
            <v>.</v>
          </cell>
        </row>
        <row r="521">
          <cell r="BD521" t="str">
            <v>.</v>
          </cell>
        </row>
        <row r="522">
          <cell r="BD522" t="str">
            <v>.</v>
          </cell>
        </row>
        <row r="523">
          <cell r="BD523" t="str">
            <v>.</v>
          </cell>
        </row>
        <row r="524">
          <cell r="BD524" t="str">
            <v>.</v>
          </cell>
        </row>
        <row r="525">
          <cell r="BD525" t="str">
            <v>.</v>
          </cell>
        </row>
        <row r="526">
          <cell r="BD526" t="str">
            <v>.</v>
          </cell>
        </row>
        <row r="527">
          <cell r="BD527" t="str">
            <v>.</v>
          </cell>
        </row>
        <row r="528">
          <cell r="BD528" t="str">
            <v>.</v>
          </cell>
        </row>
        <row r="529">
          <cell r="BD529" t="str">
            <v>.</v>
          </cell>
        </row>
        <row r="530">
          <cell r="BD530" t="str">
            <v>.</v>
          </cell>
        </row>
        <row r="531">
          <cell r="BD531" t="str">
            <v>.</v>
          </cell>
        </row>
        <row r="532">
          <cell r="BD532" t="str">
            <v>.</v>
          </cell>
        </row>
        <row r="533">
          <cell r="BD533" t="str">
            <v>.</v>
          </cell>
        </row>
        <row r="534">
          <cell r="BD534" t="str">
            <v>.</v>
          </cell>
        </row>
        <row r="535">
          <cell r="BD535" t="str">
            <v>.</v>
          </cell>
        </row>
        <row r="536">
          <cell r="BD536" t="str">
            <v>.</v>
          </cell>
        </row>
        <row r="537">
          <cell r="BD537" t="str">
            <v>.</v>
          </cell>
        </row>
        <row r="538">
          <cell r="BD538" t="str">
            <v>.</v>
          </cell>
        </row>
        <row r="539">
          <cell r="BD539" t="str">
            <v>.</v>
          </cell>
        </row>
        <row r="540">
          <cell r="BD540" t="str">
            <v>.</v>
          </cell>
        </row>
        <row r="541">
          <cell r="BD541" t="str">
            <v>.</v>
          </cell>
        </row>
        <row r="542">
          <cell r="BD542" t="str">
            <v>.</v>
          </cell>
        </row>
        <row r="543">
          <cell r="BD543" t="str">
            <v>.</v>
          </cell>
        </row>
        <row r="544">
          <cell r="BD544" t="str">
            <v>.</v>
          </cell>
        </row>
        <row r="545">
          <cell r="BD545" t="str">
            <v>.</v>
          </cell>
        </row>
        <row r="546">
          <cell r="BD546" t="str">
            <v>.</v>
          </cell>
        </row>
        <row r="547">
          <cell r="BD547" t="str">
            <v>.</v>
          </cell>
        </row>
        <row r="548">
          <cell r="BD548" t="str">
            <v>.</v>
          </cell>
        </row>
        <row r="549">
          <cell r="BD549" t="str">
            <v>.</v>
          </cell>
        </row>
        <row r="550">
          <cell r="BD550" t="str">
            <v>.</v>
          </cell>
        </row>
        <row r="551">
          <cell r="BD551" t="str">
            <v>.</v>
          </cell>
        </row>
        <row r="552">
          <cell r="BD552" t="str">
            <v>.</v>
          </cell>
        </row>
        <row r="553">
          <cell r="BD553" t="str">
            <v>.</v>
          </cell>
        </row>
        <row r="554">
          <cell r="BD554" t="str">
            <v>.</v>
          </cell>
        </row>
        <row r="555">
          <cell r="BD555" t="str">
            <v>.</v>
          </cell>
        </row>
        <row r="556">
          <cell r="BD556" t="str">
            <v>.</v>
          </cell>
        </row>
        <row r="557">
          <cell r="BD557" t="str">
            <v>.</v>
          </cell>
        </row>
        <row r="558">
          <cell r="BD558" t="str">
            <v>.</v>
          </cell>
        </row>
        <row r="559">
          <cell r="BD559" t="str">
            <v>.</v>
          </cell>
        </row>
        <row r="560">
          <cell r="BD560" t="str">
            <v>.</v>
          </cell>
        </row>
        <row r="561">
          <cell r="BD561" t="str">
            <v>.</v>
          </cell>
        </row>
        <row r="562">
          <cell r="BD562" t="str">
            <v>.</v>
          </cell>
        </row>
        <row r="563">
          <cell r="BD563" t="str">
            <v>.</v>
          </cell>
        </row>
        <row r="564">
          <cell r="BD564" t="str">
            <v>.</v>
          </cell>
        </row>
        <row r="565">
          <cell r="BD565" t="str">
            <v>.</v>
          </cell>
        </row>
        <row r="566">
          <cell r="BD566" t="str">
            <v>.</v>
          </cell>
        </row>
        <row r="567">
          <cell r="BD567" t="str">
            <v>.</v>
          </cell>
        </row>
        <row r="568">
          <cell r="BD568" t="str">
            <v>.</v>
          </cell>
        </row>
        <row r="569">
          <cell r="BD569" t="str">
            <v>.</v>
          </cell>
        </row>
        <row r="570">
          <cell r="BD570" t="str">
            <v>.</v>
          </cell>
        </row>
        <row r="571">
          <cell r="BD571" t="str">
            <v>.</v>
          </cell>
        </row>
        <row r="572">
          <cell r="BD572" t="str">
            <v>.</v>
          </cell>
        </row>
        <row r="573">
          <cell r="BD573" t="str">
            <v>.</v>
          </cell>
        </row>
        <row r="574">
          <cell r="BD574" t="str">
            <v>.</v>
          </cell>
        </row>
        <row r="575">
          <cell r="BD575" t="str">
            <v>.</v>
          </cell>
        </row>
        <row r="576">
          <cell r="BD576" t="str">
            <v>.</v>
          </cell>
        </row>
        <row r="577">
          <cell r="BD577" t="str">
            <v>.</v>
          </cell>
        </row>
        <row r="578">
          <cell r="BD578" t="str">
            <v>.</v>
          </cell>
        </row>
        <row r="579">
          <cell r="BD579" t="str">
            <v>.</v>
          </cell>
        </row>
        <row r="580">
          <cell r="BD580" t="str">
            <v>.</v>
          </cell>
        </row>
        <row r="581">
          <cell r="BD581" t="str">
            <v>.</v>
          </cell>
        </row>
        <row r="582">
          <cell r="BD582" t="str">
            <v>.</v>
          </cell>
        </row>
        <row r="583">
          <cell r="BD583" t="str">
            <v>.</v>
          </cell>
        </row>
        <row r="584">
          <cell r="BD584" t="str">
            <v>.</v>
          </cell>
        </row>
        <row r="585">
          <cell r="BD585" t="str">
            <v>.</v>
          </cell>
        </row>
        <row r="586">
          <cell r="BD586" t="str">
            <v>.</v>
          </cell>
        </row>
        <row r="587">
          <cell r="BD587" t="str">
            <v>.</v>
          </cell>
        </row>
        <row r="588">
          <cell r="BD588" t="str">
            <v>.</v>
          </cell>
        </row>
        <row r="589">
          <cell r="BD589" t="str">
            <v>.</v>
          </cell>
        </row>
        <row r="590">
          <cell r="BD590" t="str">
            <v>.</v>
          </cell>
        </row>
        <row r="591">
          <cell r="BD591" t="str">
            <v>.</v>
          </cell>
        </row>
        <row r="592">
          <cell r="BD592" t="str">
            <v>.</v>
          </cell>
        </row>
        <row r="593">
          <cell r="BD593" t="str">
            <v>.</v>
          </cell>
        </row>
        <row r="594">
          <cell r="BD594" t="str">
            <v>.</v>
          </cell>
        </row>
        <row r="595">
          <cell r="BD595" t="str">
            <v>.</v>
          </cell>
        </row>
        <row r="596">
          <cell r="BD596" t="str">
            <v>.</v>
          </cell>
        </row>
        <row r="597">
          <cell r="BD597" t="str">
            <v>.</v>
          </cell>
        </row>
        <row r="598">
          <cell r="BD598" t="str">
            <v>.</v>
          </cell>
        </row>
        <row r="599">
          <cell r="BD599" t="str">
            <v>.</v>
          </cell>
        </row>
        <row r="600">
          <cell r="BD600" t="str">
            <v>.</v>
          </cell>
        </row>
        <row r="601">
          <cell r="BD601" t="str">
            <v>.</v>
          </cell>
        </row>
        <row r="602">
          <cell r="BD602" t="str">
            <v>.</v>
          </cell>
        </row>
        <row r="603">
          <cell r="BD603" t="str">
            <v>.</v>
          </cell>
        </row>
        <row r="604">
          <cell r="BD604" t="str">
            <v>.</v>
          </cell>
        </row>
        <row r="605">
          <cell r="BD605" t="str">
            <v>.</v>
          </cell>
        </row>
        <row r="606">
          <cell r="BD606" t="str">
            <v>.</v>
          </cell>
        </row>
        <row r="607">
          <cell r="BD607" t="str">
            <v>.</v>
          </cell>
        </row>
        <row r="608">
          <cell r="BD608" t="str">
            <v>.</v>
          </cell>
        </row>
        <row r="609">
          <cell r="BD609" t="str">
            <v>.</v>
          </cell>
        </row>
        <row r="610">
          <cell r="BD610" t="str">
            <v>.</v>
          </cell>
        </row>
        <row r="611">
          <cell r="BD611" t="str">
            <v>.</v>
          </cell>
        </row>
        <row r="612">
          <cell r="BD612" t="str">
            <v>.</v>
          </cell>
        </row>
        <row r="613">
          <cell r="BD613" t="str">
            <v>.</v>
          </cell>
        </row>
        <row r="614">
          <cell r="BD614" t="str">
            <v>.</v>
          </cell>
        </row>
        <row r="615">
          <cell r="BD615" t="str">
            <v>.</v>
          </cell>
        </row>
        <row r="616">
          <cell r="BD616" t="str">
            <v>.</v>
          </cell>
        </row>
        <row r="617">
          <cell r="BD617" t="str">
            <v>.</v>
          </cell>
        </row>
        <row r="618">
          <cell r="BD618" t="str">
            <v>.</v>
          </cell>
        </row>
        <row r="619">
          <cell r="BD619" t="str">
            <v>.</v>
          </cell>
        </row>
        <row r="620">
          <cell r="BD620" t="str">
            <v>.</v>
          </cell>
        </row>
        <row r="621">
          <cell r="BD621" t="str">
            <v>.</v>
          </cell>
        </row>
        <row r="622">
          <cell r="BD622" t="str">
            <v>.</v>
          </cell>
        </row>
        <row r="623">
          <cell r="BD623" t="str">
            <v>.</v>
          </cell>
        </row>
        <row r="624">
          <cell r="BD624" t="str">
            <v>.</v>
          </cell>
        </row>
        <row r="625">
          <cell r="BD625" t="str">
            <v>.</v>
          </cell>
        </row>
        <row r="626">
          <cell r="BD626" t="str">
            <v>.</v>
          </cell>
        </row>
        <row r="627">
          <cell r="BD627" t="str">
            <v>.</v>
          </cell>
        </row>
        <row r="628">
          <cell r="BD628" t="str">
            <v>.</v>
          </cell>
        </row>
        <row r="629">
          <cell r="BD629" t="str">
            <v>.</v>
          </cell>
        </row>
        <row r="630">
          <cell r="BD630" t="str">
            <v>.</v>
          </cell>
        </row>
        <row r="631">
          <cell r="BD631" t="str">
            <v>.</v>
          </cell>
        </row>
        <row r="632">
          <cell r="BD632" t="str">
            <v>.</v>
          </cell>
        </row>
        <row r="633">
          <cell r="BD633" t="str">
            <v>.</v>
          </cell>
        </row>
        <row r="634">
          <cell r="BD634" t="str">
            <v>.</v>
          </cell>
        </row>
        <row r="635">
          <cell r="BD635" t="str">
            <v>.</v>
          </cell>
        </row>
        <row r="636">
          <cell r="BD636" t="str">
            <v>.</v>
          </cell>
        </row>
        <row r="637">
          <cell r="BD637" t="str">
            <v>.</v>
          </cell>
        </row>
        <row r="638">
          <cell r="BD638" t="str">
            <v>.</v>
          </cell>
        </row>
        <row r="639">
          <cell r="BD639" t="str">
            <v>.</v>
          </cell>
        </row>
        <row r="640">
          <cell r="BD640" t="str">
            <v>.</v>
          </cell>
        </row>
        <row r="641">
          <cell r="BD641" t="str">
            <v>.</v>
          </cell>
        </row>
        <row r="642">
          <cell r="BD642" t="str">
            <v>.</v>
          </cell>
        </row>
        <row r="643">
          <cell r="BD643" t="str">
            <v>.</v>
          </cell>
        </row>
        <row r="644">
          <cell r="BD644" t="str">
            <v>.</v>
          </cell>
        </row>
        <row r="645">
          <cell r="BD645" t="str">
            <v>.</v>
          </cell>
        </row>
        <row r="646">
          <cell r="BD646" t="str">
            <v>.</v>
          </cell>
        </row>
        <row r="647">
          <cell r="BD647" t="str">
            <v>.</v>
          </cell>
        </row>
        <row r="648">
          <cell r="BD648" t="str">
            <v>.</v>
          </cell>
        </row>
        <row r="649">
          <cell r="BD649" t="str">
            <v>.</v>
          </cell>
        </row>
        <row r="650">
          <cell r="BD650" t="str">
            <v>.</v>
          </cell>
        </row>
        <row r="651">
          <cell r="BD651" t="str">
            <v>.</v>
          </cell>
        </row>
        <row r="652">
          <cell r="BD652" t="str">
            <v>.</v>
          </cell>
        </row>
        <row r="653">
          <cell r="BD653" t="str">
            <v>.</v>
          </cell>
        </row>
        <row r="654">
          <cell r="BD654" t="str">
            <v>.</v>
          </cell>
        </row>
        <row r="655">
          <cell r="BD655" t="str">
            <v>.</v>
          </cell>
        </row>
        <row r="656">
          <cell r="BD656" t="str">
            <v>.</v>
          </cell>
        </row>
        <row r="657">
          <cell r="BD657" t="str">
            <v>.</v>
          </cell>
        </row>
        <row r="658">
          <cell r="BD658" t="str">
            <v>.</v>
          </cell>
        </row>
        <row r="659">
          <cell r="BD659" t="str">
            <v>.</v>
          </cell>
        </row>
        <row r="660">
          <cell r="BD660" t="str">
            <v>.</v>
          </cell>
        </row>
        <row r="661">
          <cell r="BD661" t="str">
            <v>.</v>
          </cell>
        </row>
        <row r="662">
          <cell r="BD662" t="str">
            <v>.</v>
          </cell>
        </row>
        <row r="663">
          <cell r="BD663" t="str">
            <v>.</v>
          </cell>
        </row>
        <row r="664">
          <cell r="BD664" t="str">
            <v>.</v>
          </cell>
        </row>
        <row r="665">
          <cell r="BD665" t="str">
            <v>.</v>
          </cell>
        </row>
        <row r="666">
          <cell r="BD666" t="str">
            <v>.</v>
          </cell>
        </row>
        <row r="667">
          <cell r="BD667" t="str">
            <v>.</v>
          </cell>
        </row>
        <row r="668">
          <cell r="BD668" t="str">
            <v>.</v>
          </cell>
        </row>
        <row r="669">
          <cell r="BD669" t="str">
            <v>.</v>
          </cell>
        </row>
        <row r="670">
          <cell r="BD670" t="str">
            <v>.</v>
          </cell>
        </row>
        <row r="671">
          <cell r="BD671" t="str">
            <v>.</v>
          </cell>
        </row>
        <row r="672">
          <cell r="BD672" t="str">
            <v>.</v>
          </cell>
        </row>
        <row r="673">
          <cell r="BD673" t="str">
            <v>.</v>
          </cell>
        </row>
        <row r="674">
          <cell r="BD674" t="str">
            <v>.</v>
          </cell>
        </row>
        <row r="675">
          <cell r="BD675" t="str">
            <v>.</v>
          </cell>
        </row>
        <row r="676">
          <cell r="BD676" t="str">
            <v>.</v>
          </cell>
        </row>
        <row r="677">
          <cell r="BD677" t="str">
            <v>.</v>
          </cell>
        </row>
        <row r="678">
          <cell r="BD678" t="str">
            <v>.</v>
          </cell>
        </row>
        <row r="679">
          <cell r="BD679" t="str">
            <v>.</v>
          </cell>
        </row>
        <row r="680">
          <cell r="BD680" t="str">
            <v>.</v>
          </cell>
        </row>
        <row r="681">
          <cell r="BD681" t="str">
            <v>.</v>
          </cell>
        </row>
        <row r="682">
          <cell r="BD682" t="str">
            <v>.</v>
          </cell>
        </row>
        <row r="683">
          <cell r="BD683" t="str">
            <v>.</v>
          </cell>
        </row>
        <row r="684">
          <cell r="BD684" t="str">
            <v>.</v>
          </cell>
        </row>
        <row r="685">
          <cell r="BD685" t="str">
            <v>.</v>
          </cell>
        </row>
        <row r="686">
          <cell r="BD686" t="str">
            <v>.</v>
          </cell>
        </row>
        <row r="687">
          <cell r="BD687" t="str">
            <v>.</v>
          </cell>
        </row>
        <row r="688">
          <cell r="BD688" t="str">
            <v>.</v>
          </cell>
        </row>
        <row r="689">
          <cell r="BD689" t="str">
            <v>.</v>
          </cell>
        </row>
        <row r="690">
          <cell r="BD690" t="str">
            <v>.</v>
          </cell>
        </row>
        <row r="691">
          <cell r="BD691" t="str">
            <v>.</v>
          </cell>
        </row>
        <row r="692">
          <cell r="BD692" t="str">
            <v>.</v>
          </cell>
        </row>
        <row r="693">
          <cell r="BD693" t="str">
            <v>.</v>
          </cell>
        </row>
        <row r="694">
          <cell r="BD694" t="str">
            <v>.</v>
          </cell>
        </row>
        <row r="695">
          <cell r="BD695" t="str">
            <v>.</v>
          </cell>
        </row>
        <row r="696">
          <cell r="BD696" t="str">
            <v>.</v>
          </cell>
        </row>
        <row r="697">
          <cell r="BD697" t="str">
            <v>.</v>
          </cell>
        </row>
        <row r="698">
          <cell r="BD698" t="str">
            <v>.</v>
          </cell>
        </row>
        <row r="699">
          <cell r="BD699" t="str">
            <v>.</v>
          </cell>
        </row>
        <row r="700">
          <cell r="BD700" t="str">
            <v>.</v>
          </cell>
        </row>
        <row r="701">
          <cell r="BD701" t="str">
            <v>.</v>
          </cell>
        </row>
        <row r="702">
          <cell r="BD702" t="str">
            <v>.</v>
          </cell>
        </row>
        <row r="703">
          <cell r="BD703" t="str">
            <v>.</v>
          </cell>
        </row>
        <row r="704">
          <cell r="BD704" t="str">
            <v>.</v>
          </cell>
        </row>
        <row r="705">
          <cell r="BD705" t="str">
            <v>.</v>
          </cell>
        </row>
        <row r="706">
          <cell r="BD706" t="str">
            <v>.</v>
          </cell>
        </row>
        <row r="707">
          <cell r="BD707" t="str">
            <v>.</v>
          </cell>
        </row>
        <row r="708">
          <cell r="BD708" t="str">
            <v>.</v>
          </cell>
        </row>
        <row r="709">
          <cell r="BD709" t="str">
            <v>.</v>
          </cell>
        </row>
        <row r="710">
          <cell r="BD710" t="str">
            <v>.</v>
          </cell>
        </row>
        <row r="711">
          <cell r="BD711" t="str">
            <v>.</v>
          </cell>
        </row>
        <row r="712">
          <cell r="BD712" t="str">
            <v>.</v>
          </cell>
        </row>
        <row r="713">
          <cell r="BD713" t="str">
            <v>.</v>
          </cell>
        </row>
        <row r="714">
          <cell r="BD714" t="str">
            <v>.</v>
          </cell>
        </row>
        <row r="715">
          <cell r="BD715" t="str">
            <v>.</v>
          </cell>
        </row>
        <row r="716">
          <cell r="BD716" t="str">
            <v>.</v>
          </cell>
        </row>
        <row r="717">
          <cell r="BD717" t="str">
            <v>.</v>
          </cell>
        </row>
        <row r="718">
          <cell r="BD718" t="str">
            <v>.</v>
          </cell>
        </row>
        <row r="719">
          <cell r="BD719" t="str">
            <v>.</v>
          </cell>
        </row>
        <row r="720">
          <cell r="BD720" t="str">
            <v>.</v>
          </cell>
        </row>
        <row r="721">
          <cell r="BD721" t="str">
            <v>.</v>
          </cell>
        </row>
        <row r="722">
          <cell r="BD722" t="str">
            <v>.</v>
          </cell>
        </row>
        <row r="723">
          <cell r="BD723" t="str">
            <v>.</v>
          </cell>
        </row>
        <row r="724">
          <cell r="BD724" t="str">
            <v>.</v>
          </cell>
        </row>
        <row r="725">
          <cell r="BD725" t="str">
            <v>.</v>
          </cell>
        </row>
        <row r="726">
          <cell r="BD726" t="str">
            <v>.</v>
          </cell>
        </row>
        <row r="727">
          <cell r="BD727" t="str">
            <v>.</v>
          </cell>
        </row>
        <row r="728">
          <cell r="BD728" t="str">
            <v>.</v>
          </cell>
        </row>
        <row r="729">
          <cell r="BD729" t="str">
            <v>.</v>
          </cell>
        </row>
        <row r="730">
          <cell r="BD730" t="str">
            <v>.</v>
          </cell>
        </row>
        <row r="731">
          <cell r="BD731" t="str">
            <v>.</v>
          </cell>
        </row>
        <row r="732">
          <cell r="BD732" t="str">
            <v>.</v>
          </cell>
        </row>
        <row r="733">
          <cell r="BD733" t="str">
            <v>.</v>
          </cell>
        </row>
        <row r="734">
          <cell r="BD734" t="str">
            <v>.</v>
          </cell>
        </row>
        <row r="735">
          <cell r="BD735" t="str">
            <v>.</v>
          </cell>
        </row>
        <row r="736">
          <cell r="BD736" t="str">
            <v>.</v>
          </cell>
        </row>
        <row r="737">
          <cell r="BD737" t="str">
            <v>.</v>
          </cell>
        </row>
        <row r="738">
          <cell r="BD738" t="str">
            <v>.</v>
          </cell>
        </row>
        <row r="739">
          <cell r="BD739" t="str">
            <v>.</v>
          </cell>
        </row>
        <row r="740">
          <cell r="BD740" t="str">
            <v>.</v>
          </cell>
        </row>
        <row r="741">
          <cell r="BD741" t="str">
            <v>.</v>
          </cell>
        </row>
        <row r="742">
          <cell r="BD742" t="str">
            <v>.</v>
          </cell>
        </row>
        <row r="743">
          <cell r="BD743" t="str">
            <v>.</v>
          </cell>
        </row>
        <row r="744">
          <cell r="BD744" t="str">
            <v>.</v>
          </cell>
        </row>
        <row r="745">
          <cell r="BD745" t="str">
            <v>.</v>
          </cell>
        </row>
        <row r="746">
          <cell r="BD746" t="str">
            <v>.</v>
          </cell>
        </row>
        <row r="747">
          <cell r="BD747" t="str">
            <v>.</v>
          </cell>
        </row>
        <row r="748">
          <cell r="BD748" t="str">
            <v>.</v>
          </cell>
        </row>
        <row r="749">
          <cell r="BD749" t="str">
            <v>.</v>
          </cell>
        </row>
        <row r="750">
          <cell r="BD750" t="str">
            <v>.</v>
          </cell>
        </row>
        <row r="751">
          <cell r="BD751" t="str">
            <v>.</v>
          </cell>
        </row>
        <row r="752">
          <cell r="BD752" t="str">
            <v>.</v>
          </cell>
        </row>
        <row r="753">
          <cell r="BD753" t="str">
            <v>.</v>
          </cell>
        </row>
        <row r="754">
          <cell r="BD754" t="str">
            <v>.</v>
          </cell>
        </row>
        <row r="755">
          <cell r="BD755" t="str">
            <v>.</v>
          </cell>
        </row>
        <row r="756">
          <cell r="BD756" t="str">
            <v>.</v>
          </cell>
        </row>
        <row r="757">
          <cell r="BD757" t="str">
            <v>.</v>
          </cell>
        </row>
        <row r="758">
          <cell r="BD758" t="str">
            <v>.</v>
          </cell>
        </row>
        <row r="759">
          <cell r="BD759" t="str">
            <v>.</v>
          </cell>
        </row>
        <row r="760">
          <cell r="BD760" t="str">
            <v>.</v>
          </cell>
        </row>
        <row r="761">
          <cell r="BD761" t="str">
            <v>.</v>
          </cell>
        </row>
        <row r="762">
          <cell r="BD762" t="str">
            <v>.</v>
          </cell>
        </row>
        <row r="763">
          <cell r="BD763" t="str">
            <v>.</v>
          </cell>
        </row>
        <row r="764">
          <cell r="BD764" t="str">
            <v>.</v>
          </cell>
        </row>
        <row r="765">
          <cell r="BD765" t="str">
            <v>.</v>
          </cell>
        </row>
        <row r="766">
          <cell r="BD766" t="str">
            <v>.</v>
          </cell>
        </row>
        <row r="767">
          <cell r="BD767" t="str">
            <v>.</v>
          </cell>
        </row>
        <row r="768">
          <cell r="BD768" t="str">
            <v>.</v>
          </cell>
        </row>
        <row r="769">
          <cell r="BD769" t="str">
            <v>.</v>
          </cell>
        </row>
        <row r="770">
          <cell r="BD770" t="str">
            <v>.</v>
          </cell>
        </row>
        <row r="771">
          <cell r="BD771" t="str">
            <v>.</v>
          </cell>
        </row>
        <row r="772">
          <cell r="BD772" t="str">
            <v>.</v>
          </cell>
        </row>
        <row r="773">
          <cell r="BD773" t="str">
            <v>.</v>
          </cell>
        </row>
        <row r="774">
          <cell r="BD774" t="str">
            <v>.</v>
          </cell>
        </row>
        <row r="775">
          <cell r="BD775" t="str">
            <v>.</v>
          </cell>
        </row>
        <row r="776">
          <cell r="BD776" t="str">
            <v>.</v>
          </cell>
        </row>
        <row r="777">
          <cell r="BD777" t="str">
            <v>.</v>
          </cell>
        </row>
        <row r="778">
          <cell r="BD778" t="str">
            <v>.</v>
          </cell>
        </row>
        <row r="779">
          <cell r="BD779" t="str">
            <v>.</v>
          </cell>
        </row>
        <row r="780">
          <cell r="BD780" t="str">
            <v>.</v>
          </cell>
        </row>
        <row r="781">
          <cell r="BD781" t="str">
            <v>.</v>
          </cell>
        </row>
        <row r="782">
          <cell r="BD782" t="str">
            <v>.</v>
          </cell>
        </row>
        <row r="783">
          <cell r="BD783" t="str">
            <v>.</v>
          </cell>
        </row>
        <row r="784">
          <cell r="BD784" t="str">
            <v>.</v>
          </cell>
        </row>
        <row r="785">
          <cell r="BD785" t="str">
            <v>.</v>
          </cell>
        </row>
        <row r="786">
          <cell r="BD786" t="str">
            <v>.</v>
          </cell>
        </row>
        <row r="787">
          <cell r="BD787" t="str">
            <v>.</v>
          </cell>
        </row>
        <row r="788">
          <cell r="BD788" t="str">
            <v>.</v>
          </cell>
        </row>
        <row r="789">
          <cell r="BD789" t="str">
            <v>.</v>
          </cell>
        </row>
        <row r="790">
          <cell r="BD790" t="str">
            <v>.</v>
          </cell>
        </row>
        <row r="791">
          <cell r="BD791" t="str">
            <v>.</v>
          </cell>
        </row>
        <row r="792">
          <cell r="BD792" t="str">
            <v>.</v>
          </cell>
        </row>
        <row r="793">
          <cell r="BD793" t="str">
            <v>.</v>
          </cell>
        </row>
        <row r="794">
          <cell r="BD794" t="str">
            <v>.</v>
          </cell>
        </row>
        <row r="795">
          <cell r="BD795" t="str">
            <v>.</v>
          </cell>
        </row>
        <row r="796">
          <cell r="BD796" t="str">
            <v>.</v>
          </cell>
        </row>
        <row r="797">
          <cell r="BD797" t="str">
            <v>.</v>
          </cell>
        </row>
        <row r="798">
          <cell r="BD798" t="str">
            <v>.</v>
          </cell>
        </row>
        <row r="799">
          <cell r="BD799" t="str">
            <v>.</v>
          </cell>
        </row>
        <row r="800">
          <cell r="BD800" t="str">
            <v>.</v>
          </cell>
        </row>
        <row r="801">
          <cell r="BD801" t="str">
            <v>.</v>
          </cell>
        </row>
        <row r="802">
          <cell r="BD802" t="str">
            <v>.</v>
          </cell>
        </row>
        <row r="803">
          <cell r="BD803" t="str">
            <v>.</v>
          </cell>
        </row>
        <row r="804">
          <cell r="BD804" t="str">
            <v>.</v>
          </cell>
        </row>
        <row r="805">
          <cell r="BD805" t="str">
            <v>.</v>
          </cell>
        </row>
        <row r="806">
          <cell r="BD806" t="str">
            <v>.</v>
          </cell>
        </row>
        <row r="807">
          <cell r="BD807" t="str">
            <v>.</v>
          </cell>
        </row>
        <row r="808">
          <cell r="BD808" t="str">
            <v>.</v>
          </cell>
        </row>
        <row r="809">
          <cell r="BD809" t="str">
            <v>.</v>
          </cell>
        </row>
        <row r="810">
          <cell r="BD810" t="str">
            <v>.</v>
          </cell>
        </row>
        <row r="811">
          <cell r="BD811" t="str">
            <v>.</v>
          </cell>
        </row>
        <row r="812">
          <cell r="BD812" t="str">
            <v>.</v>
          </cell>
        </row>
        <row r="813">
          <cell r="BD813" t="str">
            <v>.</v>
          </cell>
        </row>
        <row r="814">
          <cell r="BD814" t="str">
            <v>.</v>
          </cell>
        </row>
        <row r="815">
          <cell r="BD815" t="str">
            <v>.</v>
          </cell>
        </row>
        <row r="816">
          <cell r="BD816" t="str">
            <v>.</v>
          </cell>
        </row>
        <row r="817">
          <cell r="BD817" t="str">
            <v>.</v>
          </cell>
        </row>
        <row r="818">
          <cell r="BD818" t="str">
            <v>.</v>
          </cell>
        </row>
        <row r="819">
          <cell r="BD819" t="str">
            <v>.</v>
          </cell>
        </row>
        <row r="820">
          <cell r="BD820" t="str">
            <v>.</v>
          </cell>
        </row>
        <row r="821">
          <cell r="BD821" t="str">
            <v>.</v>
          </cell>
        </row>
        <row r="822">
          <cell r="BD822" t="str">
            <v>.</v>
          </cell>
        </row>
        <row r="823">
          <cell r="BD823" t="str">
            <v>.</v>
          </cell>
        </row>
        <row r="824">
          <cell r="BD824" t="str">
            <v>.</v>
          </cell>
        </row>
        <row r="825">
          <cell r="BD825" t="str">
            <v>.</v>
          </cell>
        </row>
        <row r="826">
          <cell r="BD826" t="str">
            <v>.</v>
          </cell>
        </row>
        <row r="827">
          <cell r="BD827" t="str">
            <v>.</v>
          </cell>
        </row>
        <row r="828">
          <cell r="BD828" t="str">
            <v>.</v>
          </cell>
        </row>
        <row r="829">
          <cell r="BD829" t="str">
            <v>.</v>
          </cell>
        </row>
        <row r="830">
          <cell r="BD830" t="str">
            <v>.</v>
          </cell>
        </row>
        <row r="831">
          <cell r="BD831" t="str">
            <v>.</v>
          </cell>
        </row>
        <row r="832">
          <cell r="BD832" t="str">
            <v>.</v>
          </cell>
        </row>
        <row r="833">
          <cell r="BD833" t="str">
            <v>.</v>
          </cell>
        </row>
        <row r="834">
          <cell r="BD834" t="str">
            <v>.</v>
          </cell>
        </row>
        <row r="835">
          <cell r="BD835" t="str">
            <v>.</v>
          </cell>
        </row>
        <row r="836">
          <cell r="BD836" t="str">
            <v>.</v>
          </cell>
        </row>
        <row r="837">
          <cell r="BD837" t="str">
            <v>.</v>
          </cell>
        </row>
        <row r="838">
          <cell r="BD838" t="str">
            <v>.</v>
          </cell>
        </row>
        <row r="839">
          <cell r="BD839" t="str">
            <v>.</v>
          </cell>
        </row>
        <row r="840">
          <cell r="BD840" t="str">
            <v>.</v>
          </cell>
        </row>
        <row r="841">
          <cell r="BD841" t="str">
            <v>.</v>
          </cell>
        </row>
        <row r="842">
          <cell r="BD842" t="str">
            <v>.</v>
          </cell>
        </row>
        <row r="843">
          <cell r="BD843" t="str">
            <v>.</v>
          </cell>
        </row>
        <row r="844">
          <cell r="BD844" t="str">
            <v>.</v>
          </cell>
        </row>
        <row r="845">
          <cell r="BD845" t="str">
            <v>.</v>
          </cell>
        </row>
        <row r="846">
          <cell r="BD846" t="str">
            <v>.</v>
          </cell>
        </row>
        <row r="847">
          <cell r="BD847" t="str">
            <v>.</v>
          </cell>
        </row>
        <row r="848">
          <cell r="BD848" t="str">
            <v>.</v>
          </cell>
        </row>
        <row r="849">
          <cell r="BD849" t="str">
            <v>.</v>
          </cell>
        </row>
        <row r="850">
          <cell r="BD850" t="str">
            <v>.</v>
          </cell>
        </row>
        <row r="851">
          <cell r="BD851" t="str">
            <v>.</v>
          </cell>
        </row>
        <row r="852">
          <cell r="BD852" t="str">
            <v>.</v>
          </cell>
        </row>
        <row r="853">
          <cell r="BD853" t="str">
            <v>.</v>
          </cell>
        </row>
        <row r="854">
          <cell r="BD854" t="str">
            <v>.</v>
          </cell>
        </row>
        <row r="855">
          <cell r="BD855" t="str">
            <v>.</v>
          </cell>
        </row>
        <row r="856">
          <cell r="BD856" t="str">
            <v>.</v>
          </cell>
        </row>
        <row r="857">
          <cell r="BD857" t="str">
            <v>.</v>
          </cell>
        </row>
        <row r="858">
          <cell r="BD858" t="str">
            <v>.</v>
          </cell>
        </row>
        <row r="859">
          <cell r="BD859" t="str">
            <v>.</v>
          </cell>
        </row>
        <row r="860">
          <cell r="BD860" t="str">
            <v>.</v>
          </cell>
        </row>
        <row r="861">
          <cell r="BD861" t="str">
            <v>.</v>
          </cell>
        </row>
        <row r="862">
          <cell r="BD862" t="str">
            <v>.</v>
          </cell>
        </row>
        <row r="863">
          <cell r="BD863" t="str">
            <v>.</v>
          </cell>
        </row>
        <row r="864">
          <cell r="BD864" t="str">
            <v>.</v>
          </cell>
        </row>
        <row r="865">
          <cell r="BD865" t="str">
            <v>.</v>
          </cell>
        </row>
        <row r="866">
          <cell r="BD866" t="str">
            <v>.</v>
          </cell>
        </row>
        <row r="867">
          <cell r="BD867" t="str">
            <v>.</v>
          </cell>
        </row>
        <row r="868">
          <cell r="BD868" t="str">
            <v>.</v>
          </cell>
        </row>
        <row r="869">
          <cell r="BD869" t="str">
            <v>.</v>
          </cell>
        </row>
        <row r="870">
          <cell r="BD870" t="str">
            <v>.</v>
          </cell>
        </row>
        <row r="871">
          <cell r="BD871" t="str">
            <v>.</v>
          </cell>
        </row>
        <row r="872">
          <cell r="BD872" t="str">
            <v>.</v>
          </cell>
        </row>
        <row r="873">
          <cell r="BD873" t="str">
            <v>.</v>
          </cell>
        </row>
        <row r="874">
          <cell r="BD874" t="str">
            <v>.</v>
          </cell>
        </row>
        <row r="875">
          <cell r="BD875" t="str">
            <v>.</v>
          </cell>
        </row>
        <row r="876">
          <cell r="BD876" t="str">
            <v>.</v>
          </cell>
        </row>
        <row r="877">
          <cell r="BD877" t="str">
            <v>.</v>
          </cell>
        </row>
        <row r="878">
          <cell r="BD878" t="str">
            <v>.</v>
          </cell>
        </row>
        <row r="879">
          <cell r="BD879" t="str">
            <v>.</v>
          </cell>
        </row>
        <row r="880">
          <cell r="BD880" t="str">
            <v>.</v>
          </cell>
        </row>
        <row r="881">
          <cell r="BD881" t="str">
            <v>.</v>
          </cell>
        </row>
        <row r="882">
          <cell r="BD882" t="str">
            <v>.</v>
          </cell>
        </row>
        <row r="883">
          <cell r="BD883" t="str">
            <v>.</v>
          </cell>
        </row>
        <row r="884">
          <cell r="BD884" t="str">
            <v>.</v>
          </cell>
        </row>
        <row r="885">
          <cell r="BD885" t="str">
            <v>.</v>
          </cell>
        </row>
        <row r="886">
          <cell r="BD886" t="str">
            <v>.</v>
          </cell>
        </row>
        <row r="887">
          <cell r="BD887" t="str">
            <v>.</v>
          </cell>
        </row>
        <row r="888">
          <cell r="BD888" t="str">
            <v>.</v>
          </cell>
        </row>
        <row r="889">
          <cell r="BD889" t="str">
            <v>.</v>
          </cell>
        </row>
        <row r="890">
          <cell r="BD890" t="str">
            <v>.</v>
          </cell>
        </row>
        <row r="891">
          <cell r="BD891" t="str">
            <v>.</v>
          </cell>
        </row>
        <row r="892">
          <cell r="BD892" t="str">
            <v>.</v>
          </cell>
        </row>
        <row r="893">
          <cell r="BD893" t="str">
            <v>.</v>
          </cell>
        </row>
        <row r="894">
          <cell r="BD894" t="str">
            <v>.</v>
          </cell>
        </row>
        <row r="895">
          <cell r="BD895" t="str">
            <v>.</v>
          </cell>
        </row>
        <row r="896">
          <cell r="BD896" t="str">
            <v>.</v>
          </cell>
        </row>
        <row r="897">
          <cell r="BD897" t="str">
            <v>.</v>
          </cell>
        </row>
        <row r="898">
          <cell r="BD898" t="str">
            <v>.</v>
          </cell>
        </row>
        <row r="899">
          <cell r="BD899" t="str">
            <v>.</v>
          </cell>
        </row>
        <row r="900">
          <cell r="BD900" t="str">
            <v>.</v>
          </cell>
        </row>
        <row r="901">
          <cell r="BD901" t="str">
            <v>.</v>
          </cell>
        </row>
        <row r="902">
          <cell r="BD902" t="str">
            <v>.</v>
          </cell>
        </row>
        <row r="903">
          <cell r="BD903" t="str">
            <v>.</v>
          </cell>
        </row>
        <row r="904">
          <cell r="BD904" t="str">
            <v>.</v>
          </cell>
        </row>
        <row r="905">
          <cell r="BD905" t="str">
            <v>.</v>
          </cell>
        </row>
        <row r="906">
          <cell r="BD906" t="str">
            <v>.</v>
          </cell>
        </row>
        <row r="907">
          <cell r="BD907" t="str">
            <v>.</v>
          </cell>
        </row>
        <row r="908">
          <cell r="BD908" t="str">
            <v>.</v>
          </cell>
        </row>
        <row r="909">
          <cell r="BD909" t="str">
            <v>.</v>
          </cell>
        </row>
        <row r="910">
          <cell r="BD910" t="str">
            <v>.</v>
          </cell>
        </row>
        <row r="911">
          <cell r="BD911" t="str">
            <v>.</v>
          </cell>
        </row>
        <row r="912">
          <cell r="BD912" t="str">
            <v>.</v>
          </cell>
        </row>
        <row r="913">
          <cell r="BD913" t="str">
            <v>.</v>
          </cell>
        </row>
        <row r="914">
          <cell r="BD914" t="str">
            <v>.</v>
          </cell>
        </row>
        <row r="915">
          <cell r="BD915" t="str">
            <v>.</v>
          </cell>
        </row>
        <row r="916">
          <cell r="BD916" t="str">
            <v>.</v>
          </cell>
        </row>
        <row r="917">
          <cell r="BD917" t="str">
            <v>.</v>
          </cell>
        </row>
        <row r="918">
          <cell r="BD918" t="str">
            <v>.</v>
          </cell>
        </row>
        <row r="919">
          <cell r="BD919" t="str">
            <v>.</v>
          </cell>
        </row>
        <row r="920">
          <cell r="BD920" t="str">
            <v>.</v>
          </cell>
        </row>
        <row r="921">
          <cell r="BD921" t="str">
            <v>.</v>
          </cell>
        </row>
        <row r="922">
          <cell r="BD922" t="str">
            <v>.</v>
          </cell>
        </row>
        <row r="923">
          <cell r="BD923" t="str">
            <v>.</v>
          </cell>
        </row>
        <row r="924">
          <cell r="BD924" t="str">
            <v>.</v>
          </cell>
        </row>
        <row r="925">
          <cell r="BD925" t="str">
            <v>.</v>
          </cell>
        </row>
        <row r="926">
          <cell r="BD926" t="str">
            <v>.</v>
          </cell>
        </row>
        <row r="927">
          <cell r="BD927" t="str">
            <v>.</v>
          </cell>
        </row>
        <row r="928">
          <cell r="BD928" t="str">
            <v>.</v>
          </cell>
        </row>
        <row r="929">
          <cell r="BD929" t="str">
            <v>.</v>
          </cell>
        </row>
        <row r="930">
          <cell r="BD930" t="str">
            <v>.</v>
          </cell>
        </row>
        <row r="931">
          <cell r="BD931" t="str">
            <v>.</v>
          </cell>
        </row>
        <row r="932">
          <cell r="BD932" t="str">
            <v>.</v>
          </cell>
        </row>
        <row r="933">
          <cell r="BD933" t="str">
            <v>.</v>
          </cell>
        </row>
        <row r="934">
          <cell r="BD934" t="str">
            <v>.</v>
          </cell>
        </row>
        <row r="935">
          <cell r="BD935" t="str">
            <v>.</v>
          </cell>
        </row>
        <row r="936">
          <cell r="BD936" t="str">
            <v>.</v>
          </cell>
        </row>
        <row r="937">
          <cell r="BD937" t="str">
            <v>.</v>
          </cell>
        </row>
        <row r="938">
          <cell r="BD938" t="str">
            <v>.</v>
          </cell>
        </row>
        <row r="939">
          <cell r="BD939" t="str">
            <v>.</v>
          </cell>
        </row>
        <row r="940">
          <cell r="BD940" t="str">
            <v>.</v>
          </cell>
        </row>
        <row r="941">
          <cell r="BD941" t="str">
            <v>.</v>
          </cell>
        </row>
        <row r="942">
          <cell r="BD942" t="str">
            <v>.</v>
          </cell>
        </row>
        <row r="943">
          <cell r="BD943" t="str">
            <v>.</v>
          </cell>
        </row>
        <row r="944">
          <cell r="BD944" t="str">
            <v>.</v>
          </cell>
        </row>
        <row r="945">
          <cell r="BD945" t="str">
            <v>.</v>
          </cell>
        </row>
        <row r="946">
          <cell r="BD946" t="str">
            <v>.</v>
          </cell>
        </row>
        <row r="947">
          <cell r="BD947" t="str">
            <v>.</v>
          </cell>
        </row>
        <row r="948">
          <cell r="BD948" t="str">
            <v>.</v>
          </cell>
        </row>
        <row r="949">
          <cell r="BD949" t="str">
            <v>.</v>
          </cell>
        </row>
        <row r="950">
          <cell r="BD950" t="str">
            <v>.</v>
          </cell>
        </row>
        <row r="951">
          <cell r="BD951" t="str">
            <v>.</v>
          </cell>
        </row>
        <row r="952">
          <cell r="BD952" t="str">
            <v>.</v>
          </cell>
        </row>
        <row r="953">
          <cell r="BD953" t="str">
            <v>.</v>
          </cell>
        </row>
        <row r="954">
          <cell r="BD954" t="str">
            <v>.</v>
          </cell>
        </row>
        <row r="955">
          <cell r="BD955" t="str">
            <v>.</v>
          </cell>
        </row>
        <row r="956">
          <cell r="BD956" t="str">
            <v>.</v>
          </cell>
        </row>
        <row r="957">
          <cell r="BD957" t="str">
            <v>.</v>
          </cell>
        </row>
        <row r="958">
          <cell r="BD958" t="str">
            <v>.</v>
          </cell>
        </row>
        <row r="959">
          <cell r="BD959" t="str">
            <v>.</v>
          </cell>
        </row>
        <row r="960">
          <cell r="BD960" t="str">
            <v>.</v>
          </cell>
        </row>
        <row r="961">
          <cell r="BD961" t="str">
            <v>.</v>
          </cell>
        </row>
        <row r="962">
          <cell r="BD962" t="str">
            <v>.</v>
          </cell>
        </row>
        <row r="963">
          <cell r="BD963" t="str">
            <v>.</v>
          </cell>
        </row>
        <row r="964">
          <cell r="BD964" t="str">
            <v>.</v>
          </cell>
        </row>
        <row r="965">
          <cell r="BD965" t="str">
            <v>.</v>
          </cell>
        </row>
        <row r="966">
          <cell r="BD966" t="str">
            <v>.</v>
          </cell>
        </row>
        <row r="967">
          <cell r="BD967" t="str">
            <v>.</v>
          </cell>
        </row>
        <row r="968">
          <cell r="BD968" t="str">
            <v>.</v>
          </cell>
        </row>
        <row r="969">
          <cell r="BD969" t="str">
            <v>.</v>
          </cell>
        </row>
        <row r="970">
          <cell r="BD970" t="str">
            <v>.</v>
          </cell>
        </row>
        <row r="971">
          <cell r="BD971" t="str">
            <v>.</v>
          </cell>
        </row>
        <row r="972">
          <cell r="BD972" t="str">
            <v>.</v>
          </cell>
        </row>
        <row r="973">
          <cell r="BD973" t="str">
            <v>.</v>
          </cell>
        </row>
        <row r="974">
          <cell r="BD974" t="str">
            <v>.</v>
          </cell>
        </row>
        <row r="975">
          <cell r="BD975" t="str">
            <v>.</v>
          </cell>
        </row>
        <row r="976">
          <cell r="BD976" t="str">
            <v>.</v>
          </cell>
        </row>
        <row r="977">
          <cell r="BD977" t="str">
            <v>.</v>
          </cell>
        </row>
        <row r="978">
          <cell r="BD978" t="str">
            <v>.</v>
          </cell>
        </row>
        <row r="979">
          <cell r="BD979" t="str">
            <v>.</v>
          </cell>
        </row>
        <row r="980">
          <cell r="BD980" t="str">
            <v>.</v>
          </cell>
        </row>
        <row r="981">
          <cell r="BD981" t="str">
            <v>.</v>
          </cell>
        </row>
        <row r="982">
          <cell r="BD982" t="str">
            <v>.</v>
          </cell>
        </row>
        <row r="983">
          <cell r="BD983" t="str">
            <v>.</v>
          </cell>
        </row>
        <row r="984">
          <cell r="BD984" t="str">
            <v>.</v>
          </cell>
        </row>
        <row r="985">
          <cell r="BD985" t="str">
            <v>.</v>
          </cell>
        </row>
        <row r="986">
          <cell r="BD986" t="str">
            <v>.</v>
          </cell>
        </row>
        <row r="987">
          <cell r="BD987" t="str">
            <v>.</v>
          </cell>
        </row>
        <row r="988">
          <cell r="BD988" t="str">
            <v>.</v>
          </cell>
        </row>
        <row r="989">
          <cell r="BD989" t="str">
            <v>.</v>
          </cell>
        </row>
        <row r="990">
          <cell r="BD990" t="str">
            <v>.</v>
          </cell>
        </row>
        <row r="991">
          <cell r="BD991" t="str">
            <v>.</v>
          </cell>
        </row>
        <row r="992">
          <cell r="BD992" t="str">
            <v>.</v>
          </cell>
        </row>
        <row r="993">
          <cell r="BD993" t="str">
            <v>.</v>
          </cell>
        </row>
        <row r="994">
          <cell r="BD994" t="str">
            <v>.</v>
          </cell>
        </row>
        <row r="995">
          <cell r="BD995" t="str">
            <v>.</v>
          </cell>
        </row>
        <row r="996">
          <cell r="BD996" t="str">
            <v>.</v>
          </cell>
        </row>
        <row r="997">
          <cell r="A997" t="str">
            <v>.</v>
          </cell>
          <cell r="B997" t="str">
            <v>.</v>
          </cell>
          <cell r="C997" t="str">
            <v>.</v>
          </cell>
          <cell r="D997" t="str">
            <v>.</v>
          </cell>
          <cell r="E997" t="str">
            <v>.</v>
          </cell>
          <cell r="F997" t="str">
            <v>.</v>
          </cell>
          <cell r="G997" t="str">
            <v>.</v>
          </cell>
          <cell r="H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cell r="BB997" t="str">
            <v>.</v>
          </cell>
          <cell r="BC997" t="str">
            <v>.</v>
          </cell>
          <cell r="BD997" t="str">
            <v>.</v>
          </cell>
        </row>
      </sheetData>
      <sheetData sheetId="25" refreshError="1">
        <row r="1">
          <cell r="U1" t="str">
            <v>SmartCharts</v>
          </cell>
          <cell r="BD1" t="str">
            <v>.</v>
          </cell>
        </row>
        <row r="2">
          <cell r="BD2" t="str">
            <v>.</v>
          </cell>
        </row>
        <row r="3">
          <cell r="BD3" t="str">
            <v>.</v>
          </cell>
        </row>
        <row r="4">
          <cell r="BD4" t="str">
            <v>.</v>
          </cell>
        </row>
        <row r="5">
          <cell r="C5" t="str">
            <v>Define value axis here:</v>
          </cell>
        </row>
        <row r="6">
          <cell r="C6" t="str">
            <v>Eli Lilly YOY revenue change 2010E-2015E</v>
          </cell>
        </row>
        <row r="10">
          <cell r="C10" t="str">
            <v>Input your data here:</v>
          </cell>
          <cell r="BD10" t="str">
            <v>.</v>
          </cell>
        </row>
        <row r="11">
          <cell r="C11" t="str">
            <v>Sales ($M)</v>
          </cell>
          <cell r="D11" t="str">
            <v>2011E</v>
          </cell>
          <cell r="E11" t="str">
            <v>2012E</v>
          </cell>
          <cell r="F11" t="str">
            <v>2013E</v>
          </cell>
          <cell r="G11" t="str">
            <v>2014E</v>
          </cell>
          <cell r="H11" t="str">
            <v>2015E</v>
          </cell>
          <cell r="BC11" t="str">
            <v>.</v>
          </cell>
        </row>
        <row r="12">
          <cell r="C12" t="str">
            <v>In-line products</v>
          </cell>
          <cell r="D12">
            <v>680.47624304999954</v>
          </cell>
          <cell r="E12">
            <v>486.26563373899808</v>
          </cell>
          <cell r="F12">
            <v>392.20336252127527</v>
          </cell>
          <cell r="G12">
            <v>408.45276247114634</v>
          </cell>
          <cell r="H12">
            <v>281.70162648130463</v>
          </cell>
          <cell r="BC12" t="str">
            <v>.</v>
          </cell>
        </row>
        <row r="13">
          <cell r="A13" t="str">
            <v>.</v>
          </cell>
          <cell r="C13" t="str">
            <v>Pipeline products launching 2010–2015</v>
          </cell>
          <cell r="D13">
            <v>190.9375</v>
          </cell>
          <cell r="E13">
            <v>310.83749999999986</v>
          </cell>
          <cell r="F13">
            <v>545.88500000000022</v>
          </cell>
          <cell r="G13">
            <v>871.89729999999986</v>
          </cell>
          <cell r="H13">
            <v>1191.6988575</v>
          </cell>
          <cell r="BC13" t="str">
            <v>.</v>
          </cell>
        </row>
        <row r="14">
          <cell r="C14" t="str">
            <v>Products expiring 2010–2015</v>
          </cell>
          <cell r="D14">
            <v>-371.49615019999874</v>
          </cell>
          <cell r="E14">
            <v>-2226.0126789459991</v>
          </cell>
          <cell r="F14">
            <v>-713.0858879557818</v>
          </cell>
          <cell r="G14">
            <v>-2566.7028729389294</v>
          </cell>
          <cell r="H14">
            <v>-2382.3369144914741</v>
          </cell>
          <cell r="BC14" t="str">
            <v>.</v>
          </cell>
        </row>
        <row r="15">
          <cell r="C15" t="str">
            <v>Net YOY change</v>
          </cell>
          <cell r="D15">
            <v>499.9175928500008</v>
          </cell>
          <cell r="E15">
            <v>-1428.9095452069996</v>
          </cell>
          <cell r="F15">
            <v>225.00247456549187</v>
          </cell>
          <cell r="G15">
            <v>-1286.3528104677825</v>
          </cell>
          <cell r="H15">
            <v>-908.93643051016988</v>
          </cell>
          <cell r="BC15" t="str">
            <v>.</v>
          </cell>
        </row>
        <row r="16">
          <cell r="BC16" t="str">
            <v>.</v>
          </cell>
        </row>
        <row r="17">
          <cell r="BD17" t="str">
            <v>.</v>
          </cell>
        </row>
        <row r="18">
          <cell r="BD18" t="str">
            <v>.</v>
          </cell>
        </row>
        <row r="20">
          <cell r="BD20" t="str">
            <v>.</v>
          </cell>
        </row>
        <row r="21">
          <cell r="BD21" t="str">
            <v>.</v>
          </cell>
        </row>
        <row r="22">
          <cell r="BD22" t="str">
            <v>.</v>
          </cell>
        </row>
        <row r="23">
          <cell r="BD23" t="str">
            <v>.</v>
          </cell>
        </row>
        <row r="24">
          <cell r="BD24" t="str">
            <v>.</v>
          </cell>
        </row>
        <row r="25">
          <cell r="BD25" t="str">
            <v>.</v>
          </cell>
        </row>
        <row r="26">
          <cell r="BD26" t="str">
            <v>.</v>
          </cell>
        </row>
        <row r="27">
          <cell r="BD27" t="str">
            <v>.</v>
          </cell>
        </row>
        <row r="28">
          <cell r="BD28" t="str">
            <v>.</v>
          </cell>
        </row>
        <row r="29">
          <cell r="BD29" t="str">
            <v>.</v>
          </cell>
        </row>
        <row r="30">
          <cell r="BD30" t="str">
            <v>.</v>
          </cell>
        </row>
        <row r="31">
          <cell r="BD31" t="str">
            <v>.</v>
          </cell>
        </row>
        <row r="32">
          <cell r="BD32" t="str">
            <v>.</v>
          </cell>
        </row>
        <row r="33">
          <cell r="BD33" t="str">
            <v>.</v>
          </cell>
        </row>
        <row r="34">
          <cell r="BD34" t="str">
            <v>.</v>
          </cell>
        </row>
        <row r="35">
          <cell r="BD35" t="str">
            <v>.</v>
          </cell>
        </row>
        <row r="36">
          <cell r="BD36" t="str">
            <v>.</v>
          </cell>
        </row>
        <row r="37">
          <cell r="M37" t="str">
            <v>Do not change the width of the exhibit or font sizes (they are optimized for export to Word).</v>
          </cell>
          <cell r="BD37" t="str">
            <v>.</v>
          </cell>
        </row>
        <row r="38">
          <cell r="BD38" t="str">
            <v>.</v>
          </cell>
        </row>
        <row r="39">
          <cell r="M39" t="str">
            <v>Do not delete any rows or columns (some gray cells are used for calculations).</v>
          </cell>
          <cell r="BD39" t="str">
            <v>.</v>
          </cell>
        </row>
        <row r="40">
          <cell r="BD40" t="str">
            <v>.</v>
          </cell>
        </row>
        <row r="41">
          <cell r="BD41" t="str">
            <v>.</v>
          </cell>
        </row>
        <row r="42">
          <cell r="BD42" t="str">
            <v>.</v>
          </cell>
        </row>
        <row r="43">
          <cell r="BD43" t="str">
            <v>.</v>
          </cell>
        </row>
        <row r="44">
          <cell r="BD44" t="str">
            <v>.</v>
          </cell>
        </row>
        <row r="45">
          <cell r="BD45" t="str">
            <v>.</v>
          </cell>
        </row>
        <row r="46">
          <cell r="BD46" t="str">
            <v>.</v>
          </cell>
        </row>
        <row r="47">
          <cell r="BD47" t="str">
            <v>.</v>
          </cell>
        </row>
        <row r="48">
          <cell r="BD48" t="str">
            <v>.</v>
          </cell>
        </row>
        <row r="49">
          <cell r="BD49" t="str">
            <v>.</v>
          </cell>
        </row>
        <row r="50">
          <cell r="BD50" t="str">
            <v>.</v>
          </cell>
        </row>
        <row r="51">
          <cell r="BD51" t="str">
            <v>.</v>
          </cell>
        </row>
        <row r="52">
          <cell r="BD52" t="str">
            <v>.</v>
          </cell>
        </row>
        <row r="53">
          <cell r="BD53" t="str">
            <v>.</v>
          </cell>
        </row>
        <row r="54">
          <cell r="BD54" t="str">
            <v>.</v>
          </cell>
        </row>
        <row r="55">
          <cell r="BD55" t="str">
            <v>.</v>
          </cell>
        </row>
        <row r="56">
          <cell r="BD56" t="str">
            <v>.</v>
          </cell>
        </row>
        <row r="57">
          <cell r="BD57" t="str">
            <v>.</v>
          </cell>
        </row>
        <row r="58">
          <cell r="BD58" t="str">
            <v>.</v>
          </cell>
        </row>
        <row r="59">
          <cell r="BD59" t="str">
            <v>.</v>
          </cell>
        </row>
        <row r="60">
          <cell r="BD60" t="str">
            <v>.</v>
          </cell>
        </row>
        <row r="61">
          <cell r="BD61" t="str">
            <v>.</v>
          </cell>
        </row>
        <row r="62">
          <cell r="BD62" t="str">
            <v>.</v>
          </cell>
        </row>
        <row r="63">
          <cell r="BD63" t="str">
            <v>.</v>
          </cell>
        </row>
        <row r="64">
          <cell r="BD64" t="str">
            <v>.</v>
          </cell>
        </row>
        <row r="65">
          <cell r="BD65" t="str">
            <v>.</v>
          </cell>
        </row>
        <row r="66">
          <cell r="BD66" t="str">
            <v>.</v>
          </cell>
        </row>
        <row r="67">
          <cell r="BD67" t="str">
            <v>.</v>
          </cell>
        </row>
        <row r="68">
          <cell r="BD68" t="str">
            <v>.</v>
          </cell>
        </row>
        <row r="69">
          <cell r="BD69" t="str">
            <v>.</v>
          </cell>
        </row>
        <row r="70">
          <cell r="BD70" t="str">
            <v>.</v>
          </cell>
        </row>
        <row r="71">
          <cell r="BD71" t="str">
            <v>.</v>
          </cell>
        </row>
        <row r="72">
          <cell r="BD72" t="str">
            <v>.</v>
          </cell>
        </row>
        <row r="73">
          <cell r="BD73" t="str">
            <v>.</v>
          </cell>
        </row>
        <row r="74">
          <cell r="BD74" t="str">
            <v>.</v>
          </cell>
        </row>
        <row r="75">
          <cell r="BD75" t="str">
            <v>.</v>
          </cell>
        </row>
        <row r="76">
          <cell r="BD76" t="str">
            <v>.</v>
          </cell>
        </row>
        <row r="77">
          <cell r="BD77" t="str">
            <v>.</v>
          </cell>
        </row>
        <row r="78">
          <cell r="BD78" t="str">
            <v>.</v>
          </cell>
        </row>
        <row r="79">
          <cell r="BD79" t="str">
            <v>.</v>
          </cell>
        </row>
        <row r="80">
          <cell r="BD80" t="str">
            <v>.</v>
          </cell>
        </row>
        <row r="81">
          <cell r="BD81" t="str">
            <v>.</v>
          </cell>
        </row>
        <row r="82">
          <cell r="BD82" t="str">
            <v>.</v>
          </cell>
        </row>
        <row r="83">
          <cell r="BD83" t="str">
            <v>.</v>
          </cell>
        </row>
        <row r="84">
          <cell r="BD84" t="str">
            <v>.</v>
          </cell>
        </row>
        <row r="85">
          <cell r="BD85" t="str">
            <v>.</v>
          </cell>
        </row>
        <row r="86">
          <cell r="BD86" t="str">
            <v>.</v>
          </cell>
        </row>
        <row r="87">
          <cell r="BD87" t="str">
            <v>.</v>
          </cell>
        </row>
        <row r="88">
          <cell r="BD88" t="str">
            <v>.</v>
          </cell>
        </row>
        <row r="89">
          <cell r="BD89" t="str">
            <v>.</v>
          </cell>
        </row>
        <row r="90">
          <cell r="BD90" t="str">
            <v>.</v>
          </cell>
        </row>
        <row r="91">
          <cell r="BD91" t="str">
            <v>.</v>
          </cell>
        </row>
        <row r="92">
          <cell r="BD92" t="str">
            <v>.</v>
          </cell>
        </row>
        <row r="93">
          <cell r="BD93" t="str">
            <v>.</v>
          </cell>
        </row>
        <row r="94">
          <cell r="BD94" t="str">
            <v>.</v>
          </cell>
        </row>
        <row r="95">
          <cell r="BD95" t="str">
            <v>.</v>
          </cell>
        </row>
        <row r="96">
          <cell r="BD96" t="str">
            <v>.</v>
          </cell>
        </row>
        <row r="97">
          <cell r="BD97" t="str">
            <v>.</v>
          </cell>
        </row>
        <row r="98">
          <cell r="BD98" t="str">
            <v>.</v>
          </cell>
        </row>
        <row r="99">
          <cell r="BD99" t="str">
            <v>.</v>
          </cell>
        </row>
        <row r="100">
          <cell r="BD100" t="str">
            <v>.</v>
          </cell>
        </row>
        <row r="101">
          <cell r="BD101" t="str">
            <v>.</v>
          </cell>
        </row>
        <row r="102">
          <cell r="BD102" t="str">
            <v>.</v>
          </cell>
        </row>
        <row r="103">
          <cell r="BD103" t="str">
            <v>.</v>
          </cell>
        </row>
        <row r="104">
          <cell r="BD104" t="str">
            <v>.</v>
          </cell>
        </row>
        <row r="105">
          <cell r="BD105" t="str">
            <v>.</v>
          </cell>
        </row>
        <row r="106">
          <cell r="BD106" t="str">
            <v>.</v>
          </cell>
        </row>
        <row r="107">
          <cell r="BD107" t="str">
            <v>.</v>
          </cell>
        </row>
        <row r="108">
          <cell r="BD108" t="str">
            <v>.</v>
          </cell>
        </row>
        <row r="109">
          <cell r="BD109" t="str">
            <v>.</v>
          </cell>
        </row>
        <row r="110">
          <cell r="BD110" t="str">
            <v>.</v>
          </cell>
        </row>
        <row r="111">
          <cell r="BD111" t="str">
            <v>.</v>
          </cell>
        </row>
        <row r="112">
          <cell r="BD112" t="str">
            <v>.</v>
          </cell>
        </row>
        <row r="113">
          <cell r="BD113" t="str">
            <v>.</v>
          </cell>
        </row>
        <row r="114">
          <cell r="BD114" t="str">
            <v>.</v>
          </cell>
        </row>
        <row r="115">
          <cell r="BD115" t="str">
            <v>.</v>
          </cell>
        </row>
        <row r="116">
          <cell r="BD116" t="str">
            <v>.</v>
          </cell>
        </row>
        <row r="117">
          <cell r="BD117" t="str">
            <v>.</v>
          </cell>
        </row>
        <row r="118">
          <cell r="BD118" t="str">
            <v>.</v>
          </cell>
        </row>
        <row r="119">
          <cell r="BD119" t="str">
            <v>.</v>
          </cell>
        </row>
        <row r="120">
          <cell r="BD120" t="str">
            <v>.</v>
          </cell>
        </row>
        <row r="121">
          <cell r="BD121" t="str">
            <v>.</v>
          </cell>
        </row>
        <row r="122">
          <cell r="BD122" t="str">
            <v>.</v>
          </cell>
        </row>
        <row r="123">
          <cell r="BD123" t="str">
            <v>.</v>
          </cell>
        </row>
        <row r="124">
          <cell r="BD124" t="str">
            <v>.</v>
          </cell>
        </row>
        <row r="125">
          <cell r="BD125" t="str">
            <v>.</v>
          </cell>
        </row>
        <row r="126">
          <cell r="BD126" t="str">
            <v>.</v>
          </cell>
        </row>
        <row r="127">
          <cell r="BD127" t="str">
            <v>.</v>
          </cell>
        </row>
        <row r="128">
          <cell r="BD128" t="str">
            <v>.</v>
          </cell>
        </row>
        <row r="129">
          <cell r="BD129" t="str">
            <v>.</v>
          </cell>
        </row>
        <row r="130">
          <cell r="BD130" t="str">
            <v>.</v>
          </cell>
        </row>
        <row r="131">
          <cell r="BD131" t="str">
            <v>.</v>
          </cell>
        </row>
        <row r="132">
          <cell r="BD132" t="str">
            <v>.</v>
          </cell>
        </row>
        <row r="133">
          <cell r="BD133" t="str">
            <v>.</v>
          </cell>
        </row>
        <row r="134">
          <cell r="BD134" t="str">
            <v>.</v>
          </cell>
        </row>
        <row r="135">
          <cell r="BD135" t="str">
            <v>.</v>
          </cell>
        </row>
        <row r="136">
          <cell r="BD136" t="str">
            <v>.</v>
          </cell>
        </row>
        <row r="137">
          <cell r="BD137" t="str">
            <v>.</v>
          </cell>
        </row>
        <row r="138">
          <cell r="BD138" t="str">
            <v>.</v>
          </cell>
        </row>
        <row r="139">
          <cell r="BD139" t="str">
            <v>.</v>
          </cell>
        </row>
        <row r="140">
          <cell r="BD140" t="str">
            <v>.</v>
          </cell>
        </row>
        <row r="141">
          <cell r="BD141" t="str">
            <v>.</v>
          </cell>
        </row>
        <row r="142">
          <cell r="BD142" t="str">
            <v>.</v>
          </cell>
        </row>
        <row r="143">
          <cell r="BD143" t="str">
            <v>.</v>
          </cell>
        </row>
        <row r="144">
          <cell r="BD144" t="str">
            <v>.</v>
          </cell>
        </row>
        <row r="145">
          <cell r="BD145" t="str">
            <v>.</v>
          </cell>
        </row>
        <row r="146">
          <cell r="BD146" t="str">
            <v>.</v>
          </cell>
        </row>
        <row r="147">
          <cell r="BD147" t="str">
            <v>.</v>
          </cell>
        </row>
        <row r="148">
          <cell r="BD148" t="str">
            <v>.</v>
          </cell>
        </row>
        <row r="149">
          <cell r="BD149" t="str">
            <v>.</v>
          </cell>
        </row>
        <row r="150">
          <cell r="BD150" t="str">
            <v>.</v>
          </cell>
        </row>
        <row r="151">
          <cell r="BD151" t="str">
            <v>.</v>
          </cell>
        </row>
        <row r="152">
          <cell r="BD152" t="str">
            <v>.</v>
          </cell>
        </row>
        <row r="153">
          <cell r="BD153" t="str">
            <v>.</v>
          </cell>
        </row>
        <row r="154">
          <cell r="BD154" t="str">
            <v>.</v>
          </cell>
        </row>
        <row r="155">
          <cell r="BD155" t="str">
            <v>.</v>
          </cell>
        </row>
        <row r="156">
          <cell r="BD156" t="str">
            <v>.</v>
          </cell>
        </row>
        <row r="157">
          <cell r="BD157" t="str">
            <v>.</v>
          </cell>
        </row>
        <row r="158">
          <cell r="BD158" t="str">
            <v>.</v>
          </cell>
        </row>
        <row r="159">
          <cell r="BD159" t="str">
            <v>.</v>
          </cell>
        </row>
        <row r="160">
          <cell r="BD160" t="str">
            <v>.</v>
          </cell>
        </row>
        <row r="161">
          <cell r="BD161" t="str">
            <v>.</v>
          </cell>
        </row>
        <row r="162">
          <cell r="BD162" t="str">
            <v>.</v>
          </cell>
        </row>
        <row r="163">
          <cell r="BD163" t="str">
            <v>.</v>
          </cell>
        </row>
        <row r="164">
          <cell r="BD164" t="str">
            <v>.</v>
          </cell>
        </row>
        <row r="165">
          <cell r="BD165" t="str">
            <v>.</v>
          </cell>
        </row>
        <row r="166">
          <cell r="BD166" t="str">
            <v>.</v>
          </cell>
        </row>
        <row r="167">
          <cell r="BD167" t="str">
            <v>.</v>
          </cell>
        </row>
        <row r="168">
          <cell r="BD168" t="str">
            <v>.</v>
          </cell>
        </row>
        <row r="169">
          <cell r="BD169" t="str">
            <v>.</v>
          </cell>
        </row>
        <row r="170">
          <cell r="BD170" t="str">
            <v>.</v>
          </cell>
        </row>
        <row r="171">
          <cell r="BD171" t="str">
            <v>.</v>
          </cell>
        </row>
        <row r="172">
          <cell r="BD172" t="str">
            <v>.</v>
          </cell>
        </row>
        <row r="173">
          <cell r="BD173" t="str">
            <v>.</v>
          </cell>
        </row>
        <row r="174">
          <cell r="BD174" t="str">
            <v>.</v>
          </cell>
        </row>
        <row r="175">
          <cell r="BD175" t="str">
            <v>.</v>
          </cell>
        </row>
        <row r="176">
          <cell r="BD176" t="str">
            <v>.</v>
          </cell>
        </row>
        <row r="177">
          <cell r="BD177" t="str">
            <v>.</v>
          </cell>
        </row>
        <row r="178">
          <cell r="BD178" t="str">
            <v>.</v>
          </cell>
        </row>
        <row r="179">
          <cell r="BD179" t="str">
            <v>.</v>
          </cell>
        </row>
        <row r="180">
          <cell r="BD180" t="str">
            <v>.</v>
          </cell>
        </row>
        <row r="181">
          <cell r="BD181" t="str">
            <v>.</v>
          </cell>
        </row>
        <row r="182">
          <cell r="BD182" t="str">
            <v>.</v>
          </cell>
        </row>
        <row r="183">
          <cell r="BD183" t="str">
            <v>.</v>
          </cell>
        </row>
        <row r="184">
          <cell r="BD184" t="str">
            <v>.</v>
          </cell>
        </row>
        <row r="185">
          <cell r="BD185" t="str">
            <v>.</v>
          </cell>
        </row>
        <row r="186">
          <cell r="BD186" t="str">
            <v>.</v>
          </cell>
        </row>
        <row r="187">
          <cell r="BD187" t="str">
            <v>.</v>
          </cell>
        </row>
        <row r="188">
          <cell r="BD188" t="str">
            <v>.</v>
          </cell>
        </row>
        <row r="189">
          <cell r="BD189" t="str">
            <v>.</v>
          </cell>
        </row>
        <row r="190">
          <cell r="BD190" t="str">
            <v>.</v>
          </cell>
        </row>
        <row r="191">
          <cell r="BD191" t="str">
            <v>.</v>
          </cell>
        </row>
        <row r="192">
          <cell r="BD192" t="str">
            <v>.</v>
          </cell>
        </row>
        <row r="193">
          <cell r="BD193" t="str">
            <v>.</v>
          </cell>
        </row>
        <row r="194">
          <cell r="BD194" t="str">
            <v>.</v>
          </cell>
        </row>
        <row r="195">
          <cell r="BD195" t="str">
            <v>.</v>
          </cell>
        </row>
        <row r="196">
          <cell r="BD196" t="str">
            <v>.</v>
          </cell>
        </row>
        <row r="197">
          <cell r="BD197" t="str">
            <v>.</v>
          </cell>
        </row>
        <row r="198">
          <cell r="BD198" t="str">
            <v>.</v>
          </cell>
        </row>
        <row r="199">
          <cell r="BD199" t="str">
            <v>.</v>
          </cell>
        </row>
        <row r="200">
          <cell r="BD200" t="str">
            <v>.</v>
          </cell>
        </row>
        <row r="201">
          <cell r="BD201" t="str">
            <v>.</v>
          </cell>
        </row>
        <row r="202">
          <cell r="BD202" t="str">
            <v>.</v>
          </cell>
        </row>
        <row r="203">
          <cell r="BD203" t="str">
            <v>.</v>
          </cell>
        </row>
        <row r="204">
          <cell r="BD204" t="str">
            <v>.</v>
          </cell>
        </row>
        <row r="205">
          <cell r="BD205" t="str">
            <v>.</v>
          </cell>
        </row>
        <row r="206">
          <cell r="BD206" t="str">
            <v>.</v>
          </cell>
        </row>
        <row r="207">
          <cell r="BD207" t="str">
            <v>.</v>
          </cell>
        </row>
        <row r="208">
          <cell r="BD208" t="str">
            <v>.</v>
          </cell>
        </row>
        <row r="209">
          <cell r="BD209" t="str">
            <v>.</v>
          </cell>
        </row>
        <row r="210">
          <cell r="BD210" t="str">
            <v>.</v>
          </cell>
        </row>
        <row r="211">
          <cell r="BD211" t="str">
            <v>.</v>
          </cell>
        </row>
        <row r="212">
          <cell r="BD212" t="str">
            <v>.</v>
          </cell>
        </row>
        <row r="213">
          <cell r="BD213" t="str">
            <v>.</v>
          </cell>
        </row>
        <row r="214">
          <cell r="BD214" t="str">
            <v>.</v>
          </cell>
        </row>
        <row r="215">
          <cell r="BD215" t="str">
            <v>.</v>
          </cell>
        </row>
        <row r="216">
          <cell r="BD216" t="str">
            <v>.</v>
          </cell>
        </row>
        <row r="217">
          <cell r="BD217" t="str">
            <v>.</v>
          </cell>
        </row>
        <row r="218">
          <cell r="BD218" t="str">
            <v>.</v>
          </cell>
        </row>
        <row r="219">
          <cell r="BD219" t="str">
            <v>.</v>
          </cell>
        </row>
        <row r="220">
          <cell r="BD220" t="str">
            <v>.</v>
          </cell>
        </row>
        <row r="221">
          <cell r="BD221" t="str">
            <v>.</v>
          </cell>
        </row>
        <row r="222">
          <cell r="BD222" t="str">
            <v>.</v>
          </cell>
        </row>
        <row r="223">
          <cell r="BD223" t="str">
            <v>.</v>
          </cell>
        </row>
        <row r="224">
          <cell r="BD224" t="str">
            <v>.</v>
          </cell>
        </row>
        <row r="225">
          <cell r="BD225" t="str">
            <v>.</v>
          </cell>
        </row>
        <row r="226">
          <cell r="BD226" t="str">
            <v>.</v>
          </cell>
        </row>
        <row r="227">
          <cell r="BD227" t="str">
            <v>.</v>
          </cell>
        </row>
        <row r="228">
          <cell r="BD228" t="str">
            <v>.</v>
          </cell>
        </row>
        <row r="229">
          <cell r="BD229" t="str">
            <v>.</v>
          </cell>
        </row>
        <row r="230">
          <cell r="BD230" t="str">
            <v>.</v>
          </cell>
        </row>
        <row r="231">
          <cell r="BD231" t="str">
            <v>.</v>
          </cell>
        </row>
        <row r="232">
          <cell r="BD232" t="str">
            <v>.</v>
          </cell>
        </row>
        <row r="233">
          <cell r="BD233" t="str">
            <v>.</v>
          </cell>
        </row>
        <row r="234">
          <cell r="BD234" t="str">
            <v>.</v>
          </cell>
        </row>
        <row r="235">
          <cell r="BD235" t="str">
            <v>.</v>
          </cell>
        </row>
        <row r="236">
          <cell r="BD236" t="str">
            <v>.</v>
          </cell>
        </row>
        <row r="237">
          <cell r="BD237" t="str">
            <v>.</v>
          </cell>
        </row>
        <row r="238">
          <cell r="BD238" t="str">
            <v>.</v>
          </cell>
        </row>
        <row r="239">
          <cell r="BD239" t="str">
            <v>.</v>
          </cell>
        </row>
        <row r="240">
          <cell r="BD240" t="str">
            <v>.</v>
          </cell>
        </row>
        <row r="241">
          <cell r="BD241" t="str">
            <v>.</v>
          </cell>
        </row>
        <row r="242">
          <cell r="BD242" t="str">
            <v>.</v>
          </cell>
        </row>
        <row r="243">
          <cell r="BD243" t="str">
            <v>.</v>
          </cell>
        </row>
        <row r="244">
          <cell r="BD244" t="str">
            <v>.</v>
          </cell>
        </row>
        <row r="245">
          <cell r="BD245" t="str">
            <v>.</v>
          </cell>
        </row>
        <row r="246">
          <cell r="BD246" t="str">
            <v>.</v>
          </cell>
        </row>
        <row r="247">
          <cell r="BD247" t="str">
            <v>.</v>
          </cell>
        </row>
        <row r="248">
          <cell r="BD248" t="str">
            <v>.</v>
          </cell>
        </row>
        <row r="249">
          <cell r="BD249" t="str">
            <v>.</v>
          </cell>
        </row>
        <row r="250">
          <cell r="BD250" t="str">
            <v>.</v>
          </cell>
        </row>
        <row r="251">
          <cell r="BD251" t="str">
            <v>.</v>
          </cell>
        </row>
        <row r="252">
          <cell r="BD252" t="str">
            <v>.</v>
          </cell>
        </row>
        <row r="253">
          <cell r="BD253" t="str">
            <v>.</v>
          </cell>
        </row>
        <row r="254">
          <cell r="BD254" t="str">
            <v>.</v>
          </cell>
        </row>
        <row r="255">
          <cell r="BD255" t="str">
            <v>.</v>
          </cell>
        </row>
        <row r="256">
          <cell r="BD256" t="str">
            <v>.</v>
          </cell>
        </row>
        <row r="257">
          <cell r="BD257" t="str">
            <v>.</v>
          </cell>
        </row>
        <row r="258">
          <cell r="BD258" t="str">
            <v>.</v>
          </cell>
        </row>
        <row r="259">
          <cell r="BD259" t="str">
            <v>.</v>
          </cell>
        </row>
        <row r="260">
          <cell r="BD260" t="str">
            <v>.</v>
          </cell>
        </row>
        <row r="261">
          <cell r="BD261" t="str">
            <v>.</v>
          </cell>
        </row>
        <row r="262">
          <cell r="BD262" t="str">
            <v>.</v>
          </cell>
        </row>
        <row r="263">
          <cell r="BD263" t="str">
            <v>.</v>
          </cell>
        </row>
        <row r="264">
          <cell r="BD264" t="str">
            <v>.</v>
          </cell>
        </row>
        <row r="265">
          <cell r="BD265" t="str">
            <v>.</v>
          </cell>
        </row>
        <row r="266">
          <cell r="BD266" t="str">
            <v>.</v>
          </cell>
        </row>
        <row r="267">
          <cell r="BD267" t="str">
            <v>.</v>
          </cell>
        </row>
        <row r="268">
          <cell r="BD268" t="str">
            <v>.</v>
          </cell>
        </row>
        <row r="269">
          <cell r="BD269" t="str">
            <v>.</v>
          </cell>
        </row>
        <row r="270">
          <cell r="BD270" t="str">
            <v>.</v>
          </cell>
        </row>
        <row r="271">
          <cell r="BD271" t="str">
            <v>.</v>
          </cell>
        </row>
        <row r="272">
          <cell r="BD272" t="str">
            <v>.</v>
          </cell>
        </row>
        <row r="273">
          <cell r="BD273" t="str">
            <v>.</v>
          </cell>
        </row>
        <row r="274">
          <cell r="BD274" t="str">
            <v>.</v>
          </cell>
        </row>
        <row r="275">
          <cell r="BD275" t="str">
            <v>.</v>
          </cell>
        </row>
        <row r="276">
          <cell r="BD276" t="str">
            <v>.</v>
          </cell>
        </row>
        <row r="277">
          <cell r="BD277" t="str">
            <v>.</v>
          </cell>
        </row>
        <row r="278">
          <cell r="BD278" t="str">
            <v>.</v>
          </cell>
        </row>
        <row r="279">
          <cell r="BD279" t="str">
            <v>.</v>
          </cell>
        </row>
        <row r="280">
          <cell r="BD280" t="str">
            <v>.</v>
          </cell>
        </row>
        <row r="281">
          <cell r="BD281" t="str">
            <v>.</v>
          </cell>
        </row>
        <row r="282">
          <cell r="BD282" t="str">
            <v>.</v>
          </cell>
        </row>
        <row r="283">
          <cell r="BD283" t="str">
            <v>.</v>
          </cell>
        </row>
        <row r="284">
          <cell r="BD284" t="str">
            <v>.</v>
          </cell>
        </row>
        <row r="285">
          <cell r="BD285" t="str">
            <v>.</v>
          </cell>
        </row>
        <row r="286">
          <cell r="BD286" t="str">
            <v>.</v>
          </cell>
        </row>
        <row r="287">
          <cell r="BD287" t="str">
            <v>.</v>
          </cell>
        </row>
        <row r="288">
          <cell r="BD288" t="str">
            <v>.</v>
          </cell>
        </row>
        <row r="289">
          <cell r="BD289" t="str">
            <v>.</v>
          </cell>
        </row>
        <row r="290">
          <cell r="BD290" t="str">
            <v>.</v>
          </cell>
        </row>
        <row r="291">
          <cell r="BD291" t="str">
            <v>.</v>
          </cell>
        </row>
        <row r="292">
          <cell r="BD292" t="str">
            <v>.</v>
          </cell>
        </row>
        <row r="293">
          <cell r="BD293" t="str">
            <v>.</v>
          </cell>
        </row>
        <row r="294">
          <cell r="BD294" t="str">
            <v>.</v>
          </cell>
        </row>
        <row r="295">
          <cell r="BD295" t="str">
            <v>.</v>
          </cell>
        </row>
        <row r="296">
          <cell r="BD296" t="str">
            <v>.</v>
          </cell>
        </row>
        <row r="297">
          <cell r="BD297" t="str">
            <v>.</v>
          </cell>
        </row>
        <row r="298">
          <cell r="BD298" t="str">
            <v>.</v>
          </cell>
        </row>
        <row r="299">
          <cell r="BD299" t="str">
            <v>.</v>
          </cell>
        </row>
        <row r="300">
          <cell r="BD300" t="str">
            <v>.</v>
          </cell>
        </row>
        <row r="301">
          <cell r="BD301" t="str">
            <v>.</v>
          </cell>
        </row>
        <row r="302">
          <cell r="BD302" t="str">
            <v>.</v>
          </cell>
        </row>
        <row r="303">
          <cell r="BD303" t="str">
            <v>.</v>
          </cell>
        </row>
        <row r="304">
          <cell r="BD304" t="str">
            <v>.</v>
          </cell>
        </row>
        <row r="305">
          <cell r="BD305" t="str">
            <v>.</v>
          </cell>
        </row>
        <row r="306">
          <cell r="BD306" t="str">
            <v>.</v>
          </cell>
        </row>
        <row r="307">
          <cell r="BD307" t="str">
            <v>.</v>
          </cell>
        </row>
        <row r="308">
          <cell r="BD308" t="str">
            <v>.</v>
          </cell>
        </row>
        <row r="309">
          <cell r="BD309" t="str">
            <v>.</v>
          </cell>
        </row>
        <row r="310">
          <cell r="BD310" t="str">
            <v>.</v>
          </cell>
        </row>
        <row r="311">
          <cell r="BD311" t="str">
            <v>.</v>
          </cell>
        </row>
        <row r="312">
          <cell r="BD312" t="str">
            <v>.</v>
          </cell>
        </row>
        <row r="313">
          <cell r="BD313" t="str">
            <v>.</v>
          </cell>
        </row>
        <row r="314">
          <cell r="BD314" t="str">
            <v>.</v>
          </cell>
        </row>
        <row r="315">
          <cell r="BD315" t="str">
            <v>.</v>
          </cell>
        </row>
        <row r="316">
          <cell r="BD316" t="str">
            <v>.</v>
          </cell>
        </row>
        <row r="317">
          <cell r="BD317" t="str">
            <v>.</v>
          </cell>
        </row>
        <row r="318">
          <cell r="BD318" t="str">
            <v>.</v>
          </cell>
        </row>
        <row r="319">
          <cell r="BD319" t="str">
            <v>.</v>
          </cell>
        </row>
        <row r="320">
          <cell r="BD320" t="str">
            <v>.</v>
          </cell>
        </row>
        <row r="321">
          <cell r="BD321" t="str">
            <v>.</v>
          </cell>
        </row>
        <row r="322">
          <cell r="BD322" t="str">
            <v>.</v>
          </cell>
        </row>
        <row r="323">
          <cell r="BD323" t="str">
            <v>.</v>
          </cell>
        </row>
        <row r="324">
          <cell r="BD324" t="str">
            <v>.</v>
          </cell>
        </row>
        <row r="325">
          <cell r="BD325" t="str">
            <v>.</v>
          </cell>
        </row>
        <row r="326">
          <cell r="BD326" t="str">
            <v>.</v>
          </cell>
        </row>
        <row r="327">
          <cell r="BD327" t="str">
            <v>.</v>
          </cell>
        </row>
        <row r="328">
          <cell r="BD328" t="str">
            <v>.</v>
          </cell>
        </row>
        <row r="329">
          <cell r="BD329" t="str">
            <v>.</v>
          </cell>
        </row>
        <row r="330">
          <cell r="BD330" t="str">
            <v>.</v>
          </cell>
        </row>
        <row r="331">
          <cell r="BD331" t="str">
            <v>.</v>
          </cell>
        </row>
        <row r="332">
          <cell r="BD332" t="str">
            <v>.</v>
          </cell>
        </row>
        <row r="333">
          <cell r="BD333" t="str">
            <v>.</v>
          </cell>
        </row>
        <row r="334">
          <cell r="BD334" t="str">
            <v>.</v>
          </cell>
        </row>
        <row r="335">
          <cell r="BD335" t="str">
            <v>.</v>
          </cell>
        </row>
        <row r="336">
          <cell r="BD336" t="str">
            <v>.</v>
          </cell>
        </row>
        <row r="337">
          <cell r="BD337" t="str">
            <v>.</v>
          </cell>
        </row>
        <row r="338">
          <cell r="BD338" t="str">
            <v>.</v>
          </cell>
        </row>
        <row r="339">
          <cell r="BD339" t="str">
            <v>.</v>
          </cell>
        </row>
        <row r="340">
          <cell r="BD340" t="str">
            <v>.</v>
          </cell>
        </row>
        <row r="341">
          <cell r="BD341" t="str">
            <v>.</v>
          </cell>
        </row>
        <row r="342">
          <cell r="BD342" t="str">
            <v>.</v>
          </cell>
        </row>
        <row r="343">
          <cell r="BD343" t="str">
            <v>.</v>
          </cell>
        </row>
        <row r="344">
          <cell r="BD344" t="str">
            <v>.</v>
          </cell>
        </row>
        <row r="345">
          <cell r="BD345" t="str">
            <v>.</v>
          </cell>
        </row>
        <row r="346">
          <cell r="BD346" t="str">
            <v>.</v>
          </cell>
        </row>
        <row r="347">
          <cell r="BD347" t="str">
            <v>.</v>
          </cell>
        </row>
        <row r="348">
          <cell r="BD348" t="str">
            <v>.</v>
          </cell>
        </row>
        <row r="349">
          <cell r="BD349" t="str">
            <v>.</v>
          </cell>
        </row>
        <row r="350">
          <cell r="BD350" t="str">
            <v>.</v>
          </cell>
        </row>
        <row r="351">
          <cell r="BD351" t="str">
            <v>.</v>
          </cell>
        </row>
        <row r="352">
          <cell r="BD352" t="str">
            <v>.</v>
          </cell>
        </row>
        <row r="353">
          <cell r="BD353" t="str">
            <v>.</v>
          </cell>
        </row>
        <row r="354">
          <cell r="BD354" t="str">
            <v>.</v>
          </cell>
        </row>
        <row r="355">
          <cell r="BD355" t="str">
            <v>.</v>
          </cell>
        </row>
        <row r="356">
          <cell r="BD356" t="str">
            <v>.</v>
          </cell>
        </row>
        <row r="357">
          <cell r="BD357" t="str">
            <v>.</v>
          </cell>
        </row>
        <row r="358">
          <cell r="BD358" t="str">
            <v>.</v>
          </cell>
        </row>
        <row r="359">
          <cell r="BD359" t="str">
            <v>.</v>
          </cell>
        </row>
        <row r="360">
          <cell r="BD360" t="str">
            <v>.</v>
          </cell>
        </row>
        <row r="361">
          <cell r="BD361" t="str">
            <v>.</v>
          </cell>
        </row>
        <row r="362">
          <cell r="BD362" t="str">
            <v>.</v>
          </cell>
        </row>
        <row r="363">
          <cell r="BD363" t="str">
            <v>.</v>
          </cell>
        </row>
        <row r="364">
          <cell r="BD364" t="str">
            <v>.</v>
          </cell>
        </row>
        <row r="365">
          <cell r="BD365" t="str">
            <v>.</v>
          </cell>
        </row>
        <row r="366">
          <cell r="BD366" t="str">
            <v>.</v>
          </cell>
        </row>
        <row r="367">
          <cell r="BD367" t="str">
            <v>.</v>
          </cell>
        </row>
        <row r="368">
          <cell r="BD368" t="str">
            <v>.</v>
          </cell>
        </row>
        <row r="369">
          <cell r="BD369" t="str">
            <v>.</v>
          </cell>
        </row>
        <row r="370">
          <cell r="BD370" t="str">
            <v>.</v>
          </cell>
        </row>
        <row r="371">
          <cell r="BD371" t="str">
            <v>.</v>
          </cell>
        </row>
        <row r="372">
          <cell r="BD372" t="str">
            <v>.</v>
          </cell>
        </row>
        <row r="373">
          <cell r="BD373" t="str">
            <v>.</v>
          </cell>
        </row>
        <row r="374">
          <cell r="BD374" t="str">
            <v>.</v>
          </cell>
        </row>
        <row r="375">
          <cell r="BD375" t="str">
            <v>.</v>
          </cell>
        </row>
        <row r="376">
          <cell r="BD376" t="str">
            <v>.</v>
          </cell>
        </row>
        <row r="377">
          <cell r="BD377" t="str">
            <v>.</v>
          </cell>
        </row>
        <row r="378">
          <cell r="BD378" t="str">
            <v>.</v>
          </cell>
        </row>
        <row r="379">
          <cell r="BD379" t="str">
            <v>.</v>
          </cell>
        </row>
        <row r="380">
          <cell r="BD380" t="str">
            <v>.</v>
          </cell>
        </row>
        <row r="381">
          <cell r="BD381" t="str">
            <v>.</v>
          </cell>
        </row>
        <row r="382">
          <cell r="BD382" t="str">
            <v>.</v>
          </cell>
        </row>
        <row r="383">
          <cell r="BD383" t="str">
            <v>.</v>
          </cell>
        </row>
        <row r="384">
          <cell r="BD384" t="str">
            <v>.</v>
          </cell>
        </row>
        <row r="385">
          <cell r="BD385" t="str">
            <v>.</v>
          </cell>
        </row>
        <row r="386">
          <cell r="BD386" t="str">
            <v>.</v>
          </cell>
        </row>
        <row r="387">
          <cell r="BD387" t="str">
            <v>.</v>
          </cell>
        </row>
        <row r="388">
          <cell r="BD388" t="str">
            <v>.</v>
          </cell>
        </row>
        <row r="389">
          <cell r="BD389" t="str">
            <v>.</v>
          </cell>
        </row>
        <row r="390">
          <cell r="BD390" t="str">
            <v>.</v>
          </cell>
        </row>
        <row r="391">
          <cell r="BD391" t="str">
            <v>.</v>
          </cell>
        </row>
        <row r="392">
          <cell r="BD392" t="str">
            <v>.</v>
          </cell>
        </row>
        <row r="393">
          <cell r="BD393" t="str">
            <v>.</v>
          </cell>
        </row>
        <row r="394">
          <cell r="BD394" t="str">
            <v>.</v>
          </cell>
        </row>
        <row r="395">
          <cell r="BD395" t="str">
            <v>.</v>
          </cell>
        </row>
        <row r="396">
          <cell r="BD396" t="str">
            <v>.</v>
          </cell>
        </row>
        <row r="397">
          <cell r="BD397" t="str">
            <v>.</v>
          </cell>
        </row>
        <row r="398">
          <cell r="BD398" t="str">
            <v>.</v>
          </cell>
        </row>
        <row r="399">
          <cell r="BD399" t="str">
            <v>.</v>
          </cell>
        </row>
        <row r="400">
          <cell r="BD400" t="str">
            <v>.</v>
          </cell>
        </row>
        <row r="401">
          <cell r="BD401" t="str">
            <v>.</v>
          </cell>
        </row>
        <row r="402">
          <cell r="BD402" t="str">
            <v>.</v>
          </cell>
        </row>
        <row r="403">
          <cell r="BD403" t="str">
            <v>.</v>
          </cell>
        </row>
        <row r="404">
          <cell r="BD404" t="str">
            <v>.</v>
          </cell>
        </row>
        <row r="405">
          <cell r="BD405" t="str">
            <v>.</v>
          </cell>
        </row>
        <row r="406">
          <cell r="BD406" t="str">
            <v>.</v>
          </cell>
        </row>
        <row r="407">
          <cell r="BD407" t="str">
            <v>.</v>
          </cell>
        </row>
        <row r="408">
          <cell r="BD408" t="str">
            <v>.</v>
          </cell>
        </row>
        <row r="409">
          <cell r="BD409" t="str">
            <v>.</v>
          </cell>
        </row>
        <row r="410">
          <cell r="BD410" t="str">
            <v>.</v>
          </cell>
        </row>
        <row r="411">
          <cell r="BD411" t="str">
            <v>.</v>
          </cell>
        </row>
        <row r="412">
          <cell r="BD412" t="str">
            <v>.</v>
          </cell>
        </row>
        <row r="413">
          <cell r="BD413" t="str">
            <v>.</v>
          </cell>
        </row>
        <row r="414">
          <cell r="BD414" t="str">
            <v>.</v>
          </cell>
        </row>
        <row r="415">
          <cell r="BD415" t="str">
            <v>.</v>
          </cell>
        </row>
        <row r="416">
          <cell r="BD416" t="str">
            <v>.</v>
          </cell>
        </row>
        <row r="417">
          <cell r="BD417" t="str">
            <v>.</v>
          </cell>
        </row>
        <row r="418">
          <cell r="BD418" t="str">
            <v>.</v>
          </cell>
        </row>
        <row r="419">
          <cell r="BD419" t="str">
            <v>.</v>
          </cell>
        </row>
        <row r="420">
          <cell r="BD420" t="str">
            <v>.</v>
          </cell>
        </row>
        <row r="421">
          <cell r="BD421" t="str">
            <v>.</v>
          </cell>
        </row>
        <row r="422">
          <cell r="BD422" t="str">
            <v>.</v>
          </cell>
        </row>
        <row r="423">
          <cell r="BD423" t="str">
            <v>.</v>
          </cell>
        </row>
        <row r="424">
          <cell r="BD424" t="str">
            <v>.</v>
          </cell>
        </row>
        <row r="425">
          <cell r="BD425" t="str">
            <v>.</v>
          </cell>
        </row>
        <row r="426">
          <cell r="BD426" t="str">
            <v>.</v>
          </cell>
        </row>
        <row r="427">
          <cell r="BD427" t="str">
            <v>.</v>
          </cell>
        </row>
        <row r="428">
          <cell r="BD428" t="str">
            <v>.</v>
          </cell>
        </row>
        <row r="429">
          <cell r="BD429" t="str">
            <v>.</v>
          </cell>
        </row>
        <row r="430">
          <cell r="BD430" t="str">
            <v>.</v>
          </cell>
        </row>
        <row r="431">
          <cell r="BD431" t="str">
            <v>.</v>
          </cell>
        </row>
        <row r="432">
          <cell r="BD432" t="str">
            <v>.</v>
          </cell>
        </row>
        <row r="433">
          <cell r="BD433" t="str">
            <v>.</v>
          </cell>
        </row>
        <row r="434">
          <cell r="BD434" t="str">
            <v>.</v>
          </cell>
        </row>
        <row r="435">
          <cell r="BD435" t="str">
            <v>.</v>
          </cell>
        </row>
        <row r="436">
          <cell r="BD436" t="str">
            <v>.</v>
          </cell>
        </row>
        <row r="437">
          <cell r="BD437" t="str">
            <v>.</v>
          </cell>
        </row>
        <row r="438">
          <cell r="BD438" t="str">
            <v>.</v>
          </cell>
        </row>
        <row r="439">
          <cell r="BD439" t="str">
            <v>.</v>
          </cell>
        </row>
        <row r="440">
          <cell r="BD440" t="str">
            <v>.</v>
          </cell>
        </row>
        <row r="441">
          <cell r="BD441" t="str">
            <v>.</v>
          </cell>
        </row>
        <row r="442">
          <cell r="BD442" t="str">
            <v>.</v>
          </cell>
        </row>
        <row r="443">
          <cell r="BD443" t="str">
            <v>.</v>
          </cell>
        </row>
        <row r="444">
          <cell r="BD444" t="str">
            <v>.</v>
          </cell>
        </row>
        <row r="445">
          <cell r="BD445" t="str">
            <v>.</v>
          </cell>
        </row>
        <row r="446">
          <cell r="BD446" t="str">
            <v>.</v>
          </cell>
        </row>
        <row r="447">
          <cell r="BD447" t="str">
            <v>.</v>
          </cell>
        </row>
        <row r="448">
          <cell r="BD448" t="str">
            <v>.</v>
          </cell>
        </row>
        <row r="449">
          <cell r="BD449" t="str">
            <v>.</v>
          </cell>
        </row>
        <row r="450">
          <cell r="BD450" t="str">
            <v>.</v>
          </cell>
        </row>
        <row r="451">
          <cell r="BD451" t="str">
            <v>.</v>
          </cell>
        </row>
        <row r="452">
          <cell r="BD452" t="str">
            <v>.</v>
          </cell>
        </row>
        <row r="453">
          <cell r="BD453" t="str">
            <v>.</v>
          </cell>
        </row>
        <row r="454">
          <cell r="BD454" t="str">
            <v>.</v>
          </cell>
        </row>
        <row r="455">
          <cell r="BD455" t="str">
            <v>.</v>
          </cell>
        </row>
        <row r="456">
          <cell r="BD456" t="str">
            <v>.</v>
          </cell>
        </row>
        <row r="457">
          <cell r="BD457" t="str">
            <v>.</v>
          </cell>
        </row>
        <row r="458">
          <cell r="BD458" t="str">
            <v>.</v>
          </cell>
        </row>
        <row r="459">
          <cell r="BD459" t="str">
            <v>.</v>
          </cell>
        </row>
        <row r="460">
          <cell r="BD460" t="str">
            <v>.</v>
          </cell>
        </row>
        <row r="461">
          <cell r="BD461" t="str">
            <v>.</v>
          </cell>
        </row>
        <row r="462">
          <cell r="BD462" t="str">
            <v>.</v>
          </cell>
        </row>
        <row r="463">
          <cell r="BD463" t="str">
            <v>.</v>
          </cell>
        </row>
        <row r="464">
          <cell r="BD464" t="str">
            <v>.</v>
          </cell>
        </row>
        <row r="465">
          <cell r="BD465" t="str">
            <v>.</v>
          </cell>
        </row>
        <row r="466">
          <cell r="BD466" t="str">
            <v>.</v>
          </cell>
        </row>
        <row r="467">
          <cell r="BD467" t="str">
            <v>.</v>
          </cell>
        </row>
        <row r="468">
          <cell r="BD468" t="str">
            <v>.</v>
          </cell>
        </row>
        <row r="469">
          <cell r="BD469" t="str">
            <v>.</v>
          </cell>
        </row>
        <row r="470">
          <cell r="BD470" t="str">
            <v>.</v>
          </cell>
        </row>
        <row r="471">
          <cell r="BD471" t="str">
            <v>.</v>
          </cell>
        </row>
        <row r="472">
          <cell r="BD472" t="str">
            <v>.</v>
          </cell>
        </row>
        <row r="473">
          <cell r="BD473" t="str">
            <v>.</v>
          </cell>
        </row>
        <row r="474">
          <cell r="BD474" t="str">
            <v>.</v>
          </cell>
        </row>
        <row r="475">
          <cell r="BD475" t="str">
            <v>.</v>
          </cell>
        </row>
        <row r="476">
          <cell r="BD476" t="str">
            <v>.</v>
          </cell>
        </row>
        <row r="477">
          <cell r="BD477" t="str">
            <v>.</v>
          </cell>
        </row>
        <row r="478">
          <cell r="BD478" t="str">
            <v>.</v>
          </cell>
        </row>
        <row r="479">
          <cell r="BD479" t="str">
            <v>.</v>
          </cell>
        </row>
        <row r="480">
          <cell r="BD480" t="str">
            <v>.</v>
          </cell>
        </row>
        <row r="481">
          <cell r="BD481" t="str">
            <v>.</v>
          </cell>
        </row>
        <row r="482">
          <cell r="BD482" t="str">
            <v>.</v>
          </cell>
        </row>
        <row r="483">
          <cell r="BD483" t="str">
            <v>.</v>
          </cell>
        </row>
        <row r="484">
          <cell r="BD484" t="str">
            <v>.</v>
          </cell>
        </row>
        <row r="485">
          <cell r="BD485" t="str">
            <v>.</v>
          </cell>
        </row>
        <row r="486">
          <cell r="BD486" t="str">
            <v>.</v>
          </cell>
        </row>
        <row r="487">
          <cell r="BD487" t="str">
            <v>.</v>
          </cell>
        </row>
        <row r="488">
          <cell r="BD488" t="str">
            <v>.</v>
          </cell>
        </row>
        <row r="489">
          <cell r="BD489" t="str">
            <v>.</v>
          </cell>
        </row>
        <row r="490">
          <cell r="BD490" t="str">
            <v>.</v>
          </cell>
        </row>
        <row r="491">
          <cell r="BD491" t="str">
            <v>.</v>
          </cell>
        </row>
        <row r="492">
          <cell r="BD492" t="str">
            <v>.</v>
          </cell>
        </row>
        <row r="493">
          <cell r="BD493" t="str">
            <v>.</v>
          </cell>
        </row>
        <row r="494">
          <cell r="BD494" t="str">
            <v>.</v>
          </cell>
        </row>
        <row r="495">
          <cell r="BD495" t="str">
            <v>.</v>
          </cell>
        </row>
        <row r="496">
          <cell r="BD496" t="str">
            <v>.</v>
          </cell>
        </row>
        <row r="497">
          <cell r="BD497" t="str">
            <v>.</v>
          </cell>
        </row>
        <row r="498">
          <cell r="BD498" t="str">
            <v>.</v>
          </cell>
        </row>
        <row r="499">
          <cell r="BD499" t="str">
            <v>.</v>
          </cell>
        </row>
        <row r="500">
          <cell r="BD500" t="str">
            <v>.</v>
          </cell>
        </row>
        <row r="501">
          <cell r="BD501" t="str">
            <v>.</v>
          </cell>
        </row>
        <row r="502">
          <cell r="BD502" t="str">
            <v>.</v>
          </cell>
        </row>
        <row r="503">
          <cell r="BD503" t="str">
            <v>.</v>
          </cell>
        </row>
        <row r="504">
          <cell r="BD504" t="str">
            <v>.</v>
          </cell>
        </row>
        <row r="505">
          <cell r="BD505" t="str">
            <v>.</v>
          </cell>
        </row>
        <row r="506">
          <cell r="BD506" t="str">
            <v>.</v>
          </cell>
        </row>
        <row r="507">
          <cell r="BD507" t="str">
            <v>.</v>
          </cell>
        </row>
        <row r="508">
          <cell r="BD508" t="str">
            <v>.</v>
          </cell>
        </row>
        <row r="509">
          <cell r="BD509" t="str">
            <v>.</v>
          </cell>
        </row>
        <row r="510">
          <cell r="BD510" t="str">
            <v>.</v>
          </cell>
        </row>
        <row r="511">
          <cell r="BD511" t="str">
            <v>.</v>
          </cell>
        </row>
        <row r="512">
          <cell r="BD512" t="str">
            <v>.</v>
          </cell>
        </row>
        <row r="513">
          <cell r="BD513" t="str">
            <v>.</v>
          </cell>
        </row>
        <row r="514">
          <cell r="BD514" t="str">
            <v>.</v>
          </cell>
        </row>
        <row r="515">
          <cell r="BD515" t="str">
            <v>.</v>
          </cell>
        </row>
        <row r="516">
          <cell r="BD516" t="str">
            <v>.</v>
          </cell>
        </row>
        <row r="517">
          <cell r="BD517" t="str">
            <v>.</v>
          </cell>
        </row>
        <row r="518">
          <cell r="BD518" t="str">
            <v>.</v>
          </cell>
        </row>
        <row r="519">
          <cell r="BD519" t="str">
            <v>.</v>
          </cell>
        </row>
        <row r="520">
          <cell r="BD520" t="str">
            <v>.</v>
          </cell>
        </row>
        <row r="521">
          <cell r="BD521" t="str">
            <v>.</v>
          </cell>
        </row>
        <row r="522">
          <cell r="BD522" t="str">
            <v>.</v>
          </cell>
        </row>
        <row r="523">
          <cell r="BD523" t="str">
            <v>.</v>
          </cell>
        </row>
        <row r="524">
          <cell r="BD524" t="str">
            <v>.</v>
          </cell>
        </row>
        <row r="525">
          <cell r="BD525" t="str">
            <v>.</v>
          </cell>
        </row>
        <row r="526">
          <cell r="BD526" t="str">
            <v>.</v>
          </cell>
        </row>
        <row r="527">
          <cell r="BD527" t="str">
            <v>.</v>
          </cell>
        </row>
        <row r="528">
          <cell r="BD528" t="str">
            <v>.</v>
          </cell>
        </row>
        <row r="529">
          <cell r="BD529" t="str">
            <v>.</v>
          </cell>
        </row>
        <row r="530">
          <cell r="BD530" t="str">
            <v>.</v>
          </cell>
        </row>
        <row r="531">
          <cell r="BD531" t="str">
            <v>.</v>
          </cell>
        </row>
        <row r="532">
          <cell r="BD532" t="str">
            <v>.</v>
          </cell>
        </row>
        <row r="533">
          <cell r="BD533" t="str">
            <v>.</v>
          </cell>
        </row>
        <row r="534">
          <cell r="BD534" t="str">
            <v>.</v>
          </cell>
        </row>
        <row r="535">
          <cell r="BD535" t="str">
            <v>.</v>
          </cell>
        </row>
        <row r="536">
          <cell r="BD536" t="str">
            <v>.</v>
          </cell>
        </row>
        <row r="537">
          <cell r="BD537" t="str">
            <v>.</v>
          </cell>
        </row>
        <row r="538">
          <cell r="BD538" t="str">
            <v>.</v>
          </cell>
        </row>
        <row r="539">
          <cell r="BD539" t="str">
            <v>.</v>
          </cell>
        </row>
        <row r="540">
          <cell r="BD540" t="str">
            <v>.</v>
          </cell>
        </row>
        <row r="541">
          <cell r="BD541" t="str">
            <v>.</v>
          </cell>
        </row>
        <row r="542">
          <cell r="BD542" t="str">
            <v>.</v>
          </cell>
        </row>
        <row r="543">
          <cell r="BD543" t="str">
            <v>.</v>
          </cell>
        </row>
        <row r="544">
          <cell r="BD544" t="str">
            <v>.</v>
          </cell>
        </row>
        <row r="545">
          <cell r="BD545" t="str">
            <v>.</v>
          </cell>
        </row>
        <row r="546">
          <cell r="BD546" t="str">
            <v>.</v>
          </cell>
        </row>
        <row r="547">
          <cell r="BD547" t="str">
            <v>.</v>
          </cell>
        </row>
        <row r="548">
          <cell r="BD548" t="str">
            <v>.</v>
          </cell>
        </row>
        <row r="549">
          <cell r="BD549" t="str">
            <v>.</v>
          </cell>
        </row>
        <row r="550">
          <cell r="BD550" t="str">
            <v>.</v>
          </cell>
        </row>
        <row r="551">
          <cell r="BD551" t="str">
            <v>.</v>
          </cell>
        </row>
        <row r="552">
          <cell r="BD552" t="str">
            <v>.</v>
          </cell>
        </row>
        <row r="553">
          <cell r="BD553" t="str">
            <v>.</v>
          </cell>
        </row>
        <row r="554">
          <cell r="BD554" t="str">
            <v>.</v>
          </cell>
        </row>
        <row r="555">
          <cell r="BD555" t="str">
            <v>.</v>
          </cell>
        </row>
        <row r="556">
          <cell r="BD556" t="str">
            <v>.</v>
          </cell>
        </row>
        <row r="557">
          <cell r="BD557" t="str">
            <v>.</v>
          </cell>
        </row>
        <row r="558">
          <cell r="BD558" t="str">
            <v>.</v>
          </cell>
        </row>
        <row r="559">
          <cell r="BD559" t="str">
            <v>.</v>
          </cell>
        </row>
        <row r="560">
          <cell r="BD560" t="str">
            <v>.</v>
          </cell>
        </row>
        <row r="561">
          <cell r="BD561" t="str">
            <v>.</v>
          </cell>
        </row>
        <row r="562">
          <cell r="BD562" t="str">
            <v>.</v>
          </cell>
        </row>
        <row r="563">
          <cell r="BD563" t="str">
            <v>.</v>
          </cell>
        </row>
        <row r="564">
          <cell r="BD564" t="str">
            <v>.</v>
          </cell>
        </row>
        <row r="565">
          <cell r="BD565" t="str">
            <v>.</v>
          </cell>
        </row>
        <row r="566">
          <cell r="BD566" t="str">
            <v>.</v>
          </cell>
        </row>
        <row r="567">
          <cell r="BD567" t="str">
            <v>.</v>
          </cell>
        </row>
        <row r="568">
          <cell r="BD568" t="str">
            <v>.</v>
          </cell>
        </row>
        <row r="569">
          <cell r="BD569" t="str">
            <v>.</v>
          </cell>
        </row>
        <row r="570">
          <cell r="BD570" t="str">
            <v>.</v>
          </cell>
        </row>
        <row r="571">
          <cell r="BD571" t="str">
            <v>.</v>
          </cell>
        </row>
        <row r="572">
          <cell r="BD572" t="str">
            <v>.</v>
          </cell>
        </row>
        <row r="573">
          <cell r="BD573" t="str">
            <v>.</v>
          </cell>
        </row>
        <row r="574">
          <cell r="BD574" t="str">
            <v>.</v>
          </cell>
        </row>
        <row r="575">
          <cell r="BD575" t="str">
            <v>.</v>
          </cell>
        </row>
        <row r="576">
          <cell r="BD576" t="str">
            <v>.</v>
          </cell>
        </row>
        <row r="577">
          <cell r="BD577" t="str">
            <v>.</v>
          </cell>
        </row>
        <row r="578">
          <cell r="BD578" t="str">
            <v>.</v>
          </cell>
        </row>
        <row r="579">
          <cell r="BD579" t="str">
            <v>.</v>
          </cell>
        </row>
        <row r="580">
          <cell r="BD580" t="str">
            <v>.</v>
          </cell>
        </row>
        <row r="581">
          <cell r="BD581" t="str">
            <v>.</v>
          </cell>
        </row>
        <row r="582">
          <cell r="BD582" t="str">
            <v>.</v>
          </cell>
        </row>
        <row r="583">
          <cell r="BD583" t="str">
            <v>.</v>
          </cell>
        </row>
        <row r="584">
          <cell r="BD584" t="str">
            <v>.</v>
          </cell>
        </row>
        <row r="585">
          <cell r="BD585" t="str">
            <v>.</v>
          </cell>
        </row>
        <row r="586">
          <cell r="BD586" t="str">
            <v>.</v>
          </cell>
        </row>
        <row r="587">
          <cell r="BD587" t="str">
            <v>.</v>
          </cell>
        </row>
        <row r="588">
          <cell r="BD588" t="str">
            <v>.</v>
          </cell>
        </row>
        <row r="589">
          <cell r="BD589" t="str">
            <v>.</v>
          </cell>
        </row>
        <row r="590">
          <cell r="BD590" t="str">
            <v>.</v>
          </cell>
        </row>
        <row r="591">
          <cell r="BD591" t="str">
            <v>.</v>
          </cell>
        </row>
        <row r="592">
          <cell r="BD592" t="str">
            <v>.</v>
          </cell>
        </row>
        <row r="593">
          <cell r="BD593" t="str">
            <v>.</v>
          </cell>
        </row>
        <row r="594">
          <cell r="BD594" t="str">
            <v>.</v>
          </cell>
        </row>
        <row r="595">
          <cell r="BD595" t="str">
            <v>.</v>
          </cell>
        </row>
        <row r="596">
          <cell r="BD596" t="str">
            <v>.</v>
          </cell>
        </row>
        <row r="597">
          <cell r="BD597" t="str">
            <v>.</v>
          </cell>
        </row>
        <row r="598">
          <cell r="BD598" t="str">
            <v>.</v>
          </cell>
        </row>
        <row r="599">
          <cell r="BD599" t="str">
            <v>.</v>
          </cell>
        </row>
        <row r="600">
          <cell r="BD600" t="str">
            <v>.</v>
          </cell>
        </row>
        <row r="601">
          <cell r="BD601" t="str">
            <v>.</v>
          </cell>
        </row>
        <row r="602">
          <cell r="BD602" t="str">
            <v>.</v>
          </cell>
        </row>
        <row r="603">
          <cell r="BD603" t="str">
            <v>.</v>
          </cell>
        </row>
        <row r="604">
          <cell r="BD604" t="str">
            <v>.</v>
          </cell>
        </row>
        <row r="605">
          <cell r="BD605" t="str">
            <v>.</v>
          </cell>
        </row>
        <row r="606">
          <cell r="BD606" t="str">
            <v>.</v>
          </cell>
        </row>
        <row r="607">
          <cell r="BD607" t="str">
            <v>.</v>
          </cell>
        </row>
        <row r="608">
          <cell r="BD608" t="str">
            <v>.</v>
          </cell>
        </row>
        <row r="609">
          <cell r="BD609" t="str">
            <v>.</v>
          </cell>
        </row>
        <row r="610">
          <cell r="BD610" t="str">
            <v>.</v>
          </cell>
        </row>
        <row r="611">
          <cell r="BD611" t="str">
            <v>.</v>
          </cell>
        </row>
        <row r="612">
          <cell r="BD612" t="str">
            <v>.</v>
          </cell>
        </row>
        <row r="613">
          <cell r="BD613" t="str">
            <v>.</v>
          </cell>
        </row>
        <row r="614">
          <cell r="BD614" t="str">
            <v>.</v>
          </cell>
        </row>
        <row r="615">
          <cell r="BD615" t="str">
            <v>.</v>
          </cell>
        </row>
        <row r="616">
          <cell r="BD616" t="str">
            <v>.</v>
          </cell>
        </row>
        <row r="617">
          <cell r="BD617" t="str">
            <v>.</v>
          </cell>
        </row>
        <row r="618">
          <cell r="BD618" t="str">
            <v>.</v>
          </cell>
        </row>
        <row r="619">
          <cell r="BD619" t="str">
            <v>.</v>
          </cell>
        </row>
        <row r="620">
          <cell r="BD620" t="str">
            <v>.</v>
          </cell>
        </row>
        <row r="621">
          <cell r="BD621" t="str">
            <v>.</v>
          </cell>
        </row>
        <row r="622">
          <cell r="BD622" t="str">
            <v>.</v>
          </cell>
        </row>
        <row r="623">
          <cell r="BD623" t="str">
            <v>.</v>
          </cell>
        </row>
        <row r="624">
          <cell r="BD624" t="str">
            <v>.</v>
          </cell>
        </row>
        <row r="625">
          <cell r="BD625" t="str">
            <v>.</v>
          </cell>
        </row>
        <row r="626">
          <cell r="BD626" t="str">
            <v>.</v>
          </cell>
        </row>
        <row r="627">
          <cell r="BD627" t="str">
            <v>.</v>
          </cell>
        </row>
        <row r="628">
          <cell r="BD628" t="str">
            <v>.</v>
          </cell>
        </row>
        <row r="629">
          <cell r="BD629" t="str">
            <v>.</v>
          </cell>
        </row>
        <row r="630">
          <cell r="BD630" t="str">
            <v>.</v>
          </cell>
        </row>
        <row r="631">
          <cell r="BD631" t="str">
            <v>.</v>
          </cell>
        </row>
        <row r="632">
          <cell r="BD632" t="str">
            <v>.</v>
          </cell>
        </row>
        <row r="633">
          <cell r="BD633" t="str">
            <v>.</v>
          </cell>
        </row>
        <row r="634">
          <cell r="BD634" t="str">
            <v>.</v>
          </cell>
        </row>
        <row r="635">
          <cell r="BD635" t="str">
            <v>.</v>
          </cell>
        </row>
        <row r="636">
          <cell r="BD636" t="str">
            <v>.</v>
          </cell>
        </row>
        <row r="637">
          <cell r="BD637" t="str">
            <v>.</v>
          </cell>
        </row>
        <row r="638">
          <cell r="BD638" t="str">
            <v>.</v>
          </cell>
        </row>
        <row r="639">
          <cell r="BD639" t="str">
            <v>.</v>
          </cell>
        </row>
        <row r="640">
          <cell r="BD640" t="str">
            <v>.</v>
          </cell>
        </row>
        <row r="641">
          <cell r="BD641" t="str">
            <v>.</v>
          </cell>
        </row>
        <row r="642">
          <cell r="BD642" t="str">
            <v>.</v>
          </cell>
        </row>
        <row r="643">
          <cell r="BD643" t="str">
            <v>.</v>
          </cell>
        </row>
        <row r="644">
          <cell r="BD644" t="str">
            <v>.</v>
          </cell>
        </row>
        <row r="645">
          <cell r="BD645" t="str">
            <v>.</v>
          </cell>
        </row>
        <row r="646">
          <cell r="BD646" t="str">
            <v>.</v>
          </cell>
        </row>
        <row r="647">
          <cell r="BD647" t="str">
            <v>.</v>
          </cell>
        </row>
        <row r="648">
          <cell r="BD648" t="str">
            <v>.</v>
          </cell>
        </row>
        <row r="649">
          <cell r="BD649" t="str">
            <v>.</v>
          </cell>
        </row>
        <row r="650">
          <cell r="BD650" t="str">
            <v>.</v>
          </cell>
        </row>
        <row r="651">
          <cell r="BD651" t="str">
            <v>.</v>
          </cell>
        </row>
        <row r="652">
          <cell r="BD652" t="str">
            <v>.</v>
          </cell>
        </row>
        <row r="653">
          <cell r="BD653" t="str">
            <v>.</v>
          </cell>
        </row>
        <row r="654">
          <cell r="BD654" t="str">
            <v>.</v>
          </cell>
        </row>
        <row r="655">
          <cell r="BD655" t="str">
            <v>.</v>
          </cell>
        </row>
        <row r="656">
          <cell r="BD656" t="str">
            <v>.</v>
          </cell>
        </row>
        <row r="657">
          <cell r="BD657" t="str">
            <v>.</v>
          </cell>
        </row>
        <row r="658">
          <cell r="BD658" t="str">
            <v>.</v>
          </cell>
        </row>
        <row r="659">
          <cell r="BD659" t="str">
            <v>.</v>
          </cell>
        </row>
        <row r="660">
          <cell r="BD660" t="str">
            <v>.</v>
          </cell>
        </row>
        <row r="661">
          <cell r="BD661" t="str">
            <v>.</v>
          </cell>
        </row>
        <row r="662">
          <cell r="BD662" t="str">
            <v>.</v>
          </cell>
        </row>
        <row r="663">
          <cell r="BD663" t="str">
            <v>.</v>
          </cell>
        </row>
        <row r="664">
          <cell r="BD664" t="str">
            <v>.</v>
          </cell>
        </row>
        <row r="665">
          <cell r="BD665" t="str">
            <v>.</v>
          </cell>
        </row>
        <row r="666">
          <cell r="BD666" t="str">
            <v>.</v>
          </cell>
        </row>
        <row r="667">
          <cell r="BD667" t="str">
            <v>.</v>
          </cell>
        </row>
        <row r="668">
          <cell r="BD668" t="str">
            <v>.</v>
          </cell>
        </row>
        <row r="669">
          <cell r="BD669" t="str">
            <v>.</v>
          </cell>
        </row>
        <row r="670">
          <cell r="BD670" t="str">
            <v>.</v>
          </cell>
        </row>
        <row r="671">
          <cell r="BD671" t="str">
            <v>.</v>
          </cell>
        </row>
        <row r="672">
          <cell r="BD672" t="str">
            <v>.</v>
          </cell>
        </row>
        <row r="673">
          <cell r="BD673" t="str">
            <v>.</v>
          </cell>
        </row>
        <row r="674">
          <cell r="BD674" t="str">
            <v>.</v>
          </cell>
        </row>
        <row r="675">
          <cell r="BD675" t="str">
            <v>.</v>
          </cell>
        </row>
        <row r="676">
          <cell r="BD676" t="str">
            <v>.</v>
          </cell>
        </row>
        <row r="677">
          <cell r="BD677" t="str">
            <v>.</v>
          </cell>
        </row>
        <row r="678">
          <cell r="BD678" t="str">
            <v>.</v>
          </cell>
        </row>
        <row r="679">
          <cell r="BD679" t="str">
            <v>.</v>
          </cell>
        </row>
        <row r="680">
          <cell r="BD680" t="str">
            <v>.</v>
          </cell>
        </row>
        <row r="681">
          <cell r="BD681" t="str">
            <v>.</v>
          </cell>
        </row>
        <row r="682">
          <cell r="BD682" t="str">
            <v>.</v>
          </cell>
        </row>
        <row r="683">
          <cell r="BD683" t="str">
            <v>.</v>
          </cell>
        </row>
        <row r="684">
          <cell r="BD684" t="str">
            <v>.</v>
          </cell>
        </row>
        <row r="685">
          <cell r="BD685" t="str">
            <v>.</v>
          </cell>
        </row>
        <row r="686">
          <cell r="BD686" t="str">
            <v>.</v>
          </cell>
        </row>
        <row r="687">
          <cell r="BD687" t="str">
            <v>.</v>
          </cell>
        </row>
        <row r="688">
          <cell r="BD688" t="str">
            <v>.</v>
          </cell>
        </row>
        <row r="689">
          <cell r="BD689" t="str">
            <v>.</v>
          </cell>
        </row>
        <row r="690">
          <cell r="BD690" t="str">
            <v>.</v>
          </cell>
        </row>
        <row r="691">
          <cell r="BD691" t="str">
            <v>.</v>
          </cell>
        </row>
        <row r="692">
          <cell r="BD692" t="str">
            <v>.</v>
          </cell>
        </row>
        <row r="693">
          <cell r="BD693" t="str">
            <v>.</v>
          </cell>
        </row>
        <row r="694">
          <cell r="BD694" t="str">
            <v>.</v>
          </cell>
        </row>
        <row r="695">
          <cell r="BD695" t="str">
            <v>.</v>
          </cell>
        </row>
        <row r="696">
          <cell r="BD696" t="str">
            <v>.</v>
          </cell>
        </row>
        <row r="697">
          <cell r="BD697" t="str">
            <v>.</v>
          </cell>
        </row>
        <row r="698">
          <cell r="BD698" t="str">
            <v>.</v>
          </cell>
        </row>
        <row r="699">
          <cell r="BD699" t="str">
            <v>.</v>
          </cell>
        </row>
        <row r="700">
          <cell r="BD700" t="str">
            <v>.</v>
          </cell>
        </row>
        <row r="701">
          <cell r="BD701" t="str">
            <v>.</v>
          </cell>
        </row>
        <row r="702">
          <cell r="BD702" t="str">
            <v>.</v>
          </cell>
        </row>
        <row r="703">
          <cell r="BD703" t="str">
            <v>.</v>
          </cell>
        </row>
        <row r="704">
          <cell r="BD704" t="str">
            <v>.</v>
          </cell>
        </row>
        <row r="705">
          <cell r="BD705" t="str">
            <v>.</v>
          </cell>
        </row>
        <row r="706">
          <cell r="BD706" t="str">
            <v>.</v>
          </cell>
        </row>
        <row r="707">
          <cell r="BD707" t="str">
            <v>.</v>
          </cell>
        </row>
        <row r="708">
          <cell r="BD708" t="str">
            <v>.</v>
          </cell>
        </row>
        <row r="709">
          <cell r="BD709" t="str">
            <v>.</v>
          </cell>
        </row>
        <row r="710">
          <cell r="BD710" t="str">
            <v>.</v>
          </cell>
        </row>
        <row r="711">
          <cell r="BD711" t="str">
            <v>.</v>
          </cell>
        </row>
        <row r="712">
          <cell r="BD712" t="str">
            <v>.</v>
          </cell>
        </row>
        <row r="713">
          <cell r="BD713" t="str">
            <v>.</v>
          </cell>
        </row>
        <row r="714">
          <cell r="BD714" t="str">
            <v>.</v>
          </cell>
        </row>
        <row r="715">
          <cell r="BD715" t="str">
            <v>.</v>
          </cell>
        </row>
        <row r="716">
          <cell r="BD716" t="str">
            <v>.</v>
          </cell>
        </row>
        <row r="717">
          <cell r="BD717" t="str">
            <v>.</v>
          </cell>
        </row>
        <row r="718">
          <cell r="BD718" t="str">
            <v>.</v>
          </cell>
        </row>
        <row r="719">
          <cell r="BD719" t="str">
            <v>.</v>
          </cell>
        </row>
        <row r="720">
          <cell r="BD720" t="str">
            <v>.</v>
          </cell>
        </row>
        <row r="721">
          <cell r="BD721" t="str">
            <v>.</v>
          </cell>
        </row>
        <row r="722">
          <cell r="BD722" t="str">
            <v>.</v>
          </cell>
        </row>
        <row r="723">
          <cell r="BD723" t="str">
            <v>.</v>
          </cell>
        </row>
        <row r="724">
          <cell r="BD724" t="str">
            <v>.</v>
          </cell>
        </row>
        <row r="725">
          <cell r="BD725" t="str">
            <v>.</v>
          </cell>
        </row>
        <row r="726">
          <cell r="BD726" t="str">
            <v>.</v>
          </cell>
        </row>
        <row r="727">
          <cell r="BD727" t="str">
            <v>.</v>
          </cell>
        </row>
        <row r="728">
          <cell r="BD728" t="str">
            <v>.</v>
          </cell>
        </row>
        <row r="729">
          <cell r="BD729" t="str">
            <v>.</v>
          </cell>
        </row>
        <row r="730">
          <cell r="BD730" t="str">
            <v>.</v>
          </cell>
        </row>
        <row r="731">
          <cell r="BD731" t="str">
            <v>.</v>
          </cell>
        </row>
        <row r="732">
          <cell r="BD732" t="str">
            <v>.</v>
          </cell>
        </row>
        <row r="733">
          <cell r="BD733" t="str">
            <v>.</v>
          </cell>
        </row>
        <row r="734">
          <cell r="BD734" t="str">
            <v>.</v>
          </cell>
        </row>
        <row r="735">
          <cell r="BD735" t="str">
            <v>.</v>
          </cell>
        </row>
        <row r="736">
          <cell r="BD736" t="str">
            <v>.</v>
          </cell>
        </row>
        <row r="737">
          <cell r="BD737" t="str">
            <v>.</v>
          </cell>
        </row>
        <row r="738">
          <cell r="BD738" t="str">
            <v>.</v>
          </cell>
        </row>
        <row r="739">
          <cell r="BD739" t="str">
            <v>.</v>
          </cell>
        </row>
        <row r="740">
          <cell r="BD740" t="str">
            <v>.</v>
          </cell>
        </row>
        <row r="741">
          <cell r="BD741" t="str">
            <v>.</v>
          </cell>
        </row>
        <row r="742">
          <cell r="BD742" t="str">
            <v>.</v>
          </cell>
        </row>
        <row r="743">
          <cell r="BD743" t="str">
            <v>.</v>
          </cell>
        </row>
        <row r="744">
          <cell r="BD744" t="str">
            <v>.</v>
          </cell>
        </row>
        <row r="745">
          <cell r="BD745" t="str">
            <v>.</v>
          </cell>
        </row>
        <row r="746">
          <cell r="BD746" t="str">
            <v>.</v>
          </cell>
        </row>
        <row r="747">
          <cell r="BD747" t="str">
            <v>.</v>
          </cell>
        </row>
        <row r="748">
          <cell r="BD748" t="str">
            <v>.</v>
          </cell>
        </row>
        <row r="749">
          <cell r="BD749" t="str">
            <v>.</v>
          </cell>
        </row>
        <row r="750">
          <cell r="BD750" t="str">
            <v>.</v>
          </cell>
        </row>
        <row r="751">
          <cell r="BD751" t="str">
            <v>.</v>
          </cell>
        </row>
        <row r="752">
          <cell r="BD752" t="str">
            <v>.</v>
          </cell>
        </row>
        <row r="753">
          <cell r="BD753" t="str">
            <v>.</v>
          </cell>
        </row>
        <row r="754">
          <cell r="BD754" t="str">
            <v>.</v>
          </cell>
        </row>
        <row r="755">
          <cell r="BD755" t="str">
            <v>.</v>
          </cell>
        </row>
        <row r="756">
          <cell r="BD756" t="str">
            <v>.</v>
          </cell>
        </row>
        <row r="757">
          <cell r="BD757" t="str">
            <v>.</v>
          </cell>
        </row>
        <row r="758">
          <cell r="BD758" t="str">
            <v>.</v>
          </cell>
        </row>
        <row r="759">
          <cell r="BD759" t="str">
            <v>.</v>
          </cell>
        </row>
        <row r="760">
          <cell r="BD760" t="str">
            <v>.</v>
          </cell>
        </row>
        <row r="761">
          <cell r="BD761" t="str">
            <v>.</v>
          </cell>
        </row>
        <row r="762">
          <cell r="BD762" t="str">
            <v>.</v>
          </cell>
        </row>
        <row r="763">
          <cell r="BD763" t="str">
            <v>.</v>
          </cell>
        </row>
        <row r="764">
          <cell r="BD764" t="str">
            <v>.</v>
          </cell>
        </row>
        <row r="765">
          <cell r="BD765" t="str">
            <v>.</v>
          </cell>
        </row>
        <row r="766">
          <cell r="BD766" t="str">
            <v>.</v>
          </cell>
        </row>
        <row r="767">
          <cell r="BD767" t="str">
            <v>.</v>
          </cell>
        </row>
        <row r="768">
          <cell r="BD768" t="str">
            <v>.</v>
          </cell>
        </row>
        <row r="769">
          <cell r="BD769" t="str">
            <v>.</v>
          </cell>
        </row>
        <row r="770">
          <cell r="BD770" t="str">
            <v>.</v>
          </cell>
        </row>
        <row r="771">
          <cell r="BD771" t="str">
            <v>.</v>
          </cell>
        </row>
        <row r="772">
          <cell r="BD772" t="str">
            <v>.</v>
          </cell>
        </row>
        <row r="773">
          <cell r="BD773" t="str">
            <v>.</v>
          </cell>
        </row>
        <row r="774">
          <cell r="BD774" t="str">
            <v>.</v>
          </cell>
        </row>
        <row r="775">
          <cell r="BD775" t="str">
            <v>.</v>
          </cell>
        </row>
        <row r="776">
          <cell r="BD776" t="str">
            <v>.</v>
          </cell>
        </row>
        <row r="777">
          <cell r="BD777" t="str">
            <v>.</v>
          </cell>
        </row>
        <row r="778">
          <cell r="BD778" t="str">
            <v>.</v>
          </cell>
        </row>
        <row r="779">
          <cell r="BD779" t="str">
            <v>.</v>
          </cell>
        </row>
        <row r="780">
          <cell r="BD780" t="str">
            <v>.</v>
          </cell>
        </row>
        <row r="781">
          <cell r="BD781" t="str">
            <v>.</v>
          </cell>
        </row>
        <row r="782">
          <cell r="BD782" t="str">
            <v>.</v>
          </cell>
        </row>
        <row r="783">
          <cell r="BD783" t="str">
            <v>.</v>
          </cell>
        </row>
        <row r="784">
          <cell r="BD784" t="str">
            <v>.</v>
          </cell>
        </row>
        <row r="785">
          <cell r="BD785" t="str">
            <v>.</v>
          </cell>
        </row>
        <row r="786">
          <cell r="BD786" t="str">
            <v>.</v>
          </cell>
        </row>
        <row r="787">
          <cell r="BD787" t="str">
            <v>.</v>
          </cell>
        </row>
        <row r="788">
          <cell r="BD788" t="str">
            <v>.</v>
          </cell>
        </row>
        <row r="789">
          <cell r="BD789" t="str">
            <v>.</v>
          </cell>
        </row>
        <row r="790">
          <cell r="BD790" t="str">
            <v>.</v>
          </cell>
        </row>
        <row r="791">
          <cell r="BD791" t="str">
            <v>.</v>
          </cell>
        </row>
        <row r="792">
          <cell r="BD792" t="str">
            <v>.</v>
          </cell>
        </row>
        <row r="793">
          <cell r="BD793" t="str">
            <v>.</v>
          </cell>
        </row>
        <row r="794">
          <cell r="BD794" t="str">
            <v>.</v>
          </cell>
        </row>
        <row r="795">
          <cell r="BD795" t="str">
            <v>.</v>
          </cell>
        </row>
        <row r="796">
          <cell r="BD796" t="str">
            <v>.</v>
          </cell>
        </row>
        <row r="797">
          <cell r="BD797" t="str">
            <v>.</v>
          </cell>
        </row>
        <row r="798">
          <cell r="BD798" t="str">
            <v>.</v>
          </cell>
        </row>
        <row r="799">
          <cell r="BD799" t="str">
            <v>.</v>
          </cell>
        </row>
        <row r="800">
          <cell r="BD800" t="str">
            <v>.</v>
          </cell>
        </row>
        <row r="801">
          <cell r="BD801" t="str">
            <v>.</v>
          </cell>
        </row>
        <row r="802">
          <cell r="BD802" t="str">
            <v>.</v>
          </cell>
        </row>
        <row r="803">
          <cell r="BD803" t="str">
            <v>.</v>
          </cell>
        </row>
        <row r="804">
          <cell r="BD804" t="str">
            <v>.</v>
          </cell>
        </row>
        <row r="805">
          <cell r="BD805" t="str">
            <v>.</v>
          </cell>
        </row>
        <row r="806">
          <cell r="BD806" t="str">
            <v>.</v>
          </cell>
        </row>
        <row r="807">
          <cell r="BD807" t="str">
            <v>.</v>
          </cell>
        </row>
        <row r="808">
          <cell r="BD808" t="str">
            <v>.</v>
          </cell>
        </row>
        <row r="809">
          <cell r="BD809" t="str">
            <v>.</v>
          </cell>
        </row>
        <row r="810">
          <cell r="BD810" t="str">
            <v>.</v>
          </cell>
        </row>
        <row r="811">
          <cell r="BD811" t="str">
            <v>.</v>
          </cell>
        </row>
        <row r="812">
          <cell r="BD812" t="str">
            <v>.</v>
          </cell>
        </row>
        <row r="813">
          <cell r="BD813" t="str">
            <v>.</v>
          </cell>
        </row>
        <row r="814">
          <cell r="BD814" t="str">
            <v>.</v>
          </cell>
        </row>
        <row r="815">
          <cell r="BD815" t="str">
            <v>.</v>
          </cell>
        </row>
        <row r="816">
          <cell r="BD816" t="str">
            <v>.</v>
          </cell>
        </row>
        <row r="817">
          <cell r="BD817" t="str">
            <v>.</v>
          </cell>
        </row>
        <row r="818">
          <cell r="BD818" t="str">
            <v>.</v>
          </cell>
        </row>
        <row r="819">
          <cell r="BD819" t="str">
            <v>.</v>
          </cell>
        </row>
        <row r="820">
          <cell r="BD820" t="str">
            <v>.</v>
          </cell>
        </row>
        <row r="821">
          <cell r="BD821" t="str">
            <v>.</v>
          </cell>
        </row>
        <row r="822">
          <cell r="BD822" t="str">
            <v>.</v>
          </cell>
        </row>
        <row r="823">
          <cell r="BD823" t="str">
            <v>.</v>
          </cell>
        </row>
        <row r="824">
          <cell r="BD824" t="str">
            <v>.</v>
          </cell>
        </row>
        <row r="825">
          <cell r="BD825" t="str">
            <v>.</v>
          </cell>
        </row>
        <row r="826">
          <cell r="BD826" t="str">
            <v>.</v>
          </cell>
        </row>
        <row r="827">
          <cell r="BD827" t="str">
            <v>.</v>
          </cell>
        </row>
        <row r="828">
          <cell r="BD828" t="str">
            <v>.</v>
          </cell>
        </row>
        <row r="829">
          <cell r="BD829" t="str">
            <v>.</v>
          </cell>
        </row>
        <row r="830">
          <cell r="BD830" t="str">
            <v>.</v>
          </cell>
        </row>
        <row r="831">
          <cell r="BD831" t="str">
            <v>.</v>
          </cell>
        </row>
        <row r="832">
          <cell r="BD832" t="str">
            <v>.</v>
          </cell>
        </row>
        <row r="833">
          <cell r="BD833" t="str">
            <v>.</v>
          </cell>
        </row>
        <row r="834">
          <cell r="BD834" t="str">
            <v>.</v>
          </cell>
        </row>
        <row r="835">
          <cell r="BD835" t="str">
            <v>.</v>
          </cell>
        </row>
        <row r="836">
          <cell r="BD836" t="str">
            <v>.</v>
          </cell>
        </row>
        <row r="837">
          <cell r="BD837" t="str">
            <v>.</v>
          </cell>
        </row>
        <row r="838">
          <cell r="BD838" t="str">
            <v>.</v>
          </cell>
        </row>
        <row r="839">
          <cell r="BD839" t="str">
            <v>.</v>
          </cell>
        </row>
        <row r="840">
          <cell r="BD840" t="str">
            <v>.</v>
          </cell>
        </row>
        <row r="841">
          <cell r="BD841" t="str">
            <v>.</v>
          </cell>
        </row>
        <row r="842">
          <cell r="BD842" t="str">
            <v>.</v>
          </cell>
        </row>
        <row r="843">
          <cell r="BD843" t="str">
            <v>.</v>
          </cell>
        </row>
        <row r="844">
          <cell r="BD844" t="str">
            <v>.</v>
          </cell>
        </row>
        <row r="845">
          <cell r="BD845" t="str">
            <v>.</v>
          </cell>
        </row>
        <row r="846">
          <cell r="BD846" t="str">
            <v>.</v>
          </cell>
        </row>
        <row r="847">
          <cell r="BD847" t="str">
            <v>.</v>
          </cell>
        </row>
        <row r="848">
          <cell r="BD848" t="str">
            <v>.</v>
          </cell>
        </row>
        <row r="849">
          <cell r="BD849" t="str">
            <v>.</v>
          </cell>
        </row>
        <row r="850">
          <cell r="BD850" t="str">
            <v>.</v>
          </cell>
        </row>
        <row r="851">
          <cell r="BD851" t="str">
            <v>.</v>
          </cell>
        </row>
        <row r="852">
          <cell r="BD852" t="str">
            <v>.</v>
          </cell>
        </row>
        <row r="853">
          <cell r="BD853" t="str">
            <v>.</v>
          </cell>
        </row>
        <row r="854">
          <cell r="BD854" t="str">
            <v>.</v>
          </cell>
        </row>
        <row r="855">
          <cell r="BD855" t="str">
            <v>.</v>
          </cell>
        </row>
        <row r="856">
          <cell r="BD856" t="str">
            <v>.</v>
          </cell>
        </row>
        <row r="857">
          <cell r="BD857" t="str">
            <v>.</v>
          </cell>
        </row>
        <row r="858">
          <cell r="BD858" t="str">
            <v>.</v>
          </cell>
        </row>
        <row r="859">
          <cell r="BD859" t="str">
            <v>.</v>
          </cell>
        </row>
        <row r="860">
          <cell r="BD860" t="str">
            <v>.</v>
          </cell>
        </row>
        <row r="861">
          <cell r="BD861" t="str">
            <v>.</v>
          </cell>
        </row>
        <row r="862">
          <cell r="BD862" t="str">
            <v>.</v>
          </cell>
        </row>
        <row r="863">
          <cell r="BD863" t="str">
            <v>.</v>
          </cell>
        </row>
        <row r="864">
          <cell r="BD864" t="str">
            <v>.</v>
          </cell>
        </row>
        <row r="865">
          <cell r="BD865" t="str">
            <v>.</v>
          </cell>
        </row>
        <row r="866">
          <cell r="BD866" t="str">
            <v>.</v>
          </cell>
        </row>
        <row r="867">
          <cell r="BD867" t="str">
            <v>.</v>
          </cell>
        </row>
        <row r="868">
          <cell r="BD868" t="str">
            <v>.</v>
          </cell>
        </row>
        <row r="869">
          <cell r="BD869" t="str">
            <v>.</v>
          </cell>
        </row>
        <row r="870">
          <cell r="BD870" t="str">
            <v>.</v>
          </cell>
        </row>
        <row r="871">
          <cell r="BD871" t="str">
            <v>.</v>
          </cell>
        </row>
        <row r="872">
          <cell r="BD872" t="str">
            <v>.</v>
          </cell>
        </row>
        <row r="873">
          <cell r="BD873" t="str">
            <v>.</v>
          </cell>
        </row>
        <row r="874">
          <cell r="BD874" t="str">
            <v>.</v>
          </cell>
        </row>
        <row r="875">
          <cell r="BD875" t="str">
            <v>.</v>
          </cell>
        </row>
        <row r="876">
          <cell r="BD876" t="str">
            <v>.</v>
          </cell>
        </row>
        <row r="877">
          <cell r="BD877" t="str">
            <v>.</v>
          </cell>
        </row>
        <row r="878">
          <cell r="BD878" t="str">
            <v>.</v>
          </cell>
        </row>
        <row r="879">
          <cell r="BD879" t="str">
            <v>.</v>
          </cell>
        </row>
        <row r="880">
          <cell r="BD880" t="str">
            <v>.</v>
          </cell>
        </row>
        <row r="881">
          <cell r="BD881" t="str">
            <v>.</v>
          </cell>
        </row>
        <row r="882">
          <cell r="BD882" t="str">
            <v>.</v>
          </cell>
        </row>
        <row r="883">
          <cell r="BD883" t="str">
            <v>.</v>
          </cell>
        </row>
        <row r="884">
          <cell r="BD884" t="str">
            <v>.</v>
          </cell>
        </row>
        <row r="885">
          <cell r="BD885" t="str">
            <v>.</v>
          </cell>
        </row>
        <row r="886">
          <cell r="BD886" t="str">
            <v>.</v>
          </cell>
        </row>
        <row r="887">
          <cell r="BD887" t="str">
            <v>.</v>
          </cell>
        </row>
        <row r="888">
          <cell r="BD888" t="str">
            <v>.</v>
          </cell>
        </row>
        <row r="889">
          <cell r="BD889" t="str">
            <v>.</v>
          </cell>
        </row>
        <row r="890">
          <cell r="BD890" t="str">
            <v>.</v>
          </cell>
        </row>
        <row r="891">
          <cell r="BD891" t="str">
            <v>.</v>
          </cell>
        </row>
        <row r="892">
          <cell r="BD892" t="str">
            <v>.</v>
          </cell>
        </row>
        <row r="893">
          <cell r="BD893" t="str">
            <v>.</v>
          </cell>
        </row>
        <row r="894">
          <cell r="BD894" t="str">
            <v>.</v>
          </cell>
        </row>
        <row r="895">
          <cell r="BD895" t="str">
            <v>.</v>
          </cell>
        </row>
        <row r="896">
          <cell r="BD896" t="str">
            <v>.</v>
          </cell>
        </row>
        <row r="897">
          <cell r="BD897" t="str">
            <v>.</v>
          </cell>
        </row>
        <row r="898">
          <cell r="BD898" t="str">
            <v>.</v>
          </cell>
        </row>
        <row r="899">
          <cell r="BD899" t="str">
            <v>.</v>
          </cell>
        </row>
        <row r="900">
          <cell r="BD900" t="str">
            <v>.</v>
          </cell>
        </row>
        <row r="901">
          <cell r="BD901" t="str">
            <v>.</v>
          </cell>
        </row>
        <row r="902">
          <cell r="BD902" t="str">
            <v>.</v>
          </cell>
        </row>
        <row r="903">
          <cell r="BD903" t="str">
            <v>.</v>
          </cell>
        </row>
        <row r="904">
          <cell r="BD904" t="str">
            <v>.</v>
          </cell>
        </row>
        <row r="905">
          <cell r="BD905" t="str">
            <v>.</v>
          </cell>
        </row>
        <row r="906">
          <cell r="BD906" t="str">
            <v>.</v>
          </cell>
        </row>
        <row r="907">
          <cell r="BD907" t="str">
            <v>.</v>
          </cell>
        </row>
        <row r="908">
          <cell r="BD908" t="str">
            <v>.</v>
          </cell>
        </row>
        <row r="909">
          <cell r="BD909" t="str">
            <v>.</v>
          </cell>
        </row>
        <row r="910">
          <cell r="BD910" t="str">
            <v>.</v>
          </cell>
        </row>
        <row r="911">
          <cell r="BD911" t="str">
            <v>.</v>
          </cell>
        </row>
        <row r="912">
          <cell r="BD912" t="str">
            <v>.</v>
          </cell>
        </row>
        <row r="913">
          <cell r="BD913" t="str">
            <v>.</v>
          </cell>
        </row>
        <row r="914">
          <cell r="BD914" t="str">
            <v>.</v>
          </cell>
        </row>
        <row r="915">
          <cell r="BD915" t="str">
            <v>.</v>
          </cell>
        </row>
        <row r="916">
          <cell r="BD916" t="str">
            <v>.</v>
          </cell>
        </row>
        <row r="917">
          <cell r="BD917" t="str">
            <v>.</v>
          </cell>
        </row>
        <row r="918">
          <cell r="BD918" t="str">
            <v>.</v>
          </cell>
        </row>
        <row r="919">
          <cell r="BD919" t="str">
            <v>.</v>
          </cell>
        </row>
        <row r="920">
          <cell r="BD920" t="str">
            <v>.</v>
          </cell>
        </row>
        <row r="921">
          <cell r="BD921" t="str">
            <v>.</v>
          </cell>
        </row>
        <row r="922">
          <cell r="BD922" t="str">
            <v>.</v>
          </cell>
        </row>
        <row r="923">
          <cell r="BD923" t="str">
            <v>.</v>
          </cell>
        </row>
        <row r="924">
          <cell r="BD924" t="str">
            <v>.</v>
          </cell>
        </row>
        <row r="925">
          <cell r="BD925" t="str">
            <v>.</v>
          </cell>
        </row>
        <row r="926">
          <cell r="BD926" t="str">
            <v>.</v>
          </cell>
        </row>
        <row r="927">
          <cell r="BD927" t="str">
            <v>.</v>
          </cell>
        </row>
        <row r="928">
          <cell r="BD928" t="str">
            <v>.</v>
          </cell>
        </row>
        <row r="929">
          <cell r="BD929" t="str">
            <v>.</v>
          </cell>
        </row>
        <row r="930">
          <cell r="BD930" t="str">
            <v>.</v>
          </cell>
        </row>
        <row r="931">
          <cell r="BD931" t="str">
            <v>.</v>
          </cell>
        </row>
        <row r="932">
          <cell r="BD932" t="str">
            <v>.</v>
          </cell>
        </row>
        <row r="933">
          <cell r="BD933" t="str">
            <v>.</v>
          </cell>
        </row>
        <row r="934">
          <cell r="BD934" t="str">
            <v>.</v>
          </cell>
        </row>
        <row r="935">
          <cell r="BD935" t="str">
            <v>.</v>
          </cell>
        </row>
        <row r="936">
          <cell r="BD936" t="str">
            <v>.</v>
          </cell>
        </row>
        <row r="937">
          <cell r="BD937" t="str">
            <v>.</v>
          </cell>
        </row>
        <row r="938">
          <cell r="BD938" t="str">
            <v>.</v>
          </cell>
        </row>
        <row r="939">
          <cell r="BD939" t="str">
            <v>.</v>
          </cell>
        </row>
        <row r="940">
          <cell r="BD940" t="str">
            <v>.</v>
          </cell>
        </row>
        <row r="941">
          <cell r="BD941" t="str">
            <v>.</v>
          </cell>
        </row>
        <row r="942">
          <cell r="BD942" t="str">
            <v>.</v>
          </cell>
        </row>
        <row r="943">
          <cell r="BD943" t="str">
            <v>.</v>
          </cell>
        </row>
        <row r="944">
          <cell r="BD944" t="str">
            <v>.</v>
          </cell>
        </row>
        <row r="945">
          <cell r="BD945" t="str">
            <v>.</v>
          </cell>
        </row>
        <row r="946">
          <cell r="BD946" t="str">
            <v>.</v>
          </cell>
        </row>
        <row r="947">
          <cell r="BD947" t="str">
            <v>.</v>
          </cell>
        </row>
        <row r="948">
          <cell r="BD948" t="str">
            <v>.</v>
          </cell>
        </row>
        <row r="949">
          <cell r="BD949" t="str">
            <v>.</v>
          </cell>
        </row>
        <row r="950">
          <cell r="BD950" t="str">
            <v>.</v>
          </cell>
        </row>
        <row r="951">
          <cell r="BD951" t="str">
            <v>.</v>
          </cell>
        </row>
        <row r="952">
          <cell r="BD952" t="str">
            <v>.</v>
          </cell>
        </row>
        <row r="953">
          <cell r="BD953" t="str">
            <v>.</v>
          </cell>
        </row>
        <row r="954">
          <cell r="BD954" t="str">
            <v>.</v>
          </cell>
        </row>
        <row r="955">
          <cell r="BD955" t="str">
            <v>.</v>
          </cell>
        </row>
        <row r="956">
          <cell r="BD956" t="str">
            <v>.</v>
          </cell>
        </row>
        <row r="957">
          <cell r="BD957" t="str">
            <v>.</v>
          </cell>
        </row>
        <row r="958">
          <cell r="BD958" t="str">
            <v>.</v>
          </cell>
        </row>
        <row r="959">
          <cell r="BD959" t="str">
            <v>.</v>
          </cell>
        </row>
        <row r="960">
          <cell r="BD960" t="str">
            <v>.</v>
          </cell>
        </row>
        <row r="961">
          <cell r="BD961" t="str">
            <v>.</v>
          </cell>
        </row>
        <row r="962">
          <cell r="BD962" t="str">
            <v>.</v>
          </cell>
        </row>
        <row r="963">
          <cell r="BD963" t="str">
            <v>.</v>
          </cell>
        </row>
        <row r="964">
          <cell r="BD964" t="str">
            <v>.</v>
          </cell>
        </row>
        <row r="965">
          <cell r="BD965" t="str">
            <v>.</v>
          </cell>
        </row>
        <row r="966">
          <cell r="BD966" t="str">
            <v>.</v>
          </cell>
        </row>
        <row r="967">
          <cell r="BD967" t="str">
            <v>.</v>
          </cell>
        </row>
        <row r="968">
          <cell r="BD968" t="str">
            <v>.</v>
          </cell>
        </row>
        <row r="969">
          <cell r="BD969" t="str">
            <v>.</v>
          </cell>
        </row>
        <row r="970">
          <cell r="BD970" t="str">
            <v>.</v>
          </cell>
        </row>
        <row r="971">
          <cell r="BD971" t="str">
            <v>.</v>
          </cell>
        </row>
        <row r="972">
          <cell r="BD972" t="str">
            <v>.</v>
          </cell>
        </row>
        <row r="973">
          <cell r="BD973" t="str">
            <v>.</v>
          </cell>
        </row>
        <row r="974">
          <cell r="BD974" t="str">
            <v>.</v>
          </cell>
        </row>
        <row r="975">
          <cell r="BD975" t="str">
            <v>.</v>
          </cell>
        </row>
        <row r="976">
          <cell r="BD976" t="str">
            <v>.</v>
          </cell>
        </row>
        <row r="977">
          <cell r="BD977" t="str">
            <v>.</v>
          </cell>
        </row>
        <row r="978">
          <cell r="BD978" t="str">
            <v>.</v>
          </cell>
        </row>
        <row r="979">
          <cell r="BD979" t="str">
            <v>.</v>
          </cell>
        </row>
        <row r="980">
          <cell r="BD980" t="str">
            <v>.</v>
          </cell>
        </row>
        <row r="981">
          <cell r="BD981" t="str">
            <v>.</v>
          </cell>
        </row>
        <row r="982">
          <cell r="BD982" t="str">
            <v>.</v>
          </cell>
        </row>
        <row r="983">
          <cell r="BD983" t="str">
            <v>.</v>
          </cell>
        </row>
        <row r="984">
          <cell r="BD984" t="str">
            <v>.</v>
          </cell>
        </row>
        <row r="985">
          <cell r="BD985" t="str">
            <v>.</v>
          </cell>
        </row>
        <row r="986">
          <cell r="BD986" t="str">
            <v>.</v>
          </cell>
        </row>
        <row r="987">
          <cell r="BD987" t="str">
            <v>.</v>
          </cell>
        </row>
        <row r="988">
          <cell r="BD988" t="str">
            <v>.</v>
          </cell>
        </row>
        <row r="989">
          <cell r="BD989" t="str">
            <v>.</v>
          </cell>
        </row>
        <row r="990">
          <cell r="BD990" t="str">
            <v>.</v>
          </cell>
        </row>
        <row r="991">
          <cell r="BD991" t="str">
            <v>.</v>
          </cell>
        </row>
        <row r="992">
          <cell r="BD992" t="str">
            <v>.</v>
          </cell>
        </row>
        <row r="993">
          <cell r="BD993" t="str">
            <v>.</v>
          </cell>
        </row>
        <row r="994">
          <cell r="BD994" t="str">
            <v>.</v>
          </cell>
        </row>
        <row r="995">
          <cell r="BD995" t="str">
            <v>.</v>
          </cell>
        </row>
        <row r="996">
          <cell r="C996" t="str">
            <v>.</v>
          </cell>
          <cell r="D996" t="str">
            <v>.</v>
          </cell>
          <cell r="E996" t="str">
            <v>.</v>
          </cell>
          <cell r="F996" t="str">
            <v>.</v>
          </cell>
          <cell r="G996" t="str">
            <v>.</v>
          </cell>
          <cell r="H996" t="str">
            <v>.</v>
          </cell>
          <cell r="BD996" t="str">
            <v>.</v>
          </cell>
        </row>
        <row r="997">
          <cell r="A997" t="str">
            <v>.</v>
          </cell>
          <cell r="B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cell r="BB997" t="str">
            <v>.</v>
          </cell>
          <cell r="BC997" t="str">
            <v>.</v>
          </cell>
          <cell r="BD997" t="str">
            <v>.</v>
          </cell>
        </row>
      </sheetData>
      <sheetData sheetId="26"/>
      <sheetData sheetId="27">
        <row r="1">
          <cell r="A1" t="str">
            <v>RRS-5.10</v>
          </cell>
          <cell r="D1" t="str">
            <v>RISK-REWARD SNAPSHOT
(You must upload your model to ModelWare to capture changes to your scenario values and NOT delete this worksheet.)</v>
          </cell>
          <cell r="I1" t="str">
            <v>Select Language</v>
          </cell>
          <cell r="N1" t="str">
            <v>http://ChartGallery</v>
          </cell>
          <cell r="O1" t="str">
            <v>http://ChartGallery</v>
          </cell>
          <cell r="AA1" t="str">
            <v>ElementName</v>
          </cell>
          <cell r="AB1" t="str">
            <v>ScaleOverride</v>
          </cell>
          <cell r="AC1" t="str">
            <v>UnitOverride</v>
          </cell>
          <cell r="AD1" t="str">
            <v>ReverseSign</v>
          </cell>
          <cell r="AE1" t="str">
            <v>IsDrivingAssumption</v>
          </cell>
          <cell r="AF1" t="str">
            <v>SegmentID</v>
          </cell>
        </row>
        <row r="2">
          <cell r="B2" t="str">
            <v>Instructions:</v>
          </cell>
        </row>
        <row r="4">
          <cell r="B4" t="str">
            <v>Ticker:</v>
          </cell>
          <cell r="C4" t="str">
            <v>LLY.N</v>
          </cell>
          <cell r="E4" t="str">
            <v>Company Name:</v>
          </cell>
          <cell r="F4" t="str">
            <v>Eli Lilly &amp; Co.</v>
          </cell>
          <cell r="I4" t="str">
            <v>Sedol:</v>
          </cell>
          <cell r="J4">
            <v>2516152</v>
          </cell>
          <cell r="K4" t="str">
            <v>#Refresh#</v>
          </cell>
        </row>
        <row r="5">
          <cell r="B5" t="str">
            <v xml:space="preserve">Chart Data Inputs (decimal formats will reflect on chart): </v>
          </cell>
          <cell r="H5" t="str">
            <v>Risk Reward Chart Gallery 
(Click on the below image for other Risk-Reward Charts)</v>
          </cell>
        </row>
        <row r="6">
          <cell r="B6" t="str">
            <v>Bull Case</v>
          </cell>
          <cell r="C6">
            <v>42</v>
          </cell>
          <cell r="AA6" t="str">
            <v>mstag:bullCaseValueEstimatePerShare</v>
          </cell>
          <cell r="AB6">
            <v>0</v>
          </cell>
          <cell r="AC6" t="str">
            <v>ISO4217:USD</v>
          </cell>
          <cell r="AD6" t="b">
            <v>0</v>
          </cell>
        </row>
        <row r="7">
          <cell r="B7" t="str">
            <v>Base Case</v>
          </cell>
          <cell r="C7">
            <v>37</v>
          </cell>
          <cell r="AA7" t="str">
            <v>mstag:met_12monthIntrinsicValueEstimate</v>
          </cell>
          <cell r="AB7">
            <v>0</v>
          </cell>
          <cell r="AC7" t="str">
            <v>ISO4217:USD</v>
          </cell>
          <cell r="AD7" t="b">
            <v>0</v>
          </cell>
        </row>
        <row r="8">
          <cell r="B8" t="str">
            <v>Bear Case</v>
          </cell>
          <cell r="C8">
            <v>32</v>
          </cell>
          <cell r="K8" t="str">
            <v>日本語</v>
          </cell>
          <cell r="M8" t="str">
            <v>-</v>
          </cell>
          <cell r="AA8" t="str">
            <v>mstag:bearCaseValueEstimatePerShare</v>
          </cell>
          <cell r="AB8">
            <v>0</v>
          </cell>
          <cell r="AC8" t="str">
            <v>ISO4217:USD</v>
          </cell>
          <cell r="AD8" t="b">
            <v>0</v>
          </cell>
        </row>
        <row r="9">
          <cell r="B9" t="str">
            <v>Extreme Upside</v>
          </cell>
          <cell r="K9" t="str">
            <v>English</v>
          </cell>
          <cell r="L9" t="str">
            <v>年</v>
          </cell>
          <cell r="M9" t="str">
            <v>月</v>
          </cell>
          <cell r="N9" t="str">
            <v>-</v>
          </cell>
          <cell r="AA9" t="str">
            <v>mstag:extremeBullCaseValueEstimatePerShare</v>
          </cell>
          <cell r="AB9">
            <v>0</v>
          </cell>
          <cell r="AC9" t="str">
            <v>ISO4217:USD</v>
          </cell>
          <cell r="AD9" t="b">
            <v>0</v>
          </cell>
          <cell r="AH9" t="str">
            <v>Other Refresh Chart Option</v>
          </cell>
        </row>
        <row r="10">
          <cell r="B10" t="str">
            <v>Extreme Downside</v>
          </cell>
          <cell r="O10" t="b">
            <v>0</v>
          </cell>
          <cell r="AA10" t="str">
            <v>mstag:extremeBearCaseValueEstimatePerShare</v>
          </cell>
          <cell r="AB10">
            <v>0</v>
          </cell>
          <cell r="AC10" t="str">
            <v>ISO4217:USD</v>
          </cell>
          <cell r="AD10" t="b">
            <v>0</v>
          </cell>
        </row>
        <row r="11">
          <cell r="B11" t="str">
            <v>Price Target</v>
          </cell>
          <cell r="C11">
            <v>37</v>
          </cell>
          <cell r="O11" t="b">
            <v>1</v>
          </cell>
        </row>
        <row r="12">
          <cell r="B12" t="str">
            <v>Currency</v>
          </cell>
          <cell r="C12" t="str">
            <v>USD American Dollar</v>
          </cell>
          <cell r="F12">
            <v>0</v>
          </cell>
        </row>
        <row r="13">
          <cell r="B13" t="str">
            <v>Currency Symbol</v>
          </cell>
          <cell r="C13" t="str">
            <v>$</v>
          </cell>
          <cell r="F13">
            <v>0</v>
          </cell>
        </row>
        <row r="14">
          <cell r="B14" t="str">
            <v>"Refresh RR Chart" updates chart dates below, as of today. If your PT time horizon is &gt; 1yr. or price history is &lt; 2yrs., adjust Start/End dates and select "Apply Manually Adjusted Dates" option.</v>
          </cell>
        </row>
        <row r="15">
          <cell r="B15" t="str">
            <v>Start Date (-2 Yrs)</v>
          </cell>
          <cell r="C15">
            <v>39231</v>
          </cell>
          <cell r="E15" t="str">
            <v>#Refresh#</v>
          </cell>
          <cell r="F15" t="str">
            <v>USD</v>
          </cell>
        </row>
        <row r="16">
          <cell r="B16" t="str">
            <v>End Date (+1 Yr)</v>
          </cell>
          <cell r="C16">
            <v>40327</v>
          </cell>
          <cell r="E16" t="str">
            <v>#Refresh#</v>
          </cell>
          <cell r="F16" t="str">
            <v>USD</v>
          </cell>
        </row>
        <row r="17">
          <cell r="B17">
            <v>34.57</v>
          </cell>
          <cell r="C17" t="str">
            <v>Hand entert Share Price</v>
          </cell>
          <cell r="H17" t="str">
            <v>2007-FY</v>
          </cell>
        </row>
        <row r="18">
          <cell r="B18" t="b">
            <v>0</v>
          </cell>
          <cell r="C18">
            <v>39962</v>
          </cell>
        </row>
        <row r="19">
          <cell r="C19" t="str">
            <v>2009-FY</v>
          </cell>
        </row>
        <row r="34">
          <cell r="A34" t="str">
            <v>BullCase</v>
          </cell>
        </row>
        <row r="52">
          <cell r="A52">
            <v>40327</v>
          </cell>
          <cell r="B52">
            <v>758</v>
          </cell>
          <cell r="N52" t="str">
            <v>May-10</v>
          </cell>
          <cell r="R52" t="b">
            <v>0</v>
          </cell>
        </row>
        <row r="53">
          <cell r="A53" t="str">
            <v>Header</v>
          </cell>
          <cell r="B53" t="str">
            <v>Date</v>
          </cell>
          <cell r="C53" t="str">
            <v>Past/Future</v>
          </cell>
          <cell r="D53" t="str">
            <v>Historical Stock Performance</v>
          </cell>
          <cell r="E53" t="str">
            <v>Extreme Upside Cone</v>
          </cell>
          <cell r="F53" t="str">
            <v>Blue Cone</v>
          </cell>
          <cell r="G53" t="str">
            <v>Extreme Downside Cone</v>
          </cell>
          <cell r="H53" t="str">
            <v>White Mask</v>
          </cell>
          <cell r="I53" t="str">
            <v>Current Stock Price</v>
          </cell>
          <cell r="J53" t="str">
            <v>Extreme Upside Price(May-10)</v>
          </cell>
          <cell r="K53" t="str">
            <v>Bull Price(May-10)</v>
          </cell>
          <cell r="L53" t="str">
            <v>Bear Price(May-10)</v>
          </cell>
          <cell r="M53" t="str">
            <v>Extreme Downside Price(May-10)</v>
          </cell>
          <cell r="N53" t="str">
            <v>Price Target (May-10)</v>
          </cell>
          <cell r="O53" t="str">
            <v>Gray Line</v>
          </cell>
          <cell r="P53" t="str">
            <v>Prices</v>
          </cell>
          <cell r="Q53" t="str">
            <v>Volume</v>
          </cell>
          <cell r="R53" t="str">
            <v>Base Case(May-10)</v>
          </cell>
          <cell r="S53" t="str">
            <v>Header Row</v>
          </cell>
          <cell r="T53">
            <v>53</v>
          </cell>
          <cell r="U53">
            <v>0</v>
          </cell>
          <cell r="AI53" t="str">
            <v xml:space="preserve">Display </v>
          </cell>
          <cell r="AJ53" t="str">
            <v>Symbol</v>
          </cell>
          <cell r="AK53" t="str">
            <v>Unit</v>
          </cell>
          <cell r="AL53" t="str">
            <v>FactsetUnit</v>
          </cell>
          <cell r="AM53" t="str">
            <v>Right alligned</v>
          </cell>
          <cell r="AN53" t="str">
            <v>Display 2 Decimal Places for Currency Amount</v>
          </cell>
        </row>
        <row r="54">
          <cell r="A54">
            <v>39231</v>
          </cell>
          <cell r="B54">
            <v>39231</v>
          </cell>
          <cell r="C54" t="str">
            <v>Past</v>
          </cell>
          <cell r="D54">
            <v>59.46</v>
          </cell>
          <cell r="E54" t="e">
            <v>#N/A</v>
          </cell>
          <cell r="F54" t="e">
            <v>#N/A</v>
          </cell>
          <cell r="G54" t="e">
            <v>#N/A</v>
          </cell>
          <cell r="H54" t="e">
            <v>#N/A</v>
          </cell>
          <cell r="I54" t="e">
            <v>#N/A</v>
          </cell>
          <cell r="J54" t="e">
            <v>#N/A</v>
          </cell>
          <cell r="K54" t="e">
            <v>#N/A</v>
          </cell>
          <cell r="L54" t="e">
            <v>#N/A</v>
          </cell>
          <cell r="M54" t="e">
            <v>#N/A</v>
          </cell>
          <cell r="N54" t="e">
            <v>#N/A</v>
          </cell>
          <cell r="O54" t="e">
            <v>#N/A</v>
          </cell>
          <cell r="P54">
            <v>59.46</v>
          </cell>
          <cell r="Q54">
            <v>3.2017000000000002</v>
          </cell>
          <cell r="R54" t="e">
            <v>#N/A</v>
          </cell>
          <cell r="S54" t="str">
            <v>Count</v>
          </cell>
          <cell r="T54">
            <v>758</v>
          </cell>
          <cell r="U54">
            <v>42</v>
          </cell>
          <cell r="AI54" t="str">
            <v>AED UAE Dirham</v>
          </cell>
          <cell r="AJ54" t="str">
            <v>AED</v>
          </cell>
          <cell r="AK54" t="str">
            <v>AED</v>
          </cell>
          <cell r="AL54" t="str">
            <v>AED</v>
          </cell>
          <cell r="AM54">
            <v>0</v>
          </cell>
          <cell r="AN54">
            <v>2</v>
          </cell>
        </row>
        <row r="55">
          <cell r="A55">
            <v>39232</v>
          </cell>
          <cell r="B55">
            <v>39232</v>
          </cell>
          <cell r="C55" t="str">
            <v>Past</v>
          </cell>
          <cell r="D55">
            <v>59.24</v>
          </cell>
          <cell r="E55" t="e">
            <v>#N/A</v>
          </cell>
          <cell r="F55" t="e">
            <v>#N/A</v>
          </cell>
          <cell r="G55" t="e">
            <v>#N/A</v>
          </cell>
          <cell r="H55" t="e">
            <v>#N/A</v>
          </cell>
          <cell r="I55" t="e">
            <v>#N/A</v>
          </cell>
          <cell r="J55" t="e">
            <v>#N/A</v>
          </cell>
          <cell r="K55" t="e">
            <v>#N/A</v>
          </cell>
          <cell r="L55" t="e">
            <v>#N/A</v>
          </cell>
          <cell r="M55" t="e">
            <v>#N/A</v>
          </cell>
          <cell r="N55" t="e">
            <v>#N/A</v>
          </cell>
          <cell r="O55" t="e">
            <v>#N/A</v>
          </cell>
          <cell r="P55">
            <v>59.24</v>
          </cell>
          <cell r="Q55">
            <v>5.1042869999999994</v>
          </cell>
          <cell r="R55" t="e">
            <v>#N/A</v>
          </cell>
          <cell r="S55" t="str">
            <v>Curr Price</v>
          </cell>
          <cell r="T55">
            <v>34.57</v>
          </cell>
          <cell r="U55">
            <v>506</v>
          </cell>
          <cell r="V55">
            <v>114.16500000000001</v>
          </cell>
          <cell r="AI55" t="str">
            <v>ARS Argentinian Pesos</v>
          </cell>
          <cell r="AJ55" t="str">
            <v>Ar$</v>
          </cell>
          <cell r="AK55" t="str">
            <v>ARS</v>
          </cell>
          <cell r="AL55" t="str">
            <v>ARS</v>
          </cell>
          <cell r="AM55">
            <v>0</v>
          </cell>
          <cell r="AN55">
            <v>2</v>
          </cell>
        </row>
        <row r="56">
          <cell r="A56">
            <v>39233</v>
          </cell>
          <cell r="B56">
            <v>39233</v>
          </cell>
          <cell r="C56" t="str">
            <v>Past</v>
          </cell>
          <cell r="D56">
            <v>58.62</v>
          </cell>
          <cell r="E56" t="e">
            <v>#N/A</v>
          </cell>
          <cell r="F56" t="e">
            <v>#N/A</v>
          </cell>
          <cell r="G56" t="e">
            <v>#N/A</v>
          </cell>
          <cell r="H56" t="e">
            <v>#N/A</v>
          </cell>
          <cell r="I56" t="e">
            <v>#N/A</v>
          </cell>
          <cell r="J56" t="e">
            <v>#N/A</v>
          </cell>
          <cell r="K56" t="e">
            <v>#N/A</v>
          </cell>
          <cell r="L56" t="e">
            <v>#N/A</v>
          </cell>
          <cell r="M56" t="e">
            <v>#N/A</v>
          </cell>
          <cell r="N56" t="e">
            <v>#N/A</v>
          </cell>
          <cell r="O56" t="e">
            <v>#N/A</v>
          </cell>
          <cell r="P56">
            <v>58.62</v>
          </cell>
          <cell r="Q56">
            <v>5.3824379999999996</v>
          </cell>
          <cell r="R56" t="e">
            <v>#N/A</v>
          </cell>
          <cell r="S56" t="str">
            <v>Curr Price Date</v>
          </cell>
          <cell r="T56">
            <v>39962</v>
          </cell>
          <cell r="U56">
            <v>39951.672118055554</v>
          </cell>
          <cell r="AI56" t="str">
            <v>AUD Australian Dollar</v>
          </cell>
          <cell r="AJ56" t="str">
            <v>A$</v>
          </cell>
          <cell r="AK56" t="str">
            <v>AUD</v>
          </cell>
          <cell r="AL56" t="str">
            <v>AUD</v>
          </cell>
          <cell r="AM56">
            <v>0</v>
          </cell>
          <cell r="AN56">
            <v>2</v>
          </cell>
        </row>
        <row r="57">
          <cell r="A57">
            <v>39234</v>
          </cell>
          <cell r="B57">
            <v>39234</v>
          </cell>
          <cell r="C57" t="str">
            <v>Past</v>
          </cell>
          <cell r="D57">
            <v>58.94</v>
          </cell>
          <cell r="E57" t="e">
            <v>#N/A</v>
          </cell>
          <cell r="F57" t="e">
            <v>#N/A</v>
          </cell>
          <cell r="G57" t="e">
            <v>#N/A</v>
          </cell>
          <cell r="H57" t="e">
            <v>#N/A</v>
          </cell>
          <cell r="I57" t="e">
            <v>#N/A</v>
          </cell>
          <cell r="J57" t="e">
            <v>#N/A</v>
          </cell>
          <cell r="K57" t="e">
            <v>#N/A</v>
          </cell>
          <cell r="L57" t="e">
            <v>#N/A</v>
          </cell>
          <cell r="M57" t="e">
            <v>#N/A</v>
          </cell>
          <cell r="N57" t="e">
            <v>#N/A</v>
          </cell>
          <cell r="O57" t="e">
            <v>#N/A</v>
          </cell>
          <cell r="P57">
            <v>58.94</v>
          </cell>
          <cell r="Q57">
            <v>3.8512389999999996</v>
          </cell>
          <cell r="R57" t="e">
            <v>#N/A</v>
          </cell>
          <cell r="S57" t="str">
            <v>Bull-Curr</v>
          </cell>
          <cell r="T57">
            <v>7.43</v>
          </cell>
          <cell r="U57">
            <v>2.9367588932806322E-2</v>
          </cell>
          <cell r="AI57" t="str">
            <v>BGL Bulgarian levs</v>
          </cell>
          <cell r="AJ57" t="str">
            <v>BGL</v>
          </cell>
          <cell r="AK57" t="str">
            <v>BGL</v>
          </cell>
          <cell r="AL57" t="str">
            <v>BGN</v>
          </cell>
          <cell r="AM57">
            <v>0</v>
          </cell>
          <cell r="AN57">
            <v>2</v>
          </cell>
        </row>
        <row r="58">
          <cell r="A58">
            <v>39237</v>
          </cell>
          <cell r="B58">
            <v>39237</v>
          </cell>
          <cell r="C58" t="str">
            <v>Past</v>
          </cell>
          <cell r="D58">
            <v>59.16</v>
          </cell>
          <cell r="E58" t="e">
            <v>#N/A</v>
          </cell>
          <cell r="F58" t="e">
            <v>#N/A</v>
          </cell>
          <cell r="G58" t="e">
            <v>#N/A</v>
          </cell>
          <cell r="H58" t="e">
            <v>#N/A</v>
          </cell>
          <cell r="I58" t="e">
            <v>#N/A</v>
          </cell>
          <cell r="J58" t="e">
            <v>#N/A</v>
          </cell>
          <cell r="K58" t="e">
            <v>#N/A</v>
          </cell>
          <cell r="L58" t="e">
            <v>#N/A</v>
          </cell>
          <cell r="M58" t="e">
            <v>#N/A</v>
          </cell>
          <cell r="N58" t="e">
            <v>#N/A</v>
          </cell>
          <cell r="O58" t="e">
            <v>#N/A</v>
          </cell>
          <cell r="P58">
            <v>59.16</v>
          </cell>
          <cell r="Q58">
            <v>4.8737000000000004</v>
          </cell>
          <cell r="R58" t="e">
            <v>#N/A</v>
          </cell>
          <cell r="S58" t="str">
            <v>Upp-Cur</v>
          </cell>
          <cell r="T58">
            <v>-34.57</v>
          </cell>
          <cell r="U58">
            <v>-0.1366403162055336</v>
          </cell>
          <cell r="AI58" t="str">
            <v>BMD Bermudan Dollars</v>
          </cell>
          <cell r="AJ58" t="str">
            <v>BMD</v>
          </cell>
          <cell r="AK58" t="str">
            <v>BMD</v>
          </cell>
          <cell r="AL58" t="str">
            <v>BMD</v>
          </cell>
          <cell r="AM58">
            <v>0</v>
          </cell>
          <cell r="AN58">
            <v>2</v>
          </cell>
        </row>
        <row r="59">
          <cell r="A59">
            <v>39238</v>
          </cell>
          <cell r="B59">
            <v>39238</v>
          </cell>
          <cell r="C59" t="str">
            <v>Past</v>
          </cell>
          <cell r="D59">
            <v>59</v>
          </cell>
          <cell r="E59" t="e">
            <v>#N/A</v>
          </cell>
          <cell r="F59" t="e">
            <v>#N/A</v>
          </cell>
          <cell r="G59" t="e">
            <v>#N/A</v>
          </cell>
          <cell r="H59" t="e">
            <v>#N/A</v>
          </cell>
          <cell r="I59" t="e">
            <v>#N/A</v>
          </cell>
          <cell r="J59" t="e">
            <v>#N/A</v>
          </cell>
          <cell r="K59" t="e">
            <v>#N/A</v>
          </cell>
          <cell r="L59" t="e">
            <v>#N/A</v>
          </cell>
          <cell r="M59" t="e">
            <v>#N/A</v>
          </cell>
          <cell r="N59" t="e">
            <v>#N/A</v>
          </cell>
          <cell r="O59" t="e">
            <v>#N/A</v>
          </cell>
          <cell r="P59">
            <v>59</v>
          </cell>
          <cell r="Q59">
            <v>5.2781000000000002</v>
          </cell>
          <cell r="R59" t="e">
            <v>#N/A</v>
          </cell>
          <cell r="S59" t="str">
            <v>Curr-Bear</v>
          </cell>
          <cell r="T59">
            <v>2.5700000000000003</v>
          </cell>
          <cell r="U59">
            <v>1.015810276679842E-2</v>
          </cell>
          <cell r="AI59" t="str">
            <v>BRL Brazilian Real</v>
          </cell>
          <cell r="AJ59" t="str">
            <v>R$</v>
          </cell>
          <cell r="AK59" t="str">
            <v>BRL</v>
          </cell>
          <cell r="AL59" t="str">
            <v>BRL</v>
          </cell>
          <cell r="AM59">
            <v>0</v>
          </cell>
          <cell r="AN59">
            <v>2</v>
          </cell>
        </row>
        <row r="60">
          <cell r="A60">
            <v>39239</v>
          </cell>
          <cell r="B60">
            <v>39239</v>
          </cell>
          <cell r="C60" t="str">
            <v>Past</v>
          </cell>
          <cell r="D60">
            <v>58.29</v>
          </cell>
          <cell r="E60" t="e">
            <v>#N/A</v>
          </cell>
          <cell r="F60" t="e">
            <v>#N/A</v>
          </cell>
          <cell r="G60" t="e">
            <v>#N/A</v>
          </cell>
          <cell r="H60" t="e">
            <v>#N/A</v>
          </cell>
          <cell r="I60" t="e">
            <v>#N/A</v>
          </cell>
          <cell r="J60" t="e">
            <v>#N/A</v>
          </cell>
          <cell r="K60" t="e">
            <v>#N/A</v>
          </cell>
          <cell r="L60" t="e">
            <v>#N/A</v>
          </cell>
          <cell r="M60" t="e">
            <v>#N/A</v>
          </cell>
          <cell r="N60" t="e">
            <v>#N/A</v>
          </cell>
          <cell r="O60" t="e">
            <v>#N/A</v>
          </cell>
          <cell r="P60">
            <v>58.29</v>
          </cell>
          <cell r="Q60">
            <v>5.9253260000000001</v>
          </cell>
          <cell r="R60" t="e">
            <v>#N/A</v>
          </cell>
          <cell r="S60" t="str">
            <v>Curr-Lower</v>
          </cell>
          <cell r="T60">
            <v>34.57</v>
          </cell>
          <cell r="U60">
            <v>0.1366403162055336</v>
          </cell>
          <cell r="AI60" t="str">
            <v>CAD Canadian Dollars</v>
          </cell>
          <cell r="AJ60" t="str">
            <v>C$</v>
          </cell>
          <cell r="AK60" t="str">
            <v>CAD</v>
          </cell>
          <cell r="AL60" t="str">
            <v>CAD</v>
          </cell>
          <cell r="AM60">
            <v>0</v>
          </cell>
          <cell r="AN60">
            <v>2</v>
          </cell>
        </row>
        <row r="61">
          <cell r="A61">
            <v>39240</v>
          </cell>
          <cell r="B61">
            <v>39240</v>
          </cell>
          <cell r="C61" t="str">
            <v>Past</v>
          </cell>
          <cell r="D61">
            <v>56.93</v>
          </cell>
          <cell r="E61" t="e">
            <v>#N/A</v>
          </cell>
          <cell r="F61" t="e">
            <v>#N/A</v>
          </cell>
          <cell r="G61" t="e">
            <v>#N/A</v>
          </cell>
          <cell r="H61" t="e">
            <v>#N/A</v>
          </cell>
          <cell r="I61" t="e">
            <v>#N/A</v>
          </cell>
          <cell r="J61" t="e">
            <v>#N/A</v>
          </cell>
          <cell r="K61" t="e">
            <v>#N/A</v>
          </cell>
          <cell r="L61" t="e">
            <v>#N/A</v>
          </cell>
          <cell r="M61" t="e">
            <v>#N/A</v>
          </cell>
          <cell r="N61" t="e">
            <v>#N/A</v>
          </cell>
          <cell r="O61" t="e">
            <v>#N/A</v>
          </cell>
          <cell r="P61">
            <v>56.93</v>
          </cell>
          <cell r="Q61">
            <v>12.169370000000001</v>
          </cell>
          <cell r="R61" t="e">
            <v>#N/A</v>
          </cell>
          <cell r="S61" t="str">
            <v>PriceFoundAt</v>
          </cell>
          <cell r="T61">
            <v>506</v>
          </cell>
          <cell r="AI61" t="str">
            <v>CHF Swiss Francs</v>
          </cell>
          <cell r="AJ61" t="str">
            <v>SFr</v>
          </cell>
          <cell r="AK61" t="str">
            <v>CHF</v>
          </cell>
          <cell r="AL61" t="str">
            <v>CHF</v>
          </cell>
          <cell r="AM61">
            <v>0</v>
          </cell>
          <cell r="AN61">
            <v>2</v>
          </cell>
        </row>
        <row r="62">
          <cell r="A62">
            <v>39241</v>
          </cell>
          <cell r="B62">
            <v>39241</v>
          </cell>
          <cell r="C62" t="str">
            <v>Past</v>
          </cell>
          <cell r="D62">
            <v>57.02</v>
          </cell>
          <cell r="E62" t="e">
            <v>#N/A</v>
          </cell>
          <cell r="F62" t="e">
            <v>#N/A</v>
          </cell>
          <cell r="G62" t="e">
            <v>#N/A</v>
          </cell>
          <cell r="H62" t="e">
            <v>#N/A</v>
          </cell>
          <cell r="I62" t="e">
            <v>#N/A</v>
          </cell>
          <cell r="J62" t="e">
            <v>#N/A</v>
          </cell>
          <cell r="K62" t="e">
            <v>#N/A</v>
          </cell>
          <cell r="L62" t="e">
            <v>#N/A</v>
          </cell>
          <cell r="M62" t="e">
            <v>#N/A</v>
          </cell>
          <cell r="N62" t="e">
            <v>#N/A</v>
          </cell>
          <cell r="O62" t="e">
            <v>#N/A</v>
          </cell>
          <cell r="P62">
            <v>57.02</v>
          </cell>
          <cell r="Q62">
            <v>6.9949000000000003</v>
          </cell>
          <cell r="R62" t="e">
            <v>#N/A</v>
          </cell>
          <cell r="S62" t="str">
            <v>Starting Point</v>
          </cell>
          <cell r="T62">
            <v>559</v>
          </cell>
          <cell r="AI62" t="str">
            <v>CLP Chilean Pesos</v>
          </cell>
          <cell r="AJ62" t="str">
            <v>CLP</v>
          </cell>
          <cell r="AK62" t="str">
            <v>CLP</v>
          </cell>
          <cell r="AL62" t="str">
            <v>CLP</v>
          </cell>
          <cell r="AM62">
            <v>0</v>
          </cell>
          <cell r="AN62">
            <v>2</v>
          </cell>
        </row>
        <row r="63">
          <cell r="A63">
            <v>39244</v>
          </cell>
          <cell r="B63">
            <v>39244</v>
          </cell>
          <cell r="C63" t="str">
            <v>Past</v>
          </cell>
          <cell r="D63">
            <v>57.31</v>
          </cell>
          <cell r="E63" t="e">
            <v>#N/A</v>
          </cell>
          <cell r="F63" t="e">
            <v>#N/A</v>
          </cell>
          <cell r="G63" t="e">
            <v>#N/A</v>
          </cell>
          <cell r="H63" t="e">
            <v>#N/A</v>
          </cell>
          <cell r="I63" t="e">
            <v>#N/A</v>
          </cell>
          <cell r="J63" t="e">
            <v>#N/A</v>
          </cell>
          <cell r="K63" t="e">
            <v>#N/A</v>
          </cell>
          <cell r="L63" t="e">
            <v>#N/A</v>
          </cell>
          <cell r="M63" t="e">
            <v>#N/A</v>
          </cell>
          <cell r="N63" t="e">
            <v>#N/A</v>
          </cell>
          <cell r="O63" t="e">
            <v>#N/A</v>
          </cell>
          <cell r="P63">
            <v>57.31</v>
          </cell>
          <cell r="Q63">
            <v>4.9519529999999996</v>
          </cell>
          <cell r="R63" t="e">
            <v>#N/A</v>
          </cell>
          <cell r="S63" t="str">
            <v>Saved</v>
          </cell>
          <cell r="T63">
            <v>253</v>
          </cell>
          <cell r="AI63" t="str">
            <v>CNY Chinese Renminbi Yuan</v>
          </cell>
          <cell r="AJ63" t="str">
            <v>Rmb</v>
          </cell>
          <cell r="AK63" t="str">
            <v>CNY</v>
          </cell>
          <cell r="AL63" t="str">
            <v>CNY</v>
          </cell>
          <cell r="AM63">
            <v>0</v>
          </cell>
          <cell r="AN63">
            <v>2</v>
          </cell>
        </row>
        <row r="64">
          <cell r="A64">
            <v>39245</v>
          </cell>
          <cell r="B64">
            <v>39245</v>
          </cell>
          <cell r="C64" t="str">
            <v>Past</v>
          </cell>
          <cell r="D64">
            <v>56.78</v>
          </cell>
          <cell r="E64" t="e">
            <v>#N/A</v>
          </cell>
          <cell r="F64" t="e">
            <v>#N/A</v>
          </cell>
          <cell r="G64" t="e">
            <v>#N/A</v>
          </cell>
          <cell r="H64" t="e">
            <v>#N/A</v>
          </cell>
          <cell r="I64" t="e">
            <v>#N/A</v>
          </cell>
          <cell r="J64" t="e">
            <v>#N/A</v>
          </cell>
          <cell r="K64" t="e">
            <v>#N/A</v>
          </cell>
          <cell r="L64" t="e">
            <v>#N/A</v>
          </cell>
          <cell r="M64" t="e">
            <v>#N/A</v>
          </cell>
          <cell r="N64" t="e">
            <v>#N/A</v>
          </cell>
          <cell r="O64" t="e">
            <v>#N/A</v>
          </cell>
          <cell r="P64">
            <v>56.78</v>
          </cell>
          <cell r="Q64">
            <v>4.3268789999999999</v>
          </cell>
          <cell r="R64" t="e">
            <v>#N/A</v>
          </cell>
          <cell r="S64" t="str">
            <v>Right alligned</v>
          </cell>
          <cell r="T64">
            <v>0</v>
          </cell>
          <cell r="AI64" t="str">
            <v>COP Colombian Peso</v>
          </cell>
          <cell r="AJ64" t="str">
            <v>COP</v>
          </cell>
          <cell r="AK64" t="str">
            <v>COP</v>
          </cell>
          <cell r="AL64" t="str">
            <v>COP</v>
          </cell>
          <cell r="AM64">
            <v>0</v>
          </cell>
          <cell r="AN64">
            <v>2</v>
          </cell>
        </row>
        <row r="65">
          <cell r="A65">
            <v>39246</v>
          </cell>
          <cell r="B65">
            <v>39246</v>
          </cell>
          <cell r="C65" t="str">
            <v>Past</v>
          </cell>
          <cell r="D65">
            <v>56.94</v>
          </cell>
          <cell r="E65" t="e">
            <v>#N/A</v>
          </cell>
          <cell r="F65" t="e">
            <v>#N/A</v>
          </cell>
          <cell r="G65" t="e">
            <v>#N/A</v>
          </cell>
          <cell r="H65" t="e">
            <v>#N/A</v>
          </cell>
          <cell r="I65" t="e">
            <v>#N/A</v>
          </cell>
          <cell r="J65" t="e">
            <v>#N/A</v>
          </cell>
          <cell r="K65" t="e">
            <v>#N/A</v>
          </cell>
          <cell r="L65" t="e">
            <v>#N/A</v>
          </cell>
          <cell r="M65" t="e">
            <v>#N/A</v>
          </cell>
          <cell r="N65" t="e">
            <v>#N/A</v>
          </cell>
          <cell r="O65" t="e">
            <v>#N/A</v>
          </cell>
          <cell r="P65">
            <v>56.94</v>
          </cell>
          <cell r="Q65">
            <v>5.7039999999999997</v>
          </cell>
          <cell r="R65" t="e">
            <v>#N/A</v>
          </cell>
          <cell r="S65" t="str">
            <v>Decimal</v>
          </cell>
          <cell r="T65">
            <v>2</v>
          </cell>
          <cell r="AI65" t="str">
            <v>CZK Czech Krona</v>
          </cell>
          <cell r="AJ65" t="str">
            <v>Kcs</v>
          </cell>
          <cell r="AK65" t="str">
            <v>CZK</v>
          </cell>
          <cell r="AL65" t="str">
            <v>CZK</v>
          </cell>
          <cell r="AM65">
            <v>0</v>
          </cell>
          <cell r="AN65">
            <v>2</v>
          </cell>
        </row>
        <row r="66">
          <cell r="A66">
            <v>39247</v>
          </cell>
          <cell r="B66">
            <v>39247</v>
          </cell>
          <cell r="C66" t="str">
            <v>Past</v>
          </cell>
          <cell r="D66">
            <v>57.38</v>
          </cell>
          <cell r="E66" t="e">
            <v>#N/A</v>
          </cell>
          <cell r="F66" t="e">
            <v>#N/A</v>
          </cell>
          <cell r="G66" t="e">
            <v>#N/A</v>
          </cell>
          <cell r="H66" t="e">
            <v>#N/A</v>
          </cell>
          <cell r="I66" t="e">
            <v>#N/A</v>
          </cell>
          <cell r="J66" t="e">
            <v>#N/A</v>
          </cell>
          <cell r="K66" t="e">
            <v>#N/A</v>
          </cell>
          <cell r="L66" t="e">
            <v>#N/A</v>
          </cell>
          <cell r="M66" t="e">
            <v>#N/A</v>
          </cell>
          <cell r="N66" t="e">
            <v>#N/A</v>
          </cell>
          <cell r="O66" t="e">
            <v>#N/A</v>
          </cell>
          <cell r="P66">
            <v>57.38</v>
          </cell>
          <cell r="Q66">
            <v>4.8296600000000005</v>
          </cell>
          <cell r="R66" t="e">
            <v>#N/A</v>
          </cell>
          <cell r="S66" t="str">
            <v>default StartDate</v>
          </cell>
          <cell r="T66">
            <v>39231</v>
          </cell>
          <cell r="AI66" t="str">
            <v>DKK Danish Krone</v>
          </cell>
          <cell r="AJ66" t="str">
            <v>DKr</v>
          </cell>
          <cell r="AK66" t="str">
            <v>DKK</v>
          </cell>
          <cell r="AL66" t="str">
            <v>DKK</v>
          </cell>
          <cell r="AM66">
            <v>0</v>
          </cell>
          <cell r="AN66">
            <v>2</v>
          </cell>
        </row>
        <row r="67">
          <cell r="A67">
            <v>39248</v>
          </cell>
          <cell r="B67">
            <v>39248</v>
          </cell>
          <cell r="C67" t="str">
            <v>Past</v>
          </cell>
          <cell r="D67">
            <v>57.72</v>
          </cell>
          <cell r="E67" t="e">
            <v>#N/A</v>
          </cell>
          <cell r="F67" t="e">
            <v>#N/A</v>
          </cell>
          <cell r="G67" t="e">
            <v>#N/A</v>
          </cell>
          <cell r="H67" t="e">
            <v>#N/A</v>
          </cell>
          <cell r="I67" t="e">
            <v>#N/A</v>
          </cell>
          <cell r="J67" t="e">
            <v>#N/A</v>
          </cell>
          <cell r="K67" t="e">
            <v>#N/A</v>
          </cell>
          <cell r="L67" t="e">
            <v>#N/A</v>
          </cell>
          <cell r="M67" t="e">
            <v>#N/A</v>
          </cell>
          <cell r="N67" t="e">
            <v>#N/A</v>
          </cell>
          <cell r="O67" t="e">
            <v>#N/A</v>
          </cell>
          <cell r="P67">
            <v>57.72</v>
          </cell>
          <cell r="Q67">
            <v>4.9392000000000005</v>
          </cell>
          <cell r="R67" t="e">
            <v>#N/A</v>
          </cell>
          <cell r="S67" t="str">
            <v>default EndDate</v>
          </cell>
          <cell r="T67">
            <v>40327</v>
          </cell>
          <cell r="AI67" t="str">
            <v>DZD Algerian Dinar</v>
          </cell>
          <cell r="AJ67" t="str">
            <v>DZD</v>
          </cell>
          <cell r="AK67" t="str">
            <v>DZD</v>
          </cell>
          <cell r="AL67" t="str">
            <v>DZD</v>
          </cell>
          <cell r="AM67">
            <v>0</v>
          </cell>
          <cell r="AN67">
            <v>2</v>
          </cell>
        </row>
        <row r="68">
          <cell r="A68">
            <v>39251</v>
          </cell>
          <cell r="B68">
            <v>39251</v>
          </cell>
          <cell r="C68" t="str">
            <v>Past</v>
          </cell>
          <cell r="D68">
            <v>57.41</v>
          </cell>
          <cell r="E68" t="e">
            <v>#N/A</v>
          </cell>
          <cell r="F68" t="e">
            <v>#N/A</v>
          </cell>
          <cell r="G68" t="e">
            <v>#N/A</v>
          </cell>
          <cell r="H68" t="e">
            <v>#N/A</v>
          </cell>
          <cell r="I68" t="e">
            <v>#N/A</v>
          </cell>
          <cell r="J68" t="e">
            <v>#N/A</v>
          </cell>
          <cell r="K68" t="e">
            <v>#N/A</v>
          </cell>
          <cell r="L68" t="e">
            <v>#N/A</v>
          </cell>
          <cell r="M68" t="e">
            <v>#N/A</v>
          </cell>
          <cell r="N68" t="e">
            <v>#N/A</v>
          </cell>
          <cell r="O68" t="e">
            <v>#N/A</v>
          </cell>
          <cell r="P68">
            <v>57.41</v>
          </cell>
          <cell r="Q68">
            <v>3.0452239999999997</v>
          </cell>
          <cell r="R68" t="e">
            <v>#N/A</v>
          </cell>
          <cell r="S68" t="str">
            <v>Max sharePrice</v>
          </cell>
          <cell r="T68">
            <v>59.47</v>
          </cell>
          <cell r="AI68" t="str">
            <v>EGP Egyptian Pound</v>
          </cell>
          <cell r="AJ68" t="str">
            <v>EGP</v>
          </cell>
          <cell r="AK68" t="str">
            <v>EGP</v>
          </cell>
          <cell r="AL68" t="str">
            <v>EGP</v>
          </cell>
          <cell r="AM68">
            <v>0</v>
          </cell>
          <cell r="AN68">
            <v>2</v>
          </cell>
        </row>
        <row r="69">
          <cell r="A69">
            <v>39252</v>
          </cell>
          <cell r="B69">
            <v>39252</v>
          </cell>
          <cell r="C69" t="str">
            <v>Past</v>
          </cell>
          <cell r="D69">
            <v>57.75</v>
          </cell>
          <cell r="E69" t="e">
            <v>#N/A</v>
          </cell>
          <cell r="F69" t="e">
            <v>#N/A</v>
          </cell>
          <cell r="G69" t="e">
            <v>#N/A</v>
          </cell>
          <cell r="H69" t="e">
            <v>#N/A</v>
          </cell>
          <cell r="I69" t="e">
            <v>#N/A</v>
          </cell>
          <cell r="J69" t="e">
            <v>#N/A</v>
          </cell>
          <cell r="K69" t="e">
            <v>#N/A</v>
          </cell>
          <cell r="L69" t="e">
            <v>#N/A</v>
          </cell>
          <cell r="M69" t="e">
            <v>#N/A</v>
          </cell>
          <cell r="N69" t="e">
            <v>#N/A</v>
          </cell>
          <cell r="O69" t="e">
            <v>#N/A</v>
          </cell>
          <cell r="P69">
            <v>57.75</v>
          </cell>
          <cell r="Q69">
            <v>4.1207600000000006</v>
          </cell>
          <cell r="R69" t="e">
            <v>#N/A</v>
          </cell>
          <cell r="AI69" t="str">
            <v>EUR Euro</v>
          </cell>
          <cell r="AJ69" t="str">
            <v>€</v>
          </cell>
          <cell r="AK69" t="str">
            <v>EUR</v>
          </cell>
          <cell r="AL69" t="str">
            <v>EUR</v>
          </cell>
          <cell r="AM69">
            <v>0</v>
          </cell>
          <cell r="AN69">
            <v>2</v>
          </cell>
        </row>
        <row r="70">
          <cell r="A70">
            <v>39253</v>
          </cell>
          <cell r="B70">
            <v>39253</v>
          </cell>
          <cell r="C70" t="str">
            <v>Past</v>
          </cell>
          <cell r="D70">
            <v>56.77</v>
          </cell>
          <cell r="E70" t="e">
            <v>#N/A</v>
          </cell>
          <cell r="F70" t="e">
            <v>#N/A</v>
          </cell>
          <cell r="G70" t="e">
            <v>#N/A</v>
          </cell>
          <cell r="H70" t="e">
            <v>#N/A</v>
          </cell>
          <cell r="I70" t="e">
            <v>#N/A</v>
          </cell>
          <cell r="J70" t="e">
            <v>#N/A</v>
          </cell>
          <cell r="K70" t="e">
            <v>#N/A</v>
          </cell>
          <cell r="L70" t="e">
            <v>#N/A</v>
          </cell>
          <cell r="M70" t="e">
            <v>#N/A</v>
          </cell>
          <cell r="N70" t="e">
            <v>#N/A</v>
          </cell>
          <cell r="O70" t="e">
            <v>#N/A</v>
          </cell>
          <cell r="P70">
            <v>56.77</v>
          </cell>
          <cell r="Q70">
            <v>4.8172000000000006</v>
          </cell>
          <cell r="R70" t="e">
            <v>#N/A</v>
          </cell>
          <cell r="AI70" t="str">
            <v>GBp British Pence</v>
          </cell>
          <cell r="AJ70" t="str">
            <v>p</v>
          </cell>
          <cell r="AK70" t="str">
            <v>GBp</v>
          </cell>
          <cell r="AL70" t="str">
            <v>GBX</v>
          </cell>
          <cell r="AM70">
            <v>1</v>
          </cell>
          <cell r="AN70">
            <v>0</v>
          </cell>
        </row>
        <row r="71">
          <cell r="A71">
            <v>39254</v>
          </cell>
          <cell r="B71">
            <v>39254</v>
          </cell>
          <cell r="C71" t="str">
            <v>Past</v>
          </cell>
          <cell r="D71">
            <v>56.81</v>
          </cell>
          <cell r="E71" t="e">
            <v>#N/A</v>
          </cell>
          <cell r="F71" t="e">
            <v>#N/A</v>
          </cell>
          <cell r="G71" t="e">
            <v>#N/A</v>
          </cell>
          <cell r="H71" t="e">
            <v>#N/A</v>
          </cell>
          <cell r="I71" t="e">
            <v>#N/A</v>
          </cell>
          <cell r="J71" t="e">
            <v>#N/A</v>
          </cell>
          <cell r="K71" t="e">
            <v>#N/A</v>
          </cell>
          <cell r="L71" t="e">
            <v>#N/A</v>
          </cell>
          <cell r="M71" t="e">
            <v>#N/A</v>
          </cell>
          <cell r="N71" t="e">
            <v>#N/A</v>
          </cell>
          <cell r="O71" t="e">
            <v>#N/A</v>
          </cell>
          <cell r="P71">
            <v>56.81</v>
          </cell>
          <cell r="Q71">
            <v>4.1069849999999999</v>
          </cell>
          <cell r="R71" t="e">
            <v>#N/A</v>
          </cell>
          <cell r="AI71" t="str">
            <v>GBP British Pound</v>
          </cell>
          <cell r="AJ71" t="str">
            <v>₤</v>
          </cell>
          <cell r="AK71" t="str">
            <v>GBP</v>
          </cell>
          <cell r="AL71" t="str">
            <v>GBP</v>
          </cell>
          <cell r="AM71">
            <v>0</v>
          </cell>
          <cell r="AN71">
            <v>2</v>
          </cell>
        </row>
        <row r="72">
          <cell r="A72">
            <v>39255</v>
          </cell>
          <cell r="B72">
            <v>39255</v>
          </cell>
          <cell r="C72" t="str">
            <v>Past</v>
          </cell>
          <cell r="D72">
            <v>55.8</v>
          </cell>
          <cell r="E72" t="e">
            <v>#N/A</v>
          </cell>
          <cell r="F72" t="e">
            <v>#N/A</v>
          </cell>
          <cell r="G72" t="e">
            <v>#N/A</v>
          </cell>
          <cell r="H72" t="e">
            <v>#N/A</v>
          </cell>
          <cell r="I72" t="e">
            <v>#N/A</v>
          </cell>
          <cell r="J72" t="e">
            <v>#N/A</v>
          </cell>
          <cell r="K72" t="e">
            <v>#N/A</v>
          </cell>
          <cell r="L72" t="e">
            <v>#N/A</v>
          </cell>
          <cell r="M72" t="e">
            <v>#N/A</v>
          </cell>
          <cell r="N72" t="e">
            <v>#N/A</v>
          </cell>
          <cell r="O72" t="e">
            <v>#N/A</v>
          </cell>
          <cell r="P72">
            <v>55.8</v>
          </cell>
          <cell r="Q72">
            <v>5.7042630000000001</v>
          </cell>
          <cell r="R72" t="e">
            <v>#N/A</v>
          </cell>
          <cell r="AI72" t="str">
            <v>HKD Hong Kong Dollar</v>
          </cell>
          <cell r="AJ72" t="str">
            <v>HK$</v>
          </cell>
          <cell r="AK72" t="str">
            <v>HKD</v>
          </cell>
          <cell r="AL72" t="str">
            <v>HKD</v>
          </cell>
          <cell r="AM72">
            <v>0</v>
          </cell>
          <cell r="AN72">
            <v>2</v>
          </cell>
        </row>
        <row r="73">
          <cell r="A73">
            <v>39258</v>
          </cell>
          <cell r="B73">
            <v>39258</v>
          </cell>
          <cell r="C73" t="str">
            <v>Past</v>
          </cell>
          <cell r="D73">
            <v>55.48</v>
          </cell>
          <cell r="E73" t="e">
            <v>#N/A</v>
          </cell>
          <cell r="F73" t="e">
            <v>#N/A</v>
          </cell>
          <cell r="G73" t="e">
            <v>#N/A</v>
          </cell>
          <cell r="H73" t="e">
            <v>#N/A</v>
          </cell>
          <cell r="I73" t="e">
            <v>#N/A</v>
          </cell>
          <cell r="J73" t="e">
            <v>#N/A</v>
          </cell>
          <cell r="K73" t="e">
            <v>#N/A</v>
          </cell>
          <cell r="L73" t="e">
            <v>#N/A</v>
          </cell>
          <cell r="M73" t="e">
            <v>#N/A</v>
          </cell>
          <cell r="N73" t="e">
            <v>#N/A</v>
          </cell>
          <cell r="O73" t="e">
            <v>#N/A</v>
          </cell>
          <cell r="P73">
            <v>55.48</v>
          </cell>
          <cell r="Q73">
            <v>5.9312959999999997</v>
          </cell>
          <cell r="R73" t="e">
            <v>#N/A</v>
          </cell>
          <cell r="AI73" t="str">
            <v>HUF Hungarian forint</v>
          </cell>
          <cell r="AJ73" t="str">
            <v>Ft</v>
          </cell>
          <cell r="AK73" t="str">
            <v>HUF</v>
          </cell>
          <cell r="AL73" t="str">
            <v>HUF</v>
          </cell>
          <cell r="AM73">
            <v>0</v>
          </cell>
          <cell r="AN73">
            <v>2</v>
          </cell>
        </row>
        <row r="74">
          <cell r="A74">
            <v>39259</v>
          </cell>
          <cell r="B74">
            <v>39259</v>
          </cell>
          <cell r="C74" t="str">
            <v>Past</v>
          </cell>
          <cell r="D74">
            <v>55.87</v>
          </cell>
          <cell r="E74" t="e">
            <v>#N/A</v>
          </cell>
          <cell r="F74" t="e">
            <v>#N/A</v>
          </cell>
          <cell r="G74" t="e">
            <v>#N/A</v>
          </cell>
          <cell r="H74" t="e">
            <v>#N/A</v>
          </cell>
          <cell r="I74" t="e">
            <v>#N/A</v>
          </cell>
          <cell r="J74" t="e">
            <v>#N/A</v>
          </cell>
          <cell r="K74" t="e">
            <v>#N/A</v>
          </cell>
          <cell r="L74" t="e">
            <v>#N/A</v>
          </cell>
          <cell r="M74" t="e">
            <v>#N/A</v>
          </cell>
          <cell r="N74" t="e">
            <v>#N/A</v>
          </cell>
          <cell r="O74" t="e">
            <v>#N/A</v>
          </cell>
          <cell r="P74">
            <v>55.87</v>
          </cell>
          <cell r="Q74">
            <v>4.9879259999999999</v>
          </cell>
          <cell r="R74" t="e">
            <v>#N/A</v>
          </cell>
          <cell r="AI74" t="str">
            <v>IDR Indonesian Rupiah</v>
          </cell>
          <cell r="AJ74" t="str">
            <v>Rp</v>
          </cell>
          <cell r="AK74" t="str">
            <v>IDR</v>
          </cell>
          <cell r="AL74" t="str">
            <v>IDR</v>
          </cell>
          <cell r="AM74">
            <v>0</v>
          </cell>
          <cell r="AN74">
            <v>0</v>
          </cell>
        </row>
        <row r="75">
          <cell r="A75">
            <v>39260</v>
          </cell>
          <cell r="B75">
            <v>39260</v>
          </cell>
          <cell r="C75" t="str">
            <v>Past</v>
          </cell>
          <cell r="D75">
            <v>56.32</v>
          </cell>
          <cell r="E75" t="e">
            <v>#N/A</v>
          </cell>
          <cell r="F75" t="e">
            <v>#N/A</v>
          </cell>
          <cell r="G75" t="e">
            <v>#N/A</v>
          </cell>
          <cell r="H75" t="e">
            <v>#N/A</v>
          </cell>
          <cell r="I75" t="e">
            <v>#N/A</v>
          </cell>
          <cell r="J75" t="e">
            <v>#N/A</v>
          </cell>
          <cell r="K75" t="e">
            <v>#N/A</v>
          </cell>
          <cell r="L75" t="e">
            <v>#N/A</v>
          </cell>
          <cell r="M75" t="e">
            <v>#N/A</v>
          </cell>
          <cell r="N75" t="e">
            <v>#N/A</v>
          </cell>
          <cell r="O75" t="e">
            <v>#N/A</v>
          </cell>
          <cell r="P75">
            <v>56.32</v>
          </cell>
          <cell r="Q75">
            <v>5.0994830000000002</v>
          </cell>
          <cell r="R75" t="e">
            <v>#N/A</v>
          </cell>
          <cell r="AI75" t="str">
            <v>ILS Israeli shekel</v>
          </cell>
          <cell r="AJ75" t="str">
            <v>ILS</v>
          </cell>
          <cell r="AK75" t="str">
            <v>ILS</v>
          </cell>
          <cell r="AL75" t="str">
            <v>ILS</v>
          </cell>
          <cell r="AM75">
            <v>0</v>
          </cell>
          <cell r="AN75">
            <v>2</v>
          </cell>
        </row>
        <row r="76">
          <cell r="A76">
            <v>39261</v>
          </cell>
          <cell r="B76">
            <v>39261</v>
          </cell>
          <cell r="C76" t="str">
            <v>Past</v>
          </cell>
          <cell r="D76">
            <v>56.18</v>
          </cell>
          <cell r="E76" t="e">
            <v>#N/A</v>
          </cell>
          <cell r="F76" t="e">
            <v>#N/A</v>
          </cell>
          <cell r="G76" t="e">
            <v>#N/A</v>
          </cell>
          <cell r="H76" t="e">
            <v>#N/A</v>
          </cell>
          <cell r="I76" t="e">
            <v>#N/A</v>
          </cell>
          <cell r="J76" t="e">
            <v>#N/A</v>
          </cell>
          <cell r="K76" t="e">
            <v>#N/A</v>
          </cell>
          <cell r="L76" t="e">
            <v>#N/A</v>
          </cell>
          <cell r="M76" t="e">
            <v>#N/A</v>
          </cell>
          <cell r="N76" t="e">
            <v>#N/A</v>
          </cell>
          <cell r="O76" t="e">
            <v>#N/A</v>
          </cell>
          <cell r="P76">
            <v>56.18</v>
          </cell>
          <cell r="Q76">
            <v>3.4167700000000001</v>
          </cell>
          <cell r="R76" t="e">
            <v>#N/A</v>
          </cell>
          <cell r="AI76" t="str">
            <v>INR Indian Rupee</v>
          </cell>
          <cell r="AJ76" t="str">
            <v>Rs.</v>
          </cell>
          <cell r="AK76" t="str">
            <v>INR</v>
          </cell>
          <cell r="AL76" t="str">
            <v>INR</v>
          </cell>
          <cell r="AM76">
            <v>0</v>
          </cell>
          <cell r="AN76">
            <v>2</v>
          </cell>
        </row>
        <row r="77">
          <cell r="A77">
            <v>39262</v>
          </cell>
          <cell r="B77">
            <v>39262</v>
          </cell>
          <cell r="C77" t="str">
            <v>Past</v>
          </cell>
          <cell r="D77">
            <v>55.88</v>
          </cell>
          <cell r="E77" t="e">
            <v>#N/A</v>
          </cell>
          <cell r="F77" t="e">
            <v>#N/A</v>
          </cell>
          <cell r="G77" t="e">
            <v>#N/A</v>
          </cell>
          <cell r="H77" t="e">
            <v>#N/A</v>
          </cell>
          <cell r="I77" t="e">
            <v>#N/A</v>
          </cell>
          <cell r="J77" t="e">
            <v>#N/A</v>
          </cell>
          <cell r="K77" t="e">
            <v>#N/A</v>
          </cell>
          <cell r="L77" t="e">
            <v>#N/A</v>
          </cell>
          <cell r="M77" t="e">
            <v>#N/A</v>
          </cell>
          <cell r="N77" t="e">
            <v>#N/A</v>
          </cell>
          <cell r="O77" t="e">
            <v>#N/A</v>
          </cell>
          <cell r="P77">
            <v>55.88</v>
          </cell>
          <cell r="Q77">
            <v>4.4103110000000001</v>
          </cell>
          <cell r="R77" t="e">
            <v>#N/A</v>
          </cell>
          <cell r="AI77" t="str">
            <v>IQD Iraqi Dinar</v>
          </cell>
          <cell r="AJ77" t="str">
            <v>IQD</v>
          </cell>
          <cell r="AK77" t="str">
            <v>IQD</v>
          </cell>
          <cell r="AL77" t="str">
            <v>IQD</v>
          </cell>
          <cell r="AM77">
            <v>0</v>
          </cell>
          <cell r="AN77">
            <v>2</v>
          </cell>
        </row>
        <row r="78">
          <cell r="A78">
            <v>39265</v>
          </cell>
          <cell r="B78">
            <v>39265</v>
          </cell>
          <cell r="C78" t="str">
            <v>Past</v>
          </cell>
          <cell r="D78">
            <v>56.73</v>
          </cell>
          <cell r="E78" t="e">
            <v>#N/A</v>
          </cell>
          <cell r="F78" t="e">
            <v>#N/A</v>
          </cell>
          <cell r="G78" t="e">
            <v>#N/A</v>
          </cell>
          <cell r="H78" t="e">
            <v>#N/A</v>
          </cell>
          <cell r="I78" t="e">
            <v>#N/A</v>
          </cell>
          <cell r="J78" t="e">
            <v>#N/A</v>
          </cell>
          <cell r="K78" t="e">
            <v>#N/A</v>
          </cell>
          <cell r="L78" t="e">
            <v>#N/A</v>
          </cell>
          <cell r="M78" t="e">
            <v>#N/A</v>
          </cell>
          <cell r="N78" t="e">
            <v>#N/A</v>
          </cell>
          <cell r="O78" t="e">
            <v>#N/A</v>
          </cell>
          <cell r="P78">
            <v>56.73</v>
          </cell>
          <cell r="Q78">
            <v>3.6108500000000001</v>
          </cell>
          <cell r="R78" t="e">
            <v>#N/A</v>
          </cell>
          <cell r="AI78" t="str">
            <v>IRR Iranian Rial</v>
          </cell>
          <cell r="AJ78" t="str">
            <v>IRR</v>
          </cell>
          <cell r="AK78" t="str">
            <v>IRR</v>
          </cell>
          <cell r="AL78" t="str">
            <v>IRR</v>
          </cell>
          <cell r="AM78">
            <v>0</v>
          </cell>
          <cell r="AN78">
            <v>2</v>
          </cell>
        </row>
        <row r="79">
          <cell r="A79">
            <v>39266</v>
          </cell>
          <cell r="B79">
            <v>39266</v>
          </cell>
          <cell r="C79" t="str">
            <v>Past</v>
          </cell>
          <cell r="D79">
            <v>56.79</v>
          </cell>
          <cell r="E79" t="e">
            <v>#N/A</v>
          </cell>
          <cell r="F79" t="e">
            <v>#N/A</v>
          </cell>
          <cell r="G79" t="e">
            <v>#N/A</v>
          </cell>
          <cell r="H79" t="e">
            <v>#N/A</v>
          </cell>
          <cell r="I79" t="e">
            <v>#N/A</v>
          </cell>
          <cell r="J79" t="e">
            <v>#N/A</v>
          </cell>
          <cell r="K79" t="e">
            <v>#N/A</v>
          </cell>
          <cell r="L79" t="e">
            <v>#N/A</v>
          </cell>
          <cell r="M79" t="e">
            <v>#N/A</v>
          </cell>
          <cell r="N79" t="e">
            <v>#N/A</v>
          </cell>
          <cell r="O79" t="e">
            <v>#N/A</v>
          </cell>
          <cell r="P79">
            <v>56.79</v>
          </cell>
          <cell r="Q79">
            <v>1.4956779999999998</v>
          </cell>
          <cell r="R79" t="e">
            <v>#N/A</v>
          </cell>
          <cell r="AI79" t="str">
            <v>ISK Iceland Krona</v>
          </cell>
          <cell r="AJ79" t="str">
            <v>kr</v>
          </cell>
          <cell r="AK79" t="str">
            <v>ISK</v>
          </cell>
          <cell r="AL79" t="str">
            <v>ISK</v>
          </cell>
          <cell r="AM79">
            <v>0</v>
          </cell>
          <cell r="AN79">
            <v>2</v>
          </cell>
        </row>
        <row r="80">
          <cell r="A80">
            <v>39268</v>
          </cell>
          <cell r="B80">
            <v>39268</v>
          </cell>
          <cell r="C80" t="str">
            <v>Past</v>
          </cell>
          <cell r="D80">
            <v>56.56</v>
          </cell>
          <cell r="E80" t="e">
            <v>#N/A</v>
          </cell>
          <cell r="F80" t="e">
            <v>#N/A</v>
          </cell>
          <cell r="G80" t="e">
            <v>#N/A</v>
          </cell>
          <cell r="H80" t="e">
            <v>#N/A</v>
          </cell>
          <cell r="I80" t="e">
            <v>#N/A</v>
          </cell>
          <cell r="J80" t="e">
            <v>#N/A</v>
          </cell>
          <cell r="K80" t="e">
            <v>#N/A</v>
          </cell>
          <cell r="L80" t="e">
            <v>#N/A</v>
          </cell>
          <cell r="M80" t="e">
            <v>#N/A</v>
          </cell>
          <cell r="N80" t="e">
            <v>#N/A</v>
          </cell>
          <cell r="O80" t="e">
            <v>#N/A</v>
          </cell>
          <cell r="P80">
            <v>56.56</v>
          </cell>
          <cell r="Q80">
            <v>2.675608</v>
          </cell>
          <cell r="R80" t="e">
            <v>#N/A</v>
          </cell>
          <cell r="AI80" t="str">
            <v>JMD Jamaican Dollars</v>
          </cell>
          <cell r="AJ80" t="str">
            <v>JMD</v>
          </cell>
          <cell r="AK80" t="str">
            <v>JMD</v>
          </cell>
          <cell r="AL80" t="str">
            <v>JMD</v>
          </cell>
          <cell r="AM80">
            <v>0</v>
          </cell>
          <cell r="AN80">
            <v>2</v>
          </cell>
        </row>
        <row r="81">
          <cell r="A81">
            <v>39269</v>
          </cell>
          <cell r="B81">
            <v>39269</v>
          </cell>
          <cell r="C81" t="str">
            <v>Past</v>
          </cell>
          <cell r="D81">
            <v>56.64</v>
          </cell>
          <cell r="E81" t="e">
            <v>#N/A</v>
          </cell>
          <cell r="F81" t="e">
            <v>#N/A</v>
          </cell>
          <cell r="G81" t="e">
            <v>#N/A</v>
          </cell>
          <cell r="H81" t="e">
            <v>#N/A</v>
          </cell>
          <cell r="I81" t="e">
            <v>#N/A</v>
          </cell>
          <cell r="J81" t="e">
            <v>#N/A</v>
          </cell>
          <cell r="K81" t="e">
            <v>#N/A</v>
          </cell>
          <cell r="L81" t="e">
            <v>#N/A</v>
          </cell>
          <cell r="M81" t="e">
            <v>#N/A</v>
          </cell>
          <cell r="N81" t="e">
            <v>#N/A</v>
          </cell>
          <cell r="O81" t="e">
            <v>#N/A</v>
          </cell>
          <cell r="P81">
            <v>56.64</v>
          </cell>
          <cell r="Q81">
            <v>3.3121</v>
          </cell>
          <cell r="R81" t="e">
            <v>#N/A</v>
          </cell>
          <cell r="AI81" t="str">
            <v>JPY Japanese Yen</v>
          </cell>
          <cell r="AJ81" t="str">
            <v>¥</v>
          </cell>
          <cell r="AK81" t="str">
            <v>JPY</v>
          </cell>
          <cell r="AL81" t="str">
            <v>JPY</v>
          </cell>
          <cell r="AM81">
            <v>0</v>
          </cell>
          <cell r="AN81">
            <v>0</v>
          </cell>
        </row>
        <row r="82">
          <cell r="A82">
            <v>39272</v>
          </cell>
          <cell r="B82">
            <v>39272</v>
          </cell>
          <cell r="C82" t="str">
            <v>Past</v>
          </cell>
          <cell r="D82">
            <v>56.04</v>
          </cell>
          <cell r="E82" t="e">
            <v>#N/A</v>
          </cell>
          <cell r="F82" t="e">
            <v>#N/A</v>
          </cell>
          <cell r="G82" t="e">
            <v>#N/A</v>
          </cell>
          <cell r="H82" t="e">
            <v>#N/A</v>
          </cell>
          <cell r="I82" t="e">
            <v>#N/A</v>
          </cell>
          <cell r="J82" t="e">
            <v>#N/A</v>
          </cell>
          <cell r="K82" t="e">
            <v>#N/A</v>
          </cell>
          <cell r="L82" t="e">
            <v>#N/A</v>
          </cell>
          <cell r="M82" t="e">
            <v>#N/A</v>
          </cell>
          <cell r="N82" t="e">
            <v>#N/A</v>
          </cell>
          <cell r="O82" t="e">
            <v>#N/A</v>
          </cell>
          <cell r="P82">
            <v>56.04</v>
          </cell>
          <cell r="Q82">
            <v>5.2831489999999999</v>
          </cell>
          <cell r="R82" t="e">
            <v>#N/A</v>
          </cell>
          <cell r="AI82" t="str">
            <v>KES Kenyan Shilling</v>
          </cell>
          <cell r="AJ82" t="str">
            <v>KES</v>
          </cell>
          <cell r="AK82" t="str">
            <v>KES</v>
          </cell>
          <cell r="AL82" t="str">
            <v>KES</v>
          </cell>
          <cell r="AM82">
            <v>0</v>
          </cell>
          <cell r="AN82">
            <v>0</v>
          </cell>
        </row>
        <row r="83">
          <cell r="A83">
            <v>39273</v>
          </cell>
          <cell r="B83">
            <v>39273</v>
          </cell>
          <cell r="C83" t="str">
            <v>Past</v>
          </cell>
          <cell r="D83">
            <v>55.44</v>
          </cell>
          <cell r="E83" t="e">
            <v>#N/A</v>
          </cell>
          <cell r="F83" t="e">
            <v>#N/A</v>
          </cell>
          <cell r="G83" t="e">
            <v>#N/A</v>
          </cell>
          <cell r="H83" t="e">
            <v>#N/A</v>
          </cell>
          <cell r="I83" t="e">
            <v>#N/A</v>
          </cell>
          <cell r="J83" t="e">
            <v>#N/A</v>
          </cell>
          <cell r="K83" t="e">
            <v>#N/A</v>
          </cell>
          <cell r="L83" t="e">
            <v>#N/A</v>
          </cell>
          <cell r="M83" t="e">
            <v>#N/A</v>
          </cell>
          <cell r="N83" t="e">
            <v>#N/A</v>
          </cell>
          <cell r="O83" t="e">
            <v>#N/A</v>
          </cell>
          <cell r="P83">
            <v>55.44</v>
          </cell>
          <cell r="Q83">
            <v>4.202</v>
          </cell>
          <cell r="R83" t="e">
            <v>#N/A</v>
          </cell>
          <cell r="AI83" t="str">
            <v>KRW South Korean Won</v>
          </cell>
          <cell r="AJ83" t="str">
            <v>₩</v>
          </cell>
          <cell r="AK83" t="str">
            <v>KRW</v>
          </cell>
          <cell r="AL83" t="str">
            <v>KRW</v>
          </cell>
          <cell r="AM83">
            <v>0</v>
          </cell>
          <cell r="AN83">
            <v>0</v>
          </cell>
        </row>
        <row r="84">
          <cell r="A84">
            <v>39274</v>
          </cell>
          <cell r="B84">
            <v>39274</v>
          </cell>
          <cell r="C84" t="str">
            <v>Past</v>
          </cell>
          <cell r="D84">
            <v>55.76</v>
          </cell>
          <cell r="E84" t="e">
            <v>#N/A</v>
          </cell>
          <cell r="F84" t="e">
            <v>#N/A</v>
          </cell>
          <cell r="G84" t="e">
            <v>#N/A</v>
          </cell>
          <cell r="H84" t="e">
            <v>#N/A</v>
          </cell>
          <cell r="I84" t="e">
            <v>#N/A</v>
          </cell>
          <cell r="J84" t="e">
            <v>#N/A</v>
          </cell>
          <cell r="K84" t="e">
            <v>#N/A</v>
          </cell>
          <cell r="L84" t="e">
            <v>#N/A</v>
          </cell>
          <cell r="M84" t="e">
            <v>#N/A</v>
          </cell>
          <cell r="N84" t="e">
            <v>#N/A</v>
          </cell>
          <cell r="O84" t="e">
            <v>#N/A</v>
          </cell>
          <cell r="P84">
            <v>55.76</v>
          </cell>
          <cell r="Q84">
            <v>3.5052000000000003</v>
          </cell>
          <cell r="R84" t="e">
            <v>#N/A</v>
          </cell>
          <cell r="AI84" t="str">
            <v>KWD Kuwaiti Dinar</v>
          </cell>
          <cell r="AJ84" t="str">
            <v>KWD</v>
          </cell>
          <cell r="AK84" t="str">
            <v>KWD</v>
          </cell>
          <cell r="AL84" t="str">
            <v>KWD</v>
          </cell>
          <cell r="AM84">
            <v>0</v>
          </cell>
          <cell r="AN84">
            <v>2</v>
          </cell>
        </row>
        <row r="85">
          <cell r="A85">
            <v>39275</v>
          </cell>
          <cell r="B85">
            <v>39275</v>
          </cell>
          <cell r="C85" t="str">
            <v>Past</v>
          </cell>
          <cell r="D85">
            <v>56.79</v>
          </cell>
          <cell r="E85" t="e">
            <v>#N/A</v>
          </cell>
          <cell r="F85" t="e">
            <v>#N/A</v>
          </cell>
          <cell r="G85" t="e">
            <v>#N/A</v>
          </cell>
          <cell r="H85" t="e">
            <v>#N/A</v>
          </cell>
          <cell r="I85" t="e">
            <v>#N/A</v>
          </cell>
          <cell r="J85" t="e">
            <v>#N/A</v>
          </cell>
          <cell r="K85" t="e">
            <v>#N/A</v>
          </cell>
          <cell r="L85" t="e">
            <v>#N/A</v>
          </cell>
          <cell r="M85" t="e">
            <v>#N/A</v>
          </cell>
          <cell r="N85" t="e">
            <v>#N/A</v>
          </cell>
          <cell r="O85" t="e">
            <v>#N/A</v>
          </cell>
          <cell r="P85">
            <v>56.79</v>
          </cell>
          <cell r="Q85">
            <v>4.2929500000000003</v>
          </cell>
          <cell r="R85" t="e">
            <v>#N/A</v>
          </cell>
          <cell r="AI85" t="str">
            <v>KYD Cayman Dollars</v>
          </cell>
          <cell r="AJ85" t="str">
            <v>KYD</v>
          </cell>
          <cell r="AK85" t="str">
            <v>KYD</v>
          </cell>
          <cell r="AL85" t="str">
            <v>KYD</v>
          </cell>
          <cell r="AM85">
            <v>0</v>
          </cell>
          <cell r="AN85">
            <v>2</v>
          </cell>
        </row>
        <row r="86">
          <cell r="A86">
            <v>39276</v>
          </cell>
          <cell r="B86">
            <v>39276</v>
          </cell>
          <cell r="C86" t="str">
            <v>Past</v>
          </cell>
          <cell r="D86">
            <v>56.92</v>
          </cell>
          <cell r="E86" t="e">
            <v>#N/A</v>
          </cell>
          <cell r="F86" t="e">
            <v>#N/A</v>
          </cell>
          <cell r="G86" t="e">
            <v>#N/A</v>
          </cell>
          <cell r="H86" t="e">
            <v>#N/A</v>
          </cell>
          <cell r="I86" t="e">
            <v>#N/A</v>
          </cell>
          <cell r="J86" t="e">
            <v>#N/A</v>
          </cell>
          <cell r="K86" t="e">
            <v>#N/A</v>
          </cell>
          <cell r="L86" t="e">
            <v>#N/A</v>
          </cell>
          <cell r="M86" t="e">
            <v>#N/A</v>
          </cell>
          <cell r="N86" t="e">
            <v>#N/A</v>
          </cell>
          <cell r="O86" t="e">
            <v>#N/A</v>
          </cell>
          <cell r="P86">
            <v>56.92</v>
          </cell>
          <cell r="Q86">
            <v>2.8940379999999997</v>
          </cell>
          <cell r="R86" t="e">
            <v>#N/A</v>
          </cell>
          <cell r="AI86" t="str">
            <v>LKR Sri Lankan Rupee</v>
          </cell>
          <cell r="AJ86" t="str">
            <v>LKR</v>
          </cell>
          <cell r="AK86" t="str">
            <v>LKR</v>
          </cell>
          <cell r="AL86" t="str">
            <v>LKR</v>
          </cell>
          <cell r="AM86">
            <v>0</v>
          </cell>
          <cell r="AN86">
            <v>2</v>
          </cell>
        </row>
        <row r="87">
          <cell r="A87">
            <v>39279</v>
          </cell>
          <cell r="B87">
            <v>39279</v>
          </cell>
          <cell r="C87" t="str">
            <v>Past</v>
          </cell>
          <cell r="D87">
            <v>56.89</v>
          </cell>
          <cell r="E87" t="e">
            <v>#N/A</v>
          </cell>
          <cell r="F87" t="e">
            <v>#N/A</v>
          </cell>
          <cell r="G87" t="e">
            <v>#N/A</v>
          </cell>
          <cell r="H87" t="e">
            <v>#N/A</v>
          </cell>
          <cell r="I87" t="e">
            <v>#N/A</v>
          </cell>
          <cell r="J87" t="e">
            <v>#N/A</v>
          </cell>
          <cell r="K87" t="e">
            <v>#N/A</v>
          </cell>
          <cell r="L87" t="e">
            <v>#N/A</v>
          </cell>
          <cell r="M87" t="e">
            <v>#N/A</v>
          </cell>
          <cell r="N87" t="e">
            <v>#N/A</v>
          </cell>
          <cell r="O87" t="e">
            <v>#N/A</v>
          </cell>
          <cell r="P87">
            <v>56.89</v>
          </cell>
          <cell r="Q87">
            <v>3.6032000000000002</v>
          </cell>
          <cell r="R87" t="e">
            <v>#N/A</v>
          </cell>
          <cell r="AI87" t="str">
            <v>MAD Moroccan Dirham</v>
          </cell>
          <cell r="AJ87" t="str">
            <v>MAD</v>
          </cell>
          <cell r="AK87" t="str">
            <v>MAD</v>
          </cell>
          <cell r="AL87" t="str">
            <v>MAD</v>
          </cell>
          <cell r="AM87">
            <v>0</v>
          </cell>
          <cell r="AN87">
            <v>2</v>
          </cell>
        </row>
        <row r="88">
          <cell r="A88">
            <v>39280</v>
          </cell>
          <cell r="B88">
            <v>39280</v>
          </cell>
          <cell r="C88" t="str">
            <v>Past</v>
          </cell>
          <cell r="D88">
            <v>56.4</v>
          </cell>
          <cell r="E88" t="e">
            <v>#N/A</v>
          </cell>
          <cell r="F88" t="e">
            <v>#N/A</v>
          </cell>
          <cell r="G88" t="e">
            <v>#N/A</v>
          </cell>
          <cell r="H88" t="e">
            <v>#N/A</v>
          </cell>
          <cell r="I88" t="e">
            <v>#N/A</v>
          </cell>
          <cell r="J88" t="e">
            <v>#N/A</v>
          </cell>
          <cell r="K88" t="e">
            <v>#N/A</v>
          </cell>
          <cell r="L88" t="e">
            <v>#N/A</v>
          </cell>
          <cell r="M88" t="e">
            <v>#N/A</v>
          </cell>
          <cell r="N88" t="e">
            <v>#N/A</v>
          </cell>
          <cell r="O88" t="e">
            <v>#N/A</v>
          </cell>
          <cell r="P88">
            <v>56.4</v>
          </cell>
          <cell r="Q88">
            <v>4.2957900000000002</v>
          </cell>
          <cell r="R88" t="e">
            <v>#N/A</v>
          </cell>
          <cell r="AI88" t="str">
            <v>MXN Mexican Pesos (new)</v>
          </cell>
          <cell r="AJ88" t="str">
            <v>M$</v>
          </cell>
          <cell r="AK88" t="str">
            <v>MXN</v>
          </cell>
          <cell r="AL88" t="str">
            <v>MXN</v>
          </cell>
          <cell r="AM88">
            <v>0</v>
          </cell>
          <cell r="AN88">
            <v>2</v>
          </cell>
        </row>
        <row r="89">
          <cell r="A89">
            <v>39281</v>
          </cell>
          <cell r="B89">
            <v>39281</v>
          </cell>
          <cell r="C89" t="str">
            <v>Past</v>
          </cell>
          <cell r="D89">
            <v>56.05</v>
          </cell>
          <cell r="E89" t="e">
            <v>#N/A</v>
          </cell>
          <cell r="F89" t="e">
            <v>#N/A</v>
          </cell>
          <cell r="G89" t="e">
            <v>#N/A</v>
          </cell>
          <cell r="H89" t="e">
            <v>#N/A</v>
          </cell>
          <cell r="I89" t="e">
            <v>#N/A</v>
          </cell>
          <cell r="J89" t="e">
            <v>#N/A</v>
          </cell>
          <cell r="K89" t="e">
            <v>#N/A</v>
          </cell>
          <cell r="L89" t="e">
            <v>#N/A</v>
          </cell>
          <cell r="M89" t="e">
            <v>#N/A</v>
          </cell>
          <cell r="N89" t="e">
            <v>#N/A</v>
          </cell>
          <cell r="O89" t="e">
            <v>#N/A</v>
          </cell>
          <cell r="P89">
            <v>56.05</v>
          </cell>
          <cell r="Q89">
            <v>5.4182290000000002</v>
          </cell>
          <cell r="R89" t="e">
            <v>#N/A</v>
          </cell>
          <cell r="AI89" t="str">
            <v>MYR Malaysian Ringgit</v>
          </cell>
          <cell r="AJ89" t="str">
            <v>RM</v>
          </cell>
          <cell r="AK89" t="str">
            <v>MYR</v>
          </cell>
          <cell r="AL89" t="str">
            <v>MYR</v>
          </cell>
          <cell r="AM89">
            <v>0</v>
          </cell>
          <cell r="AN89">
            <v>2</v>
          </cell>
        </row>
        <row r="90">
          <cell r="A90">
            <v>39282</v>
          </cell>
          <cell r="B90">
            <v>39282</v>
          </cell>
          <cell r="C90" t="str">
            <v>Past</v>
          </cell>
          <cell r="D90">
            <v>56.38</v>
          </cell>
          <cell r="E90" t="e">
            <v>#N/A</v>
          </cell>
          <cell r="F90" t="e">
            <v>#N/A</v>
          </cell>
          <cell r="G90" t="e">
            <v>#N/A</v>
          </cell>
          <cell r="H90" t="e">
            <v>#N/A</v>
          </cell>
          <cell r="I90" t="e">
            <v>#N/A</v>
          </cell>
          <cell r="J90" t="e">
            <v>#N/A</v>
          </cell>
          <cell r="K90" t="e">
            <v>#N/A</v>
          </cell>
          <cell r="L90" t="e">
            <v>#N/A</v>
          </cell>
          <cell r="M90" t="e">
            <v>#N/A</v>
          </cell>
          <cell r="N90" t="e">
            <v>#N/A</v>
          </cell>
          <cell r="O90" t="e">
            <v>#N/A</v>
          </cell>
          <cell r="P90">
            <v>56.38</v>
          </cell>
          <cell r="Q90">
            <v>4.6968559999999995</v>
          </cell>
          <cell r="R90" t="e">
            <v>#N/A</v>
          </cell>
          <cell r="AI90" t="str">
            <v>NOK Norwegian Krone</v>
          </cell>
          <cell r="AJ90" t="str">
            <v>NKr</v>
          </cell>
          <cell r="AK90" t="str">
            <v>NOK</v>
          </cell>
          <cell r="AL90" t="str">
            <v>NOK</v>
          </cell>
          <cell r="AM90">
            <v>0</v>
          </cell>
          <cell r="AN90">
            <v>2</v>
          </cell>
        </row>
        <row r="91">
          <cell r="A91">
            <v>39283</v>
          </cell>
          <cell r="B91">
            <v>39283</v>
          </cell>
          <cell r="C91" t="str">
            <v>Past</v>
          </cell>
          <cell r="D91">
            <v>56.03</v>
          </cell>
          <cell r="E91" t="e">
            <v>#N/A</v>
          </cell>
          <cell r="F91" t="e">
            <v>#N/A</v>
          </cell>
          <cell r="G91" t="e">
            <v>#N/A</v>
          </cell>
          <cell r="H91" t="e">
            <v>#N/A</v>
          </cell>
          <cell r="I91" t="e">
            <v>#N/A</v>
          </cell>
          <cell r="J91" t="e">
            <v>#N/A</v>
          </cell>
          <cell r="K91" t="e">
            <v>#N/A</v>
          </cell>
          <cell r="L91" t="e">
            <v>#N/A</v>
          </cell>
          <cell r="M91" t="e">
            <v>#N/A</v>
          </cell>
          <cell r="N91" t="e">
            <v>#N/A</v>
          </cell>
          <cell r="O91" t="e">
            <v>#N/A</v>
          </cell>
          <cell r="P91">
            <v>56.03</v>
          </cell>
          <cell r="Q91">
            <v>6.8578999999999999</v>
          </cell>
          <cell r="R91" t="e">
            <v>#N/A</v>
          </cell>
          <cell r="AI91" t="str">
            <v>NZD New Zealand Dollars</v>
          </cell>
          <cell r="AJ91" t="str">
            <v>NZ$</v>
          </cell>
          <cell r="AK91" t="str">
            <v>NZD</v>
          </cell>
          <cell r="AL91" t="str">
            <v>NZD</v>
          </cell>
          <cell r="AM91">
            <v>0</v>
          </cell>
          <cell r="AN91">
            <v>2</v>
          </cell>
        </row>
        <row r="92">
          <cell r="A92">
            <v>39286</v>
          </cell>
          <cell r="B92">
            <v>39286</v>
          </cell>
          <cell r="C92" t="str">
            <v>Past</v>
          </cell>
          <cell r="D92">
            <v>57.17</v>
          </cell>
          <cell r="E92" t="e">
            <v>#N/A</v>
          </cell>
          <cell r="F92" t="e">
            <v>#N/A</v>
          </cell>
          <cell r="G92" t="e">
            <v>#N/A</v>
          </cell>
          <cell r="H92" t="e">
            <v>#N/A</v>
          </cell>
          <cell r="I92" t="e">
            <v>#N/A</v>
          </cell>
          <cell r="J92" t="e">
            <v>#N/A</v>
          </cell>
          <cell r="K92" t="e">
            <v>#N/A</v>
          </cell>
          <cell r="L92" t="e">
            <v>#N/A</v>
          </cell>
          <cell r="M92" t="e">
            <v>#N/A</v>
          </cell>
          <cell r="N92" t="e">
            <v>#N/A</v>
          </cell>
          <cell r="O92" t="e">
            <v>#N/A</v>
          </cell>
          <cell r="P92">
            <v>57.17</v>
          </cell>
          <cell r="Q92">
            <v>5.8880949999999999</v>
          </cell>
          <cell r="R92" t="e">
            <v>#N/A</v>
          </cell>
          <cell r="AI92" t="str">
            <v>OMR Rial Omani</v>
          </cell>
          <cell r="AJ92" t="str">
            <v>OMR</v>
          </cell>
          <cell r="AK92" t="str">
            <v>OMR</v>
          </cell>
          <cell r="AL92" t="str">
            <v>OMR</v>
          </cell>
          <cell r="AM92">
            <v>0</v>
          </cell>
          <cell r="AN92">
            <v>2</v>
          </cell>
        </row>
        <row r="93">
          <cell r="A93">
            <v>39287</v>
          </cell>
          <cell r="B93">
            <v>39287</v>
          </cell>
          <cell r="C93" t="str">
            <v>Past</v>
          </cell>
          <cell r="D93">
            <v>57.17</v>
          </cell>
          <cell r="E93" t="e">
            <v>#N/A</v>
          </cell>
          <cell r="F93" t="e">
            <v>#N/A</v>
          </cell>
          <cell r="G93" t="e">
            <v>#N/A</v>
          </cell>
          <cell r="H93" t="e">
            <v>#N/A</v>
          </cell>
          <cell r="I93" t="e">
            <v>#N/A</v>
          </cell>
          <cell r="J93" t="e">
            <v>#N/A</v>
          </cell>
          <cell r="K93" t="e">
            <v>#N/A</v>
          </cell>
          <cell r="L93" t="e">
            <v>#N/A</v>
          </cell>
          <cell r="M93" t="e">
            <v>#N/A</v>
          </cell>
          <cell r="N93" t="e">
            <v>#N/A</v>
          </cell>
          <cell r="O93" t="e">
            <v>#N/A</v>
          </cell>
          <cell r="P93">
            <v>57.17</v>
          </cell>
          <cell r="Q93">
            <v>10.90849</v>
          </cell>
          <cell r="R93" t="e">
            <v>#N/A</v>
          </cell>
          <cell r="AI93" t="str">
            <v>PAB Panamanian Balboa</v>
          </cell>
          <cell r="AJ93" t="str">
            <v>PAB</v>
          </cell>
          <cell r="AK93" t="str">
            <v>PAB</v>
          </cell>
          <cell r="AL93" t="str">
            <v>PAB</v>
          </cell>
          <cell r="AM93">
            <v>0</v>
          </cell>
          <cell r="AN93">
            <v>2</v>
          </cell>
        </row>
        <row r="94">
          <cell r="A94">
            <v>39288</v>
          </cell>
          <cell r="B94">
            <v>39288</v>
          </cell>
          <cell r="C94" t="str">
            <v>Past</v>
          </cell>
          <cell r="D94">
            <v>58.44</v>
          </cell>
          <cell r="E94" t="e">
            <v>#N/A</v>
          </cell>
          <cell r="F94" t="e">
            <v>#N/A</v>
          </cell>
          <cell r="G94" t="e">
            <v>#N/A</v>
          </cell>
          <cell r="H94" t="e">
            <v>#N/A</v>
          </cell>
          <cell r="I94" t="e">
            <v>#N/A</v>
          </cell>
          <cell r="J94" t="e">
            <v>#N/A</v>
          </cell>
          <cell r="K94" t="e">
            <v>#N/A</v>
          </cell>
          <cell r="L94" t="e">
            <v>#N/A</v>
          </cell>
          <cell r="M94" t="e">
            <v>#N/A</v>
          </cell>
          <cell r="N94" t="e">
            <v>#N/A</v>
          </cell>
          <cell r="O94" t="e">
            <v>#N/A</v>
          </cell>
          <cell r="P94">
            <v>58.44</v>
          </cell>
          <cell r="Q94">
            <v>7.3154709999999996</v>
          </cell>
          <cell r="R94" t="e">
            <v>#N/A</v>
          </cell>
          <cell r="AI94" t="str">
            <v>PEN Peruvian PEN</v>
          </cell>
          <cell r="AJ94" t="str">
            <v>PEN</v>
          </cell>
          <cell r="AK94" t="str">
            <v>PEN</v>
          </cell>
          <cell r="AL94" t="str">
            <v>PEN</v>
          </cell>
          <cell r="AM94">
            <v>0</v>
          </cell>
          <cell r="AN94">
            <v>2</v>
          </cell>
        </row>
        <row r="95">
          <cell r="A95">
            <v>39289</v>
          </cell>
          <cell r="B95">
            <v>39289</v>
          </cell>
          <cell r="C95" t="str">
            <v>Past</v>
          </cell>
          <cell r="D95">
            <v>56.7</v>
          </cell>
          <cell r="E95" t="e">
            <v>#N/A</v>
          </cell>
          <cell r="F95" t="e">
            <v>#N/A</v>
          </cell>
          <cell r="G95" t="e">
            <v>#N/A</v>
          </cell>
          <cell r="H95" t="e">
            <v>#N/A</v>
          </cell>
          <cell r="I95" t="e">
            <v>#N/A</v>
          </cell>
          <cell r="J95" t="e">
            <v>#N/A</v>
          </cell>
          <cell r="K95" t="e">
            <v>#N/A</v>
          </cell>
          <cell r="L95" t="e">
            <v>#N/A</v>
          </cell>
          <cell r="M95" t="e">
            <v>#N/A</v>
          </cell>
          <cell r="N95" t="e">
            <v>#N/A</v>
          </cell>
          <cell r="O95" t="e">
            <v>#N/A</v>
          </cell>
          <cell r="P95">
            <v>56.7</v>
          </cell>
          <cell r="Q95">
            <v>8.3653529999999989</v>
          </cell>
          <cell r="R95" t="e">
            <v>#N/A</v>
          </cell>
          <cell r="AI95" t="str">
            <v>PHP Philippino Peso</v>
          </cell>
          <cell r="AJ95" t="str">
            <v>PP</v>
          </cell>
          <cell r="AK95" t="str">
            <v>PHP</v>
          </cell>
          <cell r="AL95" t="str">
            <v>PHP</v>
          </cell>
          <cell r="AM95">
            <v>0</v>
          </cell>
          <cell r="AN95">
            <v>2</v>
          </cell>
        </row>
        <row r="96">
          <cell r="A96">
            <v>39290</v>
          </cell>
          <cell r="B96">
            <v>39290</v>
          </cell>
          <cell r="C96" t="str">
            <v>Past</v>
          </cell>
          <cell r="D96">
            <v>55.02</v>
          </cell>
          <cell r="E96" t="e">
            <v>#N/A</v>
          </cell>
          <cell r="F96" t="e">
            <v>#N/A</v>
          </cell>
          <cell r="G96" t="e">
            <v>#N/A</v>
          </cell>
          <cell r="H96" t="e">
            <v>#N/A</v>
          </cell>
          <cell r="I96" t="e">
            <v>#N/A</v>
          </cell>
          <cell r="J96" t="e">
            <v>#N/A</v>
          </cell>
          <cell r="K96" t="e">
            <v>#N/A</v>
          </cell>
          <cell r="L96" t="e">
            <v>#N/A</v>
          </cell>
          <cell r="M96" t="e">
            <v>#N/A</v>
          </cell>
          <cell r="N96" t="e">
            <v>#N/A</v>
          </cell>
          <cell r="O96" t="e">
            <v>#N/A</v>
          </cell>
          <cell r="P96">
            <v>55.02</v>
          </cell>
          <cell r="Q96">
            <v>6.3537309999999998</v>
          </cell>
          <cell r="R96" t="e">
            <v>#N/A</v>
          </cell>
          <cell r="AI96" t="str">
            <v>PKR Pakistani Rupee</v>
          </cell>
          <cell r="AJ96" t="str">
            <v>Rs.</v>
          </cell>
          <cell r="AK96" t="str">
            <v>PKR</v>
          </cell>
          <cell r="AL96" t="str">
            <v>PKR</v>
          </cell>
          <cell r="AM96">
            <v>0</v>
          </cell>
          <cell r="AN96">
            <v>2</v>
          </cell>
        </row>
        <row r="97">
          <cell r="A97">
            <v>39293</v>
          </cell>
          <cell r="B97">
            <v>39293</v>
          </cell>
          <cell r="C97" t="str">
            <v>Past</v>
          </cell>
          <cell r="D97">
            <v>54.77</v>
          </cell>
          <cell r="E97" t="e">
            <v>#N/A</v>
          </cell>
          <cell r="F97" t="e">
            <v>#N/A</v>
          </cell>
          <cell r="G97" t="e">
            <v>#N/A</v>
          </cell>
          <cell r="H97" t="e">
            <v>#N/A</v>
          </cell>
          <cell r="I97" t="e">
            <v>#N/A</v>
          </cell>
          <cell r="J97" t="e">
            <v>#N/A</v>
          </cell>
          <cell r="K97" t="e">
            <v>#N/A</v>
          </cell>
          <cell r="L97" t="e">
            <v>#N/A</v>
          </cell>
          <cell r="M97" t="e">
            <v>#N/A</v>
          </cell>
          <cell r="N97" t="e">
            <v>#N/A</v>
          </cell>
          <cell r="O97" t="e">
            <v>#N/A</v>
          </cell>
          <cell r="P97">
            <v>54.77</v>
          </cell>
          <cell r="Q97">
            <v>5.8481889999999996</v>
          </cell>
          <cell r="R97" t="e">
            <v>#N/A</v>
          </cell>
          <cell r="AI97" t="str">
            <v>PLN Polish Zloty</v>
          </cell>
          <cell r="AJ97" t="str">
            <v>zł</v>
          </cell>
          <cell r="AK97" t="str">
            <v>PLN</v>
          </cell>
          <cell r="AL97" t="str">
            <v>PLN</v>
          </cell>
          <cell r="AM97">
            <v>0</v>
          </cell>
          <cell r="AN97">
            <v>2</v>
          </cell>
        </row>
        <row r="98">
          <cell r="A98">
            <v>39294</v>
          </cell>
          <cell r="B98">
            <v>39294</v>
          </cell>
          <cell r="C98" t="str">
            <v>Past</v>
          </cell>
          <cell r="D98">
            <v>54.09</v>
          </cell>
          <cell r="E98" t="e">
            <v>#N/A</v>
          </cell>
          <cell r="F98" t="e">
            <v>#N/A</v>
          </cell>
          <cell r="G98" t="e">
            <v>#N/A</v>
          </cell>
          <cell r="H98" t="e">
            <v>#N/A</v>
          </cell>
          <cell r="I98" t="e">
            <v>#N/A</v>
          </cell>
          <cell r="J98" t="e">
            <v>#N/A</v>
          </cell>
          <cell r="K98" t="e">
            <v>#N/A</v>
          </cell>
          <cell r="L98" t="e">
            <v>#N/A</v>
          </cell>
          <cell r="M98" t="e">
            <v>#N/A</v>
          </cell>
          <cell r="N98" t="e">
            <v>#N/A</v>
          </cell>
          <cell r="O98" t="e">
            <v>#N/A</v>
          </cell>
          <cell r="P98">
            <v>54.09</v>
          </cell>
          <cell r="Q98">
            <v>8.2728470000000005</v>
          </cell>
          <cell r="R98" t="e">
            <v>#N/A</v>
          </cell>
          <cell r="AI98" t="str">
            <v>QAR Qatari Riyal</v>
          </cell>
          <cell r="AJ98" t="str">
            <v>QAR</v>
          </cell>
          <cell r="AK98" t="str">
            <v>QAR</v>
          </cell>
          <cell r="AL98" t="str">
            <v>QAR</v>
          </cell>
          <cell r="AM98">
            <v>0</v>
          </cell>
          <cell r="AN98">
            <v>2</v>
          </cell>
        </row>
        <row r="99">
          <cell r="A99">
            <v>39295</v>
          </cell>
          <cell r="B99">
            <v>39295</v>
          </cell>
          <cell r="C99" t="str">
            <v>Past</v>
          </cell>
          <cell r="D99">
            <v>54.2</v>
          </cell>
          <cell r="E99" t="e">
            <v>#N/A</v>
          </cell>
          <cell r="F99" t="e">
            <v>#N/A</v>
          </cell>
          <cell r="G99" t="e">
            <v>#N/A</v>
          </cell>
          <cell r="H99" t="e">
            <v>#N/A</v>
          </cell>
          <cell r="I99" t="e">
            <v>#N/A</v>
          </cell>
          <cell r="J99" t="e">
            <v>#N/A</v>
          </cell>
          <cell r="K99" t="e">
            <v>#N/A</v>
          </cell>
          <cell r="L99" t="e">
            <v>#N/A</v>
          </cell>
          <cell r="M99" t="e">
            <v>#N/A</v>
          </cell>
          <cell r="N99" t="e">
            <v>#N/A</v>
          </cell>
          <cell r="O99" t="e">
            <v>#N/A</v>
          </cell>
          <cell r="P99">
            <v>54.2</v>
          </cell>
          <cell r="Q99">
            <v>6.2463220000000002</v>
          </cell>
          <cell r="R99" t="e">
            <v>#N/A</v>
          </cell>
          <cell r="AI99" t="str">
            <v>RUB Russian Rouble</v>
          </cell>
          <cell r="AJ99" t="str">
            <v>RUB</v>
          </cell>
          <cell r="AK99" t="str">
            <v>RUB</v>
          </cell>
          <cell r="AL99" t="str">
            <v>RUB</v>
          </cell>
          <cell r="AM99">
            <v>0</v>
          </cell>
          <cell r="AN99">
            <v>2</v>
          </cell>
        </row>
        <row r="100">
          <cell r="A100">
            <v>39296</v>
          </cell>
          <cell r="B100">
            <v>39296</v>
          </cell>
          <cell r="C100" t="str">
            <v>Past</v>
          </cell>
          <cell r="D100">
            <v>54.6</v>
          </cell>
          <cell r="E100" t="e">
            <v>#N/A</v>
          </cell>
          <cell r="F100" t="e">
            <v>#N/A</v>
          </cell>
          <cell r="G100" t="e">
            <v>#N/A</v>
          </cell>
          <cell r="H100" t="e">
            <v>#N/A</v>
          </cell>
          <cell r="I100" t="e">
            <v>#N/A</v>
          </cell>
          <cell r="J100" t="e">
            <v>#N/A</v>
          </cell>
          <cell r="K100" t="e">
            <v>#N/A</v>
          </cell>
          <cell r="L100" t="e">
            <v>#N/A</v>
          </cell>
          <cell r="M100" t="e">
            <v>#N/A</v>
          </cell>
          <cell r="N100" t="e">
            <v>#N/A</v>
          </cell>
          <cell r="O100" t="e">
            <v>#N/A</v>
          </cell>
          <cell r="P100">
            <v>54.6</v>
          </cell>
          <cell r="Q100">
            <v>5.1132840000000002</v>
          </cell>
          <cell r="R100" t="e">
            <v>#N/A</v>
          </cell>
          <cell r="AI100" t="str">
            <v>SAR Saudi Riyal</v>
          </cell>
          <cell r="AJ100" t="str">
            <v>SAR</v>
          </cell>
          <cell r="AK100" t="str">
            <v>SAR</v>
          </cell>
          <cell r="AL100" t="str">
            <v>SAR</v>
          </cell>
          <cell r="AM100">
            <v>0</v>
          </cell>
          <cell r="AN100">
            <v>2</v>
          </cell>
        </row>
        <row r="101">
          <cell r="A101">
            <v>39297</v>
          </cell>
          <cell r="B101">
            <v>39297</v>
          </cell>
          <cell r="C101" t="str">
            <v>Past</v>
          </cell>
          <cell r="D101">
            <v>54.13</v>
          </cell>
          <cell r="E101" t="e">
            <v>#N/A</v>
          </cell>
          <cell r="F101" t="e">
            <v>#N/A</v>
          </cell>
          <cell r="G101" t="e">
            <v>#N/A</v>
          </cell>
          <cell r="H101" t="e">
            <v>#N/A</v>
          </cell>
          <cell r="I101" t="e">
            <v>#N/A</v>
          </cell>
          <cell r="J101" t="e">
            <v>#N/A</v>
          </cell>
          <cell r="K101" t="e">
            <v>#N/A</v>
          </cell>
          <cell r="L101" t="e">
            <v>#N/A</v>
          </cell>
          <cell r="M101" t="e">
            <v>#N/A</v>
          </cell>
          <cell r="N101" t="e">
            <v>#N/A</v>
          </cell>
          <cell r="O101" t="e">
            <v>#N/A</v>
          </cell>
          <cell r="P101">
            <v>54.13</v>
          </cell>
          <cell r="Q101">
            <v>5.5839489999999996</v>
          </cell>
          <cell r="R101" t="e">
            <v>#N/A</v>
          </cell>
          <cell r="AI101" t="str">
            <v>SEK Swedish Krona</v>
          </cell>
          <cell r="AJ101" t="str">
            <v>SKr</v>
          </cell>
          <cell r="AK101" t="str">
            <v>SEK</v>
          </cell>
          <cell r="AL101" t="str">
            <v>SEK</v>
          </cell>
          <cell r="AM101">
            <v>0</v>
          </cell>
          <cell r="AN101">
            <v>2</v>
          </cell>
        </row>
        <row r="102">
          <cell r="A102">
            <v>39300</v>
          </cell>
          <cell r="B102">
            <v>39300</v>
          </cell>
          <cell r="C102" t="str">
            <v>Past</v>
          </cell>
          <cell r="D102">
            <v>56.22</v>
          </cell>
          <cell r="E102" t="e">
            <v>#N/A</v>
          </cell>
          <cell r="F102" t="e">
            <v>#N/A</v>
          </cell>
          <cell r="G102" t="e">
            <v>#N/A</v>
          </cell>
          <cell r="H102" t="e">
            <v>#N/A</v>
          </cell>
          <cell r="I102" t="e">
            <v>#N/A</v>
          </cell>
          <cell r="J102" t="e">
            <v>#N/A</v>
          </cell>
          <cell r="K102" t="e">
            <v>#N/A</v>
          </cell>
          <cell r="L102" t="e">
            <v>#N/A</v>
          </cell>
          <cell r="M102" t="e">
            <v>#N/A</v>
          </cell>
          <cell r="N102" t="e">
            <v>#N/A</v>
          </cell>
          <cell r="O102" t="e">
            <v>#N/A</v>
          </cell>
          <cell r="P102">
            <v>56.22</v>
          </cell>
          <cell r="Q102">
            <v>7.3999939999999995</v>
          </cell>
          <cell r="R102" t="e">
            <v>#N/A</v>
          </cell>
          <cell r="AI102" t="str">
            <v>SGD Singapore Dollar</v>
          </cell>
          <cell r="AJ102" t="str">
            <v>S$</v>
          </cell>
          <cell r="AK102" t="str">
            <v>SGD</v>
          </cell>
          <cell r="AL102" t="str">
            <v>SGD</v>
          </cell>
          <cell r="AM102">
            <v>0</v>
          </cell>
          <cell r="AN102">
            <v>2</v>
          </cell>
        </row>
        <row r="103">
          <cell r="A103">
            <v>39301</v>
          </cell>
          <cell r="B103">
            <v>39301</v>
          </cell>
          <cell r="C103" t="str">
            <v>Past</v>
          </cell>
          <cell r="D103">
            <v>56.52</v>
          </cell>
          <cell r="E103" t="e">
            <v>#N/A</v>
          </cell>
          <cell r="F103" t="e">
            <v>#N/A</v>
          </cell>
          <cell r="G103" t="e">
            <v>#N/A</v>
          </cell>
          <cell r="H103" t="e">
            <v>#N/A</v>
          </cell>
          <cell r="I103" t="e">
            <v>#N/A</v>
          </cell>
          <cell r="J103" t="e">
            <v>#N/A</v>
          </cell>
          <cell r="K103" t="e">
            <v>#N/A</v>
          </cell>
          <cell r="L103" t="e">
            <v>#N/A</v>
          </cell>
          <cell r="M103" t="e">
            <v>#N/A</v>
          </cell>
          <cell r="N103" t="e">
            <v>#N/A</v>
          </cell>
          <cell r="O103" t="e">
            <v>#N/A</v>
          </cell>
          <cell r="P103">
            <v>56.52</v>
          </cell>
          <cell r="Q103">
            <v>7.5100069999999999</v>
          </cell>
          <cell r="R103" t="e">
            <v>#N/A</v>
          </cell>
          <cell r="AI103" t="str">
            <v>THB Thailand Baht</v>
          </cell>
          <cell r="AJ103" t="str">
            <v>Bt</v>
          </cell>
          <cell r="AK103" t="str">
            <v>THB</v>
          </cell>
          <cell r="AL103" t="str">
            <v>THB</v>
          </cell>
          <cell r="AM103">
            <v>0</v>
          </cell>
          <cell r="AN103">
            <v>2</v>
          </cell>
        </row>
        <row r="104">
          <cell r="A104">
            <v>39302</v>
          </cell>
          <cell r="B104">
            <v>39302</v>
          </cell>
          <cell r="C104" t="str">
            <v>Past</v>
          </cell>
          <cell r="D104">
            <v>58.4</v>
          </cell>
          <cell r="E104" t="e">
            <v>#N/A</v>
          </cell>
          <cell r="F104" t="e">
            <v>#N/A</v>
          </cell>
          <cell r="G104" t="e">
            <v>#N/A</v>
          </cell>
          <cell r="H104" t="e">
            <v>#N/A</v>
          </cell>
          <cell r="I104" t="e">
            <v>#N/A</v>
          </cell>
          <cell r="J104" t="e">
            <v>#N/A</v>
          </cell>
          <cell r="K104" t="e">
            <v>#N/A</v>
          </cell>
          <cell r="L104" t="e">
            <v>#N/A</v>
          </cell>
          <cell r="M104" t="e">
            <v>#N/A</v>
          </cell>
          <cell r="N104" t="e">
            <v>#N/A</v>
          </cell>
          <cell r="O104" t="e">
            <v>#N/A</v>
          </cell>
          <cell r="P104">
            <v>58.4</v>
          </cell>
          <cell r="Q104">
            <v>6.7241919999999995</v>
          </cell>
          <cell r="R104" t="e">
            <v>#N/A</v>
          </cell>
          <cell r="AI104" t="str">
            <v>TND Tunisian Dinar</v>
          </cell>
          <cell r="AJ104" t="str">
            <v>TND</v>
          </cell>
          <cell r="AK104" t="str">
            <v>TND</v>
          </cell>
          <cell r="AL104" t="str">
            <v>TND</v>
          </cell>
          <cell r="AM104">
            <v>0</v>
          </cell>
          <cell r="AN104">
            <v>2</v>
          </cell>
        </row>
        <row r="105">
          <cell r="A105">
            <v>39303</v>
          </cell>
          <cell r="B105">
            <v>39303</v>
          </cell>
          <cell r="C105" t="str">
            <v>Past</v>
          </cell>
          <cell r="D105">
            <v>57.85</v>
          </cell>
          <cell r="E105" t="e">
            <v>#N/A</v>
          </cell>
          <cell r="F105" t="e">
            <v>#N/A</v>
          </cell>
          <cell r="G105" t="e">
            <v>#N/A</v>
          </cell>
          <cell r="H105" t="e">
            <v>#N/A</v>
          </cell>
          <cell r="I105" t="e">
            <v>#N/A</v>
          </cell>
          <cell r="J105" t="e">
            <v>#N/A</v>
          </cell>
          <cell r="K105" t="e">
            <v>#N/A</v>
          </cell>
          <cell r="L105" t="e">
            <v>#N/A</v>
          </cell>
          <cell r="M105" t="e">
            <v>#N/A</v>
          </cell>
          <cell r="N105" t="e">
            <v>#N/A</v>
          </cell>
          <cell r="O105" t="e">
            <v>#N/A</v>
          </cell>
          <cell r="P105">
            <v>57.85</v>
          </cell>
          <cell r="Q105">
            <v>8.5117840000000005</v>
          </cell>
          <cell r="R105" t="e">
            <v>#N/A</v>
          </cell>
          <cell r="AI105" t="str">
            <v>TRY Turkish Lira</v>
          </cell>
          <cell r="AJ105" t="str">
            <v>TL</v>
          </cell>
          <cell r="AK105" t="str">
            <v>TRY</v>
          </cell>
          <cell r="AL105" t="str">
            <v>TRY</v>
          </cell>
          <cell r="AM105">
            <v>0</v>
          </cell>
          <cell r="AN105">
            <v>2</v>
          </cell>
        </row>
        <row r="106">
          <cell r="A106">
            <v>39304</v>
          </cell>
          <cell r="B106">
            <v>39304</v>
          </cell>
          <cell r="C106" t="str">
            <v>Past</v>
          </cell>
          <cell r="D106">
            <v>57.16</v>
          </cell>
          <cell r="E106" t="e">
            <v>#N/A</v>
          </cell>
          <cell r="F106" t="e">
            <v>#N/A</v>
          </cell>
          <cell r="G106" t="e">
            <v>#N/A</v>
          </cell>
          <cell r="H106" t="e">
            <v>#N/A</v>
          </cell>
          <cell r="I106" t="e">
            <v>#N/A</v>
          </cell>
          <cell r="J106" t="e">
            <v>#N/A</v>
          </cell>
          <cell r="K106" t="e">
            <v>#N/A</v>
          </cell>
          <cell r="L106" t="e">
            <v>#N/A</v>
          </cell>
          <cell r="M106" t="e">
            <v>#N/A</v>
          </cell>
          <cell r="N106" t="e">
            <v>#N/A</v>
          </cell>
          <cell r="O106" t="e">
            <v>#N/A</v>
          </cell>
          <cell r="P106">
            <v>57.16</v>
          </cell>
          <cell r="Q106">
            <v>8.0407329999999995</v>
          </cell>
          <cell r="R106" t="e">
            <v>#N/A</v>
          </cell>
          <cell r="AI106" t="str">
            <v>TWD New Taiwan Dollar</v>
          </cell>
          <cell r="AJ106" t="str">
            <v>NT$</v>
          </cell>
          <cell r="AK106" t="str">
            <v>TWD</v>
          </cell>
          <cell r="AL106" t="str">
            <v>TWD</v>
          </cell>
          <cell r="AM106">
            <v>0</v>
          </cell>
          <cell r="AN106">
            <v>2</v>
          </cell>
        </row>
        <row r="107">
          <cell r="A107">
            <v>39307</v>
          </cell>
          <cell r="B107">
            <v>39307</v>
          </cell>
          <cell r="C107" t="str">
            <v>Past</v>
          </cell>
          <cell r="D107">
            <v>56.93</v>
          </cell>
          <cell r="E107" t="e">
            <v>#N/A</v>
          </cell>
          <cell r="F107" t="e">
            <v>#N/A</v>
          </cell>
          <cell r="G107" t="e">
            <v>#N/A</v>
          </cell>
          <cell r="H107" t="e">
            <v>#N/A</v>
          </cell>
          <cell r="I107" t="e">
            <v>#N/A</v>
          </cell>
          <cell r="J107" t="e">
            <v>#N/A</v>
          </cell>
          <cell r="K107" t="e">
            <v>#N/A</v>
          </cell>
          <cell r="L107" t="e">
            <v>#N/A</v>
          </cell>
          <cell r="M107" t="e">
            <v>#N/A</v>
          </cell>
          <cell r="N107" t="e">
            <v>#N/A</v>
          </cell>
          <cell r="O107" t="e">
            <v>#N/A</v>
          </cell>
          <cell r="P107">
            <v>56.93</v>
          </cell>
          <cell r="Q107">
            <v>4.0047000000000006</v>
          </cell>
          <cell r="R107" t="e">
            <v>#N/A</v>
          </cell>
          <cell r="AI107" t="str">
            <v>UAH Ukrainian Hryvnia</v>
          </cell>
          <cell r="AJ107" t="str">
            <v>UAH</v>
          </cell>
          <cell r="AK107" t="str">
            <v>UAH</v>
          </cell>
          <cell r="AL107" t="str">
            <v>UAH</v>
          </cell>
          <cell r="AM107">
            <v>0</v>
          </cell>
          <cell r="AN107">
            <v>2</v>
          </cell>
        </row>
        <row r="108">
          <cell r="A108">
            <v>39308</v>
          </cell>
          <cell r="B108">
            <v>39308</v>
          </cell>
          <cell r="C108" t="str">
            <v>Past</v>
          </cell>
          <cell r="D108">
            <v>55.44</v>
          </cell>
          <cell r="E108" t="e">
            <v>#N/A</v>
          </cell>
          <cell r="F108" t="e">
            <v>#N/A</v>
          </cell>
          <cell r="G108" t="e">
            <v>#N/A</v>
          </cell>
          <cell r="H108" t="e">
            <v>#N/A</v>
          </cell>
          <cell r="I108" t="e">
            <v>#N/A</v>
          </cell>
          <cell r="J108" t="e">
            <v>#N/A</v>
          </cell>
          <cell r="K108" t="e">
            <v>#N/A</v>
          </cell>
          <cell r="L108" t="e">
            <v>#N/A</v>
          </cell>
          <cell r="M108" t="e">
            <v>#N/A</v>
          </cell>
          <cell r="N108" t="e">
            <v>#N/A</v>
          </cell>
          <cell r="O108" t="e">
            <v>#N/A</v>
          </cell>
          <cell r="P108">
            <v>55.44</v>
          </cell>
          <cell r="Q108">
            <v>5.3788500000000008</v>
          </cell>
          <cell r="R108" t="e">
            <v>#N/A</v>
          </cell>
          <cell r="AI108" t="str">
            <v>USD American Dollar</v>
          </cell>
          <cell r="AJ108" t="str">
            <v>$</v>
          </cell>
          <cell r="AK108" t="str">
            <v>USD</v>
          </cell>
          <cell r="AL108" t="str">
            <v>USD</v>
          </cell>
          <cell r="AM108">
            <v>0</v>
          </cell>
          <cell r="AN108">
            <v>2</v>
          </cell>
        </row>
        <row r="109">
          <cell r="A109">
            <v>39309</v>
          </cell>
          <cell r="B109">
            <v>39309</v>
          </cell>
          <cell r="C109" t="str">
            <v>Past</v>
          </cell>
          <cell r="D109">
            <v>55.18</v>
          </cell>
          <cell r="E109" t="e">
            <v>#N/A</v>
          </cell>
          <cell r="F109" t="e">
            <v>#N/A</v>
          </cell>
          <cell r="G109" t="e">
            <v>#N/A</v>
          </cell>
          <cell r="H109" t="e">
            <v>#N/A</v>
          </cell>
          <cell r="I109" t="e">
            <v>#N/A</v>
          </cell>
          <cell r="J109" t="e">
            <v>#N/A</v>
          </cell>
          <cell r="K109" t="e">
            <v>#N/A</v>
          </cell>
          <cell r="L109" t="e">
            <v>#N/A</v>
          </cell>
          <cell r="M109" t="e">
            <v>#N/A</v>
          </cell>
          <cell r="N109" t="e">
            <v>#N/A</v>
          </cell>
          <cell r="O109" t="e">
            <v>#N/A</v>
          </cell>
          <cell r="P109">
            <v>55.18</v>
          </cell>
          <cell r="Q109">
            <v>4.9745500000000007</v>
          </cell>
          <cell r="R109" t="e">
            <v>#N/A</v>
          </cell>
          <cell r="AI109" t="str">
            <v>VEB Venezuelan Bolivar</v>
          </cell>
          <cell r="AJ109" t="str">
            <v>VEB</v>
          </cell>
          <cell r="AK109" t="str">
            <v>VEB</v>
          </cell>
          <cell r="AL109" t="str">
            <v>VEB</v>
          </cell>
          <cell r="AM109">
            <v>0</v>
          </cell>
          <cell r="AN109">
            <v>2</v>
          </cell>
        </row>
        <row r="110">
          <cell r="A110">
            <v>39310</v>
          </cell>
          <cell r="B110">
            <v>39310</v>
          </cell>
          <cell r="C110" t="str">
            <v>Past</v>
          </cell>
          <cell r="D110">
            <v>54.83</v>
          </cell>
          <cell r="E110" t="e">
            <v>#N/A</v>
          </cell>
          <cell r="F110" t="e">
            <v>#N/A</v>
          </cell>
          <cell r="G110" t="e">
            <v>#N/A</v>
          </cell>
          <cell r="H110" t="e">
            <v>#N/A</v>
          </cell>
          <cell r="I110" t="e">
            <v>#N/A</v>
          </cell>
          <cell r="J110" t="e">
            <v>#N/A</v>
          </cell>
          <cell r="K110" t="e">
            <v>#N/A</v>
          </cell>
          <cell r="L110" t="e">
            <v>#N/A</v>
          </cell>
          <cell r="M110" t="e">
            <v>#N/A</v>
          </cell>
          <cell r="N110" t="e">
            <v>#N/A</v>
          </cell>
          <cell r="O110" t="e">
            <v>#N/A</v>
          </cell>
          <cell r="P110">
            <v>54.83</v>
          </cell>
          <cell r="Q110">
            <v>8.8786000000000005</v>
          </cell>
          <cell r="R110" t="e">
            <v>#N/A</v>
          </cell>
          <cell r="AI110" t="str">
            <v>ZAc South African Cent</v>
          </cell>
          <cell r="AJ110" t="str">
            <v>ZAc</v>
          </cell>
          <cell r="AK110" t="str">
            <v>ZAc</v>
          </cell>
          <cell r="AL110" t="str">
            <v>ZAc</v>
          </cell>
          <cell r="AM110">
            <v>0</v>
          </cell>
          <cell r="AN110">
            <v>0</v>
          </cell>
        </row>
        <row r="111">
          <cell r="A111">
            <v>39311</v>
          </cell>
          <cell r="B111">
            <v>39311</v>
          </cell>
          <cell r="C111" t="str">
            <v>Past</v>
          </cell>
          <cell r="D111">
            <v>55.81</v>
          </cell>
          <cell r="E111" t="e">
            <v>#N/A</v>
          </cell>
          <cell r="F111" t="e">
            <v>#N/A</v>
          </cell>
          <cell r="G111" t="e">
            <v>#N/A</v>
          </cell>
          <cell r="H111" t="e">
            <v>#N/A</v>
          </cell>
          <cell r="I111" t="e">
            <v>#N/A</v>
          </cell>
          <cell r="J111" t="e">
            <v>#N/A</v>
          </cell>
          <cell r="K111" t="e">
            <v>#N/A</v>
          </cell>
          <cell r="L111" t="e">
            <v>#N/A</v>
          </cell>
          <cell r="M111" t="e">
            <v>#N/A</v>
          </cell>
          <cell r="N111" t="e">
            <v>#N/A</v>
          </cell>
          <cell r="O111" t="e">
            <v>#N/A</v>
          </cell>
          <cell r="P111">
            <v>55.81</v>
          </cell>
          <cell r="Q111">
            <v>6.8274999999999997</v>
          </cell>
          <cell r="R111" t="e">
            <v>#N/A</v>
          </cell>
          <cell r="AI111" t="str">
            <v>ZAR South African rand</v>
          </cell>
          <cell r="AJ111" t="str">
            <v>ZAR</v>
          </cell>
          <cell r="AK111" t="str">
            <v>ZAR</v>
          </cell>
          <cell r="AL111" t="str">
            <v>ZAR</v>
          </cell>
          <cell r="AM111">
            <v>0</v>
          </cell>
          <cell r="AN111">
            <v>2</v>
          </cell>
        </row>
        <row r="112">
          <cell r="A112">
            <v>39314</v>
          </cell>
          <cell r="B112">
            <v>39314</v>
          </cell>
          <cell r="C112" t="str">
            <v>Past</v>
          </cell>
          <cell r="D112">
            <v>55.63</v>
          </cell>
          <cell r="E112" t="e">
            <v>#N/A</v>
          </cell>
          <cell r="F112" t="e">
            <v>#N/A</v>
          </cell>
          <cell r="G112" t="e">
            <v>#N/A</v>
          </cell>
          <cell r="H112" t="e">
            <v>#N/A</v>
          </cell>
          <cell r="I112" t="e">
            <v>#N/A</v>
          </cell>
          <cell r="J112" t="e">
            <v>#N/A</v>
          </cell>
          <cell r="K112" t="e">
            <v>#N/A</v>
          </cell>
          <cell r="L112" t="e">
            <v>#N/A</v>
          </cell>
          <cell r="M112" t="e">
            <v>#N/A</v>
          </cell>
          <cell r="N112" t="e">
            <v>#N/A</v>
          </cell>
          <cell r="O112" t="e">
            <v>#N/A</v>
          </cell>
          <cell r="P112">
            <v>55.63</v>
          </cell>
          <cell r="Q112">
            <v>4.8591000000000006</v>
          </cell>
          <cell r="R112" t="e">
            <v>#N/A</v>
          </cell>
          <cell r="AI112" t="str">
            <v xml:space="preserve">ZMK Zambian Kwacha </v>
          </cell>
          <cell r="AJ112" t="str">
            <v>ZMK</v>
          </cell>
          <cell r="AK112" t="str">
            <v>ZMK</v>
          </cell>
          <cell r="AL112" t="str">
            <v>ZMK</v>
          </cell>
          <cell r="AM112">
            <v>0</v>
          </cell>
          <cell r="AN112">
            <v>2</v>
          </cell>
        </row>
        <row r="113">
          <cell r="A113">
            <v>39315</v>
          </cell>
          <cell r="B113">
            <v>39315</v>
          </cell>
          <cell r="C113" t="str">
            <v>Past</v>
          </cell>
          <cell r="D113">
            <v>55.28</v>
          </cell>
          <cell r="E113" t="e">
            <v>#N/A</v>
          </cell>
          <cell r="F113" t="e">
            <v>#N/A</v>
          </cell>
          <cell r="G113" t="e">
            <v>#N/A</v>
          </cell>
          <cell r="H113" t="e">
            <v>#N/A</v>
          </cell>
          <cell r="I113" t="e">
            <v>#N/A</v>
          </cell>
          <cell r="J113" t="e">
            <v>#N/A</v>
          </cell>
          <cell r="K113" t="e">
            <v>#N/A</v>
          </cell>
          <cell r="L113" t="e">
            <v>#N/A</v>
          </cell>
          <cell r="M113" t="e">
            <v>#N/A</v>
          </cell>
          <cell r="N113" t="e">
            <v>#N/A</v>
          </cell>
          <cell r="O113" t="e">
            <v>#N/A</v>
          </cell>
          <cell r="P113">
            <v>55.28</v>
          </cell>
          <cell r="Q113">
            <v>3.3652000000000002</v>
          </cell>
          <cell r="R113" t="e">
            <v>#N/A</v>
          </cell>
        </row>
        <row r="114">
          <cell r="A114">
            <v>39316</v>
          </cell>
          <cell r="B114">
            <v>39316</v>
          </cell>
          <cell r="C114" t="str">
            <v>Past</v>
          </cell>
          <cell r="D114">
            <v>55.74</v>
          </cell>
          <cell r="E114" t="e">
            <v>#N/A</v>
          </cell>
          <cell r="F114" t="e">
            <v>#N/A</v>
          </cell>
          <cell r="G114" t="e">
            <v>#N/A</v>
          </cell>
          <cell r="H114" t="e">
            <v>#N/A</v>
          </cell>
          <cell r="I114" t="e">
            <v>#N/A</v>
          </cell>
          <cell r="J114" t="e">
            <v>#N/A</v>
          </cell>
          <cell r="K114" t="e">
            <v>#N/A</v>
          </cell>
          <cell r="L114" t="e">
            <v>#N/A</v>
          </cell>
          <cell r="M114" t="e">
            <v>#N/A</v>
          </cell>
          <cell r="N114" t="e">
            <v>#N/A</v>
          </cell>
          <cell r="O114" t="e">
            <v>#N/A</v>
          </cell>
          <cell r="P114">
            <v>55.74</v>
          </cell>
          <cell r="Q114">
            <v>4.6797000000000004</v>
          </cell>
          <cell r="R114" t="e">
            <v>#N/A</v>
          </cell>
        </row>
        <row r="115">
          <cell r="A115">
            <v>39317</v>
          </cell>
          <cell r="B115">
            <v>39317</v>
          </cell>
          <cell r="C115" t="str">
            <v>Past</v>
          </cell>
          <cell r="D115">
            <v>55.87</v>
          </cell>
          <cell r="E115" t="e">
            <v>#N/A</v>
          </cell>
          <cell r="F115" t="e">
            <v>#N/A</v>
          </cell>
          <cell r="G115" t="e">
            <v>#N/A</v>
          </cell>
          <cell r="H115" t="e">
            <v>#N/A</v>
          </cell>
          <cell r="I115" t="e">
            <v>#N/A</v>
          </cell>
          <cell r="J115" t="e">
            <v>#N/A</v>
          </cell>
          <cell r="K115" t="e">
            <v>#N/A</v>
          </cell>
          <cell r="L115" t="e">
            <v>#N/A</v>
          </cell>
          <cell r="M115" t="e">
            <v>#N/A</v>
          </cell>
          <cell r="N115" t="e">
            <v>#N/A</v>
          </cell>
          <cell r="O115" t="e">
            <v>#N/A</v>
          </cell>
          <cell r="P115">
            <v>55.87</v>
          </cell>
          <cell r="Q115">
            <v>2.7577000000000003</v>
          </cell>
          <cell r="R115" t="e">
            <v>#N/A</v>
          </cell>
        </row>
        <row r="116">
          <cell r="A116">
            <v>39318</v>
          </cell>
          <cell r="B116">
            <v>39318</v>
          </cell>
          <cell r="C116" t="str">
            <v>Past</v>
          </cell>
          <cell r="D116">
            <v>56.61</v>
          </cell>
          <cell r="E116" t="e">
            <v>#N/A</v>
          </cell>
          <cell r="F116" t="e">
            <v>#N/A</v>
          </cell>
          <cell r="G116" t="e">
            <v>#N/A</v>
          </cell>
          <cell r="H116" t="e">
            <v>#N/A</v>
          </cell>
          <cell r="I116" t="e">
            <v>#N/A</v>
          </cell>
          <cell r="J116" t="e">
            <v>#N/A</v>
          </cell>
          <cell r="K116" t="e">
            <v>#N/A</v>
          </cell>
          <cell r="L116" t="e">
            <v>#N/A</v>
          </cell>
          <cell r="M116" t="e">
            <v>#N/A</v>
          </cell>
          <cell r="N116" t="e">
            <v>#N/A</v>
          </cell>
          <cell r="O116" t="e">
            <v>#N/A</v>
          </cell>
          <cell r="P116">
            <v>56.61</v>
          </cell>
          <cell r="Q116">
            <v>5.5994999999999999</v>
          </cell>
          <cell r="R116" t="e">
            <v>#N/A</v>
          </cell>
        </row>
        <row r="117">
          <cell r="A117">
            <v>39321</v>
          </cell>
          <cell r="B117">
            <v>39321</v>
          </cell>
          <cell r="C117" t="str">
            <v>Past</v>
          </cell>
          <cell r="D117">
            <v>56.39</v>
          </cell>
          <cell r="E117" t="e">
            <v>#N/A</v>
          </cell>
          <cell r="F117" t="e">
            <v>#N/A</v>
          </cell>
          <cell r="G117" t="e">
            <v>#N/A</v>
          </cell>
          <cell r="H117" t="e">
            <v>#N/A</v>
          </cell>
          <cell r="I117" t="e">
            <v>#N/A</v>
          </cell>
          <cell r="J117" t="e">
            <v>#N/A</v>
          </cell>
          <cell r="K117" t="e">
            <v>#N/A</v>
          </cell>
          <cell r="L117" t="e">
            <v>#N/A</v>
          </cell>
          <cell r="M117" t="e">
            <v>#N/A</v>
          </cell>
          <cell r="N117" t="e">
            <v>#N/A</v>
          </cell>
          <cell r="O117" t="e">
            <v>#N/A</v>
          </cell>
          <cell r="P117">
            <v>56.39</v>
          </cell>
          <cell r="Q117">
            <v>3.1044</v>
          </cell>
          <cell r="R117" t="e">
            <v>#N/A</v>
          </cell>
        </row>
        <row r="118">
          <cell r="A118">
            <v>39322</v>
          </cell>
          <cell r="B118">
            <v>39322</v>
          </cell>
          <cell r="C118" t="str">
            <v>Past</v>
          </cell>
          <cell r="D118">
            <v>56.1</v>
          </cell>
          <cell r="E118" t="e">
            <v>#N/A</v>
          </cell>
          <cell r="F118" t="e">
            <v>#N/A</v>
          </cell>
          <cell r="G118" t="e">
            <v>#N/A</v>
          </cell>
          <cell r="H118" t="e">
            <v>#N/A</v>
          </cell>
          <cell r="I118" t="e">
            <v>#N/A</v>
          </cell>
          <cell r="J118" t="e">
            <v>#N/A</v>
          </cell>
          <cell r="K118" t="e">
            <v>#N/A</v>
          </cell>
          <cell r="L118" t="e">
            <v>#N/A</v>
          </cell>
          <cell r="M118" t="e">
            <v>#N/A</v>
          </cell>
          <cell r="N118" t="e">
            <v>#N/A</v>
          </cell>
          <cell r="O118" t="e">
            <v>#N/A</v>
          </cell>
          <cell r="P118">
            <v>56.1</v>
          </cell>
          <cell r="Q118">
            <v>5.4973999999999998</v>
          </cell>
          <cell r="R118" t="e">
            <v>#N/A</v>
          </cell>
        </row>
        <row r="119">
          <cell r="A119">
            <v>39323</v>
          </cell>
          <cell r="B119">
            <v>39323</v>
          </cell>
          <cell r="C119" t="str">
            <v>Past</v>
          </cell>
          <cell r="D119">
            <v>56.32</v>
          </cell>
          <cell r="E119" t="e">
            <v>#N/A</v>
          </cell>
          <cell r="F119" t="e">
            <v>#N/A</v>
          </cell>
          <cell r="G119" t="e">
            <v>#N/A</v>
          </cell>
          <cell r="H119" t="e">
            <v>#N/A</v>
          </cell>
          <cell r="I119" t="e">
            <v>#N/A</v>
          </cell>
          <cell r="J119" t="e">
            <v>#N/A</v>
          </cell>
          <cell r="K119" t="e">
            <v>#N/A</v>
          </cell>
          <cell r="L119" t="e">
            <v>#N/A</v>
          </cell>
          <cell r="M119" t="e">
            <v>#N/A</v>
          </cell>
          <cell r="N119" t="e">
            <v>#N/A</v>
          </cell>
          <cell r="O119" t="e">
            <v>#N/A</v>
          </cell>
          <cell r="P119">
            <v>56.32</v>
          </cell>
          <cell r="Q119">
            <v>5.9315000000000007</v>
          </cell>
          <cell r="R119" t="e">
            <v>#N/A</v>
          </cell>
        </row>
        <row r="120">
          <cell r="A120">
            <v>39324</v>
          </cell>
          <cell r="B120">
            <v>39324</v>
          </cell>
          <cell r="C120" t="str">
            <v>Past</v>
          </cell>
          <cell r="D120">
            <v>56.67</v>
          </cell>
          <cell r="E120" t="e">
            <v>#N/A</v>
          </cell>
          <cell r="F120" t="e">
            <v>#N/A</v>
          </cell>
          <cell r="G120" t="e">
            <v>#N/A</v>
          </cell>
          <cell r="H120" t="e">
            <v>#N/A</v>
          </cell>
          <cell r="I120" t="e">
            <v>#N/A</v>
          </cell>
          <cell r="J120" t="e">
            <v>#N/A</v>
          </cell>
          <cell r="K120" t="e">
            <v>#N/A</v>
          </cell>
          <cell r="L120" t="e">
            <v>#N/A</v>
          </cell>
          <cell r="M120" t="e">
            <v>#N/A</v>
          </cell>
          <cell r="N120" t="e">
            <v>#N/A</v>
          </cell>
          <cell r="O120" t="e">
            <v>#N/A</v>
          </cell>
          <cell r="P120">
            <v>56.67</v>
          </cell>
          <cell r="Q120">
            <v>4.6493000000000002</v>
          </cell>
          <cell r="R120" t="e">
            <v>#N/A</v>
          </cell>
        </row>
        <row r="121">
          <cell r="A121">
            <v>39325</v>
          </cell>
          <cell r="B121">
            <v>39325</v>
          </cell>
          <cell r="C121" t="str">
            <v>Past</v>
          </cell>
          <cell r="D121">
            <v>57.35</v>
          </cell>
          <cell r="E121" t="e">
            <v>#N/A</v>
          </cell>
          <cell r="F121" t="e">
            <v>#N/A</v>
          </cell>
          <cell r="G121" t="e">
            <v>#N/A</v>
          </cell>
          <cell r="H121" t="e">
            <v>#N/A</v>
          </cell>
          <cell r="I121" t="e">
            <v>#N/A</v>
          </cell>
          <cell r="J121" t="e">
            <v>#N/A</v>
          </cell>
          <cell r="K121" t="e">
            <v>#N/A</v>
          </cell>
          <cell r="L121" t="e">
            <v>#N/A</v>
          </cell>
          <cell r="M121" t="e">
            <v>#N/A</v>
          </cell>
          <cell r="N121" t="e">
            <v>#N/A</v>
          </cell>
          <cell r="O121" t="e">
            <v>#N/A</v>
          </cell>
          <cell r="P121">
            <v>57.35</v>
          </cell>
          <cell r="Q121">
            <v>5.6558999999999999</v>
          </cell>
          <cell r="R121" t="e">
            <v>#N/A</v>
          </cell>
        </row>
        <row r="122">
          <cell r="A122">
            <v>39329</v>
          </cell>
          <cell r="B122">
            <v>39329</v>
          </cell>
          <cell r="C122" t="str">
            <v>Past</v>
          </cell>
          <cell r="D122">
            <v>58.13</v>
          </cell>
          <cell r="E122" t="e">
            <v>#N/A</v>
          </cell>
          <cell r="F122" t="e">
            <v>#N/A</v>
          </cell>
          <cell r="G122" t="e">
            <v>#N/A</v>
          </cell>
          <cell r="H122" t="e">
            <v>#N/A</v>
          </cell>
          <cell r="I122" t="e">
            <v>#N/A</v>
          </cell>
          <cell r="J122" t="e">
            <v>#N/A</v>
          </cell>
          <cell r="K122" t="e">
            <v>#N/A</v>
          </cell>
          <cell r="L122" t="e">
            <v>#N/A</v>
          </cell>
          <cell r="M122" t="e">
            <v>#N/A</v>
          </cell>
          <cell r="N122" t="e">
            <v>#N/A</v>
          </cell>
          <cell r="O122" t="e">
            <v>#N/A</v>
          </cell>
          <cell r="P122">
            <v>58.13</v>
          </cell>
          <cell r="Q122">
            <v>5.6059000000000001</v>
          </cell>
          <cell r="R122" t="e">
            <v>#N/A</v>
          </cell>
        </row>
        <row r="123">
          <cell r="A123">
            <v>39330</v>
          </cell>
          <cell r="B123">
            <v>39330</v>
          </cell>
          <cell r="C123" t="str">
            <v>Past</v>
          </cell>
          <cell r="D123">
            <v>57.29</v>
          </cell>
          <cell r="E123" t="e">
            <v>#N/A</v>
          </cell>
          <cell r="F123" t="e">
            <v>#N/A</v>
          </cell>
          <cell r="G123" t="e">
            <v>#N/A</v>
          </cell>
          <cell r="H123" t="e">
            <v>#N/A</v>
          </cell>
          <cell r="I123" t="e">
            <v>#N/A</v>
          </cell>
          <cell r="J123" t="e">
            <v>#N/A</v>
          </cell>
          <cell r="K123" t="e">
            <v>#N/A</v>
          </cell>
          <cell r="L123" t="e">
            <v>#N/A</v>
          </cell>
          <cell r="M123" t="e">
            <v>#N/A</v>
          </cell>
          <cell r="N123" t="e">
            <v>#N/A</v>
          </cell>
          <cell r="O123" t="e">
            <v>#N/A</v>
          </cell>
          <cell r="P123">
            <v>57.29</v>
          </cell>
          <cell r="Q123">
            <v>4.7473000000000001</v>
          </cell>
          <cell r="R123" t="e">
            <v>#N/A</v>
          </cell>
        </row>
        <row r="124">
          <cell r="A124">
            <v>39331</v>
          </cell>
          <cell r="B124">
            <v>39331</v>
          </cell>
          <cell r="C124" t="str">
            <v>Past</v>
          </cell>
          <cell r="D124">
            <v>57.45</v>
          </cell>
          <cell r="E124" t="e">
            <v>#N/A</v>
          </cell>
          <cell r="F124" t="e">
            <v>#N/A</v>
          </cell>
          <cell r="G124" t="e">
            <v>#N/A</v>
          </cell>
          <cell r="H124" t="e">
            <v>#N/A</v>
          </cell>
          <cell r="I124" t="e">
            <v>#N/A</v>
          </cell>
          <cell r="J124" t="e">
            <v>#N/A</v>
          </cell>
          <cell r="K124" t="e">
            <v>#N/A</v>
          </cell>
          <cell r="L124" t="e">
            <v>#N/A</v>
          </cell>
          <cell r="M124" t="e">
            <v>#N/A</v>
          </cell>
          <cell r="N124" t="e">
            <v>#N/A</v>
          </cell>
          <cell r="O124" t="e">
            <v>#N/A</v>
          </cell>
          <cell r="P124">
            <v>57.45</v>
          </cell>
          <cell r="Q124">
            <v>4.0737000000000005</v>
          </cell>
          <cell r="R124" t="e">
            <v>#N/A</v>
          </cell>
        </row>
        <row r="125">
          <cell r="A125">
            <v>39332</v>
          </cell>
          <cell r="B125">
            <v>39332</v>
          </cell>
          <cell r="C125" t="str">
            <v>Past</v>
          </cell>
          <cell r="D125">
            <v>56.17</v>
          </cell>
          <cell r="E125" t="e">
            <v>#N/A</v>
          </cell>
          <cell r="F125" t="e">
            <v>#N/A</v>
          </cell>
          <cell r="G125" t="e">
            <v>#N/A</v>
          </cell>
          <cell r="H125" t="e">
            <v>#N/A</v>
          </cell>
          <cell r="I125" t="e">
            <v>#N/A</v>
          </cell>
          <cell r="J125" t="e">
            <v>#N/A</v>
          </cell>
          <cell r="K125" t="e">
            <v>#N/A</v>
          </cell>
          <cell r="L125" t="e">
            <v>#N/A</v>
          </cell>
          <cell r="M125" t="e">
            <v>#N/A</v>
          </cell>
          <cell r="N125" t="e">
            <v>#N/A</v>
          </cell>
          <cell r="O125" t="e">
            <v>#N/A</v>
          </cell>
          <cell r="P125">
            <v>56.17</v>
          </cell>
          <cell r="Q125">
            <v>5.9727000000000006</v>
          </cell>
          <cell r="R125" t="e">
            <v>#N/A</v>
          </cell>
        </row>
        <row r="126">
          <cell r="A126">
            <v>39335</v>
          </cell>
          <cell r="B126">
            <v>39335</v>
          </cell>
          <cell r="C126" t="str">
            <v>Past</v>
          </cell>
          <cell r="D126">
            <v>56.14</v>
          </cell>
          <cell r="E126" t="e">
            <v>#N/A</v>
          </cell>
          <cell r="F126" t="e">
            <v>#N/A</v>
          </cell>
          <cell r="G126" t="e">
            <v>#N/A</v>
          </cell>
          <cell r="H126" t="e">
            <v>#N/A</v>
          </cell>
          <cell r="I126" t="e">
            <v>#N/A</v>
          </cell>
          <cell r="J126" t="e">
            <v>#N/A</v>
          </cell>
          <cell r="K126" t="e">
            <v>#N/A</v>
          </cell>
          <cell r="L126" t="e">
            <v>#N/A</v>
          </cell>
          <cell r="M126" t="e">
            <v>#N/A</v>
          </cell>
          <cell r="N126" t="e">
            <v>#N/A</v>
          </cell>
          <cell r="O126" t="e">
            <v>#N/A</v>
          </cell>
          <cell r="P126">
            <v>56.14</v>
          </cell>
          <cell r="Q126">
            <v>4.4197000000000006</v>
          </cell>
          <cell r="R126" t="e">
            <v>#N/A</v>
          </cell>
        </row>
        <row r="127">
          <cell r="A127">
            <v>39336</v>
          </cell>
          <cell r="B127">
            <v>39336</v>
          </cell>
          <cell r="C127" t="str">
            <v>Past</v>
          </cell>
          <cell r="D127">
            <v>56.6</v>
          </cell>
          <cell r="E127" t="e">
            <v>#N/A</v>
          </cell>
          <cell r="F127" t="e">
            <v>#N/A</v>
          </cell>
          <cell r="G127" t="e">
            <v>#N/A</v>
          </cell>
          <cell r="H127" t="e">
            <v>#N/A</v>
          </cell>
          <cell r="I127" t="e">
            <v>#N/A</v>
          </cell>
          <cell r="J127" t="e">
            <v>#N/A</v>
          </cell>
          <cell r="K127" t="e">
            <v>#N/A</v>
          </cell>
          <cell r="L127" t="e">
            <v>#N/A</v>
          </cell>
          <cell r="M127" t="e">
            <v>#N/A</v>
          </cell>
          <cell r="N127" t="e">
            <v>#N/A</v>
          </cell>
          <cell r="O127" t="e">
            <v>#N/A</v>
          </cell>
          <cell r="P127">
            <v>56.6</v>
          </cell>
          <cell r="Q127">
            <v>4.0674000000000001</v>
          </cell>
          <cell r="R127" t="e">
            <v>#N/A</v>
          </cell>
        </row>
        <row r="128">
          <cell r="A128">
            <v>39337</v>
          </cell>
          <cell r="B128">
            <v>39337</v>
          </cell>
          <cell r="C128" t="str">
            <v>Past</v>
          </cell>
          <cell r="D128">
            <v>57.05</v>
          </cell>
          <cell r="E128" t="e">
            <v>#N/A</v>
          </cell>
          <cell r="F128" t="e">
            <v>#N/A</v>
          </cell>
          <cell r="G128" t="e">
            <v>#N/A</v>
          </cell>
          <cell r="H128" t="e">
            <v>#N/A</v>
          </cell>
          <cell r="I128" t="e">
            <v>#N/A</v>
          </cell>
          <cell r="J128" t="e">
            <v>#N/A</v>
          </cell>
          <cell r="K128" t="e">
            <v>#N/A</v>
          </cell>
          <cell r="L128" t="e">
            <v>#N/A</v>
          </cell>
          <cell r="M128" t="e">
            <v>#N/A</v>
          </cell>
          <cell r="N128" t="e">
            <v>#N/A</v>
          </cell>
          <cell r="O128" t="e">
            <v>#N/A</v>
          </cell>
          <cell r="P128">
            <v>57.05</v>
          </cell>
          <cell r="Q128">
            <v>4.3474000000000004</v>
          </cell>
          <cell r="R128" t="e">
            <v>#N/A</v>
          </cell>
        </row>
        <row r="129">
          <cell r="A129">
            <v>39338</v>
          </cell>
          <cell r="B129">
            <v>39338</v>
          </cell>
          <cell r="C129" t="str">
            <v>Past</v>
          </cell>
          <cell r="D129">
            <v>57.18</v>
          </cell>
          <cell r="E129" t="e">
            <v>#N/A</v>
          </cell>
          <cell r="F129" t="e">
            <v>#N/A</v>
          </cell>
          <cell r="G129" t="e">
            <v>#N/A</v>
          </cell>
          <cell r="H129" t="e">
            <v>#N/A</v>
          </cell>
          <cell r="I129" t="e">
            <v>#N/A</v>
          </cell>
          <cell r="J129" t="e">
            <v>#N/A</v>
          </cell>
          <cell r="K129" t="e">
            <v>#N/A</v>
          </cell>
          <cell r="L129" t="e">
            <v>#N/A</v>
          </cell>
          <cell r="M129" t="e">
            <v>#N/A</v>
          </cell>
          <cell r="N129" t="e">
            <v>#N/A</v>
          </cell>
          <cell r="O129" t="e">
            <v>#N/A</v>
          </cell>
          <cell r="P129">
            <v>57.18</v>
          </cell>
          <cell r="Q129">
            <v>4.7561</v>
          </cell>
          <cell r="R129" t="e">
            <v>#N/A</v>
          </cell>
        </row>
        <row r="130">
          <cell r="A130">
            <v>39339</v>
          </cell>
          <cell r="B130">
            <v>39339</v>
          </cell>
          <cell r="C130" t="str">
            <v>Past</v>
          </cell>
          <cell r="D130">
            <v>56.82</v>
          </cell>
          <cell r="E130" t="e">
            <v>#N/A</v>
          </cell>
          <cell r="F130" t="e">
            <v>#N/A</v>
          </cell>
          <cell r="G130" t="e">
            <v>#N/A</v>
          </cell>
          <cell r="H130" t="e">
            <v>#N/A</v>
          </cell>
          <cell r="I130" t="e">
            <v>#N/A</v>
          </cell>
          <cell r="J130" t="e">
            <v>#N/A</v>
          </cell>
          <cell r="K130" t="e">
            <v>#N/A</v>
          </cell>
          <cell r="L130" t="e">
            <v>#N/A</v>
          </cell>
          <cell r="M130" t="e">
            <v>#N/A</v>
          </cell>
          <cell r="N130" t="e">
            <v>#N/A</v>
          </cell>
          <cell r="O130" t="e">
            <v>#N/A</v>
          </cell>
          <cell r="P130">
            <v>56.82</v>
          </cell>
          <cell r="Q130">
            <v>4.9930000000000003</v>
          </cell>
          <cell r="R130" t="e">
            <v>#N/A</v>
          </cell>
        </row>
        <row r="131">
          <cell r="A131">
            <v>39342</v>
          </cell>
          <cell r="B131">
            <v>39342</v>
          </cell>
          <cell r="C131" t="str">
            <v>Past</v>
          </cell>
          <cell r="D131">
            <v>55.95</v>
          </cell>
          <cell r="E131" t="e">
            <v>#N/A</v>
          </cell>
          <cell r="F131" t="e">
            <v>#N/A</v>
          </cell>
          <cell r="G131" t="e">
            <v>#N/A</v>
          </cell>
          <cell r="H131" t="e">
            <v>#N/A</v>
          </cell>
          <cell r="I131" t="e">
            <v>#N/A</v>
          </cell>
          <cell r="J131" t="e">
            <v>#N/A</v>
          </cell>
          <cell r="K131" t="e">
            <v>#N/A</v>
          </cell>
          <cell r="L131" t="e">
            <v>#N/A</v>
          </cell>
          <cell r="M131" t="e">
            <v>#N/A</v>
          </cell>
          <cell r="N131" t="e">
            <v>#N/A</v>
          </cell>
          <cell r="O131" t="e">
            <v>#N/A</v>
          </cell>
          <cell r="P131">
            <v>55.95</v>
          </cell>
          <cell r="Q131">
            <v>4.3845000000000001</v>
          </cell>
          <cell r="R131" t="e">
            <v>#N/A</v>
          </cell>
        </row>
        <row r="132">
          <cell r="A132">
            <v>39343</v>
          </cell>
          <cell r="B132">
            <v>39343</v>
          </cell>
          <cell r="C132" t="str">
            <v>Past</v>
          </cell>
          <cell r="D132">
            <v>57.14</v>
          </cell>
          <cell r="E132" t="e">
            <v>#N/A</v>
          </cell>
          <cell r="F132" t="e">
            <v>#N/A</v>
          </cell>
          <cell r="G132" t="e">
            <v>#N/A</v>
          </cell>
          <cell r="H132" t="e">
            <v>#N/A</v>
          </cell>
          <cell r="I132" t="e">
            <v>#N/A</v>
          </cell>
          <cell r="J132" t="e">
            <v>#N/A</v>
          </cell>
          <cell r="K132" t="e">
            <v>#N/A</v>
          </cell>
          <cell r="L132" t="e">
            <v>#N/A</v>
          </cell>
          <cell r="M132" t="e">
            <v>#N/A</v>
          </cell>
          <cell r="N132" t="e">
            <v>#N/A</v>
          </cell>
          <cell r="O132" t="e">
            <v>#N/A</v>
          </cell>
          <cell r="P132">
            <v>57.14</v>
          </cell>
          <cell r="Q132">
            <v>4.0749000000000004</v>
          </cell>
          <cell r="R132" t="e">
            <v>#N/A</v>
          </cell>
        </row>
        <row r="133">
          <cell r="A133">
            <v>39344</v>
          </cell>
          <cell r="B133">
            <v>39344</v>
          </cell>
          <cell r="C133" t="str">
            <v>Past</v>
          </cell>
          <cell r="D133">
            <v>57.53</v>
          </cell>
          <cell r="E133" t="e">
            <v>#N/A</v>
          </cell>
          <cell r="F133" t="e">
            <v>#N/A</v>
          </cell>
          <cell r="G133" t="e">
            <v>#N/A</v>
          </cell>
          <cell r="H133" t="e">
            <v>#N/A</v>
          </cell>
          <cell r="I133" t="e">
            <v>#N/A</v>
          </cell>
          <cell r="J133" t="e">
            <v>#N/A</v>
          </cell>
          <cell r="K133" t="e">
            <v>#N/A</v>
          </cell>
          <cell r="L133" t="e">
            <v>#N/A</v>
          </cell>
          <cell r="M133" t="e">
            <v>#N/A</v>
          </cell>
          <cell r="N133" t="e">
            <v>#N/A</v>
          </cell>
          <cell r="O133" t="e">
            <v>#N/A</v>
          </cell>
          <cell r="P133">
            <v>57.53</v>
          </cell>
          <cell r="Q133">
            <v>5.4957000000000003</v>
          </cell>
          <cell r="R133" t="e">
            <v>#N/A</v>
          </cell>
        </row>
        <row r="134">
          <cell r="A134">
            <v>39345</v>
          </cell>
          <cell r="B134">
            <v>39345</v>
          </cell>
          <cell r="C134" t="str">
            <v>Past</v>
          </cell>
          <cell r="D134">
            <v>57.08</v>
          </cell>
          <cell r="E134" t="e">
            <v>#N/A</v>
          </cell>
          <cell r="F134" t="e">
            <v>#N/A</v>
          </cell>
          <cell r="G134" t="e">
            <v>#N/A</v>
          </cell>
          <cell r="H134" t="e">
            <v>#N/A</v>
          </cell>
          <cell r="I134" t="e">
            <v>#N/A</v>
          </cell>
          <cell r="J134" t="e">
            <v>#N/A</v>
          </cell>
          <cell r="K134" t="e">
            <v>#N/A</v>
          </cell>
          <cell r="L134" t="e">
            <v>#N/A</v>
          </cell>
          <cell r="M134" t="e">
            <v>#N/A</v>
          </cell>
          <cell r="N134" t="e">
            <v>#N/A</v>
          </cell>
          <cell r="O134" t="e">
            <v>#N/A</v>
          </cell>
          <cell r="P134">
            <v>57.08</v>
          </cell>
          <cell r="Q134">
            <v>3.6789000000000001</v>
          </cell>
          <cell r="R134" t="e">
            <v>#N/A</v>
          </cell>
        </row>
        <row r="135">
          <cell r="A135">
            <v>39346</v>
          </cell>
          <cell r="B135">
            <v>39346</v>
          </cell>
          <cell r="C135" t="str">
            <v>Past</v>
          </cell>
          <cell r="D135">
            <v>57.62</v>
          </cell>
          <cell r="E135" t="e">
            <v>#N/A</v>
          </cell>
          <cell r="F135" t="e">
            <v>#N/A</v>
          </cell>
          <cell r="G135" t="e">
            <v>#N/A</v>
          </cell>
          <cell r="H135" t="e">
            <v>#N/A</v>
          </cell>
          <cell r="I135" t="e">
            <v>#N/A</v>
          </cell>
          <cell r="J135" t="e">
            <v>#N/A</v>
          </cell>
          <cell r="K135" t="e">
            <v>#N/A</v>
          </cell>
          <cell r="L135" t="e">
            <v>#N/A</v>
          </cell>
          <cell r="M135" t="e">
            <v>#N/A</v>
          </cell>
          <cell r="N135" t="e">
            <v>#N/A</v>
          </cell>
          <cell r="O135" t="e">
            <v>#N/A</v>
          </cell>
          <cell r="P135">
            <v>57.62</v>
          </cell>
          <cell r="Q135">
            <v>4.8921000000000001</v>
          </cell>
          <cell r="R135" t="e">
            <v>#N/A</v>
          </cell>
        </row>
        <row r="136">
          <cell r="A136">
            <v>39349</v>
          </cell>
          <cell r="B136">
            <v>39349</v>
          </cell>
          <cell r="C136" t="str">
            <v>Past</v>
          </cell>
          <cell r="D136">
            <v>57.53</v>
          </cell>
          <cell r="E136" t="e">
            <v>#N/A</v>
          </cell>
          <cell r="F136" t="e">
            <v>#N/A</v>
          </cell>
          <cell r="G136" t="e">
            <v>#N/A</v>
          </cell>
          <cell r="H136" t="e">
            <v>#N/A</v>
          </cell>
          <cell r="I136" t="e">
            <v>#N/A</v>
          </cell>
          <cell r="J136" t="e">
            <v>#N/A</v>
          </cell>
          <cell r="K136" t="e">
            <v>#N/A</v>
          </cell>
          <cell r="L136" t="e">
            <v>#N/A</v>
          </cell>
          <cell r="M136" t="e">
            <v>#N/A</v>
          </cell>
          <cell r="N136" t="e">
            <v>#N/A</v>
          </cell>
          <cell r="O136" t="e">
            <v>#N/A</v>
          </cell>
          <cell r="P136">
            <v>57.53</v>
          </cell>
          <cell r="Q136">
            <v>3.286476</v>
          </cell>
          <cell r="R136" t="e">
            <v>#N/A</v>
          </cell>
        </row>
        <row r="137">
          <cell r="A137">
            <v>39350</v>
          </cell>
          <cell r="B137">
            <v>39350</v>
          </cell>
          <cell r="C137" t="str">
            <v>Past</v>
          </cell>
          <cell r="D137">
            <v>57.21</v>
          </cell>
          <cell r="E137" t="e">
            <v>#N/A</v>
          </cell>
          <cell r="F137" t="e">
            <v>#N/A</v>
          </cell>
          <cell r="G137" t="e">
            <v>#N/A</v>
          </cell>
          <cell r="H137" t="e">
            <v>#N/A</v>
          </cell>
          <cell r="I137" t="e">
            <v>#N/A</v>
          </cell>
          <cell r="J137" t="e">
            <v>#N/A</v>
          </cell>
          <cell r="K137" t="e">
            <v>#N/A</v>
          </cell>
          <cell r="L137" t="e">
            <v>#N/A</v>
          </cell>
          <cell r="M137" t="e">
            <v>#N/A</v>
          </cell>
          <cell r="N137" t="e">
            <v>#N/A</v>
          </cell>
          <cell r="O137" t="e">
            <v>#N/A</v>
          </cell>
          <cell r="P137">
            <v>57.21</v>
          </cell>
          <cell r="Q137">
            <v>4.5377999999999998</v>
          </cell>
          <cell r="R137" t="e">
            <v>#N/A</v>
          </cell>
        </row>
        <row r="138">
          <cell r="A138">
            <v>39351</v>
          </cell>
          <cell r="B138">
            <v>39351</v>
          </cell>
          <cell r="C138" t="str">
            <v>Past</v>
          </cell>
          <cell r="D138">
            <v>57.4</v>
          </cell>
          <cell r="E138" t="e">
            <v>#N/A</v>
          </cell>
          <cell r="F138" t="e">
            <v>#N/A</v>
          </cell>
          <cell r="G138" t="e">
            <v>#N/A</v>
          </cell>
          <cell r="H138" t="e">
            <v>#N/A</v>
          </cell>
          <cell r="I138" t="e">
            <v>#N/A</v>
          </cell>
          <cell r="J138" t="e">
            <v>#N/A</v>
          </cell>
          <cell r="K138" t="e">
            <v>#N/A</v>
          </cell>
          <cell r="L138" t="e">
            <v>#N/A</v>
          </cell>
          <cell r="M138" t="e">
            <v>#N/A</v>
          </cell>
          <cell r="N138" t="e">
            <v>#N/A</v>
          </cell>
          <cell r="O138" t="e">
            <v>#N/A</v>
          </cell>
          <cell r="P138">
            <v>57.4</v>
          </cell>
          <cell r="Q138">
            <v>5.3738659999999996</v>
          </cell>
          <cell r="R138" t="e">
            <v>#N/A</v>
          </cell>
        </row>
        <row r="139">
          <cell r="A139">
            <v>39352</v>
          </cell>
          <cell r="B139">
            <v>39352</v>
          </cell>
          <cell r="C139" t="str">
            <v>Past</v>
          </cell>
          <cell r="D139">
            <v>57.37</v>
          </cell>
          <cell r="E139" t="e">
            <v>#N/A</v>
          </cell>
          <cell r="F139" t="e">
            <v>#N/A</v>
          </cell>
          <cell r="G139" t="e">
            <v>#N/A</v>
          </cell>
          <cell r="H139" t="e">
            <v>#N/A</v>
          </cell>
          <cell r="I139" t="e">
            <v>#N/A</v>
          </cell>
          <cell r="J139" t="e">
            <v>#N/A</v>
          </cell>
          <cell r="K139" t="e">
            <v>#N/A</v>
          </cell>
          <cell r="L139" t="e">
            <v>#N/A</v>
          </cell>
          <cell r="M139" t="e">
            <v>#N/A</v>
          </cell>
          <cell r="N139" t="e">
            <v>#N/A</v>
          </cell>
          <cell r="O139" t="e">
            <v>#N/A</v>
          </cell>
          <cell r="P139">
            <v>57.37</v>
          </cell>
          <cell r="Q139">
            <v>4.0761000000000003</v>
          </cell>
          <cell r="R139" t="e">
            <v>#N/A</v>
          </cell>
        </row>
        <row r="140">
          <cell r="A140">
            <v>39353</v>
          </cell>
          <cell r="B140">
            <v>39353</v>
          </cell>
          <cell r="C140" t="str">
            <v>Past</v>
          </cell>
          <cell r="D140">
            <v>56.93</v>
          </cell>
          <cell r="E140" t="e">
            <v>#N/A</v>
          </cell>
          <cell r="F140" t="e">
            <v>#N/A</v>
          </cell>
          <cell r="G140" t="e">
            <v>#N/A</v>
          </cell>
          <cell r="H140" t="e">
            <v>#N/A</v>
          </cell>
          <cell r="I140" t="e">
            <v>#N/A</v>
          </cell>
          <cell r="J140" t="e">
            <v>#N/A</v>
          </cell>
          <cell r="K140" t="e">
            <v>#N/A</v>
          </cell>
          <cell r="L140" t="e">
            <v>#N/A</v>
          </cell>
          <cell r="M140" t="e">
            <v>#N/A</v>
          </cell>
          <cell r="N140" t="e">
            <v>#N/A</v>
          </cell>
          <cell r="O140" t="e">
            <v>#N/A</v>
          </cell>
          <cell r="P140">
            <v>56.93</v>
          </cell>
          <cell r="Q140">
            <v>4.3292000000000002</v>
          </cell>
          <cell r="R140" t="e">
            <v>#N/A</v>
          </cell>
        </row>
        <row r="141">
          <cell r="A141">
            <v>39356</v>
          </cell>
          <cell r="B141">
            <v>39356</v>
          </cell>
          <cell r="C141" t="str">
            <v>Past</v>
          </cell>
          <cell r="D141">
            <v>58.29</v>
          </cell>
          <cell r="E141" t="e">
            <v>#N/A</v>
          </cell>
          <cell r="F141" t="e">
            <v>#N/A</v>
          </cell>
          <cell r="G141" t="e">
            <v>#N/A</v>
          </cell>
          <cell r="H141" t="e">
            <v>#N/A</v>
          </cell>
          <cell r="I141" t="e">
            <v>#N/A</v>
          </cell>
          <cell r="J141" t="e">
            <v>#N/A</v>
          </cell>
          <cell r="K141" t="e">
            <v>#N/A</v>
          </cell>
          <cell r="L141" t="e">
            <v>#N/A</v>
          </cell>
          <cell r="M141" t="e">
            <v>#N/A</v>
          </cell>
          <cell r="N141" t="e">
            <v>#N/A</v>
          </cell>
          <cell r="O141" t="e">
            <v>#N/A</v>
          </cell>
          <cell r="P141">
            <v>58.29</v>
          </cell>
          <cell r="Q141">
            <v>5.6298800000000009</v>
          </cell>
          <cell r="R141" t="e">
            <v>#N/A</v>
          </cell>
        </row>
        <row r="142">
          <cell r="A142">
            <v>39357</v>
          </cell>
          <cell r="B142">
            <v>39357</v>
          </cell>
          <cell r="C142" t="str">
            <v>Past</v>
          </cell>
          <cell r="D142">
            <v>58.42</v>
          </cell>
          <cell r="E142" t="e">
            <v>#N/A</v>
          </cell>
          <cell r="F142" t="e">
            <v>#N/A</v>
          </cell>
          <cell r="G142" t="e">
            <v>#N/A</v>
          </cell>
          <cell r="H142" t="e">
            <v>#N/A</v>
          </cell>
          <cell r="I142" t="e">
            <v>#N/A</v>
          </cell>
          <cell r="J142" t="e">
            <v>#N/A</v>
          </cell>
          <cell r="K142" t="e">
            <v>#N/A</v>
          </cell>
          <cell r="L142" t="e">
            <v>#N/A</v>
          </cell>
          <cell r="M142" t="e">
            <v>#N/A</v>
          </cell>
          <cell r="N142" t="e">
            <v>#N/A</v>
          </cell>
          <cell r="O142" t="e">
            <v>#N/A</v>
          </cell>
          <cell r="P142">
            <v>58.42</v>
          </cell>
          <cell r="Q142">
            <v>2.8894000000000002</v>
          </cell>
          <cell r="R142" t="e">
            <v>#N/A</v>
          </cell>
        </row>
        <row r="143">
          <cell r="A143">
            <v>39358</v>
          </cell>
          <cell r="B143">
            <v>39358</v>
          </cell>
          <cell r="C143" t="str">
            <v>Past</v>
          </cell>
          <cell r="D143">
            <v>58.88</v>
          </cell>
          <cell r="E143" t="e">
            <v>#N/A</v>
          </cell>
          <cell r="F143" t="e">
            <v>#N/A</v>
          </cell>
          <cell r="G143" t="e">
            <v>#N/A</v>
          </cell>
          <cell r="H143" t="e">
            <v>#N/A</v>
          </cell>
          <cell r="I143" t="e">
            <v>#N/A</v>
          </cell>
          <cell r="J143" t="e">
            <v>#N/A</v>
          </cell>
          <cell r="K143" t="e">
            <v>#N/A</v>
          </cell>
          <cell r="L143" t="e">
            <v>#N/A</v>
          </cell>
          <cell r="M143" t="e">
            <v>#N/A</v>
          </cell>
          <cell r="N143" t="e">
            <v>#N/A</v>
          </cell>
          <cell r="O143" t="e">
            <v>#N/A</v>
          </cell>
          <cell r="P143">
            <v>58.88</v>
          </cell>
          <cell r="Q143">
            <v>4.1013000000000002</v>
          </cell>
          <cell r="R143" t="e">
            <v>#N/A</v>
          </cell>
        </row>
        <row r="144">
          <cell r="A144">
            <v>39359</v>
          </cell>
          <cell r="B144">
            <v>39359</v>
          </cell>
          <cell r="C144" t="str">
            <v>Past</v>
          </cell>
          <cell r="D144">
            <v>58.96</v>
          </cell>
          <cell r="E144" t="e">
            <v>#N/A</v>
          </cell>
          <cell r="F144" t="e">
            <v>#N/A</v>
          </cell>
          <cell r="G144" t="e">
            <v>#N/A</v>
          </cell>
          <cell r="H144" t="e">
            <v>#N/A</v>
          </cell>
          <cell r="I144" t="e">
            <v>#N/A</v>
          </cell>
          <cell r="J144" t="e">
            <v>#N/A</v>
          </cell>
          <cell r="K144" t="e">
            <v>#N/A</v>
          </cell>
          <cell r="L144" t="e">
            <v>#N/A</v>
          </cell>
          <cell r="M144" t="e">
            <v>#N/A</v>
          </cell>
          <cell r="N144" t="e">
            <v>#N/A</v>
          </cell>
          <cell r="O144" t="e">
            <v>#N/A</v>
          </cell>
          <cell r="P144">
            <v>58.96</v>
          </cell>
          <cell r="Q144">
            <v>4.8692000000000002</v>
          </cell>
          <cell r="R144" t="e">
            <v>#N/A</v>
          </cell>
        </row>
        <row r="145">
          <cell r="A145">
            <v>39360</v>
          </cell>
          <cell r="B145">
            <v>39360</v>
          </cell>
          <cell r="C145" t="str">
            <v>Past</v>
          </cell>
          <cell r="D145">
            <v>59.47</v>
          </cell>
          <cell r="E145" t="e">
            <v>#N/A</v>
          </cell>
          <cell r="F145" t="e">
            <v>#N/A</v>
          </cell>
          <cell r="G145" t="e">
            <v>#N/A</v>
          </cell>
          <cell r="H145" t="e">
            <v>#N/A</v>
          </cell>
          <cell r="I145" t="e">
            <v>#N/A</v>
          </cell>
          <cell r="J145" t="e">
            <v>#N/A</v>
          </cell>
          <cell r="K145" t="e">
            <v>#N/A</v>
          </cell>
          <cell r="L145" t="e">
            <v>#N/A</v>
          </cell>
          <cell r="M145" t="e">
            <v>#N/A</v>
          </cell>
          <cell r="N145" t="e">
            <v>#N/A</v>
          </cell>
          <cell r="O145" t="e">
            <v>#N/A</v>
          </cell>
          <cell r="P145">
            <v>59.47</v>
          </cell>
          <cell r="Q145">
            <v>3.7002000000000002</v>
          </cell>
          <cell r="R145" t="e">
            <v>#N/A</v>
          </cell>
        </row>
        <row r="146">
          <cell r="A146">
            <v>39363</v>
          </cell>
          <cell r="B146">
            <v>39363</v>
          </cell>
          <cell r="C146" t="str">
            <v>Past</v>
          </cell>
          <cell r="D146">
            <v>59</v>
          </cell>
          <cell r="E146" t="e">
            <v>#N/A</v>
          </cell>
          <cell r="F146" t="e">
            <v>#N/A</v>
          </cell>
          <cell r="G146" t="e">
            <v>#N/A</v>
          </cell>
          <cell r="H146" t="e">
            <v>#N/A</v>
          </cell>
          <cell r="I146" t="e">
            <v>#N/A</v>
          </cell>
          <cell r="J146" t="e">
            <v>#N/A</v>
          </cell>
          <cell r="K146" t="e">
            <v>#N/A</v>
          </cell>
          <cell r="L146" t="e">
            <v>#N/A</v>
          </cell>
          <cell r="M146" t="e">
            <v>#N/A</v>
          </cell>
          <cell r="N146" t="e">
            <v>#N/A</v>
          </cell>
          <cell r="O146" t="e">
            <v>#N/A</v>
          </cell>
          <cell r="P146">
            <v>59</v>
          </cell>
          <cell r="Q146">
            <v>2.6903000000000001</v>
          </cell>
          <cell r="R146" t="e">
            <v>#N/A</v>
          </cell>
        </row>
        <row r="147">
          <cell r="A147">
            <v>39364</v>
          </cell>
          <cell r="B147">
            <v>39364</v>
          </cell>
          <cell r="C147" t="str">
            <v>Past</v>
          </cell>
          <cell r="D147">
            <v>58.55</v>
          </cell>
          <cell r="E147" t="e">
            <v>#N/A</v>
          </cell>
          <cell r="F147" t="e">
            <v>#N/A</v>
          </cell>
          <cell r="G147" t="e">
            <v>#N/A</v>
          </cell>
          <cell r="H147" t="e">
            <v>#N/A</v>
          </cell>
          <cell r="I147" t="e">
            <v>#N/A</v>
          </cell>
          <cell r="J147" t="e">
            <v>#N/A</v>
          </cell>
          <cell r="K147" t="e">
            <v>#N/A</v>
          </cell>
          <cell r="L147" t="e">
            <v>#N/A</v>
          </cell>
          <cell r="M147" t="e">
            <v>#N/A</v>
          </cell>
          <cell r="N147" t="e">
            <v>#N/A</v>
          </cell>
          <cell r="O147" t="e">
            <v>#N/A</v>
          </cell>
          <cell r="P147">
            <v>58.55</v>
          </cell>
          <cell r="Q147">
            <v>4.1751000000000005</v>
          </cell>
          <cell r="R147" t="e">
            <v>#N/A</v>
          </cell>
        </row>
        <row r="148">
          <cell r="A148">
            <v>39365</v>
          </cell>
          <cell r="B148">
            <v>39365</v>
          </cell>
          <cell r="C148" t="str">
            <v>Past</v>
          </cell>
          <cell r="D148">
            <v>58.4</v>
          </cell>
          <cell r="E148" t="e">
            <v>#N/A</v>
          </cell>
          <cell r="F148" t="e">
            <v>#N/A</v>
          </cell>
          <cell r="G148" t="e">
            <v>#N/A</v>
          </cell>
          <cell r="H148" t="e">
            <v>#N/A</v>
          </cell>
          <cell r="I148" t="e">
            <v>#N/A</v>
          </cell>
          <cell r="J148" t="e">
            <v>#N/A</v>
          </cell>
          <cell r="K148" t="e">
            <v>#N/A</v>
          </cell>
          <cell r="L148" t="e">
            <v>#N/A</v>
          </cell>
          <cell r="M148" t="e">
            <v>#N/A</v>
          </cell>
          <cell r="N148" t="e">
            <v>#N/A</v>
          </cell>
          <cell r="O148" t="e">
            <v>#N/A</v>
          </cell>
          <cell r="P148">
            <v>58.4</v>
          </cell>
          <cell r="Q148">
            <v>4.3499999999999996</v>
          </cell>
          <cell r="R148" t="e">
            <v>#N/A</v>
          </cell>
        </row>
        <row r="149">
          <cell r="A149">
            <v>39366</v>
          </cell>
          <cell r="B149">
            <v>39366</v>
          </cell>
          <cell r="C149" t="str">
            <v>Past</v>
          </cell>
          <cell r="D149">
            <v>58.35</v>
          </cell>
          <cell r="E149" t="e">
            <v>#N/A</v>
          </cell>
          <cell r="F149" t="e">
            <v>#N/A</v>
          </cell>
          <cell r="G149" t="e">
            <v>#N/A</v>
          </cell>
          <cell r="H149" t="e">
            <v>#N/A</v>
          </cell>
          <cell r="I149" t="e">
            <v>#N/A</v>
          </cell>
          <cell r="J149" t="e">
            <v>#N/A</v>
          </cell>
          <cell r="K149" t="e">
            <v>#N/A</v>
          </cell>
          <cell r="L149" t="e">
            <v>#N/A</v>
          </cell>
          <cell r="M149" t="e">
            <v>#N/A</v>
          </cell>
          <cell r="N149" t="e">
            <v>#N/A</v>
          </cell>
          <cell r="O149" t="e">
            <v>#N/A</v>
          </cell>
          <cell r="P149">
            <v>58.35</v>
          </cell>
          <cell r="Q149">
            <v>5.1157000000000004</v>
          </cell>
          <cell r="R149" t="e">
            <v>#N/A</v>
          </cell>
        </row>
        <row r="150">
          <cell r="A150">
            <v>39367</v>
          </cell>
          <cell r="B150">
            <v>39367</v>
          </cell>
          <cell r="C150" t="str">
            <v>Past</v>
          </cell>
          <cell r="D150">
            <v>58.53</v>
          </cell>
          <cell r="E150" t="e">
            <v>#N/A</v>
          </cell>
          <cell r="F150" t="e">
            <v>#N/A</v>
          </cell>
          <cell r="G150" t="e">
            <v>#N/A</v>
          </cell>
          <cell r="H150" t="e">
            <v>#N/A</v>
          </cell>
          <cell r="I150" t="e">
            <v>#N/A</v>
          </cell>
          <cell r="J150" t="e">
            <v>#N/A</v>
          </cell>
          <cell r="K150" t="e">
            <v>#N/A</v>
          </cell>
          <cell r="L150" t="e">
            <v>#N/A</v>
          </cell>
          <cell r="M150" t="e">
            <v>#N/A</v>
          </cell>
          <cell r="N150" t="e">
            <v>#N/A</v>
          </cell>
          <cell r="O150" t="e">
            <v>#N/A</v>
          </cell>
          <cell r="P150">
            <v>58.53</v>
          </cell>
          <cell r="Q150">
            <v>2.8653300000000002</v>
          </cell>
          <cell r="R150" t="e">
            <v>#N/A</v>
          </cell>
        </row>
        <row r="151">
          <cell r="A151">
            <v>39370</v>
          </cell>
          <cell r="B151">
            <v>39370</v>
          </cell>
          <cell r="C151" t="str">
            <v>Past</v>
          </cell>
          <cell r="D151">
            <v>57.94</v>
          </cell>
          <cell r="E151" t="e">
            <v>#N/A</v>
          </cell>
          <cell r="F151" t="e">
            <v>#N/A</v>
          </cell>
          <cell r="G151" t="e">
            <v>#N/A</v>
          </cell>
          <cell r="H151" t="e">
            <v>#N/A</v>
          </cell>
          <cell r="I151" t="e">
            <v>#N/A</v>
          </cell>
          <cell r="J151" t="e">
            <v>#N/A</v>
          </cell>
          <cell r="K151" t="e">
            <v>#N/A</v>
          </cell>
          <cell r="L151" t="e">
            <v>#N/A</v>
          </cell>
          <cell r="M151" t="e">
            <v>#N/A</v>
          </cell>
          <cell r="N151" t="e">
            <v>#N/A</v>
          </cell>
          <cell r="O151" t="e">
            <v>#N/A</v>
          </cell>
          <cell r="P151">
            <v>57.94</v>
          </cell>
          <cell r="Q151">
            <v>5.585</v>
          </cell>
          <cell r="R151" t="e">
            <v>#N/A</v>
          </cell>
        </row>
        <row r="152">
          <cell r="A152">
            <v>39371</v>
          </cell>
          <cell r="B152">
            <v>39371</v>
          </cell>
          <cell r="C152" t="str">
            <v>Past</v>
          </cell>
          <cell r="D152">
            <v>57.15</v>
          </cell>
          <cell r="E152" t="e">
            <v>#N/A</v>
          </cell>
          <cell r="F152" t="e">
            <v>#N/A</v>
          </cell>
          <cell r="G152" t="e">
            <v>#N/A</v>
          </cell>
          <cell r="H152" t="e">
            <v>#N/A</v>
          </cell>
          <cell r="I152" t="e">
            <v>#N/A</v>
          </cell>
          <cell r="J152" t="e">
            <v>#N/A</v>
          </cell>
          <cell r="K152" t="e">
            <v>#N/A</v>
          </cell>
          <cell r="L152" t="e">
            <v>#N/A</v>
          </cell>
          <cell r="M152" t="e">
            <v>#N/A</v>
          </cell>
          <cell r="N152" t="e">
            <v>#N/A</v>
          </cell>
          <cell r="O152" t="e">
            <v>#N/A</v>
          </cell>
          <cell r="P152">
            <v>57.15</v>
          </cell>
          <cell r="Q152">
            <v>6.5124000000000004</v>
          </cell>
          <cell r="R152" t="e">
            <v>#N/A</v>
          </cell>
        </row>
        <row r="153">
          <cell r="A153">
            <v>39372</v>
          </cell>
          <cell r="B153">
            <v>39372</v>
          </cell>
          <cell r="C153" t="str">
            <v>Past</v>
          </cell>
          <cell r="D153">
            <v>56.95</v>
          </cell>
          <cell r="E153" t="e">
            <v>#N/A</v>
          </cell>
          <cell r="F153" t="e">
            <v>#N/A</v>
          </cell>
          <cell r="G153" t="e">
            <v>#N/A</v>
          </cell>
          <cell r="H153" t="e">
            <v>#N/A</v>
          </cell>
          <cell r="I153" t="e">
            <v>#N/A</v>
          </cell>
          <cell r="J153" t="e">
            <v>#N/A</v>
          </cell>
          <cell r="K153" t="e">
            <v>#N/A</v>
          </cell>
          <cell r="L153" t="e">
            <v>#N/A</v>
          </cell>
          <cell r="M153" t="e">
            <v>#N/A</v>
          </cell>
          <cell r="N153" t="e">
            <v>#N/A</v>
          </cell>
          <cell r="O153" t="e">
            <v>#N/A</v>
          </cell>
          <cell r="P153">
            <v>56.95</v>
          </cell>
          <cell r="Q153">
            <v>6.0697000000000001</v>
          </cell>
          <cell r="R153" t="e">
            <v>#N/A</v>
          </cell>
        </row>
        <row r="154">
          <cell r="A154">
            <v>39373</v>
          </cell>
          <cell r="B154">
            <v>39373</v>
          </cell>
          <cell r="C154" t="str">
            <v>Past</v>
          </cell>
          <cell r="D154">
            <v>56.65</v>
          </cell>
          <cell r="E154" t="e">
            <v>#N/A</v>
          </cell>
          <cell r="F154" t="e">
            <v>#N/A</v>
          </cell>
          <cell r="G154" t="e">
            <v>#N/A</v>
          </cell>
          <cell r="H154" t="e">
            <v>#N/A</v>
          </cell>
          <cell r="I154" t="e">
            <v>#N/A</v>
          </cell>
          <cell r="J154" t="e">
            <v>#N/A</v>
          </cell>
          <cell r="K154" t="e">
            <v>#N/A</v>
          </cell>
          <cell r="L154" t="e">
            <v>#N/A</v>
          </cell>
          <cell r="M154" t="e">
            <v>#N/A</v>
          </cell>
          <cell r="N154" t="e">
            <v>#N/A</v>
          </cell>
          <cell r="O154" t="e">
            <v>#N/A</v>
          </cell>
          <cell r="P154">
            <v>56.65</v>
          </cell>
          <cell r="Q154">
            <v>8.3421000000000003</v>
          </cell>
          <cell r="R154" t="e">
            <v>#N/A</v>
          </cell>
        </row>
        <row r="155">
          <cell r="A155">
            <v>39374</v>
          </cell>
          <cell r="B155">
            <v>39374</v>
          </cell>
          <cell r="C155" t="str">
            <v>Past</v>
          </cell>
          <cell r="D155">
            <v>56.06</v>
          </cell>
          <cell r="E155" t="e">
            <v>#N/A</v>
          </cell>
          <cell r="F155" t="e">
            <v>#N/A</v>
          </cell>
          <cell r="G155" t="e">
            <v>#N/A</v>
          </cell>
          <cell r="H155" t="e">
            <v>#N/A</v>
          </cell>
          <cell r="I155" t="e">
            <v>#N/A</v>
          </cell>
          <cell r="J155" t="e">
            <v>#N/A</v>
          </cell>
          <cell r="K155" t="e">
            <v>#N/A</v>
          </cell>
          <cell r="L155" t="e">
            <v>#N/A</v>
          </cell>
          <cell r="M155" t="e">
            <v>#N/A</v>
          </cell>
          <cell r="N155" t="e">
            <v>#N/A</v>
          </cell>
          <cell r="O155" t="e">
            <v>#N/A</v>
          </cell>
          <cell r="P155">
            <v>56.06</v>
          </cell>
          <cell r="Q155">
            <v>5.6345000000000001</v>
          </cell>
          <cell r="R155" t="e">
            <v>#N/A</v>
          </cell>
        </row>
        <row r="156">
          <cell r="A156">
            <v>39377</v>
          </cell>
          <cell r="B156">
            <v>39377</v>
          </cell>
          <cell r="C156" t="str">
            <v>Past</v>
          </cell>
          <cell r="D156">
            <v>56.08</v>
          </cell>
          <cell r="E156" t="e">
            <v>#N/A</v>
          </cell>
          <cell r="F156" t="e">
            <v>#N/A</v>
          </cell>
          <cell r="G156" t="e">
            <v>#N/A</v>
          </cell>
          <cell r="H156" t="e">
            <v>#N/A</v>
          </cell>
          <cell r="I156" t="e">
            <v>#N/A</v>
          </cell>
          <cell r="J156" t="e">
            <v>#N/A</v>
          </cell>
          <cell r="K156" t="e">
            <v>#N/A</v>
          </cell>
          <cell r="L156" t="e">
            <v>#N/A</v>
          </cell>
          <cell r="M156" t="e">
            <v>#N/A</v>
          </cell>
          <cell r="N156" t="e">
            <v>#N/A</v>
          </cell>
          <cell r="O156" t="e">
            <v>#N/A</v>
          </cell>
          <cell r="P156">
            <v>56.08</v>
          </cell>
          <cell r="Q156">
            <v>5.1609249999999998</v>
          </cell>
          <cell r="R156" t="e">
            <v>#N/A</v>
          </cell>
        </row>
        <row r="157">
          <cell r="A157">
            <v>39378</v>
          </cell>
          <cell r="B157">
            <v>39378</v>
          </cell>
          <cell r="C157" t="str">
            <v>Past</v>
          </cell>
          <cell r="D157">
            <v>57.13</v>
          </cell>
          <cell r="E157" t="e">
            <v>#N/A</v>
          </cell>
          <cell r="F157" t="e">
            <v>#N/A</v>
          </cell>
          <cell r="G157" t="e">
            <v>#N/A</v>
          </cell>
          <cell r="H157" t="e">
            <v>#N/A</v>
          </cell>
          <cell r="I157" t="e">
            <v>#N/A</v>
          </cell>
          <cell r="J157" t="e">
            <v>#N/A</v>
          </cell>
          <cell r="K157" t="e">
            <v>#N/A</v>
          </cell>
          <cell r="L157" t="e">
            <v>#N/A</v>
          </cell>
          <cell r="M157" t="e">
            <v>#N/A</v>
          </cell>
          <cell r="N157" t="e">
            <v>#N/A</v>
          </cell>
          <cell r="O157" t="e">
            <v>#N/A</v>
          </cell>
          <cell r="P157">
            <v>57.13</v>
          </cell>
          <cell r="Q157">
            <v>4.4173</v>
          </cell>
          <cell r="R157" t="e">
            <v>#N/A</v>
          </cell>
        </row>
        <row r="158">
          <cell r="A158">
            <v>39379</v>
          </cell>
          <cell r="B158">
            <v>39379</v>
          </cell>
          <cell r="C158" t="str">
            <v>Past</v>
          </cell>
          <cell r="D158">
            <v>56.15</v>
          </cell>
          <cell r="E158" t="e">
            <v>#N/A</v>
          </cell>
          <cell r="F158" t="e">
            <v>#N/A</v>
          </cell>
          <cell r="G158" t="e">
            <v>#N/A</v>
          </cell>
          <cell r="H158" t="e">
            <v>#N/A</v>
          </cell>
          <cell r="I158" t="e">
            <v>#N/A</v>
          </cell>
          <cell r="J158" t="e">
            <v>#N/A</v>
          </cell>
          <cell r="K158" t="e">
            <v>#N/A</v>
          </cell>
          <cell r="L158" t="e">
            <v>#N/A</v>
          </cell>
          <cell r="M158" t="e">
            <v>#N/A</v>
          </cell>
          <cell r="N158" t="e">
            <v>#N/A</v>
          </cell>
          <cell r="O158" t="e">
            <v>#N/A</v>
          </cell>
          <cell r="P158">
            <v>56.15</v>
          </cell>
          <cell r="Q158">
            <v>5.9507000000000003</v>
          </cell>
          <cell r="R158" t="e">
            <v>#N/A</v>
          </cell>
        </row>
        <row r="159">
          <cell r="A159">
            <v>39380</v>
          </cell>
          <cell r="B159">
            <v>39380</v>
          </cell>
          <cell r="C159" t="str">
            <v>Past</v>
          </cell>
          <cell r="D159">
            <v>52.43</v>
          </cell>
          <cell r="E159" t="e">
            <v>#N/A</v>
          </cell>
          <cell r="F159" t="e">
            <v>#N/A</v>
          </cell>
          <cell r="G159" t="e">
            <v>#N/A</v>
          </cell>
          <cell r="H159" t="e">
            <v>#N/A</v>
          </cell>
          <cell r="I159" t="e">
            <v>#N/A</v>
          </cell>
          <cell r="J159" t="e">
            <v>#N/A</v>
          </cell>
          <cell r="K159" t="e">
            <v>#N/A</v>
          </cell>
          <cell r="L159" t="e">
            <v>#N/A</v>
          </cell>
          <cell r="M159" t="e">
            <v>#N/A</v>
          </cell>
          <cell r="N159" t="e">
            <v>#N/A</v>
          </cell>
          <cell r="O159" t="e">
            <v>#N/A</v>
          </cell>
          <cell r="P159">
            <v>52.43</v>
          </cell>
          <cell r="Q159">
            <v>22.833000000000002</v>
          </cell>
          <cell r="R159" t="e">
            <v>#N/A</v>
          </cell>
        </row>
        <row r="160">
          <cell r="A160">
            <v>39381</v>
          </cell>
          <cell r="B160">
            <v>39381</v>
          </cell>
          <cell r="C160" t="str">
            <v>Past</v>
          </cell>
          <cell r="D160">
            <v>52.68</v>
          </cell>
          <cell r="E160" t="e">
            <v>#N/A</v>
          </cell>
          <cell r="F160" t="e">
            <v>#N/A</v>
          </cell>
          <cell r="G160" t="e">
            <v>#N/A</v>
          </cell>
          <cell r="H160" t="e">
            <v>#N/A</v>
          </cell>
          <cell r="I160" t="e">
            <v>#N/A</v>
          </cell>
          <cell r="J160" t="e">
            <v>#N/A</v>
          </cell>
          <cell r="K160" t="e">
            <v>#N/A</v>
          </cell>
          <cell r="L160" t="e">
            <v>#N/A</v>
          </cell>
          <cell r="M160" t="e">
            <v>#N/A</v>
          </cell>
          <cell r="N160" t="e">
            <v>#N/A</v>
          </cell>
          <cell r="O160" t="e">
            <v>#N/A</v>
          </cell>
          <cell r="P160">
            <v>52.68</v>
          </cell>
          <cell r="Q160">
            <v>9.4371000000000009</v>
          </cell>
          <cell r="R160" t="e">
            <v>#N/A</v>
          </cell>
        </row>
        <row r="161">
          <cell r="A161">
            <v>39384</v>
          </cell>
          <cell r="B161">
            <v>39384</v>
          </cell>
          <cell r="C161" t="str">
            <v>Past</v>
          </cell>
          <cell r="D161">
            <v>53.52</v>
          </cell>
          <cell r="E161" t="e">
            <v>#N/A</v>
          </cell>
          <cell r="F161" t="e">
            <v>#N/A</v>
          </cell>
          <cell r="G161" t="e">
            <v>#N/A</v>
          </cell>
          <cell r="H161" t="e">
            <v>#N/A</v>
          </cell>
          <cell r="I161" t="e">
            <v>#N/A</v>
          </cell>
          <cell r="J161" t="e">
            <v>#N/A</v>
          </cell>
          <cell r="K161" t="e">
            <v>#N/A</v>
          </cell>
          <cell r="L161" t="e">
            <v>#N/A</v>
          </cell>
          <cell r="M161" t="e">
            <v>#N/A</v>
          </cell>
          <cell r="N161" t="e">
            <v>#N/A</v>
          </cell>
          <cell r="O161" t="e">
            <v>#N/A</v>
          </cell>
          <cell r="P161">
            <v>53.52</v>
          </cell>
          <cell r="Q161">
            <v>9.7986000000000004</v>
          </cell>
          <cell r="R161" t="e">
            <v>#N/A</v>
          </cell>
        </row>
        <row r="162">
          <cell r="A162">
            <v>39385</v>
          </cell>
          <cell r="B162">
            <v>39385</v>
          </cell>
          <cell r="C162" t="str">
            <v>Past</v>
          </cell>
          <cell r="D162">
            <v>53.69</v>
          </cell>
          <cell r="E162" t="e">
            <v>#N/A</v>
          </cell>
          <cell r="F162" t="e">
            <v>#N/A</v>
          </cell>
          <cell r="G162" t="e">
            <v>#N/A</v>
          </cell>
          <cell r="H162" t="e">
            <v>#N/A</v>
          </cell>
          <cell r="I162" t="e">
            <v>#N/A</v>
          </cell>
          <cell r="J162" t="e">
            <v>#N/A</v>
          </cell>
          <cell r="K162" t="e">
            <v>#N/A</v>
          </cell>
          <cell r="L162" t="e">
            <v>#N/A</v>
          </cell>
          <cell r="M162" t="e">
            <v>#N/A</v>
          </cell>
          <cell r="N162" t="e">
            <v>#N/A</v>
          </cell>
          <cell r="O162" t="e">
            <v>#N/A</v>
          </cell>
          <cell r="P162">
            <v>53.69</v>
          </cell>
          <cell r="Q162">
            <v>5.8564000000000007</v>
          </cell>
          <cell r="R162" t="e">
            <v>#N/A</v>
          </cell>
        </row>
        <row r="163">
          <cell r="A163">
            <v>39386</v>
          </cell>
          <cell r="B163">
            <v>39386</v>
          </cell>
          <cell r="C163" t="str">
            <v>Past</v>
          </cell>
          <cell r="D163">
            <v>54.15</v>
          </cell>
          <cell r="E163" t="e">
            <v>#N/A</v>
          </cell>
          <cell r="F163" t="e">
            <v>#N/A</v>
          </cell>
          <cell r="G163" t="e">
            <v>#N/A</v>
          </cell>
          <cell r="H163" t="e">
            <v>#N/A</v>
          </cell>
          <cell r="I163" t="e">
            <v>#N/A</v>
          </cell>
          <cell r="J163" t="e">
            <v>#N/A</v>
          </cell>
          <cell r="K163" t="e">
            <v>#N/A</v>
          </cell>
          <cell r="L163" t="e">
            <v>#N/A</v>
          </cell>
          <cell r="M163" t="e">
            <v>#N/A</v>
          </cell>
          <cell r="N163" t="e">
            <v>#N/A</v>
          </cell>
          <cell r="O163" t="e">
            <v>#N/A</v>
          </cell>
          <cell r="P163">
            <v>54.15</v>
          </cell>
          <cell r="Q163">
            <v>9.7141999999999999</v>
          </cell>
          <cell r="R163" t="e">
            <v>#N/A</v>
          </cell>
        </row>
        <row r="164">
          <cell r="A164">
            <v>39387</v>
          </cell>
          <cell r="B164">
            <v>39387</v>
          </cell>
          <cell r="C164" t="str">
            <v>Past</v>
          </cell>
          <cell r="D164">
            <v>52.77</v>
          </cell>
          <cell r="E164" t="e">
            <v>#N/A</v>
          </cell>
          <cell r="F164" t="e">
            <v>#N/A</v>
          </cell>
          <cell r="G164" t="e">
            <v>#N/A</v>
          </cell>
          <cell r="H164" t="e">
            <v>#N/A</v>
          </cell>
          <cell r="I164" t="e">
            <v>#N/A</v>
          </cell>
          <cell r="J164" t="e">
            <v>#N/A</v>
          </cell>
          <cell r="K164" t="e">
            <v>#N/A</v>
          </cell>
          <cell r="L164" t="e">
            <v>#N/A</v>
          </cell>
          <cell r="M164" t="e">
            <v>#N/A</v>
          </cell>
          <cell r="N164" t="e">
            <v>#N/A</v>
          </cell>
          <cell r="O164" t="e">
            <v>#N/A</v>
          </cell>
          <cell r="P164">
            <v>52.77</v>
          </cell>
          <cell r="Q164">
            <v>8.0312999999999999</v>
          </cell>
          <cell r="R164" t="e">
            <v>#N/A</v>
          </cell>
        </row>
        <row r="165">
          <cell r="A165">
            <v>39388</v>
          </cell>
          <cell r="B165">
            <v>39388</v>
          </cell>
          <cell r="C165" t="str">
            <v>Past</v>
          </cell>
          <cell r="D165">
            <v>52.67</v>
          </cell>
          <cell r="E165" t="e">
            <v>#N/A</v>
          </cell>
          <cell r="F165" t="e">
            <v>#N/A</v>
          </cell>
          <cell r="G165" t="e">
            <v>#N/A</v>
          </cell>
          <cell r="H165" t="e">
            <v>#N/A</v>
          </cell>
          <cell r="I165" t="e">
            <v>#N/A</v>
          </cell>
          <cell r="J165" t="e">
            <v>#N/A</v>
          </cell>
          <cell r="K165" t="e">
            <v>#N/A</v>
          </cell>
          <cell r="L165" t="e">
            <v>#N/A</v>
          </cell>
          <cell r="M165" t="e">
            <v>#N/A</v>
          </cell>
          <cell r="N165" t="e">
            <v>#N/A</v>
          </cell>
          <cell r="O165" t="e">
            <v>#N/A</v>
          </cell>
          <cell r="P165">
            <v>52.67</v>
          </cell>
          <cell r="Q165">
            <v>11.8513</v>
          </cell>
          <cell r="R165" t="e">
            <v>#N/A</v>
          </cell>
        </row>
        <row r="166">
          <cell r="A166">
            <v>39391</v>
          </cell>
          <cell r="B166">
            <v>39391</v>
          </cell>
          <cell r="C166" t="str">
            <v>Past</v>
          </cell>
          <cell r="D166">
            <v>52.16</v>
          </cell>
          <cell r="E166" t="e">
            <v>#N/A</v>
          </cell>
          <cell r="F166" t="e">
            <v>#N/A</v>
          </cell>
          <cell r="G166" t="e">
            <v>#N/A</v>
          </cell>
          <cell r="H166" t="e">
            <v>#N/A</v>
          </cell>
          <cell r="I166" t="e">
            <v>#N/A</v>
          </cell>
          <cell r="J166" t="e">
            <v>#N/A</v>
          </cell>
          <cell r="K166" t="e">
            <v>#N/A</v>
          </cell>
          <cell r="L166" t="e">
            <v>#N/A</v>
          </cell>
          <cell r="M166" t="e">
            <v>#N/A</v>
          </cell>
          <cell r="N166" t="e">
            <v>#N/A</v>
          </cell>
          <cell r="O166" t="e">
            <v>#N/A</v>
          </cell>
          <cell r="P166">
            <v>52.16</v>
          </cell>
          <cell r="Q166">
            <v>12.31057</v>
          </cell>
          <cell r="R166" t="e">
            <v>#N/A</v>
          </cell>
        </row>
        <row r="167">
          <cell r="A167">
            <v>39392</v>
          </cell>
          <cell r="B167">
            <v>39392</v>
          </cell>
          <cell r="C167" t="str">
            <v>Past</v>
          </cell>
          <cell r="D167">
            <v>52.48</v>
          </cell>
          <cell r="E167" t="e">
            <v>#N/A</v>
          </cell>
          <cell r="F167" t="e">
            <v>#N/A</v>
          </cell>
          <cell r="G167" t="e">
            <v>#N/A</v>
          </cell>
          <cell r="H167" t="e">
            <v>#N/A</v>
          </cell>
          <cell r="I167" t="e">
            <v>#N/A</v>
          </cell>
          <cell r="J167" t="e">
            <v>#N/A</v>
          </cell>
          <cell r="K167" t="e">
            <v>#N/A</v>
          </cell>
          <cell r="L167" t="e">
            <v>#N/A</v>
          </cell>
          <cell r="M167" t="e">
            <v>#N/A</v>
          </cell>
          <cell r="N167" t="e">
            <v>#N/A</v>
          </cell>
          <cell r="O167" t="e">
            <v>#N/A</v>
          </cell>
          <cell r="P167">
            <v>52.48</v>
          </cell>
          <cell r="Q167">
            <v>7.184342</v>
          </cell>
          <cell r="R167" t="e">
            <v>#N/A</v>
          </cell>
        </row>
        <row r="168">
          <cell r="A168">
            <v>39393</v>
          </cell>
          <cell r="B168">
            <v>39393</v>
          </cell>
          <cell r="C168" t="str">
            <v>Past</v>
          </cell>
          <cell r="D168">
            <v>51.53</v>
          </cell>
          <cell r="E168" t="e">
            <v>#N/A</v>
          </cell>
          <cell r="F168" t="e">
            <v>#N/A</v>
          </cell>
          <cell r="G168" t="e">
            <v>#N/A</v>
          </cell>
          <cell r="H168" t="e">
            <v>#N/A</v>
          </cell>
          <cell r="I168" t="e">
            <v>#N/A</v>
          </cell>
          <cell r="J168" t="e">
            <v>#N/A</v>
          </cell>
          <cell r="K168" t="e">
            <v>#N/A</v>
          </cell>
          <cell r="L168" t="e">
            <v>#N/A</v>
          </cell>
          <cell r="M168" t="e">
            <v>#N/A</v>
          </cell>
          <cell r="N168" t="e">
            <v>#N/A</v>
          </cell>
          <cell r="O168" t="e">
            <v>#N/A</v>
          </cell>
          <cell r="P168">
            <v>51.53</v>
          </cell>
          <cell r="Q168">
            <v>5.9616600000000002</v>
          </cell>
          <cell r="R168" t="e">
            <v>#N/A</v>
          </cell>
        </row>
        <row r="169">
          <cell r="A169">
            <v>39394</v>
          </cell>
          <cell r="B169">
            <v>39394</v>
          </cell>
          <cell r="C169" t="str">
            <v>Past</v>
          </cell>
          <cell r="D169">
            <v>51.62</v>
          </cell>
          <cell r="E169" t="e">
            <v>#N/A</v>
          </cell>
          <cell r="F169" t="e">
            <v>#N/A</v>
          </cell>
          <cell r="G169" t="e">
            <v>#N/A</v>
          </cell>
          <cell r="H169" t="e">
            <v>#N/A</v>
          </cell>
          <cell r="I169" t="e">
            <v>#N/A</v>
          </cell>
          <cell r="J169" t="e">
            <v>#N/A</v>
          </cell>
          <cell r="K169" t="e">
            <v>#N/A</v>
          </cell>
          <cell r="L169" t="e">
            <v>#N/A</v>
          </cell>
          <cell r="M169" t="e">
            <v>#N/A</v>
          </cell>
          <cell r="N169" t="e">
            <v>#N/A</v>
          </cell>
          <cell r="O169" t="e">
            <v>#N/A</v>
          </cell>
          <cell r="P169">
            <v>51.62</v>
          </cell>
          <cell r="Q169">
            <v>8.3388410000000004</v>
          </cell>
          <cell r="R169" t="e">
            <v>#N/A</v>
          </cell>
        </row>
        <row r="170">
          <cell r="A170">
            <v>39395</v>
          </cell>
          <cell r="B170">
            <v>39395</v>
          </cell>
          <cell r="C170" t="str">
            <v>Past</v>
          </cell>
          <cell r="D170">
            <v>51.51</v>
          </cell>
          <cell r="E170" t="e">
            <v>#N/A</v>
          </cell>
          <cell r="F170" t="e">
            <v>#N/A</v>
          </cell>
          <cell r="G170" t="e">
            <v>#N/A</v>
          </cell>
          <cell r="H170" t="e">
            <v>#N/A</v>
          </cell>
          <cell r="I170" t="e">
            <v>#N/A</v>
          </cell>
          <cell r="J170" t="e">
            <v>#N/A</v>
          </cell>
          <cell r="K170" t="e">
            <v>#N/A</v>
          </cell>
          <cell r="L170" t="e">
            <v>#N/A</v>
          </cell>
          <cell r="M170" t="e">
            <v>#N/A</v>
          </cell>
          <cell r="N170" t="e">
            <v>#N/A</v>
          </cell>
          <cell r="O170" t="e">
            <v>#N/A</v>
          </cell>
          <cell r="P170">
            <v>51.51</v>
          </cell>
          <cell r="Q170">
            <v>6.8331679999999997</v>
          </cell>
          <cell r="R170" t="e">
            <v>#N/A</v>
          </cell>
        </row>
        <row r="171">
          <cell r="A171">
            <v>39398</v>
          </cell>
          <cell r="B171">
            <v>39398</v>
          </cell>
          <cell r="C171" t="str">
            <v>Past</v>
          </cell>
          <cell r="D171">
            <v>52.5</v>
          </cell>
          <cell r="E171" t="e">
            <v>#N/A</v>
          </cell>
          <cell r="F171" t="e">
            <v>#N/A</v>
          </cell>
          <cell r="G171" t="e">
            <v>#N/A</v>
          </cell>
          <cell r="H171" t="e">
            <v>#N/A</v>
          </cell>
          <cell r="I171" t="e">
            <v>#N/A</v>
          </cell>
          <cell r="J171" t="e">
            <v>#N/A</v>
          </cell>
          <cell r="K171" t="e">
            <v>#N/A</v>
          </cell>
          <cell r="L171" t="e">
            <v>#N/A</v>
          </cell>
          <cell r="M171" t="e">
            <v>#N/A</v>
          </cell>
          <cell r="N171" t="e">
            <v>#N/A</v>
          </cell>
          <cell r="O171" t="e">
            <v>#N/A</v>
          </cell>
          <cell r="P171">
            <v>52.5</v>
          </cell>
          <cell r="Q171">
            <v>6.6622859999999999</v>
          </cell>
          <cell r="R171" t="e">
            <v>#N/A</v>
          </cell>
        </row>
        <row r="172">
          <cell r="A172">
            <v>39399</v>
          </cell>
          <cell r="B172">
            <v>39399</v>
          </cell>
          <cell r="C172" t="str">
            <v>Past</v>
          </cell>
          <cell r="D172">
            <v>52.64</v>
          </cell>
          <cell r="E172" t="e">
            <v>#N/A</v>
          </cell>
          <cell r="F172" t="e">
            <v>#N/A</v>
          </cell>
          <cell r="G172" t="e">
            <v>#N/A</v>
          </cell>
          <cell r="H172" t="e">
            <v>#N/A</v>
          </cell>
          <cell r="I172" t="e">
            <v>#N/A</v>
          </cell>
          <cell r="J172" t="e">
            <v>#N/A</v>
          </cell>
          <cell r="K172" t="e">
            <v>#N/A</v>
          </cell>
          <cell r="L172" t="e">
            <v>#N/A</v>
          </cell>
          <cell r="M172" t="e">
            <v>#N/A</v>
          </cell>
          <cell r="N172" t="e">
            <v>#N/A</v>
          </cell>
          <cell r="O172" t="e">
            <v>#N/A</v>
          </cell>
          <cell r="P172">
            <v>52.64</v>
          </cell>
          <cell r="Q172">
            <v>8.5277119999999993</v>
          </cell>
          <cell r="R172" t="e">
            <v>#N/A</v>
          </cell>
        </row>
        <row r="173">
          <cell r="A173">
            <v>39400</v>
          </cell>
          <cell r="B173">
            <v>39400</v>
          </cell>
          <cell r="C173" t="str">
            <v>Past</v>
          </cell>
          <cell r="D173">
            <v>53.03</v>
          </cell>
          <cell r="E173" t="e">
            <v>#N/A</v>
          </cell>
          <cell r="F173" t="e">
            <v>#N/A</v>
          </cell>
          <cell r="G173" t="e">
            <v>#N/A</v>
          </cell>
          <cell r="H173" t="e">
            <v>#N/A</v>
          </cell>
          <cell r="I173" t="e">
            <v>#N/A</v>
          </cell>
          <cell r="J173" t="e">
            <v>#N/A</v>
          </cell>
          <cell r="K173" t="e">
            <v>#N/A</v>
          </cell>
          <cell r="L173" t="e">
            <v>#N/A</v>
          </cell>
          <cell r="M173" t="e">
            <v>#N/A</v>
          </cell>
          <cell r="N173" t="e">
            <v>#N/A</v>
          </cell>
          <cell r="O173" t="e">
            <v>#N/A</v>
          </cell>
          <cell r="P173">
            <v>53.03</v>
          </cell>
          <cell r="Q173">
            <v>6.5612000000000004</v>
          </cell>
          <cell r="R173" t="e">
            <v>#N/A</v>
          </cell>
        </row>
        <row r="174">
          <cell r="A174">
            <v>39401</v>
          </cell>
          <cell r="B174">
            <v>39401</v>
          </cell>
          <cell r="C174" t="str">
            <v>Past</v>
          </cell>
          <cell r="D174">
            <v>52.06</v>
          </cell>
          <cell r="E174" t="e">
            <v>#N/A</v>
          </cell>
          <cell r="F174" t="e">
            <v>#N/A</v>
          </cell>
          <cell r="G174" t="e">
            <v>#N/A</v>
          </cell>
          <cell r="H174" t="e">
            <v>#N/A</v>
          </cell>
          <cell r="I174" t="e">
            <v>#N/A</v>
          </cell>
          <cell r="J174" t="e">
            <v>#N/A</v>
          </cell>
          <cell r="K174" t="e">
            <v>#N/A</v>
          </cell>
          <cell r="L174" t="e">
            <v>#N/A</v>
          </cell>
          <cell r="M174" t="e">
            <v>#N/A</v>
          </cell>
          <cell r="N174" t="e">
            <v>#N/A</v>
          </cell>
          <cell r="O174" t="e">
            <v>#N/A</v>
          </cell>
          <cell r="P174">
            <v>52.06</v>
          </cell>
          <cell r="Q174">
            <v>5.8742300000000007</v>
          </cell>
          <cell r="R174" t="e">
            <v>#N/A</v>
          </cell>
        </row>
        <row r="175">
          <cell r="A175">
            <v>39402</v>
          </cell>
          <cell r="B175">
            <v>39402</v>
          </cell>
          <cell r="C175" t="str">
            <v>Past</v>
          </cell>
          <cell r="D175">
            <v>51.81</v>
          </cell>
          <cell r="E175" t="e">
            <v>#N/A</v>
          </cell>
          <cell r="F175" t="e">
            <v>#N/A</v>
          </cell>
          <cell r="G175" t="e">
            <v>#N/A</v>
          </cell>
          <cell r="H175" t="e">
            <v>#N/A</v>
          </cell>
          <cell r="I175" t="e">
            <v>#N/A</v>
          </cell>
          <cell r="J175" t="e">
            <v>#N/A</v>
          </cell>
          <cell r="K175" t="e">
            <v>#N/A</v>
          </cell>
          <cell r="L175" t="e">
            <v>#N/A</v>
          </cell>
          <cell r="M175" t="e">
            <v>#N/A</v>
          </cell>
          <cell r="N175" t="e">
            <v>#N/A</v>
          </cell>
          <cell r="O175" t="e">
            <v>#N/A</v>
          </cell>
          <cell r="P175">
            <v>51.81</v>
          </cell>
          <cell r="Q175">
            <v>6.7527569999999999</v>
          </cell>
          <cell r="R175" t="e">
            <v>#N/A</v>
          </cell>
        </row>
        <row r="176">
          <cell r="A176">
            <v>39405</v>
          </cell>
          <cell r="B176">
            <v>39405</v>
          </cell>
          <cell r="C176" t="str">
            <v>Past</v>
          </cell>
          <cell r="D176">
            <v>50.77</v>
          </cell>
          <cell r="E176" t="e">
            <v>#N/A</v>
          </cell>
          <cell r="F176" t="e">
            <v>#N/A</v>
          </cell>
          <cell r="G176" t="e">
            <v>#N/A</v>
          </cell>
          <cell r="H176" t="e">
            <v>#N/A</v>
          </cell>
          <cell r="I176" t="e">
            <v>#N/A</v>
          </cell>
          <cell r="J176" t="e">
            <v>#N/A</v>
          </cell>
          <cell r="K176" t="e">
            <v>#N/A</v>
          </cell>
          <cell r="L176" t="e">
            <v>#N/A</v>
          </cell>
          <cell r="M176" t="e">
            <v>#N/A</v>
          </cell>
          <cell r="N176" t="e">
            <v>#N/A</v>
          </cell>
          <cell r="O176" t="e">
            <v>#N/A</v>
          </cell>
          <cell r="P176">
            <v>50.77</v>
          </cell>
          <cell r="Q176">
            <v>8.6474580000000003</v>
          </cell>
          <cell r="R176" t="e">
            <v>#N/A</v>
          </cell>
        </row>
        <row r="177">
          <cell r="A177">
            <v>39406</v>
          </cell>
          <cell r="B177">
            <v>39406</v>
          </cell>
          <cell r="C177" t="str">
            <v>Past</v>
          </cell>
          <cell r="D177">
            <v>50.35</v>
          </cell>
          <cell r="E177" t="e">
            <v>#N/A</v>
          </cell>
          <cell r="F177" t="e">
            <v>#N/A</v>
          </cell>
          <cell r="G177" t="e">
            <v>#N/A</v>
          </cell>
          <cell r="H177" t="e">
            <v>#N/A</v>
          </cell>
          <cell r="I177" t="e">
            <v>#N/A</v>
          </cell>
          <cell r="J177" t="e">
            <v>#N/A</v>
          </cell>
          <cell r="K177" t="e">
            <v>#N/A</v>
          </cell>
          <cell r="L177" t="e">
            <v>#N/A</v>
          </cell>
          <cell r="M177" t="e">
            <v>#N/A</v>
          </cell>
          <cell r="N177" t="e">
            <v>#N/A</v>
          </cell>
          <cell r="O177" t="e">
            <v>#N/A</v>
          </cell>
          <cell r="P177">
            <v>50.35</v>
          </cell>
          <cell r="Q177">
            <v>6.0834000000000001</v>
          </cell>
          <cell r="R177" t="e">
            <v>#N/A</v>
          </cell>
        </row>
        <row r="178">
          <cell r="A178">
            <v>39407</v>
          </cell>
          <cell r="B178">
            <v>39407</v>
          </cell>
          <cell r="C178" t="str">
            <v>Past</v>
          </cell>
          <cell r="D178">
            <v>49.09</v>
          </cell>
          <cell r="E178" t="e">
            <v>#N/A</v>
          </cell>
          <cell r="F178" t="e">
            <v>#N/A</v>
          </cell>
          <cell r="G178" t="e">
            <v>#N/A</v>
          </cell>
          <cell r="H178" t="e">
            <v>#N/A</v>
          </cell>
          <cell r="I178" t="e">
            <v>#N/A</v>
          </cell>
          <cell r="J178" t="e">
            <v>#N/A</v>
          </cell>
          <cell r="K178" t="e">
            <v>#N/A</v>
          </cell>
          <cell r="L178" t="e">
            <v>#N/A</v>
          </cell>
          <cell r="M178" t="e">
            <v>#N/A</v>
          </cell>
          <cell r="N178" t="e">
            <v>#N/A</v>
          </cell>
          <cell r="O178" t="e">
            <v>#N/A</v>
          </cell>
          <cell r="P178">
            <v>49.09</v>
          </cell>
          <cell r="Q178">
            <v>5.9949200000000005</v>
          </cell>
          <cell r="R178" t="e">
            <v>#N/A</v>
          </cell>
        </row>
        <row r="179">
          <cell r="A179">
            <v>39409</v>
          </cell>
          <cell r="B179">
            <v>39409</v>
          </cell>
          <cell r="C179" t="str">
            <v>Past</v>
          </cell>
          <cell r="D179">
            <v>50.79</v>
          </cell>
          <cell r="E179" t="e">
            <v>#N/A</v>
          </cell>
          <cell r="F179" t="e">
            <v>#N/A</v>
          </cell>
          <cell r="G179" t="e">
            <v>#N/A</v>
          </cell>
          <cell r="H179" t="e">
            <v>#N/A</v>
          </cell>
          <cell r="I179" t="e">
            <v>#N/A</v>
          </cell>
          <cell r="J179" t="e">
            <v>#N/A</v>
          </cell>
          <cell r="K179" t="e">
            <v>#N/A</v>
          </cell>
          <cell r="L179" t="e">
            <v>#N/A</v>
          </cell>
          <cell r="M179" t="e">
            <v>#N/A</v>
          </cell>
          <cell r="N179" t="e">
            <v>#N/A</v>
          </cell>
          <cell r="O179" t="e">
            <v>#N/A</v>
          </cell>
          <cell r="P179">
            <v>50.79</v>
          </cell>
          <cell r="Q179">
            <v>2.8371400000000002</v>
          </cell>
          <cell r="R179" t="e">
            <v>#N/A</v>
          </cell>
        </row>
        <row r="180">
          <cell r="A180">
            <v>39412</v>
          </cell>
          <cell r="B180">
            <v>39412</v>
          </cell>
          <cell r="C180" t="str">
            <v>Past</v>
          </cell>
          <cell r="D180">
            <v>49.67</v>
          </cell>
          <cell r="E180" t="e">
            <v>#N/A</v>
          </cell>
          <cell r="F180" t="e">
            <v>#N/A</v>
          </cell>
          <cell r="G180" t="e">
            <v>#N/A</v>
          </cell>
          <cell r="H180" t="e">
            <v>#N/A</v>
          </cell>
          <cell r="I180" t="e">
            <v>#N/A</v>
          </cell>
          <cell r="J180" t="e">
            <v>#N/A</v>
          </cell>
          <cell r="K180" t="e">
            <v>#N/A</v>
          </cell>
          <cell r="L180" t="e">
            <v>#N/A</v>
          </cell>
          <cell r="M180" t="e">
            <v>#N/A</v>
          </cell>
          <cell r="N180" t="e">
            <v>#N/A</v>
          </cell>
          <cell r="O180" t="e">
            <v>#N/A</v>
          </cell>
          <cell r="P180">
            <v>49.67</v>
          </cell>
          <cell r="Q180">
            <v>4.9809609999999997</v>
          </cell>
          <cell r="R180" t="e">
            <v>#N/A</v>
          </cell>
        </row>
        <row r="181">
          <cell r="A181">
            <v>39413</v>
          </cell>
          <cell r="B181">
            <v>39413</v>
          </cell>
          <cell r="C181" t="str">
            <v>Past</v>
          </cell>
          <cell r="D181">
            <v>50.91</v>
          </cell>
          <cell r="E181" t="e">
            <v>#N/A</v>
          </cell>
          <cell r="F181" t="e">
            <v>#N/A</v>
          </cell>
          <cell r="G181" t="e">
            <v>#N/A</v>
          </cell>
          <cell r="H181" t="e">
            <v>#N/A</v>
          </cell>
          <cell r="I181" t="e">
            <v>#N/A</v>
          </cell>
          <cell r="J181" t="e">
            <v>#N/A</v>
          </cell>
          <cell r="K181" t="e">
            <v>#N/A</v>
          </cell>
          <cell r="L181" t="e">
            <v>#N/A</v>
          </cell>
          <cell r="M181" t="e">
            <v>#N/A</v>
          </cell>
          <cell r="N181" t="e">
            <v>#N/A</v>
          </cell>
          <cell r="O181" t="e">
            <v>#N/A</v>
          </cell>
          <cell r="P181">
            <v>50.91</v>
          </cell>
          <cell r="Q181">
            <v>6.4337459999999993</v>
          </cell>
          <cell r="R181" t="e">
            <v>#N/A</v>
          </cell>
        </row>
        <row r="182">
          <cell r="A182">
            <v>39414</v>
          </cell>
          <cell r="B182">
            <v>39414</v>
          </cell>
          <cell r="C182" t="str">
            <v>Past</v>
          </cell>
          <cell r="D182">
            <v>52.26</v>
          </cell>
          <cell r="E182" t="e">
            <v>#N/A</v>
          </cell>
          <cell r="F182" t="e">
            <v>#N/A</v>
          </cell>
          <cell r="G182" t="e">
            <v>#N/A</v>
          </cell>
          <cell r="H182" t="e">
            <v>#N/A</v>
          </cell>
          <cell r="I182" t="e">
            <v>#N/A</v>
          </cell>
          <cell r="J182" t="e">
            <v>#N/A</v>
          </cell>
          <cell r="K182" t="e">
            <v>#N/A</v>
          </cell>
          <cell r="L182" t="e">
            <v>#N/A</v>
          </cell>
          <cell r="M182" t="e">
            <v>#N/A</v>
          </cell>
          <cell r="N182" t="e">
            <v>#N/A</v>
          </cell>
          <cell r="O182" t="e">
            <v>#N/A</v>
          </cell>
          <cell r="P182">
            <v>52.26</v>
          </cell>
          <cell r="Q182">
            <v>6.0850039999999996</v>
          </cell>
          <cell r="R182" t="e">
            <v>#N/A</v>
          </cell>
        </row>
        <row r="183">
          <cell r="A183">
            <v>39415</v>
          </cell>
          <cell r="B183">
            <v>39415</v>
          </cell>
          <cell r="C183" t="str">
            <v>Past</v>
          </cell>
          <cell r="D183">
            <v>52.79</v>
          </cell>
          <cell r="E183" t="e">
            <v>#N/A</v>
          </cell>
          <cell r="F183" t="e">
            <v>#N/A</v>
          </cell>
          <cell r="G183" t="e">
            <v>#N/A</v>
          </cell>
          <cell r="H183" t="e">
            <v>#N/A</v>
          </cell>
          <cell r="I183" t="e">
            <v>#N/A</v>
          </cell>
          <cell r="J183" t="e">
            <v>#N/A</v>
          </cell>
          <cell r="K183" t="e">
            <v>#N/A</v>
          </cell>
          <cell r="L183" t="e">
            <v>#N/A</v>
          </cell>
          <cell r="M183" t="e">
            <v>#N/A</v>
          </cell>
          <cell r="N183" t="e">
            <v>#N/A</v>
          </cell>
          <cell r="O183" t="e">
            <v>#N/A</v>
          </cell>
          <cell r="P183">
            <v>52.79</v>
          </cell>
          <cell r="Q183">
            <v>6.5835209999999993</v>
          </cell>
          <cell r="R183" t="e">
            <v>#N/A</v>
          </cell>
        </row>
        <row r="184">
          <cell r="A184">
            <v>39416</v>
          </cell>
          <cell r="B184">
            <v>39416</v>
          </cell>
          <cell r="C184" t="str">
            <v>Past</v>
          </cell>
          <cell r="D184">
            <v>52.95</v>
          </cell>
          <cell r="E184" t="e">
            <v>#N/A</v>
          </cell>
          <cell r="F184" t="e">
            <v>#N/A</v>
          </cell>
          <cell r="G184" t="e">
            <v>#N/A</v>
          </cell>
          <cell r="H184" t="e">
            <v>#N/A</v>
          </cell>
          <cell r="I184" t="e">
            <v>#N/A</v>
          </cell>
          <cell r="J184" t="e">
            <v>#N/A</v>
          </cell>
          <cell r="K184" t="e">
            <v>#N/A</v>
          </cell>
          <cell r="L184" t="e">
            <v>#N/A</v>
          </cell>
          <cell r="M184" t="e">
            <v>#N/A</v>
          </cell>
          <cell r="N184" t="e">
            <v>#N/A</v>
          </cell>
          <cell r="O184" t="e">
            <v>#N/A</v>
          </cell>
          <cell r="P184">
            <v>52.95</v>
          </cell>
          <cell r="Q184">
            <v>5.9264969999999995</v>
          </cell>
          <cell r="R184" t="e">
            <v>#N/A</v>
          </cell>
        </row>
        <row r="185">
          <cell r="A185">
            <v>39419</v>
          </cell>
          <cell r="B185">
            <v>39419</v>
          </cell>
          <cell r="C185" t="str">
            <v>Past</v>
          </cell>
          <cell r="D185">
            <v>52.53</v>
          </cell>
          <cell r="E185" t="e">
            <v>#N/A</v>
          </cell>
          <cell r="F185" t="e">
            <v>#N/A</v>
          </cell>
          <cell r="G185" t="e">
            <v>#N/A</v>
          </cell>
          <cell r="H185" t="e">
            <v>#N/A</v>
          </cell>
          <cell r="I185" t="e">
            <v>#N/A</v>
          </cell>
          <cell r="J185" t="e">
            <v>#N/A</v>
          </cell>
          <cell r="K185" t="e">
            <v>#N/A</v>
          </cell>
          <cell r="L185" t="e">
            <v>#N/A</v>
          </cell>
          <cell r="M185" t="e">
            <v>#N/A</v>
          </cell>
          <cell r="N185" t="e">
            <v>#N/A</v>
          </cell>
          <cell r="O185" t="e">
            <v>#N/A</v>
          </cell>
          <cell r="P185">
            <v>52.53</v>
          </cell>
          <cell r="Q185">
            <v>4.885675</v>
          </cell>
          <cell r="R185" t="e">
            <v>#N/A</v>
          </cell>
        </row>
        <row r="186">
          <cell r="A186">
            <v>39420</v>
          </cell>
          <cell r="B186">
            <v>39420</v>
          </cell>
          <cell r="C186" t="str">
            <v>Past</v>
          </cell>
          <cell r="D186">
            <v>52.11</v>
          </cell>
          <cell r="E186" t="e">
            <v>#N/A</v>
          </cell>
          <cell r="F186" t="e">
            <v>#N/A</v>
          </cell>
          <cell r="G186" t="e">
            <v>#N/A</v>
          </cell>
          <cell r="H186" t="e">
            <v>#N/A</v>
          </cell>
          <cell r="I186" t="e">
            <v>#N/A</v>
          </cell>
          <cell r="J186" t="e">
            <v>#N/A</v>
          </cell>
          <cell r="K186" t="e">
            <v>#N/A</v>
          </cell>
          <cell r="L186" t="e">
            <v>#N/A</v>
          </cell>
          <cell r="M186" t="e">
            <v>#N/A</v>
          </cell>
          <cell r="N186" t="e">
            <v>#N/A</v>
          </cell>
          <cell r="O186" t="e">
            <v>#N/A</v>
          </cell>
          <cell r="P186">
            <v>52.11</v>
          </cell>
          <cell r="Q186">
            <v>5.4505400000000002</v>
          </cell>
          <cell r="R186" t="e">
            <v>#N/A</v>
          </cell>
        </row>
        <row r="187">
          <cell r="A187">
            <v>39421</v>
          </cell>
          <cell r="B187">
            <v>39421</v>
          </cell>
          <cell r="C187" t="str">
            <v>Past</v>
          </cell>
          <cell r="D187">
            <v>53.49</v>
          </cell>
          <cell r="E187" t="e">
            <v>#N/A</v>
          </cell>
          <cell r="F187" t="e">
            <v>#N/A</v>
          </cell>
          <cell r="G187" t="e">
            <v>#N/A</v>
          </cell>
          <cell r="H187" t="e">
            <v>#N/A</v>
          </cell>
          <cell r="I187" t="e">
            <v>#N/A</v>
          </cell>
          <cell r="J187" t="e">
            <v>#N/A</v>
          </cell>
          <cell r="K187" t="e">
            <v>#N/A</v>
          </cell>
          <cell r="L187" t="e">
            <v>#N/A</v>
          </cell>
          <cell r="M187" t="e">
            <v>#N/A</v>
          </cell>
          <cell r="N187" t="e">
            <v>#N/A</v>
          </cell>
          <cell r="O187" t="e">
            <v>#N/A</v>
          </cell>
          <cell r="P187">
            <v>53.49</v>
          </cell>
          <cell r="Q187">
            <v>4.8627000000000002</v>
          </cell>
          <cell r="R187" t="e">
            <v>#N/A</v>
          </cell>
        </row>
        <row r="188">
          <cell r="A188">
            <v>39422</v>
          </cell>
          <cell r="B188">
            <v>39422</v>
          </cell>
          <cell r="C188" t="str">
            <v>Past</v>
          </cell>
          <cell r="D188">
            <v>53.93</v>
          </cell>
          <cell r="E188" t="e">
            <v>#N/A</v>
          </cell>
          <cell r="F188" t="e">
            <v>#N/A</v>
          </cell>
          <cell r="G188" t="e">
            <v>#N/A</v>
          </cell>
          <cell r="H188" t="e">
            <v>#N/A</v>
          </cell>
          <cell r="I188" t="e">
            <v>#N/A</v>
          </cell>
          <cell r="J188" t="e">
            <v>#N/A</v>
          </cell>
          <cell r="K188" t="e">
            <v>#N/A</v>
          </cell>
          <cell r="L188" t="e">
            <v>#N/A</v>
          </cell>
          <cell r="M188" t="e">
            <v>#N/A</v>
          </cell>
          <cell r="N188" t="e">
            <v>#N/A</v>
          </cell>
          <cell r="O188" t="e">
            <v>#N/A</v>
          </cell>
          <cell r="P188">
            <v>53.93</v>
          </cell>
          <cell r="Q188">
            <v>6.5228649999999995</v>
          </cell>
          <cell r="R188" t="e">
            <v>#N/A</v>
          </cell>
        </row>
        <row r="189">
          <cell r="A189">
            <v>39423</v>
          </cell>
          <cell r="B189">
            <v>39423</v>
          </cell>
          <cell r="C189" t="str">
            <v>Past</v>
          </cell>
          <cell r="D189">
            <v>54.3</v>
          </cell>
          <cell r="E189" t="e">
            <v>#N/A</v>
          </cell>
          <cell r="F189" t="e">
            <v>#N/A</v>
          </cell>
          <cell r="G189" t="e">
            <v>#N/A</v>
          </cell>
          <cell r="H189" t="e">
            <v>#N/A</v>
          </cell>
          <cell r="I189" t="e">
            <v>#N/A</v>
          </cell>
          <cell r="J189" t="e">
            <v>#N/A</v>
          </cell>
          <cell r="K189" t="e">
            <v>#N/A</v>
          </cell>
          <cell r="L189" t="e">
            <v>#N/A</v>
          </cell>
          <cell r="M189" t="e">
            <v>#N/A</v>
          </cell>
          <cell r="N189" t="e">
            <v>#N/A</v>
          </cell>
          <cell r="O189" t="e">
            <v>#N/A</v>
          </cell>
          <cell r="P189">
            <v>54.3</v>
          </cell>
          <cell r="Q189">
            <v>4.4646129999999999</v>
          </cell>
          <cell r="R189" t="e">
            <v>#N/A</v>
          </cell>
        </row>
        <row r="190">
          <cell r="A190">
            <v>39426</v>
          </cell>
          <cell r="B190">
            <v>39426</v>
          </cell>
          <cell r="C190" t="str">
            <v>Past</v>
          </cell>
          <cell r="D190">
            <v>54.78</v>
          </cell>
          <cell r="E190" t="e">
            <v>#N/A</v>
          </cell>
          <cell r="F190" t="e">
            <v>#N/A</v>
          </cell>
          <cell r="G190" t="e">
            <v>#N/A</v>
          </cell>
          <cell r="H190" t="e">
            <v>#N/A</v>
          </cell>
          <cell r="I190" t="e">
            <v>#N/A</v>
          </cell>
          <cell r="J190" t="e">
            <v>#N/A</v>
          </cell>
          <cell r="K190" t="e">
            <v>#N/A</v>
          </cell>
          <cell r="L190" t="e">
            <v>#N/A</v>
          </cell>
          <cell r="M190" t="e">
            <v>#N/A</v>
          </cell>
          <cell r="N190" t="e">
            <v>#N/A</v>
          </cell>
          <cell r="O190" t="e">
            <v>#N/A</v>
          </cell>
          <cell r="P190">
            <v>54.78</v>
          </cell>
          <cell r="Q190">
            <v>4.6066440000000002</v>
          </cell>
          <cell r="R190" t="e">
            <v>#N/A</v>
          </cell>
        </row>
        <row r="191">
          <cell r="A191">
            <v>39427</v>
          </cell>
          <cell r="B191">
            <v>39427</v>
          </cell>
          <cell r="C191" t="str">
            <v>Past</v>
          </cell>
          <cell r="D191">
            <v>54.06</v>
          </cell>
          <cell r="E191" t="e">
            <v>#N/A</v>
          </cell>
          <cell r="F191" t="e">
            <v>#N/A</v>
          </cell>
          <cell r="G191" t="e">
            <v>#N/A</v>
          </cell>
          <cell r="H191" t="e">
            <v>#N/A</v>
          </cell>
          <cell r="I191" t="e">
            <v>#N/A</v>
          </cell>
          <cell r="J191" t="e">
            <v>#N/A</v>
          </cell>
          <cell r="K191" t="e">
            <v>#N/A</v>
          </cell>
          <cell r="L191" t="e">
            <v>#N/A</v>
          </cell>
          <cell r="M191" t="e">
            <v>#N/A</v>
          </cell>
          <cell r="N191" t="e">
            <v>#N/A</v>
          </cell>
          <cell r="O191" t="e">
            <v>#N/A</v>
          </cell>
          <cell r="P191">
            <v>54.06</v>
          </cell>
          <cell r="Q191">
            <v>5.7134960000000001</v>
          </cell>
          <cell r="R191" t="e">
            <v>#N/A</v>
          </cell>
        </row>
        <row r="192">
          <cell r="A192">
            <v>39428</v>
          </cell>
          <cell r="B192">
            <v>39428</v>
          </cell>
          <cell r="C192" t="str">
            <v>Past</v>
          </cell>
          <cell r="D192">
            <v>54.08</v>
          </cell>
          <cell r="E192" t="e">
            <v>#N/A</v>
          </cell>
          <cell r="F192" t="e">
            <v>#N/A</v>
          </cell>
          <cell r="G192" t="e">
            <v>#N/A</v>
          </cell>
          <cell r="H192" t="e">
            <v>#N/A</v>
          </cell>
          <cell r="I192" t="e">
            <v>#N/A</v>
          </cell>
          <cell r="J192" t="e">
            <v>#N/A</v>
          </cell>
          <cell r="K192" t="e">
            <v>#N/A</v>
          </cell>
          <cell r="L192" t="e">
            <v>#N/A</v>
          </cell>
          <cell r="M192" t="e">
            <v>#N/A</v>
          </cell>
          <cell r="N192" t="e">
            <v>#N/A</v>
          </cell>
          <cell r="O192" t="e">
            <v>#N/A</v>
          </cell>
          <cell r="P192">
            <v>54.08</v>
          </cell>
          <cell r="Q192">
            <v>7.2993449999999998</v>
          </cell>
          <cell r="R192" t="e">
            <v>#N/A</v>
          </cell>
        </row>
        <row r="193">
          <cell r="A193">
            <v>39429</v>
          </cell>
          <cell r="B193">
            <v>39429</v>
          </cell>
          <cell r="C193" t="str">
            <v>Past</v>
          </cell>
          <cell r="D193">
            <v>54.18</v>
          </cell>
          <cell r="E193" t="e">
            <v>#N/A</v>
          </cell>
          <cell r="F193" t="e">
            <v>#N/A</v>
          </cell>
          <cell r="G193" t="e">
            <v>#N/A</v>
          </cell>
          <cell r="H193" t="e">
            <v>#N/A</v>
          </cell>
          <cell r="I193" t="e">
            <v>#N/A</v>
          </cell>
          <cell r="J193" t="e">
            <v>#N/A</v>
          </cell>
          <cell r="K193" t="e">
            <v>#N/A</v>
          </cell>
          <cell r="L193" t="e">
            <v>#N/A</v>
          </cell>
          <cell r="M193" t="e">
            <v>#N/A</v>
          </cell>
          <cell r="N193" t="e">
            <v>#N/A</v>
          </cell>
          <cell r="O193" t="e">
            <v>#N/A</v>
          </cell>
          <cell r="P193">
            <v>54.18</v>
          </cell>
          <cell r="Q193">
            <v>5.670229</v>
          </cell>
          <cell r="R193" t="e">
            <v>#N/A</v>
          </cell>
        </row>
        <row r="194">
          <cell r="A194">
            <v>39430</v>
          </cell>
          <cell r="B194">
            <v>39430</v>
          </cell>
          <cell r="C194" t="str">
            <v>Past</v>
          </cell>
          <cell r="D194">
            <v>53.71</v>
          </cell>
          <cell r="E194" t="e">
            <v>#N/A</v>
          </cell>
          <cell r="F194" t="e">
            <v>#N/A</v>
          </cell>
          <cell r="G194" t="e">
            <v>#N/A</v>
          </cell>
          <cell r="H194" t="e">
            <v>#N/A</v>
          </cell>
          <cell r="I194" t="e">
            <v>#N/A</v>
          </cell>
          <cell r="J194" t="e">
            <v>#N/A</v>
          </cell>
          <cell r="K194" t="e">
            <v>#N/A</v>
          </cell>
          <cell r="L194" t="e">
            <v>#N/A</v>
          </cell>
          <cell r="M194" t="e">
            <v>#N/A</v>
          </cell>
          <cell r="N194" t="e">
            <v>#N/A</v>
          </cell>
          <cell r="O194" t="e">
            <v>#N/A</v>
          </cell>
          <cell r="P194">
            <v>53.71</v>
          </cell>
          <cell r="Q194">
            <v>5.0293600000000005</v>
          </cell>
          <cell r="R194" t="e">
            <v>#N/A</v>
          </cell>
        </row>
        <row r="195">
          <cell r="A195">
            <v>39433</v>
          </cell>
          <cell r="B195">
            <v>39433</v>
          </cell>
          <cell r="C195" t="str">
            <v>Past</v>
          </cell>
          <cell r="D195">
            <v>53.18</v>
          </cell>
          <cell r="E195" t="e">
            <v>#N/A</v>
          </cell>
          <cell r="F195" t="e">
            <v>#N/A</v>
          </cell>
          <cell r="G195" t="e">
            <v>#N/A</v>
          </cell>
          <cell r="H195" t="e">
            <v>#N/A</v>
          </cell>
          <cell r="I195" t="e">
            <v>#N/A</v>
          </cell>
          <cell r="J195" t="e">
            <v>#N/A</v>
          </cell>
          <cell r="K195" t="e">
            <v>#N/A</v>
          </cell>
          <cell r="L195" t="e">
            <v>#N/A</v>
          </cell>
          <cell r="M195" t="e">
            <v>#N/A</v>
          </cell>
          <cell r="N195" t="e">
            <v>#N/A</v>
          </cell>
          <cell r="O195" t="e">
            <v>#N/A</v>
          </cell>
          <cell r="P195">
            <v>53.18</v>
          </cell>
          <cell r="Q195">
            <v>4.7989839999999999</v>
          </cell>
          <cell r="R195" t="e">
            <v>#N/A</v>
          </cell>
        </row>
        <row r="196">
          <cell r="A196">
            <v>39434</v>
          </cell>
          <cell r="B196">
            <v>39434</v>
          </cell>
          <cell r="C196" t="str">
            <v>Past</v>
          </cell>
          <cell r="D196">
            <v>53.49</v>
          </cell>
          <cell r="E196" t="e">
            <v>#N/A</v>
          </cell>
          <cell r="F196" t="e">
            <v>#N/A</v>
          </cell>
          <cell r="G196" t="e">
            <v>#N/A</v>
          </cell>
          <cell r="H196" t="e">
            <v>#N/A</v>
          </cell>
          <cell r="I196" t="e">
            <v>#N/A</v>
          </cell>
          <cell r="J196" t="e">
            <v>#N/A</v>
          </cell>
          <cell r="K196" t="e">
            <v>#N/A</v>
          </cell>
          <cell r="L196" t="e">
            <v>#N/A</v>
          </cell>
          <cell r="M196" t="e">
            <v>#N/A</v>
          </cell>
          <cell r="N196" t="e">
            <v>#N/A</v>
          </cell>
          <cell r="O196" t="e">
            <v>#N/A</v>
          </cell>
          <cell r="P196">
            <v>53.49</v>
          </cell>
          <cell r="Q196">
            <v>9.4068189999999987</v>
          </cell>
          <cell r="R196" t="e">
            <v>#N/A</v>
          </cell>
        </row>
        <row r="197">
          <cell r="A197">
            <v>39435</v>
          </cell>
          <cell r="B197">
            <v>39435</v>
          </cell>
          <cell r="C197" t="str">
            <v>Past</v>
          </cell>
          <cell r="D197">
            <v>53.18</v>
          </cell>
          <cell r="E197" t="e">
            <v>#N/A</v>
          </cell>
          <cell r="F197" t="e">
            <v>#N/A</v>
          </cell>
          <cell r="G197" t="e">
            <v>#N/A</v>
          </cell>
          <cell r="H197" t="e">
            <v>#N/A</v>
          </cell>
          <cell r="I197" t="e">
            <v>#N/A</v>
          </cell>
          <cell r="J197" t="e">
            <v>#N/A</v>
          </cell>
          <cell r="K197" t="e">
            <v>#N/A</v>
          </cell>
          <cell r="L197" t="e">
            <v>#N/A</v>
          </cell>
          <cell r="M197" t="e">
            <v>#N/A</v>
          </cell>
          <cell r="N197" t="e">
            <v>#N/A</v>
          </cell>
          <cell r="O197" t="e">
            <v>#N/A</v>
          </cell>
          <cell r="P197">
            <v>53.18</v>
          </cell>
          <cell r="Q197">
            <v>6.3503749999999997</v>
          </cell>
          <cell r="R197" t="e">
            <v>#N/A</v>
          </cell>
        </row>
        <row r="198">
          <cell r="A198">
            <v>39436</v>
          </cell>
          <cell r="B198">
            <v>39436</v>
          </cell>
          <cell r="C198" t="str">
            <v>Past</v>
          </cell>
          <cell r="D198">
            <v>53.23</v>
          </cell>
          <cell r="E198" t="e">
            <v>#N/A</v>
          </cell>
          <cell r="F198" t="e">
            <v>#N/A</v>
          </cell>
          <cell r="G198" t="e">
            <v>#N/A</v>
          </cell>
          <cell r="H198" t="e">
            <v>#N/A</v>
          </cell>
          <cell r="I198" t="e">
            <v>#N/A</v>
          </cell>
          <cell r="J198" t="e">
            <v>#N/A</v>
          </cell>
          <cell r="K198" t="e">
            <v>#N/A</v>
          </cell>
          <cell r="L198" t="e">
            <v>#N/A</v>
          </cell>
          <cell r="M198" t="e">
            <v>#N/A</v>
          </cell>
          <cell r="N198" t="e">
            <v>#N/A</v>
          </cell>
          <cell r="O198" t="e">
            <v>#N/A</v>
          </cell>
          <cell r="P198">
            <v>53.23</v>
          </cell>
          <cell r="Q198">
            <v>5.5566759999999995</v>
          </cell>
          <cell r="R198" t="e">
            <v>#N/A</v>
          </cell>
        </row>
        <row r="199">
          <cell r="A199">
            <v>39437</v>
          </cell>
          <cell r="B199">
            <v>39437</v>
          </cell>
          <cell r="C199" t="str">
            <v>Past</v>
          </cell>
          <cell r="D199">
            <v>54.23</v>
          </cell>
          <cell r="E199" t="e">
            <v>#N/A</v>
          </cell>
          <cell r="F199" t="e">
            <v>#N/A</v>
          </cell>
          <cell r="G199" t="e">
            <v>#N/A</v>
          </cell>
          <cell r="H199" t="e">
            <v>#N/A</v>
          </cell>
          <cell r="I199" t="e">
            <v>#N/A</v>
          </cell>
          <cell r="J199" t="e">
            <v>#N/A</v>
          </cell>
          <cell r="K199" t="e">
            <v>#N/A</v>
          </cell>
          <cell r="L199" t="e">
            <v>#N/A</v>
          </cell>
          <cell r="M199" t="e">
            <v>#N/A</v>
          </cell>
          <cell r="N199" t="e">
            <v>#N/A</v>
          </cell>
          <cell r="O199" t="e">
            <v>#N/A</v>
          </cell>
          <cell r="P199">
            <v>54.23</v>
          </cell>
          <cell r="Q199">
            <v>7.5032889999999997</v>
          </cell>
          <cell r="R199" t="e">
            <v>#N/A</v>
          </cell>
        </row>
        <row r="200">
          <cell r="A200">
            <v>39440</v>
          </cell>
          <cell r="B200">
            <v>39440</v>
          </cell>
          <cell r="C200" t="str">
            <v>Past</v>
          </cell>
          <cell r="D200">
            <v>54.49</v>
          </cell>
          <cell r="E200" t="e">
            <v>#N/A</v>
          </cell>
          <cell r="F200" t="e">
            <v>#N/A</v>
          </cell>
          <cell r="G200" t="e">
            <v>#N/A</v>
          </cell>
          <cell r="H200" t="e">
            <v>#N/A</v>
          </cell>
          <cell r="I200" t="e">
            <v>#N/A</v>
          </cell>
          <cell r="J200" t="e">
            <v>#N/A</v>
          </cell>
          <cell r="K200" t="e">
            <v>#N/A</v>
          </cell>
          <cell r="L200" t="e">
            <v>#N/A</v>
          </cell>
          <cell r="M200" t="e">
            <v>#N/A</v>
          </cell>
          <cell r="N200" t="e">
            <v>#N/A</v>
          </cell>
          <cell r="O200" t="e">
            <v>#N/A</v>
          </cell>
          <cell r="P200">
            <v>54.49</v>
          </cell>
          <cell r="Q200">
            <v>1.468871</v>
          </cell>
          <cell r="R200" t="e">
            <v>#N/A</v>
          </cell>
        </row>
        <row r="201">
          <cell r="A201">
            <v>39442</v>
          </cell>
          <cell r="B201">
            <v>39442</v>
          </cell>
          <cell r="C201" t="str">
            <v>Past</v>
          </cell>
          <cell r="D201">
            <v>54.31</v>
          </cell>
          <cell r="E201" t="e">
            <v>#N/A</v>
          </cell>
          <cell r="F201" t="e">
            <v>#N/A</v>
          </cell>
          <cell r="G201" t="e">
            <v>#N/A</v>
          </cell>
          <cell r="H201" t="e">
            <v>#N/A</v>
          </cell>
          <cell r="I201" t="e">
            <v>#N/A</v>
          </cell>
          <cell r="J201" t="e">
            <v>#N/A</v>
          </cell>
          <cell r="K201" t="e">
            <v>#N/A</v>
          </cell>
          <cell r="L201" t="e">
            <v>#N/A</v>
          </cell>
          <cell r="M201" t="e">
            <v>#N/A</v>
          </cell>
          <cell r="N201" t="e">
            <v>#N/A</v>
          </cell>
          <cell r="O201" t="e">
            <v>#N/A</v>
          </cell>
          <cell r="P201">
            <v>54.31</v>
          </cell>
          <cell r="Q201">
            <v>2.5081150000000001</v>
          </cell>
          <cell r="R201" t="e">
            <v>#N/A</v>
          </cell>
        </row>
        <row r="202">
          <cell r="A202">
            <v>39443</v>
          </cell>
          <cell r="B202">
            <v>39443</v>
          </cell>
          <cell r="C202" t="str">
            <v>Past</v>
          </cell>
          <cell r="D202">
            <v>53.88</v>
          </cell>
          <cell r="E202" t="e">
            <v>#N/A</v>
          </cell>
          <cell r="F202" t="e">
            <v>#N/A</v>
          </cell>
          <cell r="G202" t="e">
            <v>#N/A</v>
          </cell>
          <cell r="H202" t="e">
            <v>#N/A</v>
          </cell>
          <cell r="I202" t="e">
            <v>#N/A</v>
          </cell>
          <cell r="J202" t="e">
            <v>#N/A</v>
          </cell>
          <cell r="K202" t="e">
            <v>#N/A</v>
          </cell>
          <cell r="L202" t="e">
            <v>#N/A</v>
          </cell>
          <cell r="M202" t="e">
            <v>#N/A</v>
          </cell>
          <cell r="N202" t="e">
            <v>#N/A</v>
          </cell>
          <cell r="O202" t="e">
            <v>#N/A</v>
          </cell>
          <cell r="P202">
            <v>53.88</v>
          </cell>
          <cell r="Q202">
            <v>3.3693939999999998</v>
          </cell>
          <cell r="R202" t="e">
            <v>#N/A</v>
          </cell>
        </row>
        <row r="203">
          <cell r="A203">
            <v>39444</v>
          </cell>
          <cell r="B203">
            <v>39444</v>
          </cell>
          <cell r="C203" t="str">
            <v>Past</v>
          </cell>
          <cell r="D203">
            <v>54.05</v>
          </cell>
          <cell r="E203" t="e">
            <v>#N/A</v>
          </cell>
          <cell r="F203" t="e">
            <v>#N/A</v>
          </cell>
          <cell r="G203" t="e">
            <v>#N/A</v>
          </cell>
          <cell r="H203" t="e">
            <v>#N/A</v>
          </cell>
          <cell r="I203" t="e">
            <v>#N/A</v>
          </cell>
          <cell r="J203" t="e">
            <v>#N/A</v>
          </cell>
          <cell r="K203" t="e">
            <v>#N/A</v>
          </cell>
          <cell r="L203" t="e">
            <v>#N/A</v>
          </cell>
          <cell r="M203" t="e">
            <v>#N/A</v>
          </cell>
          <cell r="N203" t="e">
            <v>#N/A</v>
          </cell>
          <cell r="O203" t="e">
            <v>#N/A</v>
          </cell>
          <cell r="P203">
            <v>54.05</v>
          </cell>
          <cell r="Q203">
            <v>3.0262359999999999</v>
          </cell>
          <cell r="R203" t="e">
            <v>#N/A</v>
          </cell>
        </row>
        <row r="204">
          <cell r="A204">
            <v>39447</v>
          </cell>
          <cell r="B204">
            <v>39447</v>
          </cell>
          <cell r="C204" t="str">
            <v>Past</v>
          </cell>
          <cell r="D204">
            <v>53.39</v>
          </cell>
          <cell r="E204" t="e">
            <v>#N/A</v>
          </cell>
          <cell r="F204" t="e">
            <v>#N/A</v>
          </cell>
          <cell r="G204" t="e">
            <v>#N/A</v>
          </cell>
          <cell r="H204" t="e">
            <v>#N/A</v>
          </cell>
          <cell r="I204" t="e">
            <v>#N/A</v>
          </cell>
          <cell r="J204" t="e">
            <v>#N/A</v>
          </cell>
          <cell r="K204" t="e">
            <v>#N/A</v>
          </cell>
          <cell r="L204" t="e">
            <v>#N/A</v>
          </cell>
          <cell r="M204" t="e">
            <v>#N/A</v>
          </cell>
          <cell r="N204" t="e">
            <v>#N/A</v>
          </cell>
          <cell r="O204" t="e">
            <v>#N/A</v>
          </cell>
          <cell r="P204">
            <v>53.39</v>
          </cell>
          <cell r="Q204">
            <v>3.9101249999999999</v>
          </cell>
          <cell r="R204" t="e">
            <v>#N/A</v>
          </cell>
        </row>
        <row r="205">
          <cell r="A205">
            <v>39449</v>
          </cell>
          <cell r="B205">
            <v>39449</v>
          </cell>
          <cell r="C205" t="str">
            <v>Past</v>
          </cell>
          <cell r="D205">
            <v>52.55</v>
          </cell>
          <cell r="E205" t="e">
            <v>#N/A</v>
          </cell>
          <cell r="F205" t="e">
            <v>#N/A</v>
          </cell>
          <cell r="G205" t="e">
            <v>#N/A</v>
          </cell>
          <cell r="H205" t="e">
            <v>#N/A</v>
          </cell>
          <cell r="I205" t="e">
            <v>#N/A</v>
          </cell>
          <cell r="J205" t="e">
            <v>#N/A</v>
          </cell>
          <cell r="K205" t="e">
            <v>#N/A</v>
          </cell>
          <cell r="L205" t="e">
            <v>#N/A</v>
          </cell>
          <cell r="M205" t="e">
            <v>#N/A</v>
          </cell>
          <cell r="N205" t="e">
            <v>#N/A</v>
          </cell>
          <cell r="O205" t="e">
            <v>#N/A</v>
          </cell>
          <cell r="P205">
            <v>52.55</v>
          </cell>
          <cell r="Q205">
            <v>5.5567800000000007</v>
          </cell>
          <cell r="R205" t="e">
            <v>#N/A</v>
          </cell>
        </row>
        <row r="206">
          <cell r="A206">
            <v>39450</v>
          </cell>
          <cell r="B206">
            <v>39450</v>
          </cell>
          <cell r="C206" t="str">
            <v>Past</v>
          </cell>
          <cell r="D206">
            <v>52.99</v>
          </cell>
          <cell r="E206" t="e">
            <v>#N/A</v>
          </cell>
          <cell r="F206" t="e">
            <v>#N/A</v>
          </cell>
          <cell r="G206" t="e">
            <v>#N/A</v>
          </cell>
          <cell r="H206" t="e">
            <v>#N/A</v>
          </cell>
          <cell r="I206" t="e">
            <v>#N/A</v>
          </cell>
          <cell r="J206" t="e">
            <v>#N/A</v>
          </cell>
          <cell r="K206" t="e">
            <v>#N/A</v>
          </cell>
          <cell r="L206" t="e">
            <v>#N/A</v>
          </cell>
          <cell r="M206" t="e">
            <v>#N/A</v>
          </cell>
          <cell r="N206" t="e">
            <v>#N/A</v>
          </cell>
          <cell r="O206" t="e">
            <v>#N/A</v>
          </cell>
          <cell r="P206">
            <v>52.99</v>
          </cell>
          <cell r="Q206">
            <v>4.5123329999999999</v>
          </cell>
          <cell r="R206" t="e">
            <v>#N/A</v>
          </cell>
        </row>
        <row r="207">
          <cell r="A207">
            <v>39451</v>
          </cell>
          <cell r="B207">
            <v>39451</v>
          </cell>
          <cell r="C207" t="str">
            <v>Past</v>
          </cell>
          <cell r="D207">
            <v>51.8</v>
          </cell>
          <cell r="E207" t="e">
            <v>#N/A</v>
          </cell>
          <cell r="F207" t="e">
            <v>#N/A</v>
          </cell>
          <cell r="G207" t="e">
            <v>#N/A</v>
          </cell>
          <cell r="H207" t="e">
            <v>#N/A</v>
          </cell>
          <cell r="I207" t="e">
            <v>#N/A</v>
          </cell>
          <cell r="J207" t="e">
            <v>#N/A</v>
          </cell>
          <cell r="K207" t="e">
            <v>#N/A</v>
          </cell>
          <cell r="L207" t="e">
            <v>#N/A</v>
          </cell>
          <cell r="M207" t="e">
            <v>#N/A</v>
          </cell>
          <cell r="N207" t="e">
            <v>#N/A</v>
          </cell>
          <cell r="O207" t="e">
            <v>#N/A</v>
          </cell>
          <cell r="P207">
            <v>51.8</v>
          </cell>
          <cell r="Q207">
            <v>6.1864909999999993</v>
          </cell>
          <cell r="R207" t="e">
            <v>#N/A</v>
          </cell>
        </row>
        <row r="208">
          <cell r="A208">
            <v>39454</v>
          </cell>
          <cell r="B208">
            <v>39454</v>
          </cell>
          <cell r="C208" t="str">
            <v>Past</v>
          </cell>
          <cell r="D208">
            <v>54.55</v>
          </cell>
          <cell r="E208" t="e">
            <v>#N/A</v>
          </cell>
          <cell r="F208" t="e">
            <v>#N/A</v>
          </cell>
          <cell r="G208" t="e">
            <v>#N/A</v>
          </cell>
          <cell r="H208" t="e">
            <v>#N/A</v>
          </cell>
          <cell r="I208" t="e">
            <v>#N/A</v>
          </cell>
          <cell r="J208" t="e">
            <v>#N/A</v>
          </cell>
          <cell r="K208" t="e">
            <v>#N/A</v>
          </cell>
          <cell r="L208" t="e">
            <v>#N/A</v>
          </cell>
          <cell r="M208" t="e">
            <v>#N/A</v>
          </cell>
          <cell r="N208" t="e">
            <v>#N/A</v>
          </cell>
          <cell r="O208" t="e">
            <v>#N/A</v>
          </cell>
          <cell r="P208">
            <v>54.55</v>
          </cell>
          <cell r="Q208">
            <v>10.376010000000001</v>
          </cell>
          <cell r="R208" t="e">
            <v>#N/A</v>
          </cell>
        </row>
        <row r="209">
          <cell r="A209">
            <v>39455</v>
          </cell>
          <cell r="B209">
            <v>39455</v>
          </cell>
          <cell r="C209" t="str">
            <v>Past</v>
          </cell>
          <cell r="D209">
            <v>56.06</v>
          </cell>
          <cell r="E209" t="e">
            <v>#N/A</v>
          </cell>
          <cell r="F209" t="e">
            <v>#N/A</v>
          </cell>
          <cell r="G209" t="e">
            <v>#N/A</v>
          </cell>
          <cell r="H209" t="e">
            <v>#N/A</v>
          </cell>
          <cell r="I209" t="e">
            <v>#N/A</v>
          </cell>
          <cell r="J209" t="e">
            <v>#N/A</v>
          </cell>
          <cell r="K209" t="e">
            <v>#N/A</v>
          </cell>
          <cell r="L209" t="e">
            <v>#N/A</v>
          </cell>
          <cell r="M209" t="e">
            <v>#N/A</v>
          </cell>
          <cell r="N209" t="e">
            <v>#N/A</v>
          </cell>
          <cell r="O209" t="e">
            <v>#N/A</v>
          </cell>
          <cell r="P209">
            <v>56.06</v>
          </cell>
          <cell r="Q209">
            <v>12.197900000000001</v>
          </cell>
          <cell r="R209" t="e">
            <v>#N/A</v>
          </cell>
        </row>
        <row r="210">
          <cell r="A210">
            <v>39456</v>
          </cell>
          <cell r="B210">
            <v>39456</v>
          </cell>
          <cell r="C210" t="str">
            <v>Past</v>
          </cell>
          <cell r="D210">
            <v>56.86</v>
          </cell>
          <cell r="E210" t="e">
            <v>#N/A</v>
          </cell>
          <cell r="F210" t="e">
            <v>#N/A</v>
          </cell>
          <cell r="G210" t="e">
            <v>#N/A</v>
          </cell>
          <cell r="H210" t="e">
            <v>#N/A</v>
          </cell>
          <cell r="I210" t="e">
            <v>#N/A</v>
          </cell>
          <cell r="J210" t="e">
            <v>#N/A</v>
          </cell>
          <cell r="K210" t="e">
            <v>#N/A</v>
          </cell>
          <cell r="L210" t="e">
            <v>#N/A</v>
          </cell>
          <cell r="M210" t="e">
            <v>#N/A</v>
          </cell>
          <cell r="N210" t="e">
            <v>#N/A</v>
          </cell>
          <cell r="O210" t="e">
            <v>#N/A</v>
          </cell>
          <cell r="P210">
            <v>56.86</v>
          </cell>
          <cell r="Q210">
            <v>9.5773159999999997</v>
          </cell>
          <cell r="R210" t="e">
            <v>#N/A</v>
          </cell>
        </row>
        <row r="211">
          <cell r="A211">
            <v>39457</v>
          </cell>
          <cell r="B211">
            <v>39457</v>
          </cell>
          <cell r="C211" t="str">
            <v>Past</v>
          </cell>
          <cell r="D211">
            <v>56.85</v>
          </cell>
          <cell r="E211" t="e">
            <v>#N/A</v>
          </cell>
          <cell r="F211" t="e">
            <v>#N/A</v>
          </cell>
          <cell r="G211" t="e">
            <v>#N/A</v>
          </cell>
          <cell r="H211" t="e">
            <v>#N/A</v>
          </cell>
          <cell r="I211" t="e">
            <v>#N/A</v>
          </cell>
          <cell r="J211" t="e">
            <v>#N/A</v>
          </cell>
          <cell r="K211" t="e">
            <v>#N/A</v>
          </cell>
          <cell r="L211" t="e">
            <v>#N/A</v>
          </cell>
          <cell r="M211" t="e">
            <v>#N/A</v>
          </cell>
          <cell r="N211" t="e">
            <v>#N/A</v>
          </cell>
          <cell r="O211" t="e">
            <v>#N/A</v>
          </cell>
          <cell r="P211">
            <v>56.85</v>
          </cell>
          <cell r="Q211">
            <v>6.2881279999999995</v>
          </cell>
          <cell r="R211" t="e">
            <v>#N/A</v>
          </cell>
        </row>
        <row r="212">
          <cell r="A212">
            <v>39458</v>
          </cell>
          <cell r="B212">
            <v>39458</v>
          </cell>
          <cell r="C212" t="str">
            <v>Past</v>
          </cell>
          <cell r="D212">
            <v>56.81</v>
          </cell>
          <cell r="E212" t="e">
            <v>#N/A</v>
          </cell>
          <cell r="F212" t="e">
            <v>#N/A</v>
          </cell>
          <cell r="G212" t="e">
            <v>#N/A</v>
          </cell>
          <cell r="H212" t="e">
            <v>#N/A</v>
          </cell>
          <cell r="I212" t="e">
            <v>#N/A</v>
          </cell>
          <cell r="J212" t="e">
            <v>#N/A</v>
          </cell>
          <cell r="K212" t="e">
            <v>#N/A</v>
          </cell>
          <cell r="L212" t="e">
            <v>#N/A</v>
          </cell>
          <cell r="M212" t="e">
            <v>#N/A</v>
          </cell>
          <cell r="N212" t="e">
            <v>#N/A</v>
          </cell>
          <cell r="O212" t="e">
            <v>#N/A</v>
          </cell>
          <cell r="P212">
            <v>56.81</v>
          </cell>
          <cell r="Q212">
            <v>5.3605770000000001</v>
          </cell>
          <cell r="R212" t="e">
            <v>#N/A</v>
          </cell>
        </row>
        <row r="213">
          <cell r="A213">
            <v>39461</v>
          </cell>
          <cell r="B213">
            <v>39461</v>
          </cell>
          <cell r="C213" t="str">
            <v>Past</v>
          </cell>
          <cell r="D213">
            <v>57.18</v>
          </cell>
          <cell r="E213" t="e">
            <v>#N/A</v>
          </cell>
          <cell r="F213" t="e">
            <v>#N/A</v>
          </cell>
          <cell r="G213" t="e">
            <v>#N/A</v>
          </cell>
          <cell r="H213" t="e">
            <v>#N/A</v>
          </cell>
          <cell r="I213" t="e">
            <v>#N/A</v>
          </cell>
          <cell r="J213" t="e">
            <v>#N/A</v>
          </cell>
          <cell r="K213" t="e">
            <v>#N/A</v>
          </cell>
          <cell r="L213" t="e">
            <v>#N/A</v>
          </cell>
          <cell r="M213" t="e">
            <v>#N/A</v>
          </cell>
          <cell r="N213" t="e">
            <v>#N/A</v>
          </cell>
          <cell r="O213" t="e">
            <v>#N/A</v>
          </cell>
          <cell r="P213">
            <v>57.18</v>
          </cell>
          <cell r="Q213">
            <v>5.5638000000000005</v>
          </cell>
          <cell r="R213" t="e">
            <v>#N/A</v>
          </cell>
        </row>
        <row r="214">
          <cell r="A214">
            <v>39462</v>
          </cell>
          <cell r="B214">
            <v>39462</v>
          </cell>
          <cell r="C214" t="str">
            <v>Past</v>
          </cell>
          <cell r="D214">
            <v>56.59</v>
          </cell>
          <cell r="E214" t="e">
            <v>#N/A</v>
          </cell>
          <cell r="F214" t="e">
            <v>#N/A</v>
          </cell>
          <cell r="G214" t="e">
            <v>#N/A</v>
          </cell>
          <cell r="H214" t="e">
            <v>#N/A</v>
          </cell>
          <cell r="I214" t="e">
            <v>#N/A</v>
          </cell>
          <cell r="J214" t="e">
            <v>#N/A</v>
          </cell>
          <cell r="K214" t="e">
            <v>#N/A</v>
          </cell>
          <cell r="L214" t="e">
            <v>#N/A</v>
          </cell>
          <cell r="M214" t="e">
            <v>#N/A</v>
          </cell>
          <cell r="N214" t="e">
            <v>#N/A</v>
          </cell>
          <cell r="O214" t="e">
            <v>#N/A</v>
          </cell>
          <cell r="P214">
            <v>56.59</v>
          </cell>
          <cell r="Q214">
            <v>5.8839459999999999</v>
          </cell>
          <cell r="R214" t="e">
            <v>#N/A</v>
          </cell>
        </row>
        <row r="215">
          <cell r="A215">
            <v>39463</v>
          </cell>
          <cell r="B215">
            <v>39463</v>
          </cell>
          <cell r="C215" t="str">
            <v>Past</v>
          </cell>
          <cell r="D215">
            <v>56.07</v>
          </cell>
          <cell r="E215" t="e">
            <v>#N/A</v>
          </cell>
          <cell r="F215" t="e">
            <v>#N/A</v>
          </cell>
          <cell r="G215" t="e">
            <v>#N/A</v>
          </cell>
          <cell r="H215" t="e">
            <v>#N/A</v>
          </cell>
          <cell r="I215" t="e">
            <v>#N/A</v>
          </cell>
          <cell r="J215" t="e">
            <v>#N/A</v>
          </cell>
          <cell r="K215" t="e">
            <v>#N/A</v>
          </cell>
          <cell r="L215" t="e">
            <v>#N/A</v>
          </cell>
          <cell r="M215" t="e">
            <v>#N/A</v>
          </cell>
          <cell r="N215" t="e">
            <v>#N/A</v>
          </cell>
          <cell r="O215" t="e">
            <v>#N/A</v>
          </cell>
          <cell r="P215">
            <v>56.07</v>
          </cell>
          <cell r="Q215">
            <v>7.9743740000000001</v>
          </cell>
          <cell r="R215" t="e">
            <v>#N/A</v>
          </cell>
        </row>
        <row r="216">
          <cell r="A216">
            <v>39464</v>
          </cell>
          <cell r="B216">
            <v>39464</v>
          </cell>
          <cell r="C216" t="str">
            <v>Past</v>
          </cell>
          <cell r="D216">
            <v>54.84</v>
          </cell>
          <cell r="E216" t="e">
            <v>#N/A</v>
          </cell>
          <cell r="F216" t="e">
            <v>#N/A</v>
          </cell>
          <cell r="G216" t="e">
            <v>#N/A</v>
          </cell>
          <cell r="H216" t="e">
            <v>#N/A</v>
          </cell>
          <cell r="I216" t="e">
            <v>#N/A</v>
          </cell>
          <cell r="J216" t="e">
            <v>#N/A</v>
          </cell>
          <cell r="K216" t="e">
            <v>#N/A</v>
          </cell>
          <cell r="L216" t="e">
            <v>#N/A</v>
          </cell>
          <cell r="M216" t="e">
            <v>#N/A</v>
          </cell>
          <cell r="N216" t="e">
            <v>#N/A</v>
          </cell>
          <cell r="O216" t="e">
            <v>#N/A</v>
          </cell>
          <cell r="P216">
            <v>54.84</v>
          </cell>
          <cell r="Q216">
            <v>9.6793959999999988</v>
          </cell>
          <cell r="R216" t="e">
            <v>#N/A</v>
          </cell>
        </row>
        <row r="217">
          <cell r="A217">
            <v>39465</v>
          </cell>
          <cell r="B217">
            <v>39465</v>
          </cell>
          <cell r="C217" t="str">
            <v>Past</v>
          </cell>
          <cell r="D217">
            <v>53.71</v>
          </cell>
          <cell r="E217" t="e">
            <v>#N/A</v>
          </cell>
          <cell r="F217" t="e">
            <v>#N/A</v>
          </cell>
          <cell r="G217" t="e">
            <v>#N/A</v>
          </cell>
          <cell r="H217" t="e">
            <v>#N/A</v>
          </cell>
          <cell r="I217" t="e">
            <v>#N/A</v>
          </cell>
          <cell r="J217" t="e">
            <v>#N/A</v>
          </cell>
          <cell r="K217" t="e">
            <v>#N/A</v>
          </cell>
          <cell r="L217" t="e">
            <v>#N/A</v>
          </cell>
          <cell r="M217" t="e">
            <v>#N/A</v>
          </cell>
          <cell r="N217" t="e">
            <v>#N/A</v>
          </cell>
          <cell r="O217" t="e">
            <v>#N/A</v>
          </cell>
          <cell r="P217">
            <v>53.71</v>
          </cell>
          <cell r="Q217">
            <v>10.013580000000001</v>
          </cell>
          <cell r="R217" t="e">
            <v>#N/A</v>
          </cell>
        </row>
        <row r="218">
          <cell r="A218">
            <v>39469</v>
          </cell>
          <cell r="B218">
            <v>39469</v>
          </cell>
          <cell r="C218" t="str">
            <v>Past</v>
          </cell>
          <cell r="D218">
            <v>52.17</v>
          </cell>
          <cell r="E218" t="e">
            <v>#N/A</v>
          </cell>
          <cell r="F218" t="e">
            <v>#N/A</v>
          </cell>
          <cell r="G218" t="e">
            <v>#N/A</v>
          </cell>
          <cell r="H218" t="e">
            <v>#N/A</v>
          </cell>
          <cell r="I218" t="e">
            <v>#N/A</v>
          </cell>
          <cell r="J218" t="e">
            <v>#N/A</v>
          </cell>
          <cell r="K218" t="e">
            <v>#N/A</v>
          </cell>
          <cell r="L218" t="e">
            <v>#N/A</v>
          </cell>
          <cell r="M218" t="e">
            <v>#N/A</v>
          </cell>
          <cell r="N218" t="e">
            <v>#N/A</v>
          </cell>
          <cell r="O218" t="e">
            <v>#N/A</v>
          </cell>
          <cell r="P218">
            <v>52.17</v>
          </cell>
          <cell r="Q218">
            <v>10.932950000000002</v>
          </cell>
          <cell r="R218" t="e">
            <v>#N/A</v>
          </cell>
        </row>
        <row r="219">
          <cell r="A219">
            <v>39470</v>
          </cell>
          <cell r="B219">
            <v>39470</v>
          </cell>
          <cell r="C219" t="str">
            <v>Past</v>
          </cell>
          <cell r="D219">
            <v>52.18</v>
          </cell>
          <cell r="E219" t="e">
            <v>#N/A</v>
          </cell>
          <cell r="F219" t="e">
            <v>#N/A</v>
          </cell>
          <cell r="G219" t="e">
            <v>#N/A</v>
          </cell>
          <cell r="H219" t="e">
            <v>#N/A</v>
          </cell>
          <cell r="I219" t="e">
            <v>#N/A</v>
          </cell>
          <cell r="J219" t="e">
            <v>#N/A</v>
          </cell>
          <cell r="K219" t="e">
            <v>#N/A</v>
          </cell>
          <cell r="L219" t="e">
            <v>#N/A</v>
          </cell>
          <cell r="M219" t="e">
            <v>#N/A</v>
          </cell>
          <cell r="N219" t="e">
            <v>#N/A</v>
          </cell>
          <cell r="O219" t="e">
            <v>#N/A</v>
          </cell>
          <cell r="P219">
            <v>52.18</v>
          </cell>
          <cell r="Q219">
            <v>8.778276</v>
          </cell>
          <cell r="R219" t="e">
            <v>#N/A</v>
          </cell>
        </row>
        <row r="220">
          <cell r="A220">
            <v>39471</v>
          </cell>
          <cell r="B220">
            <v>39471</v>
          </cell>
          <cell r="C220" t="str">
            <v>Past</v>
          </cell>
          <cell r="D220">
            <v>51.32</v>
          </cell>
          <cell r="E220" t="e">
            <v>#N/A</v>
          </cell>
          <cell r="F220" t="e">
            <v>#N/A</v>
          </cell>
          <cell r="G220" t="e">
            <v>#N/A</v>
          </cell>
          <cell r="H220" t="e">
            <v>#N/A</v>
          </cell>
          <cell r="I220" t="e">
            <v>#N/A</v>
          </cell>
          <cell r="J220" t="e">
            <v>#N/A</v>
          </cell>
          <cell r="K220" t="e">
            <v>#N/A</v>
          </cell>
          <cell r="L220" t="e">
            <v>#N/A</v>
          </cell>
          <cell r="M220" t="e">
            <v>#N/A</v>
          </cell>
          <cell r="N220" t="e">
            <v>#N/A</v>
          </cell>
          <cell r="O220" t="e">
            <v>#N/A</v>
          </cell>
          <cell r="P220">
            <v>51.32</v>
          </cell>
          <cell r="Q220">
            <v>12.998130000000002</v>
          </cell>
          <cell r="R220" t="e">
            <v>#N/A</v>
          </cell>
        </row>
        <row r="221">
          <cell r="A221">
            <v>39472</v>
          </cell>
          <cell r="B221">
            <v>39472</v>
          </cell>
          <cell r="C221" t="str">
            <v>Past</v>
          </cell>
          <cell r="D221">
            <v>50.74</v>
          </cell>
          <cell r="E221" t="e">
            <v>#N/A</v>
          </cell>
          <cell r="F221" t="e">
            <v>#N/A</v>
          </cell>
          <cell r="G221" t="e">
            <v>#N/A</v>
          </cell>
          <cell r="H221" t="e">
            <v>#N/A</v>
          </cell>
          <cell r="I221" t="e">
            <v>#N/A</v>
          </cell>
          <cell r="J221" t="e">
            <v>#N/A</v>
          </cell>
          <cell r="K221" t="e">
            <v>#N/A</v>
          </cell>
          <cell r="L221" t="e">
            <v>#N/A</v>
          </cell>
          <cell r="M221" t="e">
            <v>#N/A</v>
          </cell>
          <cell r="N221" t="e">
            <v>#N/A</v>
          </cell>
          <cell r="O221" t="e">
            <v>#N/A</v>
          </cell>
          <cell r="P221">
            <v>50.74</v>
          </cell>
          <cell r="Q221">
            <v>9.5241689999999988</v>
          </cell>
          <cell r="R221" t="e">
            <v>#N/A</v>
          </cell>
        </row>
        <row r="222">
          <cell r="A222">
            <v>39475</v>
          </cell>
          <cell r="B222">
            <v>39475</v>
          </cell>
          <cell r="C222" t="str">
            <v>Past</v>
          </cell>
          <cell r="D222">
            <v>51.4</v>
          </cell>
          <cell r="E222" t="e">
            <v>#N/A</v>
          </cell>
          <cell r="F222" t="e">
            <v>#N/A</v>
          </cell>
          <cell r="G222" t="e">
            <v>#N/A</v>
          </cell>
          <cell r="H222" t="e">
            <v>#N/A</v>
          </cell>
          <cell r="I222" t="e">
            <v>#N/A</v>
          </cell>
          <cell r="J222" t="e">
            <v>#N/A</v>
          </cell>
          <cell r="K222" t="e">
            <v>#N/A</v>
          </cell>
          <cell r="L222" t="e">
            <v>#N/A</v>
          </cell>
          <cell r="M222" t="e">
            <v>#N/A</v>
          </cell>
          <cell r="N222" t="e">
            <v>#N/A</v>
          </cell>
          <cell r="O222" t="e">
            <v>#N/A</v>
          </cell>
          <cell r="P222">
            <v>51.4</v>
          </cell>
          <cell r="Q222">
            <v>7.0740200000000009</v>
          </cell>
          <cell r="R222" t="e">
            <v>#N/A</v>
          </cell>
        </row>
        <row r="223">
          <cell r="A223">
            <v>39476</v>
          </cell>
          <cell r="B223">
            <v>39476</v>
          </cell>
          <cell r="C223" t="str">
            <v>Past</v>
          </cell>
          <cell r="D223">
            <v>52.31</v>
          </cell>
          <cell r="E223" t="e">
            <v>#N/A</v>
          </cell>
          <cell r="F223" t="e">
            <v>#N/A</v>
          </cell>
          <cell r="G223" t="e">
            <v>#N/A</v>
          </cell>
          <cell r="H223" t="e">
            <v>#N/A</v>
          </cell>
          <cell r="I223" t="e">
            <v>#N/A</v>
          </cell>
          <cell r="J223" t="e">
            <v>#N/A</v>
          </cell>
          <cell r="K223" t="e">
            <v>#N/A</v>
          </cell>
          <cell r="L223" t="e">
            <v>#N/A</v>
          </cell>
          <cell r="M223" t="e">
            <v>#N/A</v>
          </cell>
          <cell r="N223" t="e">
            <v>#N/A</v>
          </cell>
          <cell r="O223" t="e">
            <v>#N/A</v>
          </cell>
          <cell r="P223">
            <v>52.31</v>
          </cell>
          <cell r="Q223">
            <v>9.2642879999999987</v>
          </cell>
          <cell r="R223" t="e">
            <v>#N/A</v>
          </cell>
        </row>
        <row r="224">
          <cell r="A224">
            <v>39477</v>
          </cell>
          <cell r="B224">
            <v>39477</v>
          </cell>
          <cell r="C224" t="str">
            <v>Past</v>
          </cell>
          <cell r="D224">
            <v>51.35</v>
          </cell>
          <cell r="E224" t="e">
            <v>#N/A</v>
          </cell>
          <cell r="F224" t="e">
            <v>#N/A</v>
          </cell>
          <cell r="G224" t="e">
            <v>#N/A</v>
          </cell>
          <cell r="H224" t="e">
            <v>#N/A</v>
          </cell>
          <cell r="I224" t="e">
            <v>#N/A</v>
          </cell>
          <cell r="J224" t="e">
            <v>#N/A</v>
          </cell>
          <cell r="K224" t="e">
            <v>#N/A</v>
          </cell>
          <cell r="L224" t="e">
            <v>#N/A</v>
          </cell>
          <cell r="M224" t="e">
            <v>#N/A</v>
          </cell>
          <cell r="N224" t="e">
            <v>#N/A</v>
          </cell>
          <cell r="O224" t="e">
            <v>#N/A</v>
          </cell>
          <cell r="P224">
            <v>51.35</v>
          </cell>
          <cell r="Q224">
            <v>7.3581029999999998</v>
          </cell>
          <cell r="R224" t="e">
            <v>#N/A</v>
          </cell>
        </row>
        <row r="225">
          <cell r="A225">
            <v>39478</v>
          </cell>
          <cell r="B225">
            <v>39478</v>
          </cell>
          <cell r="C225" t="str">
            <v>Past</v>
          </cell>
          <cell r="D225">
            <v>51.39</v>
          </cell>
          <cell r="E225" t="e">
            <v>#N/A</v>
          </cell>
          <cell r="F225" t="e">
            <v>#N/A</v>
          </cell>
          <cell r="G225" t="e">
            <v>#N/A</v>
          </cell>
          <cell r="H225" t="e">
            <v>#N/A</v>
          </cell>
          <cell r="I225" t="e">
            <v>#N/A</v>
          </cell>
          <cell r="J225" t="e">
            <v>#N/A</v>
          </cell>
          <cell r="K225" t="e">
            <v>#N/A</v>
          </cell>
          <cell r="L225" t="e">
            <v>#N/A</v>
          </cell>
          <cell r="M225" t="e">
            <v>#N/A</v>
          </cell>
          <cell r="N225" t="e">
            <v>#N/A</v>
          </cell>
          <cell r="O225" t="e">
            <v>#N/A</v>
          </cell>
          <cell r="P225">
            <v>51.39</v>
          </cell>
          <cell r="Q225">
            <v>9.9696859999999994</v>
          </cell>
          <cell r="R225" t="e">
            <v>#N/A</v>
          </cell>
        </row>
        <row r="226">
          <cell r="A226">
            <v>39479</v>
          </cell>
          <cell r="B226">
            <v>39479</v>
          </cell>
          <cell r="C226" t="str">
            <v>Past</v>
          </cell>
          <cell r="D226">
            <v>51.66</v>
          </cell>
          <cell r="E226" t="e">
            <v>#N/A</v>
          </cell>
          <cell r="F226" t="e">
            <v>#N/A</v>
          </cell>
          <cell r="G226" t="e">
            <v>#N/A</v>
          </cell>
          <cell r="H226" t="e">
            <v>#N/A</v>
          </cell>
          <cell r="I226" t="e">
            <v>#N/A</v>
          </cell>
          <cell r="J226" t="e">
            <v>#N/A</v>
          </cell>
          <cell r="K226" t="e">
            <v>#N/A</v>
          </cell>
          <cell r="L226" t="e">
            <v>#N/A</v>
          </cell>
          <cell r="M226" t="e">
            <v>#N/A</v>
          </cell>
          <cell r="N226" t="e">
            <v>#N/A</v>
          </cell>
          <cell r="O226" t="e">
            <v>#N/A</v>
          </cell>
          <cell r="P226">
            <v>51.66</v>
          </cell>
          <cell r="Q226">
            <v>7.3747679999999995</v>
          </cell>
          <cell r="R226" t="e">
            <v>#N/A</v>
          </cell>
        </row>
        <row r="227">
          <cell r="A227">
            <v>39482</v>
          </cell>
          <cell r="B227">
            <v>39482</v>
          </cell>
          <cell r="C227" t="str">
            <v>Past</v>
          </cell>
          <cell r="D227">
            <v>52.08</v>
          </cell>
          <cell r="E227" t="e">
            <v>#N/A</v>
          </cell>
          <cell r="F227" t="e">
            <v>#N/A</v>
          </cell>
          <cell r="G227" t="e">
            <v>#N/A</v>
          </cell>
          <cell r="H227" t="e">
            <v>#N/A</v>
          </cell>
          <cell r="I227" t="e">
            <v>#N/A</v>
          </cell>
          <cell r="J227" t="e">
            <v>#N/A</v>
          </cell>
          <cell r="K227" t="e">
            <v>#N/A</v>
          </cell>
          <cell r="L227" t="e">
            <v>#N/A</v>
          </cell>
          <cell r="M227" t="e">
            <v>#N/A</v>
          </cell>
          <cell r="N227" t="e">
            <v>#N/A</v>
          </cell>
          <cell r="O227" t="e">
            <v>#N/A</v>
          </cell>
          <cell r="P227">
            <v>52.08</v>
          </cell>
          <cell r="Q227">
            <v>4.8363800000000001</v>
          </cell>
          <cell r="R227" t="e">
            <v>#N/A</v>
          </cell>
        </row>
        <row r="228">
          <cell r="A228">
            <v>39483</v>
          </cell>
          <cell r="B228">
            <v>39483</v>
          </cell>
          <cell r="C228" t="str">
            <v>Past</v>
          </cell>
          <cell r="D228">
            <v>51.24</v>
          </cell>
          <cell r="E228" t="e">
            <v>#N/A</v>
          </cell>
          <cell r="F228" t="e">
            <v>#N/A</v>
          </cell>
          <cell r="G228" t="e">
            <v>#N/A</v>
          </cell>
          <cell r="H228" t="e">
            <v>#N/A</v>
          </cell>
          <cell r="I228" t="e">
            <v>#N/A</v>
          </cell>
          <cell r="J228" t="e">
            <v>#N/A</v>
          </cell>
          <cell r="K228" t="e">
            <v>#N/A</v>
          </cell>
          <cell r="L228" t="e">
            <v>#N/A</v>
          </cell>
          <cell r="M228" t="e">
            <v>#N/A</v>
          </cell>
          <cell r="N228" t="e">
            <v>#N/A</v>
          </cell>
          <cell r="O228" t="e">
            <v>#N/A</v>
          </cell>
          <cell r="P228">
            <v>51.24</v>
          </cell>
          <cell r="Q228">
            <v>5.4406659999999993</v>
          </cell>
          <cell r="R228" t="e">
            <v>#N/A</v>
          </cell>
        </row>
        <row r="229">
          <cell r="A229">
            <v>39484</v>
          </cell>
          <cell r="B229">
            <v>39484</v>
          </cell>
          <cell r="C229" t="str">
            <v>Past</v>
          </cell>
          <cell r="D229">
            <v>51.4</v>
          </cell>
          <cell r="E229" t="e">
            <v>#N/A</v>
          </cell>
          <cell r="F229" t="e">
            <v>#N/A</v>
          </cell>
          <cell r="G229" t="e">
            <v>#N/A</v>
          </cell>
          <cell r="H229" t="e">
            <v>#N/A</v>
          </cell>
          <cell r="I229" t="e">
            <v>#N/A</v>
          </cell>
          <cell r="J229" t="e">
            <v>#N/A</v>
          </cell>
          <cell r="K229" t="e">
            <v>#N/A</v>
          </cell>
          <cell r="L229" t="e">
            <v>#N/A</v>
          </cell>
          <cell r="M229" t="e">
            <v>#N/A</v>
          </cell>
          <cell r="N229" t="e">
            <v>#N/A</v>
          </cell>
          <cell r="O229" t="e">
            <v>#N/A</v>
          </cell>
          <cell r="P229">
            <v>51.4</v>
          </cell>
          <cell r="Q229">
            <v>4.1012500000000003</v>
          </cell>
          <cell r="R229" t="e">
            <v>#N/A</v>
          </cell>
        </row>
        <row r="230">
          <cell r="A230">
            <v>39485</v>
          </cell>
          <cell r="B230">
            <v>39485</v>
          </cell>
          <cell r="C230" t="str">
            <v>Past</v>
          </cell>
          <cell r="D230">
            <v>51.22</v>
          </cell>
          <cell r="E230" t="e">
            <v>#N/A</v>
          </cell>
          <cell r="F230" t="e">
            <v>#N/A</v>
          </cell>
          <cell r="G230" t="e">
            <v>#N/A</v>
          </cell>
          <cell r="H230" t="e">
            <v>#N/A</v>
          </cell>
          <cell r="I230" t="e">
            <v>#N/A</v>
          </cell>
          <cell r="J230" t="e">
            <v>#N/A</v>
          </cell>
          <cell r="K230" t="e">
            <v>#N/A</v>
          </cell>
          <cell r="L230" t="e">
            <v>#N/A</v>
          </cell>
          <cell r="M230" t="e">
            <v>#N/A</v>
          </cell>
          <cell r="N230" t="e">
            <v>#N/A</v>
          </cell>
          <cell r="O230" t="e">
            <v>#N/A</v>
          </cell>
          <cell r="P230">
            <v>51.22</v>
          </cell>
          <cell r="Q230">
            <v>7.1532549999999997</v>
          </cell>
          <cell r="R230" t="e">
            <v>#N/A</v>
          </cell>
        </row>
        <row r="231">
          <cell r="A231">
            <v>39486</v>
          </cell>
          <cell r="B231">
            <v>39486</v>
          </cell>
          <cell r="C231" t="str">
            <v>Past</v>
          </cell>
          <cell r="D231">
            <v>50.23</v>
          </cell>
          <cell r="E231" t="e">
            <v>#N/A</v>
          </cell>
          <cell r="F231" t="e">
            <v>#N/A</v>
          </cell>
          <cell r="G231" t="e">
            <v>#N/A</v>
          </cell>
          <cell r="H231" t="e">
            <v>#N/A</v>
          </cell>
          <cell r="I231" t="e">
            <v>#N/A</v>
          </cell>
          <cell r="J231" t="e">
            <v>#N/A</v>
          </cell>
          <cell r="K231" t="e">
            <v>#N/A</v>
          </cell>
          <cell r="L231" t="e">
            <v>#N/A</v>
          </cell>
          <cell r="M231" t="e">
            <v>#N/A</v>
          </cell>
          <cell r="N231" t="e">
            <v>#N/A</v>
          </cell>
          <cell r="O231" t="e">
            <v>#N/A</v>
          </cell>
          <cell r="P231">
            <v>50.23</v>
          </cell>
          <cell r="Q231">
            <v>4.5241039999999995</v>
          </cell>
          <cell r="R231" t="e">
            <v>#N/A</v>
          </cell>
        </row>
        <row r="232">
          <cell r="A232">
            <v>39489</v>
          </cell>
          <cell r="B232">
            <v>39489</v>
          </cell>
          <cell r="C232" t="str">
            <v>Past</v>
          </cell>
          <cell r="D232">
            <v>50.23</v>
          </cell>
          <cell r="E232" t="e">
            <v>#N/A</v>
          </cell>
          <cell r="F232" t="e">
            <v>#N/A</v>
          </cell>
          <cell r="G232" t="e">
            <v>#N/A</v>
          </cell>
          <cell r="H232" t="e">
            <v>#N/A</v>
          </cell>
          <cell r="I232" t="e">
            <v>#N/A</v>
          </cell>
          <cell r="J232" t="e">
            <v>#N/A</v>
          </cell>
          <cell r="K232" t="e">
            <v>#N/A</v>
          </cell>
          <cell r="L232" t="e">
            <v>#N/A</v>
          </cell>
          <cell r="M232" t="e">
            <v>#N/A</v>
          </cell>
          <cell r="N232" t="e">
            <v>#N/A</v>
          </cell>
          <cell r="O232" t="e">
            <v>#N/A</v>
          </cell>
          <cell r="P232">
            <v>50.23</v>
          </cell>
          <cell r="Q232">
            <v>4.2224079999999997</v>
          </cell>
          <cell r="R232" t="e">
            <v>#N/A</v>
          </cell>
        </row>
        <row r="233">
          <cell r="A233">
            <v>39490</v>
          </cell>
          <cell r="B233">
            <v>39490</v>
          </cell>
          <cell r="C233" t="str">
            <v>Past</v>
          </cell>
          <cell r="D233">
            <v>51.02</v>
          </cell>
          <cell r="E233" t="e">
            <v>#N/A</v>
          </cell>
          <cell r="F233" t="e">
            <v>#N/A</v>
          </cell>
          <cell r="G233" t="e">
            <v>#N/A</v>
          </cell>
          <cell r="H233" t="e">
            <v>#N/A</v>
          </cell>
          <cell r="I233" t="e">
            <v>#N/A</v>
          </cell>
          <cell r="J233" t="e">
            <v>#N/A</v>
          </cell>
          <cell r="K233" t="e">
            <v>#N/A</v>
          </cell>
          <cell r="L233" t="e">
            <v>#N/A</v>
          </cell>
          <cell r="M233" t="e">
            <v>#N/A</v>
          </cell>
          <cell r="N233" t="e">
            <v>#N/A</v>
          </cell>
          <cell r="O233" t="e">
            <v>#N/A</v>
          </cell>
          <cell r="P233">
            <v>51.02</v>
          </cell>
          <cell r="Q233">
            <v>5.2176679999999998</v>
          </cell>
          <cell r="R233" t="e">
            <v>#N/A</v>
          </cell>
        </row>
        <row r="234">
          <cell r="A234">
            <v>39491</v>
          </cell>
          <cell r="B234">
            <v>39491</v>
          </cell>
          <cell r="C234" t="str">
            <v>Past</v>
          </cell>
          <cell r="D234">
            <v>50.34</v>
          </cell>
          <cell r="E234" t="e">
            <v>#N/A</v>
          </cell>
          <cell r="F234" t="e">
            <v>#N/A</v>
          </cell>
          <cell r="G234" t="e">
            <v>#N/A</v>
          </cell>
          <cell r="H234" t="e">
            <v>#N/A</v>
          </cell>
          <cell r="I234" t="e">
            <v>#N/A</v>
          </cell>
          <cell r="J234" t="e">
            <v>#N/A</v>
          </cell>
          <cell r="K234" t="e">
            <v>#N/A</v>
          </cell>
          <cell r="L234" t="e">
            <v>#N/A</v>
          </cell>
          <cell r="M234" t="e">
            <v>#N/A</v>
          </cell>
          <cell r="N234" t="e">
            <v>#N/A</v>
          </cell>
          <cell r="O234" t="e">
            <v>#N/A</v>
          </cell>
          <cell r="P234">
            <v>50.34</v>
          </cell>
          <cell r="Q234">
            <v>6.5031339999999993</v>
          </cell>
          <cell r="R234" t="e">
            <v>#N/A</v>
          </cell>
        </row>
        <row r="235">
          <cell r="A235">
            <v>39492</v>
          </cell>
          <cell r="B235">
            <v>39492</v>
          </cell>
          <cell r="C235" t="str">
            <v>Past</v>
          </cell>
          <cell r="D235">
            <v>49.98</v>
          </cell>
          <cell r="E235" t="e">
            <v>#N/A</v>
          </cell>
          <cell r="F235" t="e">
            <v>#N/A</v>
          </cell>
          <cell r="G235" t="e">
            <v>#N/A</v>
          </cell>
          <cell r="H235" t="e">
            <v>#N/A</v>
          </cell>
          <cell r="I235" t="e">
            <v>#N/A</v>
          </cell>
          <cell r="J235" t="e">
            <v>#N/A</v>
          </cell>
          <cell r="K235" t="e">
            <v>#N/A</v>
          </cell>
          <cell r="L235" t="e">
            <v>#N/A</v>
          </cell>
          <cell r="M235" t="e">
            <v>#N/A</v>
          </cell>
          <cell r="N235" t="e">
            <v>#N/A</v>
          </cell>
          <cell r="O235" t="e">
            <v>#N/A</v>
          </cell>
          <cell r="P235">
            <v>49.98</v>
          </cell>
          <cell r="Q235">
            <v>5.2135579999999999</v>
          </cell>
          <cell r="R235" t="e">
            <v>#N/A</v>
          </cell>
        </row>
        <row r="236">
          <cell r="A236">
            <v>39493</v>
          </cell>
          <cell r="B236">
            <v>39493</v>
          </cell>
          <cell r="C236" t="str">
            <v>Past</v>
          </cell>
          <cell r="D236">
            <v>50.82</v>
          </cell>
          <cell r="E236" t="e">
            <v>#N/A</v>
          </cell>
          <cell r="F236" t="e">
            <v>#N/A</v>
          </cell>
          <cell r="G236" t="e">
            <v>#N/A</v>
          </cell>
          <cell r="H236" t="e">
            <v>#N/A</v>
          </cell>
          <cell r="I236" t="e">
            <v>#N/A</v>
          </cell>
          <cell r="J236" t="e">
            <v>#N/A</v>
          </cell>
          <cell r="K236" t="e">
            <v>#N/A</v>
          </cell>
          <cell r="L236" t="e">
            <v>#N/A</v>
          </cell>
          <cell r="M236" t="e">
            <v>#N/A</v>
          </cell>
          <cell r="N236" t="e">
            <v>#N/A</v>
          </cell>
          <cell r="O236" t="e">
            <v>#N/A</v>
          </cell>
          <cell r="P236">
            <v>50.82</v>
          </cell>
          <cell r="Q236">
            <v>6.4792709999999998</v>
          </cell>
          <cell r="R236" t="e">
            <v>#N/A</v>
          </cell>
        </row>
        <row r="237">
          <cell r="A237">
            <v>39497</v>
          </cell>
          <cell r="B237">
            <v>39497</v>
          </cell>
          <cell r="C237" t="str">
            <v>Past</v>
          </cell>
          <cell r="D237">
            <v>50.3</v>
          </cell>
          <cell r="E237" t="e">
            <v>#N/A</v>
          </cell>
          <cell r="F237" t="e">
            <v>#N/A</v>
          </cell>
          <cell r="G237" t="e">
            <v>#N/A</v>
          </cell>
          <cell r="H237" t="e">
            <v>#N/A</v>
          </cell>
          <cell r="I237" t="e">
            <v>#N/A</v>
          </cell>
          <cell r="J237" t="e">
            <v>#N/A</v>
          </cell>
          <cell r="K237" t="e">
            <v>#N/A</v>
          </cell>
          <cell r="L237" t="e">
            <v>#N/A</v>
          </cell>
          <cell r="M237" t="e">
            <v>#N/A</v>
          </cell>
          <cell r="N237" t="e">
            <v>#N/A</v>
          </cell>
          <cell r="O237" t="e">
            <v>#N/A</v>
          </cell>
          <cell r="P237">
            <v>50.3</v>
          </cell>
          <cell r="Q237">
            <v>5.9148000000000005</v>
          </cell>
          <cell r="R237" t="e">
            <v>#N/A</v>
          </cell>
        </row>
        <row r="238">
          <cell r="A238">
            <v>39498</v>
          </cell>
          <cell r="B238">
            <v>39498</v>
          </cell>
          <cell r="C238" t="str">
            <v>Past</v>
          </cell>
          <cell r="D238">
            <v>50.37</v>
          </cell>
          <cell r="E238" t="e">
            <v>#N/A</v>
          </cell>
          <cell r="F238" t="e">
            <v>#N/A</v>
          </cell>
          <cell r="G238" t="e">
            <v>#N/A</v>
          </cell>
          <cell r="H238" t="e">
            <v>#N/A</v>
          </cell>
          <cell r="I238" t="e">
            <v>#N/A</v>
          </cell>
          <cell r="J238" t="e">
            <v>#N/A</v>
          </cell>
          <cell r="K238" t="e">
            <v>#N/A</v>
          </cell>
          <cell r="L238" t="e">
            <v>#N/A</v>
          </cell>
          <cell r="M238" t="e">
            <v>#N/A</v>
          </cell>
          <cell r="N238" t="e">
            <v>#N/A</v>
          </cell>
          <cell r="O238" t="e">
            <v>#N/A</v>
          </cell>
          <cell r="P238">
            <v>50.37</v>
          </cell>
          <cell r="Q238">
            <v>4.2902149999999999</v>
          </cell>
          <cell r="R238" t="e">
            <v>#N/A</v>
          </cell>
        </row>
        <row r="239">
          <cell r="A239">
            <v>39499</v>
          </cell>
          <cell r="B239">
            <v>39499</v>
          </cell>
          <cell r="C239" t="str">
            <v>Past</v>
          </cell>
          <cell r="D239">
            <v>49.82</v>
          </cell>
          <cell r="E239" t="e">
            <v>#N/A</v>
          </cell>
          <cell r="F239" t="e">
            <v>#N/A</v>
          </cell>
          <cell r="G239" t="e">
            <v>#N/A</v>
          </cell>
          <cell r="H239" t="e">
            <v>#N/A</v>
          </cell>
          <cell r="I239" t="e">
            <v>#N/A</v>
          </cell>
          <cell r="J239" t="e">
            <v>#N/A</v>
          </cell>
          <cell r="K239" t="e">
            <v>#N/A</v>
          </cell>
          <cell r="L239" t="e">
            <v>#N/A</v>
          </cell>
          <cell r="M239" t="e">
            <v>#N/A</v>
          </cell>
          <cell r="N239" t="e">
            <v>#N/A</v>
          </cell>
          <cell r="O239" t="e">
            <v>#N/A</v>
          </cell>
          <cell r="P239">
            <v>49.82</v>
          </cell>
          <cell r="Q239">
            <v>5.4567869999999994</v>
          </cell>
          <cell r="R239" t="e">
            <v>#N/A</v>
          </cell>
        </row>
        <row r="240">
          <cell r="A240">
            <v>39500</v>
          </cell>
          <cell r="B240">
            <v>39500</v>
          </cell>
          <cell r="C240" t="str">
            <v>Past</v>
          </cell>
          <cell r="D240">
            <v>50.51</v>
          </cell>
          <cell r="E240" t="e">
            <v>#N/A</v>
          </cell>
          <cell r="F240" t="e">
            <v>#N/A</v>
          </cell>
          <cell r="G240" t="e">
            <v>#N/A</v>
          </cell>
          <cell r="H240" t="e">
            <v>#N/A</v>
          </cell>
          <cell r="I240" t="e">
            <v>#N/A</v>
          </cell>
          <cell r="J240" t="e">
            <v>#N/A</v>
          </cell>
          <cell r="K240" t="e">
            <v>#N/A</v>
          </cell>
          <cell r="L240" t="e">
            <v>#N/A</v>
          </cell>
          <cell r="M240" t="e">
            <v>#N/A</v>
          </cell>
          <cell r="N240" t="e">
            <v>#N/A</v>
          </cell>
          <cell r="O240" t="e">
            <v>#N/A</v>
          </cell>
          <cell r="P240">
            <v>50.51</v>
          </cell>
          <cell r="Q240">
            <v>9.058940999999999</v>
          </cell>
          <cell r="R240" t="e">
            <v>#N/A</v>
          </cell>
        </row>
        <row r="241">
          <cell r="A241">
            <v>39503</v>
          </cell>
          <cell r="B241">
            <v>39503</v>
          </cell>
          <cell r="C241" t="str">
            <v>Past</v>
          </cell>
          <cell r="D241">
            <v>51.3</v>
          </cell>
          <cell r="E241" t="e">
            <v>#N/A</v>
          </cell>
          <cell r="F241" t="e">
            <v>#N/A</v>
          </cell>
          <cell r="G241" t="e">
            <v>#N/A</v>
          </cell>
          <cell r="H241" t="e">
            <v>#N/A</v>
          </cell>
          <cell r="I241" t="e">
            <v>#N/A</v>
          </cell>
          <cell r="J241" t="e">
            <v>#N/A</v>
          </cell>
          <cell r="K241" t="e">
            <v>#N/A</v>
          </cell>
          <cell r="L241" t="e">
            <v>#N/A</v>
          </cell>
          <cell r="M241" t="e">
            <v>#N/A</v>
          </cell>
          <cell r="N241" t="e">
            <v>#N/A</v>
          </cell>
          <cell r="O241" t="e">
            <v>#N/A</v>
          </cell>
          <cell r="P241">
            <v>51.3</v>
          </cell>
          <cell r="Q241">
            <v>5.266845</v>
          </cell>
          <cell r="R241" t="e">
            <v>#N/A</v>
          </cell>
        </row>
        <row r="242">
          <cell r="A242">
            <v>39504</v>
          </cell>
          <cell r="B242">
            <v>39504</v>
          </cell>
          <cell r="C242" t="str">
            <v>Past</v>
          </cell>
          <cell r="D242">
            <v>52.45</v>
          </cell>
          <cell r="E242" t="e">
            <v>#N/A</v>
          </cell>
          <cell r="F242" t="e">
            <v>#N/A</v>
          </cell>
          <cell r="G242" t="e">
            <v>#N/A</v>
          </cell>
          <cell r="H242" t="e">
            <v>#N/A</v>
          </cell>
          <cell r="I242" t="e">
            <v>#N/A</v>
          </cell>
          <cell r="J242" t="e">
            <v>#N/A</v>
          </cell>
          <cell r="K242" t="e">
            <v>#N/A</v>
          </cell>
          <cell r="L242" t="e">
            <v>#N/A</v>
          </cell>
          <cell r="M242" t="e">
            <v>#N/A</v>
          </cell>
          <cell r="N242" t="e">
            <v>#N/A</v>
          </cell>
          <cell r="O242" t="e">
            <v>#N/A</v>
          </cell>
          <cell r="P242">
            <v>52.45</v>
          </cell>
          <cell r="Q242">
            <v>8.0599000000000007</v>
          </cell>
          <cell r="R242" t="e">
            <v>#N/A</v>
          </cell>
        </row>
        <row r="243">
          <cell r="A243">
            <v>39505</v>
          </cell>
          <cell r="B243">
            <v>39505</v>
          </cell>
          <cell r="C243" t="str">
            <v>Past</v>
          </cell>
          <cell r="D243">
            <v>51.83</v>
          </cell>
          <cell r="E243" t="e">
            <v>#N/A</v>
          </cell>
          <cell r="F243" t="e">
            <v>#N/A</v>
          </cell>
          <cell r="G243" t="e">
            <v>#N/A</v>
          </cell>
          <cell r="H243" t="e">
            <v>#N/A</v>
          </cell>
          <cell r="I243" t="e">
            <v>#N/A</v>
          </cell>
          <cell r="J243" t="e">
            <v>#N/A</v>
          </cell>
          <cell r="K243" t="e">
            <v>#N/A</v>
          </cell>
          <cell r="L243" t="e">
            <v>#N/A</v>
          </cell>
          <cell r="M243" t="e">
            <v>#N/A</v>
          </cell>
          <cell r="N243" t="e">
            <v>#N/A</v>
          </cell>
          <cell r="O243" t="e">
            <v>#N/A</v>
          </cell>
          <cell r="P243">
            <v>51.83</v>
          </cell>
          <cell r="Q243">
            <v>3.6485909999999997</v>
          </cell>
          <cell r="R243" t="e">
            <v>#N/A</v>
          </cell>
        </row>
        <row r="244">
          <cell r="A244">
            <v>39506</v>
          </cell>
          <cell r="B244">
            <v>39506</v>
          </cell>
          <cell r="C244" t="str">
            <v>Past</v>
          </cell>
          <cell r="D244">
            <v>50.93</v>
          </cell>
          <cell r="E244" t="e">
            <v>#N/A</v>
          </cell>
          <cell r="F244" t="e">
            <v>#N/A</v>
          </cell>
          <cell r="G244" t="e">
            <v>#N/A</v>
          </cell>
          <cell r="H244" t="e">
            <v>#N/A</v>
          </cell>
          <cell r="I244" t="e">
            <v>#N/A</v>
          </cell>
          <cell r="J244" t="e">
            <v>#N/A</v>
          </cell>
          <cell r="K244" t="e">
            <v>#N/A</v>
          </cell>
          <cell r="L244" t="e">
            <v>#N/A</v>
          </cell>
          <cell r="M244" t="e">
            <v>#N/A</v>
          </cell>
          <cell r="N244" t="e">
            <v>#N/A</v>
          </cell>
          <cell r="O244" t="e">
            <v>#N/A</v>
          </cell>
          <cell r="P244">
            <v>50.93</v>
          </cell>
          <cell r="Q244">
            <v>4.396744</v>
          </cell>
          <cell r="R244" t="e">
            <v>#N/A</v>
          </cell>
        </row>
        <row r="245">
          <cell r="A245">
            <v>39507</v>
          </cell>
          <cell r="B245">
            <v>39507</v>
          </cell>
          <cell r="C245" t="str">
            <v>Past</v>
          </cell>
          <cell r="D245">
            <v>50.02</v>
          </cell>
          <cell r="E245" t="e">
            <v>#N/A</v>
          </cell>
          <cell r="F245" t="e">
            <v>#N/A</v>
          </cell>
          <cell r="G245" t="e">
            <v>#N/A</v>
          </cell>
          <cell r="H245" t="e">
            <v>#N/A</v>
          </cell>
          <cell r="I245" t="e">
            <v>#N/A</v>
          </cell>
          <cell r="J245" t="e">
            <v>#N/A</v>
          </cell>
          <cell r="K245" t="e">
            <v>#N/A</v>
          </cell>
          <cell r="L245" t="e">
            <v>#N/A</v>
          </cell>
          <cell r="M245" t="e">
            <v>#N/A</v>
          </cell>
          <cell r="N245" t="e">
            <v>#N/A</v>
          </cell>
          <cell r="O245" t="e">
            <v>#N/A</v>
          </cell>
          <cell r="P245">
            <v>50.02</v>
          </cell>
          <cell r="Q245">
            <v>6.9025270000000001</v>
          </cell>
          <cell r="R245" t="e">
            <v>#N/A</v>
          </cell>
        </row>
        <row r="246">
          <cell r="A246">
            <v>39510</v>
          </cell>
          <cell r="B246">
            <v>39510</v>
          </cell>
          <cell r="C246" t="str">
            <v>Past</v>
          </cell>
          <cell r="D246">
            <v>50.19</v>
          </cell>
          <cell r="E246" t="e">
            <v>#N/A</v>
          </cell>
          <cell r="F246" t="e">
            <v>#N/A</v>
          </cell>
          <cell r="G246" t="e">
            <v>#N/A</v>
          </cell>
          <cell r="H246" t="e">
            <v>#N/A</v>
          </cell>
          <cell r="I246" t="e">
            <v>#N/A</v>
          </cell>
          <cell r="J246" t="e">
            <v>#N/A</v>
          </cell>
          <cell r="K246" t="e">
            <v>#N/A</v>
          </cell>
          <cell r="L246" t="e">
            <v>#N/A</v>
          </cell>
          <cell r="M246" t="e">
            <v>#N/A</v>
          </cell>
          <cell r="N246" t="e">
            <v>#N/A</v>
          </cell>
          <cell r="O246" t="e">
            <v>#N/A</v>
          </cell>
          <cell r="P246">
            <v>50.19</v>
          </cell>
          <cell r="Q246">
            <v>4.0996920000000001</v>
          </cell>
          <cell r="R246" t="e">
            <v>#N/A</v>
          </cell>
        </row>
        <row r="247">
          <cell r="A247">
            <v>39511</v>
          </cell>
          <cell r="B247">
            <v>39511</v>
          </cell>
          <cell r="C247" t="str">
            <v>Past</v>
          </cell>
          <cell r="D247">
            <v>50.01</v>
          </cell>
          <cell r="E247" t="e">
            <v>#N/A</v>
          </cell>
          <cell r="F247" t="e">
            <v>#N/A</v>
          </cell>
          <cell r="G247" t="e">
            <v>#N/A</v>
          </cell>
          <cell r="H247" t="e">
            <v>#N/A</v>
          </cell>
          <cell r="I247" t="e">
            <v>#N/A</v>
          </cell>
          <cell r="J247" t="e">
            <v>#N/A</v>
          </cell>
          <cell r="K247" t="e">
            <v>#N/A</v>
          </cell>
          <cell r="L247" t="e">
            <v>#N/A</v>
          </cell>
          <cell r="M247" t="e">
            <v>#N/A</v>
          </cell>
          <cell r="N247" t="e">
            <v>#N/A</v>
          </cell>
          <cell r="O247" t="e">
            <v>#N/A</v>
          </cell>
          <cell r="P247">
            <v>50.01</v>
          </cell>
          <cell r="Q247">
            <v>5.8622290000000001</v>
          </cell>
          <cell r="R247" t="e">
            <v>#N/A</v>
          </cell>
        </row>
        <row r="248">
          <cell r="A248">
            <v>39512</v>
          </cell>
          <cell r="B248">
            <v>39512</v>
          </cell>
          <cell r="C248" t="str">
            <v>Past</v>
          </cell>
          <cell r="D248">
            <v>50.42</v>
          </cell>
          <cell r="E248" t="e">
            <v>#N/A</v>
          </cell>
          <cell r="F248" t="e">
            <v>#N/A</v>
          </cell>
          <cell r="G248" t="e">
            <v>#N/A</v>
          </cell>
          <cell r="H248" t="e">
            <v>#N/A</v>
          </cell>
          <cell r="I248" t="e">
            <v>#N/A</v>
          </cell>
          <cell r="J248" t="e">
            <v>#N/A</v>
          </cell>
          <cell r="K248" t="e">
            <v>#N/A</v>
          </cell>
          <cell r="L248" t="e">
            <v>#N/A</v>
          </cell>
          <cell r="M248" t="e">
            <v>#N/A</v>
          </cell>
          <cell r="N248" t="e">
            <v>#N/A</v>
          </cell>
          <cell r="O248" t="e">
            <v>#N/A</v>
          </cell>
          <cell r="P248">
            <v>50.42</v>
          </cell>
          <cell r="Q248">
            <v>4.5204360000000001</v>
          </cell>
          <cell r="R248" t="e">
            <v>#N/A</v>
          </cell>
        </row>
        <row r="249">
          <cell r="A249">
            <v>39513</v>
          </cell>
          <cell r="B249">
            <v>39513</v>
          </cell>
          <cell r="C249" t="str">
            <v>Past</v>
          </cell>
          <cell r="D249">
            <v>49.68</v>
          </cell>
          <cell r="E249" t="e">
            <v>#N/A</v>
          </cell>
          <cell r="F249" t="e">
            <v>#N/A</v>
          </cell>
          <cell r="G249" t="e">
            <v>#N/A</v>
          </cell>
          <cell r="H249" t="e">
            <v>#N/A</v>
          </cell>
          <cell r="I249" t="e">
            <v>#N/A</v>
          </cell>
          <cell r="J249" t="e">
            <v>#N/A</v>
          </cell>
          <cell r="K249" t="e">
            <v>#N/A</v>
          </cell>
          <cell r="L249" t="e">
            <v>#N/A</v>
          </cell>
          <cell r="M249" t="e">
            <v>#N/A</v>
          </cell>
          <cell r="N249" t="e">
            <v>#N/A</v>
          </cell>
          <cell r="O249" t="e">
            <v>#N/A</v>
          </cell>
          <cell r="P249">
            <v>49.68</v>
          </cell>
          <cell r="Q249">
            <v>4.4463159999999995</v>
          </cell>
          <cell r="R249" t="e">
            <v>#N/A</v>
          </cell>
        </row>
        <row r="250">
          <cell r="A250">
            <v>39514</v>
          </cell>
          <cell r="B250">
            <v>39514</v>
          </cell>
          <cell r="C250" t="str">
            <v>Past</v>
          </cell>
          <cell r="D250">
            <v>49.7</v>
          </cell>
          <cell r="E250" t="e">
            <v>#N/A</v>
          </cell>
          <cell r="F250" t="e">
            <v>#N/A</v>
          </cell>
          <cell r="G250" t="e">
            <v>#N/A</v>
          </cell>
          <cell r="H250" t="e">
            <v>#N/A</v>
          </cell>
          <cell r="I250" t="e">
            <v>#N/A</v>
          </cell>
          <cell r="J250" t="e">
            <v>#N/A</v>
          </cell>
          <cell r="K250" t="e">
            <v>#N/A</v>
          </cell>
          <cell r="L250" t="e">
            <v>#N/A</v>
          </cell>
          <cell r="M250" t="e">
            <v>#N/A</v>
          </cell>
          <cell r="N250" t="e">
            <v>#N/A</v>
          </cell>
          <cell r="O250" t="e">
            <v>#N/A</v>
          </cell>
          <cell r="P250">
            <v>49.7</v>
          </cell>
          <cell r="Q250">
            <v>7.2755619999999999</v>
          </cell>
          <cell r="R250" t="e">
            <v>#N/A</v>
          </cell>
        </row>
        <row r="251">
          <cell r="A251">
            <v>39517</v>
          </cell>
          <cell r="B251">
            <v>39517</v>
          </cell>
          <cell r="C251" t="str">
            <v>Past</v>
          </cell>
          <cell r="D251">
            <v>49.42</v>
          </cell>
          <cell r="E251" t="e">
            <v>#N/A</v>
          </cell>
          <cell r="F251" t="e">
            <v>#N/A</v>
          </cell>
          <cell r="G251" t="e">
            <v>#N/A</v>
          </cell>
          <cell r="H251" t="e">
            <v>#N/A</v>
          </cell>
          <cell r="I251" t="e">
            <v>#N/A</v>
          </cell>
          <cell r="J251" t="e">
            <v>#N/A</v>
          </cell>
          <cell r="K251" t="e">
            <v>#N/A</v>
          </cell>
          <cell r="L251" t="e">
            <v>#N/A</v>
          </cell>
          <cell r="M251" t="e">
            <v>#N/A</v>
          </cell>
          <cell r="N251" t="e">
            <v>#N/A</v>
          </cell>
          <cell r="O251" t="e">
            <v>#N/A</v>
          </cell>
          <cell r="P251">
            <v>49.42</v>
          </cell>
          <cell r="Q251">
            <v>7.0326489999999993</v>
          </cell>
          <cell r="R251" t="e">
            <v>#N/A</v>
          </cell>
        </row>
        <row r="252">
          <cell r="A252">
            <v>39518</v>
          </cell>
          <cell r="B252">
            <v>39518</v>
          </cell>
          <cell r="C252" t="str">
            <v>Past</v>
          </cell>
          <cell r="D252">
            <v>50.59</v>
          </cell>
          <cell r="E252" t="e">
            <v>#N/A</v>
          </cell>
          <cell r="F252" t="e">
            <v>#N/A</v>
          </cell>
          <cell r="G252" t="e">
            <v>#N/A</v>
          </cell>
          <cell r="H252" t="e">
            <v>#N/A</v>
          </cell>
          <cell r="I252" t="e">
            <v>#N/A</v>
          </cell>
          <cell r="J252" t="e">
            <v>#N/A</v>
          </cell>
          <cell r="K252" t="e">
            <v>#N/A</v>
          </cell>
          <cell r="L252" t="e">
            <v>#N/A</v>
          </cell>
          <cell r="M252" t="e">
            <v>#N/A</v>
          </cell>
          <cell r="N252" t="e">
            <v>#N/A</v>
          </cell>
          <cell r="O252" t="e">
            <v>#N/A</v>
          </cell>
          <cell r="P252">
            <v>50.59</v>
          </cell>
          <cell r="Q252">
            <v>7.4423949999999994</v>
          </cell>
          <cell r="R252" t="e">
            <v>#N/A</v>
          </cell>
        </row>
        <row r="253">
          <cell r="A253">
            <v>39519</v>
          </cell>
          <cell r="B253">
            <v>39519</v>
          </cell>
          <cell r="C253" t="str">
            <v>Past</v>
          </cell>
          <cell r="D253">
            <v>49.78</v>
          </cell>
          <cell r="E253" t="e">
            <v>#N/A</v>
          </cell>
          <cell r="F253" t="e">
            <v>#N/A</v>
          </cell>
          <cell r="G253" t="e">
            <v>#N/A</v>
          </cell>
          <cell r="H253" t="e">
            <v>#N/A</v>
          </cell>
          <cell r="I253" t="e">
            <v>#N/A</v>
          </cell>
          <cell r="J253" t="e">
            <v>#N/A</v>
          </cell>
          <cell r="K253" t="e">
            <v>#N/A</v>
          </cell>
          <cell r="L253" t="e">
            <v>#N/A</v>
          </cell>
          <cell r="M253" t="e">
            <v>#N/A</v>
          </cell>
          <cell r="N253" t="e">
            <v>#N/A</v>
          </cell>
          <cell r="O253" t="e">
            <v>#N/A</v>
          </cell>
          <cell r="P253">
            <v>49.78</v>
          </cell>
          <cell r="Q253">
            <v>5.8788689999999999</v>
          </cell>
          <cell r="R253" t="e">
            <v>#N/A</v>
          </cell>
        </row>
        <row r="254">
          <cell r="A254">
            <v>39520</v>
          </cell>
          <cell r="B254">
            <v>39520</v>
          </cell>
          <cell r="C254" t="str">
            <v>Past</v>
          </cell>
          <cell r="D254">
            <v>49.16</v>
          </cell>
          <cell r="E254" t="e">
            <v>#N/A</v>
          </cell>
          <cell r="F254" t="e">
            <v>#N/A</v>
          </cell>
          <cell r="G254" t="e">
            <v>#N/A</v>
          </cell>
          <cell r="H254" t="e">
            <v>#N/A</v>
          </cell>
          <cell r="I254" t="e">
            <v>#N/A</v>
          </cell>
          <cell r="J254" t="e">
            <v>#N/A</v>
          </cell>
          <cell r="K254" t="e">
            <v>#N/A</v>
          </cell>
          <cell r="L254" t="e">
            <v>#N/A</v>
          </cell>
          <cell r="M254" t="e">
            <v>#N/A</v>
          </cell>
          <cell r="N254" t="e">
            <v>#N/A</v>
          </cell>
          <cell r="O254" t="e">
            <v>#N/A</v>
          </cell>
          <cell r="P254">
            <v>49.16</v>
          </cell>
          <cell r="Q254">
            <v>6.654693</v>
          </cell>
          <cell r="R254" t="e">
            <v>#N/A</v>
          </cell>
        </row>
        <row r="255">
          <cell r="A255">
            <v>39521</v>
          </cell>
          <cell r="B255">
            <v>39521</v>
          </cell>
          <cell r="C255" t="str">
            <v>Past</v>
          </cell>
          <cell r="D255">
            <v>47.81</v>
          </cell>
          <cell r="E255" t="e">
            <v>#N/A</v>
          </cell>
          <cell r="F255" t="e">
            <v>#N/A</v>
          </cell>
          <cell r="G255" t="e">
            <v>#N/A</v>
          </cell>
          <cell r="H255" t="e">
            <v>#N/A</v>
          </cell>
          <cell r="I255" t="e">
            <v>#N/A</v>
          </cell>
          <cell r="J255" t="e">
            <v>#N/A</v>
          </cell>
          <cell r="K255" t="e">
            <v>#N/A</v>
          </cell>
          <cell r="L255" t="e">
            <v>#N/A</v>
          </cell>
          <cell r="M255" t="e">
            <v>#N/A</v>
          </cell>
          <cell r="N255" t="e">
            <v>#N/A</v>
          </cell>
          <cell r="O255" t="e">
            <v>#N/A</v>
          </cell>
          <cell r="P255">
            <v>47.81</v>
          </cell>
          <cell r="Q255">
            <v>8.4282450000000004</v>
          </cell>
          <cell r="R255" t="e">
            <v>#N/A</v>
          </cell>
        </row>
        <row r="256">
          <cell r="A256">
            <v>39524</v>
          </cell>
          <cell r="B256">
            <v>39524</v>
          </cell>
          <cell r="C256" t="str">
            <v>Past</v>
          </cell>
          <cell r="D256">
            <v>48.87</v>
          </cell>
          <cell r="E256" t="e">
            <v>#N/A</v>
          </cell>
          <cell r="F256" t="e">
            <v>#N/A</v>
          </cell>
          <cell r="G256" t="e">
            <v>#N/A</v>
          </cell>
          <cell r="H256" t="e">
            <v>#N/A</v>
          </cell>
          <cell r="I256" t="e">
            <v>#N/A</v>
          </cell>
          <cell r="J256" t="e">
            <v>#N/A</v>
          </cell>
          <cell r="K256" t="e">
            <v>#N/A</v>
          </cell>
          <cell r="L256" t="e">
            <v>#N/A</v>
          </cell>
          <cell r="M256" t="e">
            <v>#N/A</v>
          </cell>
          <cell r="N256" t="e">
            <v>#N/A</v>
          </cell>
          <cell r="O256" t="e">
            <v>#N/A</v>
          </cell>
          <cell r="P256">
            <v>48.87</v>
          </cell>
          <cell r="Q256">
            <v>6.8472469999999994</v>
          </cell>
          <cell r="R256" t="e">
            <v>#N/A</v>
          </cell>
        </row>
        <row r="257">
          <cell r="A257">
            <v>39525</v>
          </cell>
          <cell r="B257">
            <v>39525</v>
          </cell>
          <cell r="C257" t="str">
            <v>Past</v>
          </cell>
          <cell r="D257">
            <v>49.92</v>
          </cell>
          <cell r="E257" t="e">
            <v>#N/A</v>
          </cell>
          <cell r="F257" t="e">
            <v>#N/A</v>
          </cell>
          <cell r="G257" t="e">
            <v>#N/A</v>
          </cell>
          <cell r="H257" t="e">
            <v>#N/A</v>
          </cell>
          <cell r="I257" t="e">
            <v>#N/A</v>
          </cell>
          <cell r="J257" t="e">
            <v>#N/A</v>
          </cell>
          <cell r="K257" t="e">
            <v>#N/A</v>
          </cell>
          <cell r="L257" t="e">
            <v>#N/A</v>
          </cell>
          <cell r="M257" t="e">
            <v>#N/A</v>
          </cell>
          <cell r="N257" t="e">
            <v>#N/A</v>
          </cell>
          <cell r="O257" t="e">
            <v>#N/A</v>
          </cell>
          <cell r="P257">
            <v>49.92</v>
          </cell>
          <cell r="Q257">
            <v>5.3921999999999999</v>
          </cell>
          <cell r="R257" t="e">
            <v>#N/A</v>
          </cell>
        </row>
        <row r="258">
          <cell r="A258">
            <v>39526</v>
          </cell>
          <cell r="B258">
            <v>39526</v>
          </cell>
          <cell r="C258" t="str">
            <v>Past</v>
          </cell>
          <cell r="D258">
            <v>49.97</v>
          </cell>
          <cell r="E258" t="e">
            <v>#N/A</v>
          </cell>
          <cell r="F258" t="e">
            <v>#N/A</v>
          </cell>
          <cell r="G258" t="e">
            <v>#N/A</v>
          </cell>
          <cell r="H258" t="e">
            <v>#N/A</v>
          </cell>
          <cell r="I258" t="e">
            <v>#N/A</v>
          </cell>
          <cell r="J258" t="e">
            <v>#N/A</v>
          </cell>
          <cell r="K258" t="e">
            <v>#N/A</v>
          </cell>
          <cell r="L258" t="e">
            <v>#N/A</v>
          </cell>
          <cell r="M258" t="e">
            <v>#N/A</v>
          </cell>
          <cell r="N258" t="e">
            <v>#N/A</v>
          </cell>
          <cell r="O258" t="e">
            <v>#N/A</v>
          </cell>
          <cell r="P258">
            <v>49.97</v>
          </cell>
          <cell r="Q258">
            <v>5.7588840000000001</v>
          </cell>
          <cell r="R258" t="e">
            <v>#N/A</v>
          </cell>
        </row>
        <row r="259">
          <cell r="A259">
            <v>39527</v>
          </cell>
          <cell r="B259">
            <v>39527</v>
          </cell>
          <cell r="C259" t="str">
            <v>Past</v>
          </cell>
          <cell r="D259">
            <v>49.84</v>
          </cell>
          <cell r="E259" t="e">
            <v>#N/A</v>
          </cell>
          <cell r="F259" t="e">
            <v>#N/A</v>
          </cell>
          <cell r="G259" t="e">
            <v>#N/A</v>
          </cell>
          <cell r="H259" t="e">
            <v>#N/A</v>
          </cell>
          <cell r="I259" t="e">
            <v>#N/A</v>
          </cell>
          <cell r="J259" t="e">
            <v>#N/A</v>
          </cell>
          <cell r="K259" t="e">
            <v>#N/A</v>
          </cell>
          <cell r="L259" t="e">
            <v>#N/A</v>
          </cell>
          <cell r="M259" t="e">
            <v>#N/A</v>
          </cell>
          <cell r="N259" t="e">
            <v>#N/A</v>
          </cell>
          <cell r="O259" t="e">
            <v>#N/A</v>
          </cell>
          <cell r="P259">
            <v>49.84</v>
          </cell>
          <cell r="Q259">
            <v>9.1662759999999999</v>
          </cell>
          <cell r="R259" t="e">
            <v>#N/A</v>
          </cell>
        </row>
        <row r="260">
          <cell r="A260">
            <v>39531</v>
          </cell>
          <cell r="B260">
            <v>39531</v>
          </cell>
          <cell r="C260" t="str">
            <v>Past</v>
          </cell>
          <cell r="D260">
            <v>50.1</v>
          </cell>
          <cell r="E260" t="e">
            <v>#N/A</v>
          </cell>
          <cell r="F260" t="e">
            <v>#N/A</v>
          </cell>
          <cell r="G260" t="e">
            <v>#N/A</v>
          </cell>
          <cell r="H260" t="e">
            <v>#N/A</v>
          </cell>
          <cell r="I260" t="e">
            <v>#N/A</v>
          </cell>
          <cell r="J260" t="e">
            <v>#N/A</v>
          </cell>
          <cell r="K260" t="e">
            <v>#N/A</v>
          </cell>
          <cell r="L260" t="e">
            <v>#N/A</v>
          </cell>
          <cell r="M260" t="e">
            <v>#N/A</v>
          </cell>
          <cell r="N260" t="e">
            <v>#N/A</v>
          </cell>
          <cell r="O260" t="e">
            <v>#N/A</v>
          </cell>
          <cell r="P260">
            <v>50.1</v>
          </cell>
          <cell r="Q260">
            <v>5.7913179999999995</v>
          </cell>
          <cell r="R260" t="e">
            <v>#N/A</v>
          </cell>
        </row>
        <row r="261">
          <cell r="A261">
            <v>39532</v>
          </cell>
          <cell r="B261">
            <v>39532</v>
          </cell>
          <cell r="C261" t="str">
            <v>Past</v>
          </cell>
          <cell r="D261">
            <v>50.17</v>
          </cell>
          <cell r="E261" t="e">
            <v>#N/A</v>
          </cell>
          <cell r="F261" t="e">
            <v>#N/A</v>
          </cell>
          <cell r="G261" t="e">
            <v>#N/A</v>
          </cell>
          <cell r="H261" t="e">
            <v>#N/A</v>
          </cell>
          <cell r="I261" t="e">
            <v>#N/A</v>
          </cell>
          <cell r="J261" t="e">
            <v>#N/A</v>
          </cell>
          <cell r="K261" t="e">
            <v>#N/A</v>
          </cell>
          <cell r="L261" t="e">
            <v>#N/A</v>
          </cell>
          <cell r="M261" t="e">
            <v>#N/A</v>
          </cell>
          <cell r="N261" t="e">
            <v>#N/A</v>
          </cell>
          <cell r="O261" t="e">
            <v>#N/A</v>
          </cell>
          <cell r="P261">
            <v>50.17</v>
          </cell>
          <cell r="Q261">
            <v>4.5670100000000007</v>
          </cell>
          <cell r="R261" t="e">
            <v>#N/A</v>
          </cell>
        </row>
        <row r="262">
          <cell r="A262">
            <v>39533</v>
          </cell>
          <cell r="B262">
            <v>39533</v>
          </cell>
          <cell r="C262" t="str">
            <v>Past</v>
          </cell>
          <cell r="D262">
            <v>50.19</v>
          </cell>
          <cell r="E262" t="e">
            <v>#N/A</v>
          </cell>
          <cell r="F262" t="e">
            <v>#N/A</v>
          </cell>
          <cell r="G262" t="e">
            <v>#N/A</v>
          </cell>
          <cell r="H262" t="e">
            <v>#N/A</v>
          </cell>
          <cell r="I262" t="e">
            <v>#N/A</v>
          </cell>
          <cell r="J262" t="e">
            <v>#N/A</v>
          </cell>
          <cell r="K262" t="e">
            <v>#N/A</v>
          </cell>
          <cell r="L262" t="e">
            <v>#N/A</v>
          </cell>
          <cell r="M262" t="e">
            <v>#N/A</v>
          </cell>
          <cell r="N262" t="e">
            <v>#N/A</v>
          </cell>
          <cell r="O262" t="e">
            <v>#N/A</v>
          </cell>
          <cell r="P262">
            <v>50.19</v>
          </cell>
          <cell r="Q262">
            <v>6.3212000000000002</v>
          </cell>
          <cell r="R262" t="e">
            <v>#N/A</v>
          </cell>
        </row>
        <row r="263">
          <cell r="A263">
            <v>39534</v>
          </cell>
          <cell r="B263">
            <v>39534</v>
          </cell>
          <cell r="C263" t="str">
            <v>Past</v>
          </cell>
          <cell r="D263">
            <v>50.43</v>
          </cell>
          <cell r="E263" t="e">
            <v>#N/A</v>
          </cell>
          <cell r="F263" t="e">
            <v>#N/A</v>
          </cell>
          <cell r="G263" t="e">
            <v>#N/A</v>
          </cell>
          <cell r="H263" t="e">
            <v>#N/A</v>
          </cell>
          <cell r="I263" t="e">
            <v>#N/A</v>
          </cell>
          <cell r="J263" t="e">
            <v>#N/A</v>
          </cell>
          <cell r="K263" t="e">
            <v>#N/A</v>
          </cell>
          <cell r="L263" t="e">
            <v>#N/A</v>
          </cell>
          <cell r="M263" t="e">
            <v>#N/A</v>
          </cell>
          <cell r="N263" t="e">
            <v>#N/A</v>
          </cell>
          <cell r="O263" t="e">
            <v>#N/A</v>
          </cell>
          <cell r="P263">
            <v>50.43</v>
          </cell>
          <cell r="Q263">
            <v>4.9405919999999997</v>
          </cell>
          <cell r="R263" t="e">
            <v>#N/A</v>
          </cell>
        </row>
        <row r="264">
          <cell r="A264">
            <v>39535</v>
          </cell>
          <cell r="B264">
            <v>39535</v>
          </cell>
          <cell r="C264" t="str">
            <v>Past</v>
          </cell>
          <cell r="D264">
            <v>50.29</v>
          </cell>
          <cell r="E264" t="e">
            <v>#N/A</v>
          </cell>
          <cell r="F264" t="e">
            <v>#N/A</v>
          </cell>
          <cell r="G264" t="e">
            <v>#N/A</v>
          </cell>
          <cell r="H264" t="e">
            <v>#N/A</v>
          </cell>
          <cell r="I264" t="e">
            <v>#N/A</v>
          </cell>
          <cell r="J264" t="e">
            <v>#N/A</v>
          </cell>
          <cell r="K264" t="e">
            <v>#N/A</v>
          </cell>
          <cell r="L264" t="e">
            <v>#N/A</v>
          </cell>
          <cell r="M264" t="e">
            <v>#N/A</v>
          </cell>
          <cell r="N264" t="e">
            <v>#N/A</v>
          </cell>
          <cell r="O264" t="e">
            <v>#N/A</v>
          </cell>
          <cell r="P264">
            <v>50.29</v>
          </cell>
          <cell r="Q264">
            <v>5.3374350000000002</v>
          </cell>
          <cell r="R264" t="e">
            <v>#N/A</v>
          </cell>
        </row>
        <row r="265">
          <cell r="A265">
            <v>39538</v>
          </cell>
          <cell r="B265">
            <v>39538</v>
          </cell>
          <cell r="C265" t="str">
            <v>Past</v>
          </cell>
          <cell r="D265">
            <v>51.59</v>
          </cell>
          <cell r="E265" t="e">
            <v>#N/A</v>
          </cell>
          <cell r="F265" t="e">
            <v>#N/A</v>
          </cell>
          <cell r="G265" t="e">
            <v>#N/A</v>
          </cell>
          <cell r="H265" t="e">
            <v>#N/A</v>
          </cell>
          <cell r="I265" t="e">
            <v>#N/A</v>
          </cell>
          <cell r="J265" t="e">
            <v>#N/A</v>
          </cell>
          <cell r="K265" t="e">
            <v>#N/A</v>
          </cell>
          <cell r="L265" t="e">
            <v>#N/A</v>
          </cell>
          <cell r="M265" t="e">
            <v>#N/A</v>
          </cell>
          <cell r="N265" t="e">
            <v>#N/A</v>
          </cell>
          <cell r="O265" t="e">
            <v>#N/A</v>
          </cell>
          <cell r="P265">
            <v>51.59</v>
          </cell>
          <cell r="Q265">
            <v>8.4783720000000002</v>
          </cell>
          <cell r="R265" t="e">
            <v>#N/A</v>
          </cell>
        </row>
        <row r="266">
          <cell r="A266">
            <v>39539</v>
          </cell>
          <cell r="B266">
            <v>39539</v>
          </cell>
          <cell r="C266" t="str">
            <v>Past</v>
          </cell>
          <cell r="D266">
            <v>52.03</v>
          </cell>
          <cell r="E266" t="e">
            <v>#N/A</v>
          </cell>
          <cell r="F266" t="e">
            <v>#N/A</v>
          </cell>
          <cell r="G266" t="e">
            <v>#N/A</v>
          </cell>
          <cell r="H266" t="e">
            <v>#N/A</v>
          </cell>
          <cell r="I266" t="e">
            <v>#N/A</v>
          </cell>
          <cell r="J266" t="e">
            <v>#N/A</v>
          </cell>
          <cell r="K266" t="e">
            <v>#N/A</v>
          </cell>
          <cell r="L266" t="e">
            <v>#N/A</v>
          </cell>
          <cell r="M266" t="e">
            <v>#N/A</v>
          </cell>
          <cell r="N266" t="e">
            <v>#N/A</v>
          </cell>
          <cell r="O266" t="e">
            <v>#N/A</v>
          </cell>
          <cell r="P266">
            <v>52.03</v>
          </cell>
          <cell r="Q266">
            <v>7.230181</v>
          </cell>
          <cell r="R266" t="e">
            <v>#N/A</v>
          </cell>
        </row>
        <row r="267">
          <cell r="A267">
            <v>39540</v>
          </cell>
          <cell r="B267">
            <v>39540</v>
          </cell>
          <cell r="C267" t="str">
            <v>Past</v>
          </cell>
          <cell r="D267">
            <v>51.76</v>
          </cell>
          <cell r="E267" t="e">
            <v>#N/A</v>
          </cell>
          <cell r="F267" t="e">
            <v>#N/A</v>
          </cell>
          <cell r="G267" t="e">
            <v>#N/A</v>
          </cell>
          <cell r="H267" t="e">
            <v>#N/A</v>
          </cell>
          <cell r="I267" t="e">
            <v>#N/A</v>
          </cell>
          <cell r="J267" t="e">
            <v>#N/A</v>
          </cell>
          <cell r="K267" t="e">
            <v>#N/A</v>
          </cell>
          <cell r="L267" t="e">
            <v>#N/A</v>
          </cell>
          <cell r="M267" t="e">
            <v>#N/A</v>
          </cell>
          <cell r="N267" t="e">
            <v>#N/A</v>
          </cell>
          <cell r="O267" t="e">
            <v>#N/A</v>
          </cell>
          <cell r="P267">
            <v>51.76</v>
          </cell>
          <cell r="Q267">
            <v>5.5314839999999998</v>
          </cell>
          <cell r="R267" t="e">
            <v>#N/A</v>
          </cell>
        </row>
        <row r="268">
          <cell r="A268">
            <v>39541</v>
          </cell>
          <cell r="B268">
            <v>39541</v>
          </cell>
          <cell r="C268" t="str">
            <v>Past</v>
          </cell>
          <cell r="D268">
            <v>51.8</v>
          </cell>
          <cell r="E268" t="e">
            <v>#N/A</v>
          </cell>
          <cell r="F268" t="e">
            <v>#N/A</v>
          </cell>
          <cell r="G268" t="e">
            <v>#N/A</v>
          </cell>
          <cell r="H268" t="e">
            <v>#N/A</v>
          </cell>
          <cell r="I268" t="e">
            <v>#N/A</v>
          </cell>
          <cell r="J268" t="e">
            <v>#N/A</v>
          </cell>
          <cell r="K268" t="e">
            <v>#N/A</v>
          </cell>
          <cell r="L268" t="e">
            <v>#N/A</v>
          </cell>
          <cell r="M268" t="e">
            <v>#N/A</v>
          </cell>
          <cell r="N268" t="e">
            <v>#N/A</v>
          </cell>
          <cell r="O268" t="e">
            <v>#N/A</v>
          </cell>
          <cell r="P268">
            <v>51.8</v>
          </cell>
          <cell r="Q268">
            <v>5.0750000000000002</v>
          </cell>
          <cell r="R268" t="e">
            <v>#N/A</v>
          </cell>
        </row>
        <row r="269">
          <cell r="A269">
            <v>39542</v>
          </cell>
          <cell r="B269">
            <v>39542</v>
          </cell>
          <cell r="C269" t="str">
            <v>Past</v>
          </cell>
          <cell r="D269">
            <v>52.28</v>
          </cell>
          <cell r="E269" t="e">
            <v>#N/A</v>
          </cell>
          <cell r="F269" t="e">
            <v>#N/A</v>
          </cell>
          <cell r="G269" t="e">
            <v>#N/A</v>
          </cell>
          <cell r="H269" t="e">
            <v>#N/A</v>
          </cell>
          <cell r="I269" t="e">
            <v>#N/A</v>
          </cell>
          <cell r="J269" t="e">
            <v>#N/A</v>
          </cell>
          <cell r="K269" t="e">
            <v>#N/A</v>
          </cell>
          <cell r="L269" t="e">
            <v>#N/A</v>
          </cell>
          <cell r="M269" t="e">
            <v>#N/A</v>
          </cell>
          <cell r="N269" t="e">
            <v>#N/A</v>
          </cell>
          <cell r="O269" t="e">
            <v>#N/A</v>
          </cell>
          <cell r="P269">
            <v>52.28</v>
          </cell>
          <cell r="Q269">
            <v>5.583723</v>
          </cell>
          <cell r="R269" t="e">
            <v>#N/A</v>
          </cell>
        </row>
        <row r="270">
          <cell r="A270">
            <v>39545</v>
          </cell>
          <cell r="B270">
            <v>39545</v>
          </cell>
          <cell r="C270" t="str">
            <v>Past</v>
          </cell>
          <cell r="D270">
            <v>53.06</v>
          </cell>
          <cell r="E270" t="e">
            <v>#N/A</v>
          </cell>
          <cell r="F270" t="e">
            <v>#N/A</v>
          </cell>
          <cell r="G270" t="e">
            <v>#N/A</v>
          </cell>
          <cell r="H270" t="e">
            <v>#N/A</v>
          </cell>
          <cell r="I270" t="e">
            <v>#N/A</v>
          </cell>
          <cell r="J270" t="e">
            <v>#N/A</v>
          </cell>
          <cell r="K270" t="e">
            <v>#N/A</v>
          </cell>
          <cell r="L270" t="e">
            <v>#N/A</v>
          </cell>
          <cell r="M270" t="e">
            <v>#N/A</v>
          </cell>
          <cell r="N270" t="e">
            <v>#N/A</v>
          </cell>
          <cell r="O270" t="e">
            <v>#N/A</v>
          </cell>
          <cell r="P270">
            <v>53.06</v>
          </cell>
          <cell r="Q270">
            <v>6.1278569999999997</v>
          </cell>
          <cell r="R270" t="e">
            <v>#N/A</v>
          </cell>
        </row>
        <row r="271">
          <cell r="A271">
            <v>39546</v>
          </cell>
          <cell r="B271">
            <v>39546</v>
          </cell>
          <cell r="C271" t="str">
            <v>Past</v>
          </cell>
          <cell r="D271">
            <v>52.3</v>
          </cell>
          <cell r="E271" t="e">
            <v>#N/A</v>
          </cell>
          <cell r="F271" t="e">
            <v>#N/A</v>
          </cell>
          <cell r="G271" t="e">
            <v>#N/A</v>
          </cell>
          <cell r="H271" t="e">
            <v>#N/A</v>
          </cell>
          <cell r="I271" t="e">
            <v>#N/A</v>
          </cell>
          <cell r="J271" t="e">
            <v>#N/A</v>
          </cell>
          <cell r="K271" t="e">
            <v>#N/A</v>
          </cell>
          <cell r="L271" t="e">
            <v>#N/A</v>
          </cell>
          <cell r="M271" t="e">
            <v>#N/A</v>
          </cell>
          <cell r="N271" t="e">
            <v>#N/A</v>
          </cell>
          <cell r="O271" t="e">
            <v>#N/A</v>
          </cell>
          <cell r="P271">
            <v>52.3</v>
          </cell>
          <cell r="Q271">
            <v>4.8953959999999999</v>
          </cell>
          <cell r="R271" t="e">
            <v>#N/A</v>
          </cell>
        </row>
        <row r="272">
          <cell r="A272">
            <v>39547</v>
          </cell>
          <cell r="B272">
            <v>39547</v>
          </cell>
          <cell r="C272" t="str">
            <v>Past</v>
          </cell>
          <cell r="D272">
            <v>51.77</v>
          </cell>
          <cell r="E272" t="e">
            <v>#N/A</v>
          </cell>
          <cell r="F272" t="e">
            <v>#N/A</v>
          </cell>
          <cell r="G272" t="e">
            <v>#N/A</v>
          </cell>
          <cell r="H272" t="e">
            <v>#N/A</v>
          </cell>
          <cell r="I272" t="e">
            <v>#N/A</v>
          </cell>
          <cell r="J272" t="e">
            <v>#N/A</v>
          </cell>
          <cell r="K272" t="e">
            <v>#N/A</v>
          </cell>
          <cell r="L272" t="e">
            <v>#N/A</v>
          </cell>
          <cell r="M272" t="e">
            <v>#N/A</v>
          </cell>
          <cell r="N272" t="e">
            <v>#N/A</v>
          </cell>
          <cell r="O272" t="e">
            <v>#N/A</v>
          </cell>
          <cell r="P272">
            <v>51.77</v>
          </cell>
          <cell r="Q272">
            <v>5.0903510000000001</v>
          </cell>
          <cell r="R272" t="e">
            <v>#N/A</v>
          </cell>
        </row>
        <row r="273">
          <cell r="A273">
            <v>39548</v>
          </cell>
          <cell r="B273">
            <v>39548</v>
          </cell>
          <cell r="C273" t="str">
            <v>Past</v>
          </cell>
          <cell r="D273">
            <v>52.39</v>
          </cell>
          <cell r="E273" t="e">
            <v>#N/A</v>
          </cell>
          <cell r="F273" t="e">
            <v>#N/A</v>
          </cell>
          <cell r="G273" t="e">
            <v>#N/A</v>
          </cell>
          <cell r="H273" t="e">
            <v>#N/A</v>
          </cell>
          <cell r="I273" t="e">
            <v>#N/A</v>
          </cell>
          <cell r="J273" t="e">
            <v>#N/A</v>
          </cell>
          <cell r="K273" t="e">
            <v>#N/A</v>
          </cell>
          <cell r="L273" t="e">
            <v>#N/A</v>
          </cell>
          <cell r="M273" t="e">
            <v>#N/A</v>
          </cell>
          <cell r="N273" t="e">
            <v>#N/A</v>
          </cell>
          <cell r="O273" t="e">
            <v>#N/A</v>
          </cell>
          <cell r="P273">
            <v>52.39</v>
          </cell>
          <cell r="Q273">
            <v>5.4585059999999999</v>
          </cell>
          <cell r="R273" t="e">
            <v>#N/A</v>
          </cell>
        </row>
        <row r="274">
          <cell r="A274">
            <v>39549</v>
          </cell>
          <cell r="B274">
            <v>39549</v>
          </cell>
          <cell r="C274" t="str">
            <v>Past</v>
          </cell>
          <cell r="D274">
            <v>51.93</v>
          </cell>
          <cell r="E274" t="e">
            <v>#N/A</v>
          </cell>
          <cell r="F274" t="e">
            <v>#N/A</v>
          </cell>
          <cell r="G274" t="e">
            <v>#N/A</v>
          </cell>
          <cell r="H274" t="e">
            <v>#N/A</v>
          </cell>
          <cell r="I274" t="e">
            <v>#N/A</v>
          </cell>
          <cell r="J274" t="e">
            <v>#N/A</v>
          </cell>
          <cell r="K274" t="e">
            <v>#N/A</v>
          </cell>
          <cell r="L274" t="e">
            <v>#N/A</v>
          </cell>
          <cell r="M274" t="e">
            <v>#N/A</v>
          </cell>
          <cell r="N274" t="e">
            <v>#N/A</v>
          </cell>
          <cell r="O274" t="e">
            <v>#N/A</v>
          </cell>
          <cell r="P274">
            <v>51.93</v>
          </cell>
          <cell r="Q274">
            <v>5.3465759999999998</v>
          </cell>
          <cell r="R274" t="e">
            <v>#N/A</v>
          </cell>
        </row>
        <row r="275">
          <cell r="A275">
            <v>39552</v>
          </cell>
          <cell r="B275">
            <v>39552</v>
          </cell>
          <cell r="C275" t="str">
            <v>Past</v>
          </cell>
          <cell r="D275">
            <v>51.82</v>
          </cell>
          <cell r="E275" t="e">
            <v>#N/A</v>
          </cell>
          <cell r="F275" t="e">
            <v>#N/A</v>
          </cell>
          <cell r="G275" t="e">
            <v>#N/A</v>
          </cell>
          <cell r="H275" t="e">
            <v>#N/A</v>
          </cell>
          <cell r="I275" t="e">
            <v>#N/A</v>
          </cell>
          <cell r="J275" t="e">
            <v>#N/A</v>
          </cell>
          <cell r="K275" t="e">
            <v>#N/A</v>
          </cell>
          <cell r="L275" t="e">
            <v>#N/A</v>
          </cell>
          <cell r="M275" t="e">
            <v>#N/A</v>
          </cell>
          <cell r="N275" t="e">
            <v>#N/A</v>
          </cell>
          <cell r="O275" t="e">
            <v>#N/A</v>
          </cell>
          <cell r="P275">
            <v>51.82</v>
          </cell>
          <cell r="Q275">
            <v>4.8003</v>
          </cell>
          <cell r="R275" t="e">
            <v>#N/A</v>
          </cell>
        </row>
        <row r="276">
          <cell r="A276">
            <v>39553</v>
          </cell>
          <cell r="B276">
            <v>39553</v>
          </cell>
          <cell r="C276" t="str">
            <v>Past</v>
          </cell>
          <cell r="D276">
            <v>51.55</v>
          </cell>
          <cell r="E276" t="e">
            <v>#N/A</v>
          </cell>
          <cell r="F276" t="e">
            <v>#N/A</v>
          </cell>
          <cell r="G276" t="e">
            <v>#N/A</v>
          </cell>
          <cell r="H276" t="e">
            <v>#N/A</v>
          </cell>
          <cell r="I276" t="e">
            <v>#N/A</v>
          </cell>
          <cell r="J276" t="e">
            <v>#N/A</v>
          </cell>
          <cell r="K276" t="e">
            <v>#N/A</v>
          </cell>
          <cell r="L276" t="e">
            <v>#N/A</v>
          </cell>
          <cell r="M276" t="e">
            <v>#N/A</v>
          </cell>
          <cell r="N276" t="e">
            <v>#N/A</v>
          </cell>
          <cell r="O276" t="e">
            <v>#N/A</v>
          </cell>
          <cell r="P276">
            <v>51.55</v>
          </cell>
          <cell r="Q276">
            <v>5.6022179999999997</v>
          </cell>
          <cell r="R276" t="e">
            <v>#N/A</v>
          </cell>
        </row>
        <row r="277">
          <cell r="A277">
            <v>39554</v>
          </cell>
          <cell r="B277">
            <v>39554</v>
          </cell>
          <cell r="C277" t="str">
            <v>Past</v>
          </cell>
          <cell r="D277">
            <v>52.55</v>
          </cell>
          <cell r="E277" t="e">
            <v>#N/A</v>
          </cell>
          <cell r="F277" t="e">
            <v>#N/A</v>
          </cell>
          <cell r="G277" t="e">
            <v>#N/A</v>
          </cell>
          <cell r="H277" t="e">
            <v>#N/A</v>
          </cell>
          <cell r="I277" t="e">
            <v>#N/A</v>
          </cell>
          <cell r="J277" t="e">
            <v>#N/A</v>
          </cell>
          <cell r="K277" t="e">
            <v>#N/A</v>
          </cell>
          <cell r="L277" t="e">
            <v>#N/A</v>
          </cell>
          <cell r="M277" t="e">
            <v>#N/A</v>
          </cell>
          <cell r="N277" t="e">
            <v>#N/A</v>
          </cell>
          <cell r="O277" t="e">
            <v>#N/A</v>
          </cell>
          <cell r="P277">
            <v>52.55</v>
          </cell>
          <cell r="Q277">
            <v>4.3013560000000002</v>
          </cell>
          <cell r="R277" t="e">
            <v>#N/A</v>
          </cell>
        </row>
        <row r="278">
          <cell r="A278">
            <v>39555</v>
          </cell>
          <cell r="B278">
            <v>39555</v>
          </cell>
          <cell r="C278" t="str">
            <v>Past</v>
          </cell>
          <cell r="D278">
            <v>51.39</v>
          </cell>
          <cell r="E278" t="e">
            <v>#N/A</v>
          </cell>
          <cell r="F278" t="e">
            <v>#N/A</v>
          </cell>
          <cell r="G278" t="e">
            <v>#N/A</v>
          </cell>
          <cell r="H278" t="e">
            <v>#N/A</v>
          </cell>
          <cell r="I278" t="e">
            <v>#N/A</v>
          </cell>
          <cell r="J278" t="e">
            <v>#N/A</v>
          </cell>
          <cell r="K278" t="e">
            <v>#N/A</v>
          </cell>
          <cell r="L278" t="e">
            <v>#N/A</v>
          </cell>
          <cell r="M278" t="e">
            <v>#N/A</v>
          </cell>
          <cell r="N278" t="e">
            <v>#N/A</v>
          </cell>
          <cell r="O278" t="e">
            <v>#N/A</v>
          </cell>
          <cell r="P278">
            <v>51.39</v>
          </cell>
          <cell r="Q278">
            <v>6.9287829999999992</v>
          </cell>
          <cell r="R278" t="e">
            <v>#N/A</v>
          </cell>
        </row>
        <row r="279">
          <cell r="A279">
            <v>39556</v>
          </cell>
          <cell r="B279">
            <v>39556</v>
          </cell>
          <cell r="C279" t="str">
            <v>Past</v>
          </cell>
          <cell r="D279">
            <v>52.07</v>
          </cell>
          <cell r="E279" t="e">
            <v>#N/A</v>
          </cell>
          <cell r="F279" t="e">
            <v>#N/A</v>
          </cell>
          <cell r="G279" t="e">
            <v>#N/A</v>
          </cell>
          <cell r="H279" t="e">
            <v>#N/A</v>
          </cell>
          <cell r="I279" t="e">
            <v>#N/A</v>
          </cell>
          <cell r="J279" t="e">
            <v>#N/A</v>
          </cell>
          <cell r="K279" t="e">
            <v>#N/A</v>
          </cell>
          <cell r="L279" t="e">
            <v>#N/A</v>
          </cell>
          <cell r="M279" t="e">
            <v>#N/A</v>
          </cell>
          <cell r="N279" t="e">
            <v>#N/A</v>
          </cell>
          <cell r="O279" t="e">
            <v>#N/A</v>
          </cell>
          <cell r="P279">
            <v>52.07</v>
          </cell>
          <cell r="Q279">
            <v>6.2235579999999997</v>
          </cell>
          <cell r="R279" t="e">
            <v>#N/A</v>
          </cell>
        </row>
        <row r="280">
          <cell r="A280">
            <v>39559</v>
          </cell>
          <cell r="B280">
            <v>39559</v>
          </cell>
          <cell r="C280" t="str">
            <v>Past</v>
          </cell>
          <cell r="D280">
            <v>49.59</v>
          </cell>
          <cell r="E280" t="e">
            <v>#N/A</v>
          </cell>
          <cell r="F280" t="e">
            <v>#N/A</v>
          </cell>
          <cell r="G280" t="e">
            <v>#N/A</v>
          </cell>
          <cell r="H280" t="e">
            <v>#N/A</v>
          </cell>
          <cell r="I280" t="e">
            <v>#N/A</v>
          </cell>
          <cell r="J280" t="e">
            <v>#N/A</v>
          </cell>
          <cell r="K280" t="e">
            <v>#N/A</v>
          </cell>
          <cell r="L280" t="e">
            <v>#N/A</v>
          </cell>
          <cell r="M280" t="e">
            <v>#N/A</v>
          </cell>
          <cell r="N280" t="e">
            <v>#N/A</v>
          </cell>
          <cell r="O280" t="e">
            <v>#N/A</v>
          </cell>
          <cell r="P280">
            <v>49.59</v>
          </cell>
          <cell r="Q280">
            <v>10.13949</v>
          </cell>
          <cell r="R280" t="e">
            <v>#N/A</v>
          </cell>
        </row>
        <row r="281">
          <cell r="A281">
            <v>39560</v>
          </cell>
          <cell r="B281">
            <v>39560</v>
          </cell>
          <cell r="C281" t="str">
            <v>Past</v>
          </cell>
          <cell r="D281">
            <v>49.05</v>
          </cell>
          <cell r="E281" t="e">
            <v>#N/A</v>
          </cell>
          <cell r="F281" t="e">
            <v>#N/A</v>
          </cell>
          <cell r="G281" t="e">
            <v>#N/A</v>
          </cell>
          <cell r="H281" t="e">
            <v>#N/A</v>
          </cell>
          <cell r="I281" t="e">
            <v>#N/A</v>
          </cell>
          <cell r="J281" t="e">
            <v>#N/A</v>
          </cell>
          <cell r="K281" t="e">
            <v>#N/A</v>
          </cell>
          <cell r="L281" t="e">
            <v>#N/A</v>
          </cell>
          <cell r="M281" t="e">
            <v>#N/A</v>
          </cell>
          <cell r="N281" t="e">
            <v>#N/A</v>
          </cell>
          <cell r="O281" t="e">
            <v>#N/A</v>
          </cell>
          <cell r="P281">
            <v>49.05</v>
          </cell>
          <cell r="Q281">
            <v>8.5261739999999993</v>
          </cell>
          <cell r="R281" t="e">
            <v>#N/A</v>
          </cell>
        </row>
        <row r="282">
          <cell r="A282">
            <v>39561</v>
          </cell>
          <cell r="B282">
            <v>39561</v>
          </cell>
          <cell r="C282" t="str">
            <v>Past</v>
          </cell>
          <cell r="D282">
            <v>49.19</v>
          </cell>
          <cell r="E282" t="e">
            <v>#N/A</v>
          </cell>
          <cell r="F282" t="e">
            <v>#N/A</v>
          </cell>
          <cell r="G282" t="e">
            <v>#N/A</v>
          </cell>
          <cell r="H282" t="e">
            <v>#N/A</v>
          </cell>
          <cell r="I282" t="e">
            <v>#N/A</v>
          </cell>
          <cell r="J282" t="e">
            <v>#N/A</v>
          </cell>
          <cell r="K282" t="e">
            <v>#N/A</v>
          </cell>
          <cell r="L282" t="e">
            <v>#N/A</v>
          </cell>
          <cell r="M282" t="e">
            <v>#N/A</v>
          </cell>
          <cell r="N282" t="e">
            <v>#N/A</v>
          </cell>
          <cell r="O282" t="e">
            <v>#N/A</v>
          </cell>
          <cell r="P282">
            <v>49.19</v>
          </cell>
          <cell r="Q282">
            <v>6.5452360000000001</v>
          </cell>
          <cell r="R282" t="e">
            <v>#N/A</v>
          </cell>
        </row>
        <row r="283">
          <cell r="A283">
            <v>39562</v>
          </cell>
          <cell r="B283">
            <v>39562</v>
          </cell>
          <cell r="C283" t="str">
            <v>Past</v>
          </cell>
          <cell r="D283">
            <v>49.04</v>
          </cell>
          <cell r="E283" t="e">
            <v>#N/A</v>
          </cell>
          <cell r="F283" t="e">
            <v>#N/A</v>
          </cell>
          <cell r="G283" t="e">
            <v>#N/A</v>
          </cell>
          <cell r="H283" t="e">
            <v>#N/A</v>
          </cell>
          <cell r="I283" t="e">
            <v>#N/A</v>
          </cell>
          <cell r="J283" t="e">
            <v>#N/A</v>
          </cell>
          <cell r="K283" t="e">
            <v>#N/A</v>
          </cell>
          <cell r="L283" t="e">
            <v>#N/A</v>
          </cell>
          <cell r="M283" t="e">
            <v>#N/A</v>
          </cell>
          <cell r="N283" t="e">
            <v>#N/A</v>
          </cell>
          <cell r="O283" t="e">
            <v>#N/A</v>
          </cell>
          <cell r="P283">
            <v>49.04</v>
          </cell>
          <cell r="Q283">
            <v>4.4469729999999998</v>
          </cell>
          <cell r="R283" t="e">
            <v>#N/A</v>
          </cell>
        </row>
        <row r="284">
          <cell r="A284">
            <v>39563</v>
          </cell>
          <cell r="B284">
            <v>39563</v>
          </cell>
          <cell r="C284" t="str">
            <v>Past</v>
          </cell>
          <cell r="D284">
            <v>49.36</v>
          </cell>
          <cell r="E284" t="e">
            <v>#N/A</v>
          </cell>
          <cell r="F284" t="e">
            <v>#N/A</v>
          </cell>
          <cell r="G284" t="e">
            <v>#N/A</v>
          </cell>
          <cell r="H284" t="e">
            <v>#N/A</v>
          </cell>
          <cell r="I284" t="e">
            <v>#N/A</v>
          </cell>
          <cell r="J284" t="e">
            <v>#N/A</v>
          </cell>
          <cell r="K284" t="e">
            <v>#N/A</v>
          </cell>
          <cell r="L284" t="e">
            <v>#N/A</v>
          </cell>
          <cell r="M284" t="e">
            <v>#N/A</v>
          </cell>
          <cell r="N284" t="e">
            <v>#N/A</v>
          </cell>
          <cell r="O284" t="e">
            <v>#N/A</v>
          </cell>
          <cell r="P284">
            <v>49.36</v>
          </cell>
          <cell r="Q284">
            <v>4.609451</v>
          </cell>
          <cell r="R284" t="e">
            <v>#N/A</v>
          </cell>
        </row>
        <row r="285">
          <cell r="A285">
            <v>39566</v>
          </cell>
          <cell r="B285">
            <v>39566</v>
          </cell>
          <cell r="C285" t="str">
            <v>Past</v>
          </cell>
          <cell r="D285">
            <v>49.36</v>
          </cell>
          <cell r="E285" t="e">
            <v>#N/A</v>
          </cell>
          <cell r="F285" t="e">
            <v>#N/A</v>
          </cell>
          <cell r="G285" t="e">
            <v>#N/A</v>
          </cell>
          <cell r="H285" t="e">
            <v>#N/A</v>
          </cell>
          <cell r="I285" t="e">
            <v>#N/A</v>
          </cell>
          <cell r="J285" t="e">
            <v>#N/A</v>
          </cell>
          <cell r="K285" t="e">
            <v>#N/A</v>
          </cell>
          <cell r="L285" t="e">
            <v>#N/A</v>
          </cell>
          <cell r="M285" t="e">
            <v>#N/A</v>
          </cell>
          <cell r="N285" t="e">
            <v>#N/A</v>
          </cell>
          <cell r="O285" t="e">
            <v>#N/A</v>
          </cell>
          <cell r="P285">
            <v>49.36</v>
          </cell>
          <cell r="Q285">
            <v>4.9131529999999994</v>
          </cell>
          <cell r="R285" t="e">
            <v>#N/A</v>
          </cell>
        </row>
        <row r="286">
          <cell r="A286">
            <v>39567</v>
          </cell>
          <cell r="B286">
            <v>39567</v>
          </cell>
          <cell r="C286" t="str">
            <v>Past</v>
          </cell>
          <cell r="D286">
            <v>48.11</v>
          </cell>
          <cell r="E286" t="e">
            <v>#N/A</v>
          </cell>
          <cell r="F286" t="e">
            <v>#N/A</v>
          </cell>
          <cell r="G286" t="e">
            <v>#N/A</v>
          </cell>
          <cell r="H286" t="e">
            <v>#N/A</v>
          </cell>
          <cell r="I286" t="e">
            <v>#N/A</v>
          </cell>
          <cell r="J286" t="e">
            <v>#N/A</v>
          </cell>
          <cell r="K286" t="e">
            <v>#N/A</v>
          </cell>
          <cell r="L286" t="e">
            <v>#N/A</v>
          </cell>
          <cell r="M286" t="e">
            <v>#N/A</v>
          </cell>
          <cell r="N286" t="e">
            <v>#N/A</v>
          </cell>
          <cell r="O286" t="e">
            <v>#N/A</v>
          </cell>
          <cell r="P286">
            <v>48.11</v>
          </cell>
          <cell r="Q286">
            <v>8.5598390000000002</v>
          </cell>
          <cell r="R286" t="e">
            <v>#N/A</v>
          </cell>
        </row>
        <row r="287">
          <cell r="A287">
            <v>39568</v>
          </cell>
          <cell r="B287">
            <v>39568</v>
          </cell>
          <cell r="C287" t="str">
            <v>Past</v>
          </cell>
          <cell r="D287">
            <v>48.14</v>
          </cell>
          <cell r="E287" t="e">
            <v>#N/A</v>
          </cell>
          <cell r="F287" t="e">
            <v>#N/A</v>
          </cell>
          <cell r="G287" t="e">
            <v>#N/A</v>
          </cell>
          <cell r="H287" t="e">
            <v>#N/A</v>
          </cell>
          <cell r="I287" t="e">
            <v>#N/A</v>
          </cell>
          <cell r="J287" t="e">
            <v>#N/A</v>
          </cell>
          <cell r="K287" t="e">
            <v>#N/A</v>
          </cell>
          <cell r="L287" t="e">
            <v>#N/A</v>
          </cell>
          <cell r="M287" t="e">
            <v>#N/A</v>
          </cell>
          <cell r="N287" t="e">
            <v>#N/A</v>
          </cell>
          <cell r="O287" t="e">
            <v>#N/A</v>
          </cell>
          <cell r="P287">
            <v>48.14</v>
          </cell>
          <cell r="Q287">
            <v>6.1428139999999996</v>
          </cell>
          <cell r="R287" t="e">
            <v>#N/A</v>
          </cell>
        </row>
        <row r="288">
          <cell r="A288">
            <v>39569</v>
          </cell>
          <cell r="B288">
            <v>39569</v>
          </cell>
          <cell r="C288" t="str">
            <v>Past</v>
          </cell>
          <cell r="D288">
            <v>49.72</v>
          </cell>
          <cell r="E288" t="e">
            <v>#N/A</v>
          </cell>
          <cell r="F288" t="e">
            <v>#N/A</v>
          </cell>
          <cell r="G288" t="e">
            <v>#N/A</v>
          </cell>
          <cell r="H288" t="e">
            <v>#N/A</v>
          </cell>
          <cell r="I288" t="e">
            <v>#N/A</v>
          </cell>
          <cell r="J288" t="e">
            <v>#N/A</v>
          </cell>
          <cell r="K288" t="e">
            <v>#N/A</v>
          </cell>
          <cell r="L288" t="e">
            <v>#N/A</v>
          </cell>
          <cell r="M288" t="e">
            <v>#N/A</v>
          </cell>
          <cell r="N288" t="e">
            <v>#N/A</v>
          </cell>
          <cell r="O288" t="e">
            <v>#N/A</v>
          </cell>
          <cell r="P288">
            <v>49.72</v>
          </cell>
          <cell r="Q288">
            <v>6.2675000000000001</v>
          </cell>
          <cell r="R288" t="e">
            <v>#N/A</v>
          </cell>
        </row>
        <row r="289">
          <cell r="A289">
            <v>39570</v>
          </cell>
          <cell r="B289">
            <v>39570</v>
          </cell>
          <cell r="C289" t="str">
            <v>Past</v>
          </cell>
          <cell r="D289">
            <v>49.38</v>
          </cell>
          <cell r="E289" t="e">
            <v>#N/A</v>
          </cell>
          <cell r="F289" t="e">
            <v>#N/A</v>
          </cell>
          <cell r="G289" t="e">
            <v>#N/A</v>
          </cell>
          <cell r="H289" t="e">
            <v>#N/A</v>
          </cell>
          <cell r="I289" t="e">
            <v>#N/A</v>
          </cell>
          <cell r="J289" t="e">
            <v>#N/A</v>
          </cell>
          <cell r="K289" t="e">
            <v>#N/A</v>
          </cell>
          <cell r="L289" t="e">
            <v>#N/A</v>
          </cell>
          <cell r="M289" t="e">
            <v>#N/A</v>
          </cell>
          <cell r="N289" t="e">
            <v>#N/A</v>
          </cell>
          <cell r="O289" t="e">
            <v>#N/A</v>
          </cell>
          <cell r="P289">
            <v>49.38</v>
          </cell>
          <cell r="Q289">
            <v>3.6564389999999998</v>
          </cell>
          <cell r="R289" t="e">
            <v>#N/A</v>
          </cell>
        </row>
        <row r="290">
          <cell r="A290">
            <v>39573</v>
          </cell>
          <cell r="B290">
            <v>39573</v>
          </cell>
          <cell r="C290" t="str">
            <v>Past</v>
          </cell>
          <cell r="D290">
            <v>48.99</v>
          </cell>
          <cell r="E290" t="e">
            <v>#N/A</v>
          </cell>
          <cell r="F290" t="e">
            <v>#N/A</v>
          </cell>
          <cell r="G290" t="e">
            <v>#N/A</v>
          </cell>
          <cell r="H290" t="e">
            <v>#N/A</v>
          </cell>
          <cell r="I290" t="e">
            <v>#N/A</v>
          </cell>
          <cell r="J290" t="e">
            <v>#N/A</v>
          </cell>
          <cell r="K290" t="e">
            <v>#N/A</v>
          </cell>
          <cell r="L290" t="e">
            <v>#N/A</v>
          </cell>
          <cell r="M290" t="e">
            <v>#N/A</v>
          </cell>
          <cell r="N290" t="e">
            <v>#N/A</v>
          </cell>
          <cell r="O290" t="e">
            <v>#N/A</v>
          </cell>
          <cell r="P290">
            <v>48.99</v>
          </cell>
          <cell r="Q290">
            <v>3.4593929999999999</v>
          </cell>
          <cell r="R290" t="e">
            <v>#N/A</v>
          </cell>
        </row>
        <row r="291">
          <cell r="A291">
            <v>39574</v>
          </cell>
          <cell r="B291">
            <v>39574</v>
          </cell>
          <cell r="C291" t="str">
            <v>Past</v>
          </cell>
          <cell r="D291">
            <v>48.75</v>
          </cell>
          <cell r="E291" t="e">
            <v>#N/A</v>
          </cell>
          <cell r="F291" t="e">
            <v>#N/A</v>
          </cell>
          <cell r="G291" t="e">
            <v>#N/A</v>
          </cell>
          <cell r="H291" t="e">
            <v>#N/A</v>
          </cell>
          <cell r="I291" t="e">
            <v>#N/A</v>
          </cell>
          <cell r="J291" t="e">
            <v>#N/A</v>
          </cell>
          <cell r="K291" t="e">
            <v>#N/A</v>
          </cell>
          <cell r="L291" t="e">
            <v>#N/A</v>
          </cell>
          <cell r="M291" t="e">
            <v>#N/A</v>
          </cell>
          <cell r="N291" t="e">
            <v>#N/A</v>
          </cell>
          <cell r="O291" t="e">
            <v>#N/A</v>
          </cell>
          <cell r="P291">
            <v>48.75</v>
          </cell>
          <cell r="Q291">
            <v>4.2778359999999997</v>
          </cell>
          <cell r="R291" t="e">
            <v>#N/A</v>
          </cell>
        </row>
        <row r="292">
          <cell r="A292">
            <v>39575</v>
          </cell>
          <cell r="B292">
            <v>39575</v>
          </cell>
          <cell r="C292" t="str">
            <v>Past</v>
          </cell>
          <cell r="D292">
            <v>48.65</v>
          </cell>
          <cell r="E292" t="e">
            <v>#N/A</v>
          </cell>
          <cell r="F292" t="e">
            <v>#N/A</v>
          </cell>
          <cell r="G292" t="e">
            <v>#N/A</v>
          </cell>
          <cell r="H292" t="e">
            <v>#N/A</v>
          </cell>
          <cell r="I292" t="e">
            <v>#N/A</v>
          </cell>
          <cell r="J292" t="e">
            <v>#N/A</v>
          </cell>
          <cell r="K292" t="e">
            <v>#N/A</v>
          </cell>
          <cell r="L292" t="e">
            <v>#N/A</v>
          </cell>
          <cell r="M292" t="e">
            <v>#N/A</v>
          </cell>
          <cell r="N292" t="e">
            <v>#N/A</v>
          </cell>
          <cell r="O292" t="e">
            <v>#N/A</v>
          </cell>
          <cell r="P292">
            <v>48.65</v>
          </cell>
          <cell r="Q292">
            <v>5.5046119999999998</v>
          </cell>
          <cell r="R292" t="e">
            <v>#N/A</v>
          </cell>
        </row>
        <row r="293">
          <cell r="A293">
            <v>39576</v>
          </cell>
          <cell r="B293">
            <v>39576</v>
          </cell>
          <cell r="C293" t="str">
            <v>Past</v>
          </cell>
          <cell r="D293">
            <v>48.43</v>
          </cell>
          <cell r="E293" t="e">
            <v>#N/A</v>
          </cell>
          <cell r="F293" t="e">
            <v>#N/A</v>
          </cell>
          <cell r="G293" t="e">
            <v>#N/A</v>
          </cell>
          <cell r="H293" t="e">
            <v>#N/A</v>
          </cell>
          <cell r="I293" t="e">
            <v>#N/A</v>
          </cell>
          <cell r="J293" t="e">
            <v>#N/A</v>
          </cell>
          <cell r="K293" t="e">
            <v>#N/A</v>
          </cell>
          <cell r="L293" t="e">
            <v>#N/A</v>
          </cell>
          <cell r="M293" t="e">
            <v>#N/A</v>
          </cell>
          <cell r="N293" t="e">
            <v>#N/A</v>
          </cell>
          <cell r="O293" t="e">
            <v>#N/A</v>
          </cell>
          <cell r="P293">
            <v>48.43</v>
          </cell>
          <cell r="Q293">
            <v>5.3023039999999995</v>
          </cell>
          <cell r="R293" t="e">
            <v>#N/A</v>
          </cell>
        </row>
        <row r="294">
          <cell r="A294">
            <v>39577</v>
          </cell>
          <cell r="B294">
            <v>39577</v>
          </cell>
          <cell r="C294" t="str">
            <v>Past</v>
          </cell>
          <cell r="D294">
            <v>48.25</v>
          </cell>
          <cell r="E294" t="e">
            <v>#N/A</v>
          </cell>
          <cell r="F294" t="e">
            <v>#N/A</v>
          </cell>
          <cell r="G294" t="e">
            <v>#N/A</v>
          </cell>
          <cell r="H294" t="e">
            <v>#N/A</v>
          </cell>
          <cell r="I294" t="e">
            <v>#N/A</v>
          </cell>
          <cell r="J294" t="e">
            <v>#N/A</v>
          </cell>
          <cell r="K294" t="e">
            <v>#N/A</v>
          </cell>
          <cell r="L294" t="e">
            <v>#N/A</v>
          </cell>
          <cell r="M294" t="e">
            <v>#N/A</v>
          </cell>
          <cell r="N294" t="e">
            <v>#N/A</v>
          </cell>
          <cell r="O294" t="e">
            <v>#N/A</v>
          </cell>
          <cell r="P294">
            <v>48.25</v>
          </cell>
          <cell r="Q294">
            <v>4.2933690000000002</v>
          </cell>
          <cell r="R294" t="e">
            <v>#N/A</v>
          </cell>
        </row>
        <row r="295">
          <cell r="A295">
            <v>39580</v>
          </cell>
          <cell r="B295">
            <v>39580</v>
          </cell>
          <cell r="C295" t="str">
            <v>Past</v>
          </cell>
          <cell r="D295">
            <v>48.76</v>
          </cell>
          <cell r="E295" t="e">
            <v>#N/A</v>
          </cell>
          <cell r="F295" t="e">
            <v>#N/A</v>
          </cell>
          <cell r="G295" t="e">
            <v>#N/A</v>
          </cell>
          <cell r="H295" t="e">
            <v>#N/A</v>
          </cell>
          <cell r="I295" t="e">
            <v>#N/A</v>
          </cell>
          <cell r="J295" t="e">
            <v>#N/A</v>
          </cell>
          <cell r="K295" t="e">
            <v>#N/A</v>
          </cell>
          <cell r="L295" t="e">
            <v>#N/A</v>
          </cell>
          <cell r="M295" t="e">
            <v>#N/A</v>
          </cell>
          <cell r="N295" t="e">
            <v>#N/A</v>
          </cell>
          <cell r="O295" t="e">
            <v>#N/A</v>
          </cell>
          <cell r="P295">
            <v>48.76</v>
          </cell>
          <cell r="Q295">
            <v>3.5420409999999998</v>
          </cell>
          <cell r="R295" t="e">
            <v>#N/A</v>
          </cell>
        </row>
        <row r="296">
          <cell r="A296">
            <v>39581</v>
          </cell>
          <cell r="B296">
            <v>39581</v>
          </cell>
          <cell r="C296" t="str">
            <v>Past</v>
          </cell>
          <cell r="D296">
            <v>47.55</v>
          </cell>
          <cell r="E296" t="e">
            <v>#N/A</v>
          </cell>
          <cell r="F296" t="e">
            <v>#N/A</v>
          </cell>
          <cell r="G296" t="e">
            <v>#N/A</v>
          </cell>
          <cell r="H296" t="e">
            <v>#N/A</v>
          </cell>
          <cell r="I296" t="e">
            <v>#N/A</v>
          </cell>
          <cell r="J296" t="e">
            <v>#N/A</v>
          </cell>
          <cell r="K296" t="e">
            <v>#N/A</v>
          </cell>
          <cell r="L296" t="e">
            <v>#N/A</v>
          </cell>
          <cell r="M296" t="e">
            <v>#N/A</v>
          </cell>
          <cell r="N296" t="e">
            <v>#N/A</v>
          </cell>
          <cell r="O296" t="e">
            <v>#N/A</v>
          </cell>
          <cell r="P296">
            <v>47.55</v>
          </cell>
          <cell r="Q296">
            <v>5.3672779999999998</v>
          </cell>
          <cell r="R296" t="e">
            <v>#N/A</v>
          </cell>
        </row>
        <row r="297">
          <cell r="A297">
            <v>39582</v>
          </cell>
          <cell r="B297">
            <v>39582</v>
          </cell>
          <cell r="C297" t="str">
            <v>Past</v>
          </cell>
          <cell r="D297">
            <v>48.3</v>
          </cell>
          <cell r="E297" t="e">
            <v>#N/A</v>
          </cell>
          <cell r="F297" t="e">
            <v>#N/A</v>
          </cell>
          <cell r="G297" t="e">
            <v>#N/A</v>
          </cell>
          <cell r="H297" t="e">
            <v>#N/A</v>
          </cell>
          <cell r="I297" t="e">
            <v>#N/A</v>
          </cell>
          <cell r="J297" t="e">
            <v>#N/A</v>
          </cell>
          <cell r="K297" t="e">
            <v>#N/A</v>
          </cell>
          <cell r="L297" t="e">
            <v>#N/A</v>
          </cell>
          <cell r="M297" t="e">
            <v>#N/A</v>
          </cell>
          <cell r="N297" t="e">
            <v>#N/A</v>
          </cell>
          <cell r="O297" t="e">
            <v>#N/A</v>
          </cell>
          <cell r="P297">
            <v>48.3</v>
          </cell>
          <cell r="Q297">
            <v>4.3714700000000004</v>
          </cell>
          <cell r="R297" t="e">
            <v>#N/A</v>
          </cell>
        </row>
        <row r="298">
          <cell r="A298">
            <v>39583</v>
          </cell>
          <cell r="B298">
            <v>39583</v>
          </cell>
          <cell r="C298" t="str">
            <v>Past</v>
          </cell>
          <cell r="D298">
            <v>48.67</v>
          </cell>
          <cell r="E298" t="e">
            <v>#N/A</v>
          </cell>
          <cell r="F298" t="e">
            <v>#N/A</v>
          </cell>
          <cell r="G298" t="e">
            <v>#N/A</v>
          </cell>
          <cell r="H298" t="e">
            <v>#N/A</v>
          </cell>
          <cell r="I298" t="e">
            <v>#N/A</v>
          </cell>
          <cell r="J298" t="e">
            <v>#N/A</v>
          </cell>
          <cell r="K298" t="e">
            <v>#N/A</v>
          </cell>
          <cell r="L298" t="e">
            <v>#N/A</v>
          </cell>
          <cell r="M298" t="e">
            <v>#N/A</v>
          </cell>
          <cell r="N298" t="e">
            <v>#N/A</v>
          </cell>
          <cell r="O298" t="e">
            <v>#N/A</v>
          </cell>
          <cell r="P298">
            <v>48.67</v>
          </cell>
          <cell r="Q298">
            <v>5.1942259999999996</v>
          </cell>
          <cell r="R298" t="e">
            <v>#N/A</v>
          </cell>
        </row>
        <row r="299">
          <cell r="A299">
            <v>39584</v>
          </cell>
          <cell r="B299">
            <v>39584</v>
          </cell>
          <cell r="C299" t="str">
            <v>Past</v>
          </cell>
          <cell r="D299">
            <v>48.95</v>
          </cell>
          <cell r="E299" t="e">
            <v>#N/A</v>
          </cell>
          <cell r="F299" t="e">
            <v>#N/A</v>
          </cell>
          <cell r="G299" t="e">
            <v>#N/A</v>
          </cell>
          <cell r="H299" t="e">
            <v>#N/A</v>
          </cell>
          <cell r="I299" t="e">
            <v>#N/A</v>
          </cell>
          <cell r="J299" t="e">
            <v>#N/A</v>
          </cell>
          <cell r="K299" t="e">
            <v>#N/A</v>
          </cell>
          <cell r="L299" t="e">
            <v>#N/A</v>
          </cell>
          <cell r="M299" t="e">
            <v>#N/A</v>
          </cell>
          <cell r="N299" t="e">
            <v>#N/A</v>
          </cell>
          <cell r="O299" t="e">
            <v>#N/A</v>
          </cell>
          <cell r="P299">
            <v>48.95</v>
          </cell>
          <cell r="Q299">
            <v>5.1961449999999996</v>
          </cell>
          <cell r="R299" t="e">
            <v>#N/A</v>
          </cell>
        </row>
        <row r="300">
          <cell r="A300">
            <v>39587</v>
          </cell>
          <cell r="B300">
            <v>39587</v>
          </cell>
          <cell r="C300" t="str">
            <v>Past</v>
          </cell>
          <cell r="D300">
            <v>49.53</v>
          </cell>
          <cell r="E300" t="e">
            <v>#N/A</v>
          </cell>
          <cell r="F300" t="e">
            <v>#N/A</v>
          </cell>
          <cell r="G300" t="e">
            <v>#N/A</v>
          </cell>
          <cell r="H300" t="e">
            <v>#N/A</v>
          </cell>
          <cell r="I300" t="e">
            <v>#N/A</v>
          </cell>
          <cell r="J300" t="e">
            <v>#N/A</v>
          </cell>
          <cell r="K300" t="e">
            <v>#N/A</v>
          </cell>
          <cell r="L300" t="e">
            <v>#N/A</v>
          </cell>
          <cell r="M300" t="e">
            <v>#N/A</v>
          </cell>
          <cell r="N300" t="e">
            <v>#N/A</v>
          </cell>
          <cell r="O300" t="e">
            <v>#N/A</v>
          </cell>
          <cell r="P300">
            <v>49.53</v>
          </cell>
          <cell r="Q300">
            <v>3.7795079999999999</v>
          </cell>
          <cell r="R300" t="e">
            <v>#N/A</v>
          </cell>
        </row>
        <row r="301">
          <cell r="A301">
            <v>39588</v>
          </cell>
          <cell r="B301">
            <v>39588</v>
          </cell>
          <cell r="C301" t="str">
            <v>Past</v>
          </cell>
          <cell r="D301">
            <v>48.96</v>
          </cell>
          <cell r="E301" t="e">
            <v>#N/A</v>
          </cell>
          <cell r="F301" t="e">
            <v>#N/A</v>
          </cell>
          <cell r="G301" t="e">
            <v>#N/A</v>
          </cell>
          <cell r="H301" t="e">
            <v>#N/A</v>
          </cell>
          <cell r="I301" t="e">
            <v>#N/A</v>
          </cell>
          <cell r="J301" t="e">
            <v>#N/A</v>
          </cell>
          <cell r="K301" t="e">
            <v>#N/A</v>
          </cell>
          <cell r="L301" t="e">
            <v>#N/A</v>
          </cell>
          <cell r="M301" t="e">
            <v>#N/A</v>
          </cell>
          <cell r="N301" t="e">
            <v>#N/A</v>
          </cell>
          <cell r="O301" t="e">
            <v>#N/A</v>
          </cell>
          <cell r="P301">
            <v>48.96</v>
          </cell>
          <cell r="Q301">
            <v>4.1332800000000001</v>
          </cell>
          <cell r="R301" t="e">
            <v>#N/A</v>
          </cell>
        </row>
        <row r="302">
          <cell r="A302">
            <v>39589</v>
          </cell>
          <cell r="B302">
            <v>39589</v>
          </cell>
          <cell r="C302" t="str">
            <v>Past</v>
          </cell>
          <cell r="D302">
            <v>48.1</v>
          </cell>
          <cell r="E302" t="e">
            <v>#N/A</v>
          </cell>
          <cell r="F302" t="e">
            <v>#N/A</v>
          </cell>
          <cell r="G302" t="e">
            <v>#N/A</v>
          </cell>
          <cell r="H302" t="e">
            <v>#N/A</v>
          </cell>
          <cell r="I302" t="e">
            <v>#N/A</v>
          </cell>
          <cell r="J302" t="e">
            <v>#N/A</v>
          </cell>
          <cell r="K302" t="e">
            <v>#N/A</v>
          </cell>
          <cell r="L302" t="e">
            <v>#N/A</v>
          </cell>
          <cell r="M302" t="e">
            <v>#N/A</v>
          </cell>
          <cell r="N302" t="e">
            <v>#N/A</v>
          </cell>
          <cell r="O302" t="e">
            <v>#N/A</v>
          </cell>
          <cell r="P302">
            <v>48.1</v>
          </cell>
          <cell r="Q302">
            <v>4.6815200000000008</v>
          </cell>
          <cell r="R302" t="e">
            <v>#N/A</v>
          </cell>
        </row>
        <row r="303">
          <cell r="A303">
            <v>39590</v>
          </cell>
          <cell r="B303">
            <v>39590</v>
          </cell>
          <cell r="C303" t="str">
            <v>Past</v>
          </cell>
          <cell r="D303">
            <v>48.48</v>
          </cell>
          <cell r="E303" t="e">
            <v>#N/A</v>
          </cell>
          <cell r="F303" t="e">
            <v>#N/A</v>
          </cell>
          <cell r="G303" t="e">
            <v>#N/A</v>
          </cell>
          <cell r="H303" t="e">
            <v>#N/A</v>
          </cell>
          <cell r="I303" t="e">
            <v>#N/A</v>
          </cell>
          <cell r="J303" t="e">
            <v>#N/A</v>
          </cell>
          <cell r="K303" t="e">
            <v>#N/A</v>
          </cell>
          <cell r="L303" t="e">
            <v>#N/A</v>
          </cell>
          <cell r="M303" t="e">
            <v>#N/A</v>
          </cell>
          <cell r="N303" t="e">
            <v>#N/A</v>
          </cell>
          <cell r="O303" t="e">
            <v>#N/A</v>
          </cell>
          <cell r="P303">
            <v>48.48</v>
          </cell>
          <cell r="Q303">
            <v>3.1060369999999997</v>
          </cell>
          <cell r="R303" t="e">
            <v>#N/A</v>
          </cell>
        </row>
        <row r="304">
          <cell r="A304">
            <v>39591</v>
          </cell>
          <cell r="B304">
            <v>39591</v>
          </cell>
          <cell r="C304" t="str">
            <v>Past</v>
          </cell>
          <cell r="D304">
            <v>47.57</v>
          </cell>
          <cell r="E304" t="e">
            <v>#N/A</v>
          </cell>
          <cell r="F304" t="e">
            <v>#N/A</v>
          </cell>
          <cell r="G304" t="e">
            <v>#N/A</v>
          </cell>
          <cell r="H304" t="e">
            <v>#N/A</v>
          </cell>
          <cell r="I304" t="e">
            <v>#N/A</v>
          </cell>
          <cell r="J304" t="e">
            <v>#N/A</v>
          </cell>
          <cell r="K304" t="e">
            <v>#N/A</v>
          </cell>
          <cell r="L304" t="e">
            <v>#N/A</v>
          </cell>
          <cell r="M304" t="e">
            <v>#N/A</v>
          </cell>
          <cell r="N304" t="e">
            <v>#N/A</v>
          </cell>
          <cell r="O304" t="e">
            <v>#N/A</v>
          </cell>
          <cell r="P304">
            <v>47.57</v>
          </cell>
          <cell r="Q304">
            <v>3.602738</v>
          </cell>
          <cell r="R304" t="e">
            <v>#N/A</v>
          </cell>
        </row>
        <row r="305">
          <cell r="A305">
            <v>39595</v>
          </cell>
          <cell r="B305">
            <v>39595</v>
          </cell>
          <cell r="C305" t="str">
            <v>Past</v>
          </cell>
          <cell r="D305">
            <v>47.94</v>
          </cell>
          <cell r="E305" t="e">
            <v>#N/A</v>
          </cell>
          <cell r="F305" t="e">
            <v>#N/A</v>
          </cell>
          <cell r="G305" t="e">
            <v>#N/A</v>
          </cell>
          <cell r="H305" t="e">
            <v>#N/A</v>
          </cell>
          <cell r="I305" t="e">
            <v>#N/A</v>
          </cell>
          <cell r="J305" t="e">
            <v>#N/A</v>
          </cell>
          <cell r="K305" t="e">
            <v>#N/A</v>
          </cell>
          <cell r="L305" t="e">
            <v>#N/A</v>
          </cell>
          <cell r="M305" t="e">
            <v>#N/A</v>
          </cell>
          <cell r="N305" t="e">
            <v>#N/A</v>
          </cell>
          <cell r="O305" t="e">
            <v>#N/A</v>
          </cell>
          <cell r="P305">
            <v>47.94</v>
          </cell>
          <cell r="Q305">
            <v>2.9895320000000001</v>
          </cell>
          <cell r="R305" t="e">
            <v>#N/A</v>
          </cell>
        </row>
        <row r="306">
          <cell r="A306">
            <v>39596</v>
          </cell>
          <cell r="B306">
            <v>39596</v>
          </cell>
          <cell r="C306" t="str">
            <v>Past</v>
          </cell>
          <cell r="D306">
            <v>47.85</v>
          </cell>
          <cell r="E306" t="e">
            <v>#N/A</v>
          </cell>
          <cell r="F306" t="e">
            <v>#N/A</v>
          </cell>
          <cell r="G306" t="e">
            <v>#N/A</v>
          </cell>
          <cell r="H306" t="e">
            <v>#N/A</v>
          </cell>
          <cell r="I306" t="e">
            <v>#N/A</v>
          </cell>
          <cell r="J306" t="e">
            <v>#N/A</v>
          </cell>
          <cell r="K306" t="e">
            <v>#N/A</v>
          </cell>
          <cell r="L306" t="e">
            <v>#N/A</v>
          </cell>
          <cell r="M306" t="e">
            <v>#N/A</v>
          </cell>
          <cell r="N306" t="e">
            <v>#N/A</v>
          </cell>
          <cell r="O306" t="e">
            <v>#N/A</v>
          </cell>
          <cell r="P306">
            <v>47.85</v>
          </cell>
          <cell r="Q306">
            <v>3.5206619999999997</v>
          </cell>
          <cell r="R306" t="e">
            <v>#N/A</v>
          </cell>
        </row>
        <row r="307">
          <cell r="A307">
            <v>39597</v>
          </cell>
          <cell r="B307">
            <v>39597</v>
          </cell>
          <cell r="C307" t="str">
            <v>Past</v>
          </cell>
          <cell r="D307">
            <v>48.6</v>
          </cell>
          <cell r="E307" t="e">
            <v>#N/A</v>
          </cell>
          <cell r="F307" t="e">
            <v>#N/A</v>
          </cell>
          <cell r="G307" t="e">
            <v>#N/A</v>
          </cell>
          <cell r="H307" t="e">
            <v>#N/A</v>
          </cell>
          <cell r="I307" t="e">
            <v>#N/A</v>
          </cell>
          <cell r="J307" t="e">
            <v>#N/A</v>
          </cell>
          <cell r="K307" t="e">
            <v>#N/A</v>
          </cell>
          <cell r="L307" t="e">
            <v>#N/A</v>
          </cell>
          <cell r="M307" t="e">
            <v>#N/A</v>
          </cell>
          <cell r="N307" t="e">
            <v>#N/A</v>
          </cell>
          <cell r="O307" t="e">
            <v>#N/A</v>
          </cell>
          <cell r="P307">
            <v>48.6</v>
          </cell>
          <cell r="Q307">
            <v>6.289917</v>
          </cell>
          <cell r="R307" t="e">
            <v>#N/A</v>
          </cell>
        </row>
        <row r="308">
          <cell r="A308">
            <v>39598</v>
          </cell>
          <cell r="B308">
            <v>39598</v>
          </cell>
          <cell r="C308" t="str">
            <v>Past</v>
          </cell>
          <cell r="D308">
            <v>48.14</v>
          </cell>
          <cell r="E308" t="e">
            <v>#N/A</v>
          </cell>
          <cell r="F308" t="e">
            <v>#N/A</v>
          </cell>
          <cell r="G308" t="e">
            <v>#N/A</v>
          </cell>
          <cell r="H308" t="e">
            <v>#N/A</v>
          </cell>
          <cell r="I308" t="e">
            <v>#N/A</v>
          </cell>
          <cell r="J308" t="e">
            <v>#N/A</v>
          </cell>
          <cell r="K308" t="e">
            <v>#N/A</v>
          </cell>
          <cell r="L308" t="e">
            <v>#N/A</v>
          </cell>
          <cell r="M308" t="e">
            <v>#N/A</v>
          </cell>
          <cell r="N308" t="e">
            <v>#N/A</v>
          </cell>
          <cell r="O308" t="e">
            <v>#N/A</v>
          </cell>
          <cell r="P308">
            <v>48.14</v>
          </cell>
          <cell r="Q308">
            <v>4.0569929999999994</v>
          </cell>
          <cell r="R308" t="e">
            <v>#N/A</v>
          </cell>
        </row>
        <row r="309">
          <cell r="A309">
            <v>39601</v>
          </cell>
          <cell r="B309">
            <v>39601</v>
          </cell>
          <cell r="C309" t="str">
            <v>Past</v>
          </cell>
          <cell r="D309">
            <v>47.59</v>
          </cell>
          <cell r="E309" t="e">
            <v>#N/A</v>
          </cell>
          <cell r="F309" t="e">
            <v>#N/A</v>
          </cell>
          <cell r="G309" t="e">
            <v>#N/A</v>
          </cell>
          <cell r="H309" t="e">
            <v>#N/A</v>
          </cell>
          <cell r="I309" t="e">
            <v>#N/A</v>
          </cell>
          <cell r="J309" t="e">
            <v>#N/A</v>
          </cell>
          <cell r="K309" t="e">
            <v>#N/A</v>
          </cell>
          <cell r="L309" t="e">
            <v>#N/A</v>
          </cell>
          <cell r="M309" t="e">
            <v>#N/A</v>
          </cell>
          <cell r="N309" t="e">
            <v>#N/A</v>
          </cell>
          <cell r="O309" t="e">
            <v>#N/A</v>
          </cell>
          <cell r="P309">
            <v>47.59</v>
          </cell>
          <cell r="Q309">
            <v>5.9305129999999995</v>
          </cell>
          <cell r="R309" t="e">
            <v>#N/A</v>
          </cell>
        </row>
        <row r="310">
          <cell r="A310">
            <v>39602</v>
          </cell>
          <cell r="B310">
            <v>39602</v>
          </cell>
          <cell r="C310" t="str">
            <v>Past</v>
          </cell>
          <cell r="D310">
            <v>48.28</v>
          </cell>
          <cell r="E310" t="e">
            <v>#N/A</v>
          </cell>
          <cell r="F310" t="e">
            <v>#N/A</v>
          </cell>
          <cell r="G310" t="e">
            <v>#N/A</v>
          </cell>
          <cell r="H310" t="e">
            <v>#N/A</v>
          </cell>
          <cell r="I310" t="e">
            <v>#N/A</v>
          </cell>
          <cell r="J310" t="e">
            <v>#N/A</v>
          </cell>
          <cell r="K310" t="e">
            <v>#N/A</v>
          </cell>
          <cell r="L310" t="e">
            <v>#N/A</v>
          </cell>
          <cell r="M310" t="e">
            <v>#N/A</v>
          </cell>
          <cell r="N310" t="e">
            <v>#N/A</v>
          </cell>
          <cell r="O310" t="e">
            <v>#N/A</v>
          </cell>
          <cell r="P310">
            <v>48.28</v>
          </cell>
          <cell r="Q310">
            <v>7.2632879999999993</v>
          </cell>
          <cell r="R310" t="e">
            <v>#N/A</v>
          </cell>
        </row>
        <row r="311">
          <cell r="A311">
            <v>39603</v>
          </cell>
          <cell r="B311">
            <v>39603</v>
          </cell>
          <cell r="C311" t="str">
            <v>Past</v>
          </cell>
          <cell r="D311">
            <v>49.04</v>
          </cell>
          <cell r="E311" t="e">
            <v>#N/A</v>
          </cell>
          <cell r="F311" t="e">
            <v>#N/A</v>
          </cell>
          <cell r="G311" t="e">
            <v>#N/A</v>
          </cell>
          <cell r="H311" t="e">
            <v>#N/A</v>
          </cell>
          <cell r="I311" t="e">
            <v>#N/A</v>
          </cell>
          <cell r="J311" t="e">
            <v>#N/A</v>
          </cell>
          <cell r="K311" t="e">
            <v>#N/A</v>
          </cell>
          <cell r="L311" t="e">
            <v>#N/A</v>
          </cell>
          <cell r="M311" t="e">
            <v>#N/A</v>
          </cell>
          <cell r="N311" t="e">
            <v>#N/A</v>
          </cell>
          <cell r="O311" t="e">
            <v>#N/A</v>
          </cell>
          <cell r="P311">
            <v>49.04</v>
          </cell>
          <cell r="Q311">
            <v>7.4087769999999997</v>
          </cell>
          <cell r="R311" t="e">
            <v>#N/A</v>
          </cell>
        </row>
        <row r="312">
          <cell r="A312">
            <v>39604</v>
          </cell>
          <cell r="B312">
            <v>39604</v>
          </cell>
          <cell r="C312" t="str">
            <v>Past</v>
          </cell>
          <cell r="D312">
            <v>49.46</v>
          </cell>
          <cell r="E312" t="e">
            <v>#N/A</v>
          </cell>
          <cell r="F312" t="e">
            <v>#N/A</v>
          </cell>
          <cell r="G312" t="e">
            <v>#N/A</v>
          </cell>
          <cell r="H312" t="e">
            <v>#N/A</v>
          </cell>
          <cell r="I312" t="e">
            <v>#N/A</v>
          </cell>
          <cell r="J312" t="e">
            <v>#N/A</v>
          </cell>
          <cell r="K312" t="e">
            <v>#N/A</v>
          </cell>
          <cell r="L312" t="e">
            <v>#N/A</v>
          </cell>
          <cell r="M312" t="e">
            <v>#N/A</v>
          </cell>
          <cell r="N312" t="e">
            <v>#N/A</v>
          </cell>
          <cell r="O312" t="e">
            <v>#N/A</v>
          </cell>
          <cell r="P312">
            <v>49.46</v>
          </cell>
          <cell r="Q312">
            <v>7.8629619999999996</v>
          </cell>
          <cell r="R312" t="e">
            <v>#N/A</v>
          </cell>
        </row>
        <row r="313">
          <cell r="A313">
            <v>39605</v>
          </cell>
          <cell r="B313">
            <v>39605</v>
          </cell>
          <cell r="C313" t="str">
            <v>Past</v>
          </cell>
          <cell r="D313">
            <v>48.42</v>
          </cell>
          <cell r="E313" t="e">
            <v>#N/A</v>
          </cell>
          <cell r="F313" t="e">
            <v>#N/A</v>
          </cell>
          <cell r="G313" t="e">
            <v>#N/A</v>
          </cell>
          <cell r="H313" t="e">
            <v>#N/A</v>
          </cell>
          <cell r="I313" t="e">
            <v>#N/A</v>
          </cell>
          <cell r="J313" t="e">
            <v>#N/A</v>
          </cell>
          <cell r="K313" t="e">
            <v>#N/A</v>
          </cell>
          <cell r="L313" t="e">
            <v>#N/A</v>
          </cell>
          <cell r="M313" t="e">
            <v>#N/A</v>
          </cell>
          <cell r="N313" t="e">
            <v>#N/A</v>
          </cell>
          <cell r="O313" t="e">
            <v>#N/A</v>
          </cell>
          <cell r="P313">
            <v>48.42</v>
          </cell>
          <cell r="Q313">
            <v>7.8118429999999996</v>
          </cell>
          <cell r="R313" t="e">
            <v>#N/A</v>
          </cell>
        </row>
        <row r="314">
          <cell r="A314">
            <v>39608</v>
          </cell>
          <cell r="B314">
            <v>39608</v>
          </cell>
          <cell r="C314" t="str">
            <v>Past</v>
          </cell>
          <cell r="D314">
            <v>48.18</v>
          </cell>
          <cell r="E314" t="e">
            <v>#N/A</v>
          </cell>
          <cell r="F314" t="e">
            <v>#N/A</v>
          </cell>
          <cell r="G314" t="e">
            <v>#N/A</v>
          </cell>
          <cell r="H314" t="e">
            <v>#N/A</v>
          </cell>
          <cell r="I314" t="e">
            <v>#N/A</v>
          </cell>
          <cell r="J314" t="e">
            <v>#N/A</v>
          </cell>
          <cell r="K314" t="e">
            <v>#N/A</v>
          </cell>
          <cell r="L314" t="e">
            <v>#N/A</v>
          </cell>
          <cell r="M314" t="e">
            <v>#N/A</v>
          </cell>
          <cell r="N314" t="e">
            <v>#N/A</v>
          </cell>
          <cell r="O314" t="e">
            <v>#N/A</v>
          </cell>
          <cell r="P314">
            <v>48.18</v>
          </cell>
          <cell r="Q314">
            <v>6.4204279999999994</v>
          </cell>
          <cell r="R314" t="e">
            <v>#N/A</v>
          </cell>
        </row>
        <row r="315">
          <cell r="A315">
            <v>39609</v>
          </cell>
          <cell r="B315">
            <v>39609</v>
          </cell>
          <cell r="C315" t="str">
            <v>Past</v>
          </cell>
          <cell r="D315">
            <v>47.94</v>
          </cell>
          <cell r="E315" t="e">
            <v>#N/A</v>
          </cell>
          <cell r="F315" t="e">
            <v>#N/A</v>
          </cell>
          <cell r="G315" t="e">
            <v>#N/A</v>
          </cell>
          <cell r="H315" t="e">
            <v>#N/A</v>
          </cell>
          <cell r="I315" t="e">
            <v>#N/A</v>
          </cell>
          <cell r="J315" t="e">
            <v>#N/A</v>
          </cell>
          <cell r="K315" t="e">
            <v>#N/A</v>
          </cell>
          <cell r="L315" t="e">
            <v>#N/A</v>
          </cell>
          <cell r="M315" t="e">
            <v>#N/A</v>
          </cell>
          <cell r="N315" t="e">
            <v>#N/A</v>
          </cell>
          <cell r="O315" t="e">
            <v>#N/A</v>
          </cell>
          <cell r="P315">
            <v>47.94</v>
          </cell>
          <cell r="Q315">
            <v>5.1661869999999999</v>
          </cell>
          <cell r="R315" t="e">
            <v>#N/A</v>
          </cell>
        </row>
        <row r="316">
          <cell r="A316">
            <v>39610</v>
          </cell>
          <cell r="B316">
            <v>39610</v>
          </cell>
          <cell r="C316" t="str">
            <v>Past</v>
          </cell>
          <cell r="D316">
            <v>47.43</v>
          </cell>
          <cell r="E316" t="e">
            <v>#N/A</v>
          </cell>
          <cell r="F316" t="e">
            <v>#N/A</v>
          </cell>
          <cell r="G316" t="e">
            <v>#N/A</v>
          </cell>
          <cell r="H316" t="e">
            <v>#N/A</v>
          </cell>
          <cell r="I316" t="e">
            <v>#N/A</v>
          </cell>
          <cell r="J316" t="e">
            <v>#N/A</v>
          </cell>
          <cell r="K316" t="e">
            <v>#N/A</v>
          </cell>
          <cell r="L316" t="e">
            <v>#N/A</v>
          </cell>
          <cell r="M316" t="e">
            <v>#N/A</v>
          </cell>
          <cell r="N316" t="e">
            <v>#N/A</v>
          </cell>
          <cell r="O316" t="e">
            <v>#N/A</v>
          </cell>
          <cell r="P316">
            <v>47.43</v>
          </cell>
          <cell r="Q316">
            <v>4.0563459999999996</v>
          </cell>
          <cell r="R316" t="e">
            <v>#N/A</v>
          </cell>
        </row>
        <row r="317">
          <cell r="A317">
            <v>39611</v>
          </cell>
          <cell r="B317">
            <v>39611</v>
          </cell>
          <cell r="C317" t="str">
            <v>Past</v>
          </cell>
          <cell r="D317">
            <v>47.7</v>
          </cell>
          <cell r="E317" t="e">
            <v>#N/A</v>
          </cell>
          <cell r="F317" t="e">
            <v>#N/A</v>
          </cell>
          <cell r="G317" t="e">
            <v>#N/A</v>
          </cell>
          <cell r="H317" t="e">
            <v>#N/A</v>
          </cell>
          <cell r="I317" t="e">
            <v>#N/A</v>
          </cell>
          <cell r="J317" t="e">
            <v>#N/A</v>
          </cell>
          <cell r="K317" t="e">
            <v>#N/A</v>
          </cell>
          <cell r="L317" t="e">
            <v>#N/A</v>
          </cell>
          <cell r="M317" t="e">
            <v>#N/A</v>
          </cell>
          <cell r="N317" t="e">
            <v>#N/A</v>
          </cell>
          <cell r="O317" t="e">
            <v>#N/A</v>
          </cell>
          <cell r="P317">
            <v>47.7</v>
          </cell>
          <cell r="Q317">
            <v>4.5953330000000001</v>
          </cell>
          <cell r="R317" t="e">
            <v>#N/A</v>
          </cell>
        </row>
        <row r="318">
          <cell r="A318">
            <v>39612</v>
          </cell>
          <cell r="B318">
            <v>39612</v>
          </cell>
          <cell r="C318" t="str">
            <v>Past</v>
          </cell>
          <cell r="D318">
            <v>48.33</v>
          </cell>
          <cell r="E318" t="e">
            <v>#N/A</v>
          </cell>
          <cell r="F318" t="e">
            <v>#N/A</v>
          </cell>
          <cell r="G318" t="e">
            <v>#N/A</v>
          </cell>
          <cell r="H318" t="e">
            <v>#N/A</v>
          </cell>
          <cell r="I318" t="e">
            <v>#N/A</v>
          </cell>
          <cell r="J318" t="e">
            <v>#N/A</v>
          </cell>
          <cell r="K318" t="e">
            <v>#N/A</v>
          </cell>
          <cell r="L318" t="e">
            <v>#N/A</v>
          </cell>
          <cell r="M318" t="e">
            <v>#N/A</v>
          </cell>
          <cell r="N318" t="e">
            <v>#N/A</v>
          </cell>
          <cell r="O318" t="e">
            <v>#N/A</v>
          </cell>
          <cell r="P318">
            <v>48.33</v>
          </cell>
          <cell r="Q318">
            <v>4.2988210000000002</v>
          </cell>
          <cell r="R318" t="e">
            <v>#N/A</v>
          </cell>
        </row>
        <row r="319">
          <cell r="A319">
            <v>39615</v>
          </cell>
          <cell r="B319">
            <v>39615</v>
          </cell>
          <cell r="C319" t="str">
            <v>Past</v>
          </cell>
          <cell r="D319">
            <v>47.85</v>
          </cell>
          <cell r="E319" t="e">
            <v>#N/A</v>
          </cell>
          <cell r="F319" t="e">
            <v>#N/A</v>
          </cell>
          <cell r="G319" t="e">
            <v>#N/A</v>
          </cell>
          <cell r="H319" t="e">
            <v>#N/A</v>
          </cell>
          <cell r="I319" t="e">
            <v>#N/A</v>
          </cell>
          <cell r="J319" t="e">
            <v>#N/A</v>
          </cell>
          <cell r="K319" t="e">
            <v>#N/A</v>
          </cell>
          <cell r="L319" t="e">
            <v>#N/A</v>
          </cell>
          <cell r="M319" t="e">
            <v>#N/A</v>
          </cell>
          <cell r="N319" t="e">
            <v>#N/A</v>
          </cell>
          <cell r="O319" t="e">
            <v>#N/A</v>
          </cell>
          <cell r="P319">
            <v>47.85</v>
          </cell>
          <cell r="Q319">
            <v>5.5685279999999997</v>
          </cell>
          <cell r="R319" t="e">
            <v>#N/A</v>
          </cell>
        </row>
        <row r="320">
          <cell r="A320">
            <v>39616</v>
          </cell>
          <cell r="B320">
            <v>39616</v>
          </cell>
          <cell r="C320" t="str">
            <v>Past</v>
          </cell>
          <cell r="D320">
            <v>47.78</v>
          </cell>
          <cell r="E320" t="e">
            <v>#N/A</v>
          </cell>
          <cell r="F320" t="e">
            <v>#N/A</v>
          </cell>
          <cell r="G320" t="e">
            <v>#N/A</v>
          </cell>
          <cell r="H320" t="e">
            <v>#N/A</v>
          </cell>
          <cell r="I320" t="e">
            <v>#N/A</v>
          </cell>
          <cell r="J320" t="e">
            <v>#N/A</v>
          </cell>
          <cell r="K320" t="e">
            <v>#N/A</v>
          </cell>
          <cell r="L320" t="e">
            <v>#N/A</v>
          </cell>
          <cell r="M320" t="e">
            <v>#N/A</v>
          </cell>
          <cell r="N320" t="e">
            <v>#N/A</v>
          </cell>
          <cell r="O320" t="e">
            <v>#N/A</v>
          </cell>
          <cell r="P320">
            <v>47.78</v>
          </cell>
          <cell r="Q320">
            <v>3.4322689999999998</v>
          </cell>
          <cell r="R320" t="e">
            <v>#N/A</v>
          </cell>
        </row>
        <row r="321">
          <cell r="A321">
            <v>39617</v>
          </cell>
          <cell r="B321">
            <v>39617</v>
          </cell>
          <cell r="C321" t="str">
            <v>Past</v>
          </cell>
          <cell r="D321">
            <v>46.97</v>
          </cell>
          <cell r="E321" t="e">
            <v>#N/A</v>
          </cell>
          <cell r="F321" t="e">
            <v>#N/A</v>
          </cell>
          <cell r="G321" t="e">
            <v>#N/A</v>
          </cell>
          <cell r="H321" t="e">
            <v>#N/A</v>
          </cell>
          <cell r="I321" t="e">
            <v>#N/A</v>
          </cell>
          <cell r="J321" t="e">
            <v>#N/A</v>
          </cell>
          <cell r="K321" t="e">
            <v>#N/A</v>
          </cell>
          <cell r="L321" t="e">
            <v>#N/A</v>
          </cell>
          <cell r="M321" t="e">
            <v>#N/A</v>
          </cell>
          <cell r="N321" t="e">
            <v>#N/A</v>
          </cell>
          <cell r="O321" t="e">
            <v>#N/A</v>
          </cell>
          <cell r="P321">
            <v>46.97</v>
          </cell>
          <cell r="Q321">
            <v>4.2175900000000004</v>
          </cell>
          <cell r="R321" t="e">
            <v>#N/A</v>
          </cell>
        </row>
        <row r="322">
          <cell r="A322">
            <v>39618</v>
          </cell>
          <cell r="B322">
            <v>39618</v>
          </cell>
          <cell r="C322" t="str">
            <v>Past</v>
          </cell>
          <cell r="D322">
            <v>47.79</v>
          </cell>
          <cell r="E322" t="e">
            <v>#N/A</v>
          </cell>
          <cell r="F322" t="e">
            <v>#N/A</v>
          </cell>
          <cell r="G322" t="e">
            <v>#N/A</v>
          </cell>
          <cell r="H322" t="e">
            <v>#N/A</v>
          </cell>
          <cell r="I322" t="e">
            <v>#N/A</v>
          </cell>
          <cell r="J322" t="e">
            <v>#N/A</v>
          </cell>
          <cell r="K322" t="e">
            <v>#N/A</v>
          </cell>
          <cell r="L322" t="e">
            <v>#N/A</v>
          </cell>
          <cell r="M322" t="e">
            <v>#N/A</v>
          </cell>
          <cell r="N322" t="e">
            <v>#N/A</v>
          </cell>
          <cell r="O322" t="e">
            <v>#N/A</v>
          </cell>
          <cell r="P322">
            <v>47.79</v>
          </cell>
          <cell r="Q322">
            <v>8.2233280000000004</v>
          </cell>
          <cell r="R322" t="e">
            <v>#N/A</v>
          </cell>
        </row>
        <row r="323">
          <cell r="A323">
            <v>39619</v>
          </cell>
          <cell r="B323">
            <v>39619</v>
          </cell>
          <cell r="C323" t="str">
            <v>Past</v>
          </cell>
          <cell r="D323">
            <v>46.93</v>
          </cell>
          <cell r="E323" t="e">
            <v>#N/A</v>
          </cell>
          <cell r="F323" t="e">
            <v>#N/A</v>
          </cell>
          <cell r="G323" t="e">
            <v>#N/A</v>
          </cell>
          <cell r="H323" t="e">
            <v>#N/A</v>
          </cell>
          <cell r="I323" t="e">
            <v>#N/A</v>
          </cell>
          <cell r="J323" t="e">
            <v>#N/A</v>
          </cell>
          <cell r="K323" t="e">
            <v>#N/A</v>
          </cell>
          <cell r="L323" t="e">
            <v>#N/A</v>
          </cell>
          <cell r="M323" t="e">
            <v>#N/A</v>
          </cell>
          <cell r="N323" t="e">
            <v>#N/A</v>
          </cell>
          <cell r="O323" t="e">
            <v>#N/A</v>
          </cell>
          <cell r="P323">
            <v>46.93</v>
          </cell>
          <cell r="Q323">
            <v>7.4238809999999997</v>
          </cell>
          <cell r="R323" t="e">
            <v>#N/A</v>
          </cell>
        </row>
        <row r="324">
          <cell r="A324">
            <v>39622</v>
          </cell>
          <cell r="B324">
            <v>39622</v>
          </cell>
          <cell r="C324" t="str">
            <v>Past</v>
          </cell>
          <cell r="D324">
            <v>47.6</v>
          </cell>
          <cell r="E324" t="e">
            <v>#N/A</v>
          </cell>
          <cell r="F324" t="e">
            <v>#N/A</v>
          </cell>
          <cell r="G324" t="e">
            <v>#N/A</v>
          </cell>
          <cell r="H324" t="e">
            <v>#N/A</v>
          </cell>
          <cell r="I324" t="e">
            <v>#N/A</v>
          </cell>
          <cell r="J324" t="e">
            <v>#N/A</v>
          </cell>
          <cell r="K324" t="e">
            <v>#N/A</v>
          </cell>
          <cell r="L324" t="e">
            <v>#N/A</v>
          </cell>
          <cell r="M324" t="e">
            <v>#N/A</v>
          </cell>
          <cell r="N324" t="e">
            <v>#N/A</v>
          </cell>
          <cell r="O324" t="e">
            <v>#N/A</v>
          </cell>
          <cell r="P324">
            <v>47.6</v>
          </cell>
          <cell r="Q324">
            <v>5.4291179999999999</v>
          </cell>
          <cell r="R324" t="e">
            <v>#N/A</v>
          </cell>
        </row>
        <row r="325">
          <cell r="A325">
            <v>39623</v>
          </cell>
          <cell r="B325">
            <v>39623</v>
          </cell>
          <cell r="C325" t="str">
            <v>Past</v>
          </cell>
          <cell r="D325">
            <v>46.94</v>
          </cell>
          <cell r="E325" t="e">
            <v>#N/A</v>
          </cell>
          <cell r="F325" t="e">
            <v>#N/A</v>
          </cell>
          <cell r="G325" t="e">
            <v>#N/A</v>
          </cell>
          <cell r="H325" t="e">
            <v>#N/A</v>
          </cell>
          <cell r="I325" t="e">
            <v>#N/A</v>
          </cell>
          <cell r="J325" t="e">
            <v>#N/A</v>
          </cell>
          <cell r="K325" t="e">
            <v>#N/A</v>
          </cell>
          <cell r="L325" t="e">
            <v>#N/A</v>
          </cell>
          <cell r="M325" t="e">
            <v>#N/A</v>
          </cell>
          <cell r="N325" t="e">
            <v>#N/A</v>
          </cell>
          <cell r="O325" t="e">
            <v>#N/A</v>
          </cell>
          <cell r="P325">
            <v>46.94</v>
          </cell>
          <cell r="Q325">
            <v>9.2603100000000005</v>
          </cell>
          <cell r="R325" t="e">
            <v>#N/A</v>
          </cell>
        </row>
        <row r="326">
          <cell r="A326">
            <v>39624</v>
          </cell>
          <cell r="B326">
            <v>39624</v>
          </cell>
          <cell r="C326" t="str">
            <v>Past</v>
          </cell>
          <cell r="D326">
            <v>47</v>
          </cell>
          <cell r="E326" t="e">
            <v>#N/A</v>
          </cell>
          <cell r="F326" t="e">
            <v>#N/A</v>
          </cell>
          <cell r="G326" t="e">
            <v>#N/A</v>
          </cell>
          <cell r="H326" t="e">
            <v>#N/A</v>
          </cell>
          <cell r="I326" t="e">
            <v>#N/A</v>
          </cell>
          <cell r="J326" t="e">
            <v>#N/A</v>
          </cell>
          <cell r="K326" t="e">
            <v>#N/A</v>
          </cell>
          <cell r="L326" t="e">
            <v>#N/A</v>
          </cell>
          <cell r="M326" t="e">
            <v>#N/A</v>
          </cell>
          <cell r="N326" t="e">
            <v>#N/A</v>
          </cell>
          <cell r="O326" t="e">
            <v>#N/A</v>
          </cell>
          <cell r="P326">
            <v>47</v>
          </cell>
          <cell r="Q326">
            <v>6.0174319999999994</v>
          </cell>
          <cell r="R326" t="e">
            <v>#N/A</v>
          </cell>
        </row>
        <row r="327">
          <cell r="A327">
            <v>39625</v>
          </cell>
          <cell r="B327">
            <v>39625</v>
          </cell>
          <cell r="C327" t="str">
            <v>Past</v>
          </cell>
          <cell r="D327">
            <v>46.02</v>
          </cell>
          <cell r="E327" t="e">
            <v>#N/A</v>
          </cell>
          <cell r="F327" t="e">
            <v>#N/A</v>
          </cell>
          <cell r="G327" t="e">
            <v>#N/A</v>
          </cell>
          <cell r="H327" t="e">
            <v>#N/A</v>
          </cell>
          <cell r="I327" t="e">
            <v>#N/A</v>
          </cell>
          <cell r="J327" t="e">
            <v>#N/A</v>
          </cell>
          <cell r="K327" t="e">
            <v>#N/A</v>
          </cell>
          <cell r="L327" t="e">
            <v>#N/A</v>
          </cell>
          <cell r="M327" t="e">
            <v>#N/A</v>
          </cell>
          <cell r="N327" t="e">
            <v>#N/A</v>
          </cell>
          <cell r="O327" t="e">
            <v>#N/A</v>
          </cell>
          <cell r="P327">
            <v>46.02</v>
          </cell>
          <cell r="Q327">
            <v>6.5172559999999997</v>
          </cell>
          <cell r="R327" t="e">
            <v>#N/A</v>
          </cell>
        </row>
        <row r="328">
          <cell r="A328">
            <v>39626</v>
          </cell>
          <cell r="B328">
            <v>39626</v>
          </cell>
          <cell r="C328" t="str">
            <v>Past</v>
          </cell>
          <cell r="D328">
            <v>45.61</v>
          </cell>
          <cell r="E328" t="e">
            <v>#N/A</v>
          </cell>
          <cell r="F328" t="e">
            <v>#N/A</v>
          </cell>
          <cell r="G328" t="e">
            <v>#N/A</v>
          </cell>
          <cell r="H328" t="e">
            <v>#N/A</v>
          </cell>
          <cell r="I328" t="e">
            <v>#N/A</v>
          </cell>
          <cell r="J328" t="e">
            <v>#N/A</v>
          </cell>
          <cell r="K328" t="e">
            <v>#N/A</v>
          </cell>
          <cell r="L328" t="e">
            <v>#N/A</v>
          </cell>
          <cell r="M328" t="e">
            <v>#N/A</v>
          </cell>
          <cell r="N328" t="e">
            <v>#N/A</v>
          </cell>
          <cell r="O328" t="e">
            <v>#N/A</v>
          </cell>
          <cell r="P328">
            <v>45.61</v>
          </cell>
          <cell r="Q328">
            <v>7.4178179999999996</v>
          </cell>
          <cell r="R328" t="e">
            <v>#N/A</v>
          </cell>
        </row>
        <row r="329">
          <cell r="A329">
            <v>39629</v>
          </cell>
          <cell r="B329">
            <v>39629</v>
          </cell>
          <cell r="C329" t="str">
            <v>Past</v>
          </cell>
          <cell r="D329">
            <v>46.16</v>
          </cell>
          <cell r="E329" t="e">
            <v>#N/A</v>
          </cell>
          <cell r="F329" t="e">
            <v>#N/A</v>
          </cell>
          <cell r="G329" t="e">
            <v>#N/A</v>
          </cell>
          <cell r="H329" t="e">
            <v>#N/A</v>
          </cell>
          <cell r="I329" t="e">
            <v>#N/A</v>
          </cell>
          <cell r="J329" t="e">
            <v>#N/A</v>
          </cell>
          <cell r="K329" t="e">
            <v>#N/A</v>
          </cell>
          <cell r="L329" t="e">
            <v>#N/A</v>
          </cell>
          <cell r="M329" t="e">
            <v>#N/A</v>
          </cell>
          <cell r="N329" t="e">
            <v>#N/A</v>
          </cell>
          <cell r="O329" t="e">
            <v>#N/A</v>
          </cell>
          <cell r="P329">
            <v>46.16</v>
          </cell>
          <cell r="Q329">
            <v>5.4170349999999994</v>
          </cell>
          <cell r="R329" t="e">
            <v>#N/A</v>
          </cell>
        </row>
        <row r="330">
          <cell r="A330">
            <v>39630</v>
          </cell>
          <cell r="B330">
            <v>39630</v>
          </cell>
          <cell r="C330" t="str">
            <v>Past</v>
          </cell>
          <cell r="D330">
            <v>46.1</v>
          </cell>
          <cell r="E330" t="e">
            <v>#N/A</v>
          </cell>
          <cell r="F330" t="e">
            <v>#N/A</v>
          </cell>
          <cell r="G330" t="e">
            <v>#N/A</v>
          </cell>
          <cell r="H330" t="e">
            <v>#N/A</v>
          </cell>
          <cell r="I330" t="e">
            <v>#N/A</v>
          </cell>
          <cell r="J330" t="e">
            <v>#N/A</v>
          </cell>
          <cell r="K330" t="e">
            <v>#N/A</v>
          </cell>
          <cell r="L330" t="e">
            <v>#N/A</v>
          </cell>
          <cell r="M330" t="e">
            <v>#N/A</v>
          </cell>
          <cell r="N330" t="e">
            <v>#N/A</v>
          </cell>
          <cell r="O330" t="e">
            <v>#N/A</v>
          </cell>
          <cell r="P330">
            <v>46.1</v>
          </cell>
          <cell r="Q330">
            <v>6.4543559999999998</v>
          </cell>
          <cell r="R330" t="e">
            <v>#N/A</v>
          </cell>
        </row>
        <row r="331">
          <cell r="A331">
            <v>39631</v>
          </cell>
          <cell r="B331">
            <v>39631</v>
          </cell>
          <cell r="C331" t="str">
            <v>Past</v>
          </cell>
          <cell r="D331">
            <v>46.09</v>
          </cell>
          <cell r="E331" t="e">
            <v>#N/A</v>
          </cell>
          <cell r="F331" t="e">
            <v>#N/A</v>
          </cell>
          <cell r="G331" t="e">
            <v>#N/A</v>
          </cell>
          <cell r="H331" t="e">
            <v>#N/A</v>
          </cell>
          <cell r="I331" t="e">
            <v>#N/A</v>
          </cell>
          <cell r="J331" t="e">
            <v>#N/A</v>
          </cell>
          <cell r="K331" t="e">
            <v>#N/A</v>
          </cell>
          <cell r="L331" t="e">
            <v>#N/A</v>
          </cell>
          <cell r="M331" t="e">
            <v>#N/A</v>
          </cell>
          <cell r="N331" t="e">
            <v>#N/A</v>
          </cell>
          <cell r="O331" t="e">
            <v>#N/A</v>
          </cell>
          <cell r="P331">
            <v>46.09</v>
          </cell>
          <cell r="Q331">
            <v>4.656085</v>
          </cell>
          <cell r="R331" t="e">
            <v>#N/A</v>
          </cell>
        </row>
        <row r="332">
          <cell r="A332">
            <v>39632</v>
          </cell>
          <cell r="B332">
            <v>39632</v>
          </cell>
          <cell r="C332" t="str">
            <v>Past</v>
          </cell>
          <cell r="D332">
            <v>46.98</v>
          </cell>
          <cell r="E332" t="e">
            <v>#N/A</v>
          </cell>
          <cell r="F332" t="e">
            <v>#N/A</v>
          </cell>
          <cell r="G332" t="e">
            <v>#N/A</v>
          </cell>
          <cell r="H332" t="e">
            <v>#N/A</v>
          </cell>
          <cell r="I332" t="e">
            <v>#N/A</v>
          </cell>
          <cell r="J332" t="e">
            <v>#N/A</v>
          </cell>
          <cell r="K332" t="e">
            <v>#N/A</v>
          </cell>
          <cell r="L332" t="e">
            <v>#N/A</v>
          </cell>
          <cell r="M332" t="e">
            <v>#N/A</v>
          </cell>
          <cell r="N332" t="e">
            <v>#N/A</v>
          </cell>
          <cell r="O332" t="e">
            <v>#N/A</v>
          </cell>
          <cell r="P332">
            <v>46.98</v>
          </cell>
          <cell r="Q332">
            <v>4.531256</v>
          </cell>
          <cell r="R332" t="e">
            <v>#N/A</v>
          </cell>
        </row>
        <row r="333">
          <cell r="A333">
            <v>39636</v>
          </cell>
          <cell r="B333">
            <v>39636</v>
          </cell>
          <cell r="C333" t="str">
            <v>Past</v>
          </cell>
          <cell r="D333">
            <v>46.21</v>
          </cell>
          <cell r="E333" t="e">
            <v>#N/A</v>
          </cell>
          <cell r="F333" t="e">
            <v>#N/A</v>
          </cell>
          <cell r="G333" t="e">
            <v>#N/A</v>
          </cell>
          <cell r="H333" t="e">
            <v>#N/A</v>
          </cell>
          <cell r="I333" t="e">
            <v>#N/A</v>
          </cell>
          <cell r="J333" t="e">
            <v>#N/A</v>
          </cell>
          <cell r="K333" t="e">
            <v>#N/A</v>
          </cell>
          <cell r="L333" t="e">
            <v>#N/A</v>
          </cell>
          <cell r="M333" t="e">
            <v>#N/A</v>
          </cell>
          <cell r="N333" t="e">
            <v>#N/A</v>
          </cell>
          <cell r="O333" t="e">
            <v>#N/A</v>
          </cell>
          <cell r="P333">
            <v>46.21</v>
          </cell>
          <cell r="Q333">
            <v>6.0968329999999993</v>
          </cell>
          <cell r="R333" t="e">
            <v>#N/A</v>
          </cell>
        </row>
        <row r="334">
          <cell r="A334">
            <v>39637</v>
          </cell>
          <cell r="B334">
            <v>39637</v>
          </cell>
          <cell r="C334" t="str">
            <v>Past</v>
          </cell>
          <cell r="D334">
            <v>48.46</v>
          </cell>
          <cell r="E334" t="e">
            <v>#N/A</v>
          </cell>
          <cell r="F334" t="e">
            <v>#N/A</v>
          </cell>
          <cell r="G334" t="e">
            <v>#N/A</v>
          </cell>
          <cell r="H334" t="e">
            <v>#N/A</v>
          </cell>
          <cell r="I334" t="e">
            <v>#N/A</v>
          </cell>
          <cell r="J334" t="e">
            <v>#N/A</v>
          </cell>
          <cell r="K334" t="e">
            <v>#N/A</v>
          </cell>
          <cell r="L334" t="e">
            <v>#N/A</v>
          </cell>
          <cell r="M334" t="e">
            <v>#N/A</v>
          </cell>
          <cell r="N334" t="e">
            <v>#N/A</v>
          </cell>
          <cell r="O334" t="e">
            <v>#N/A</v>
          </cell>
          <cell r="P334">
            <v>48.46</v>
          </cell>
          <cell r="Q334">
            <v>9.3727459999999994</v>
          </cell>
          <cell r="R334" t="e">
            <v>#N/A</v>
          </cell>
        </row>
        <row r="335">
          <cell r="A335">
            <v>39638</v>
          </cell>
          <cell r="B335">
            <v>39638</v>
          </cell>
          <cell r="C335" t="str">
            <v>Past</v>
          </cell>
          <cell r="D335">
            <v>48.37</v>
          </cell>
          <cell r="E335" t="e">
            <v>#N/A</v>
          </cell>
          <cell r="F335" t="e">
            <v>#N/A</v>
          </cell>
          <cell r="G335" t="e">
            <v>#N/A</v>
          </cell>
          <cell r="H335" t="e">
            <v>#N/A</v>
          </cell>
          <cell r="I335" t="e">
            <v>#N/A</v>
          </cell>
          <cell r="J335" t="e">
            <v>#N/A</v>
          </cell>
          <cell r="K335" t="e">
            <v>#N/A</v>
          </cell>
          <cell r="L335" t="e">
            <v>#N/A</v>
          </cell>
          <cell r="M335" t="e">
            <v>#N/A</v>
          </cell>
          <cell r="N335" t="e">
            <v>#N/A</v>
          </cell>
          <cell r="O335" t="e">
            <v>#N/A</v>
          </cell>
          <cell r="P335">
            <v>48.37</v>
          </cell>
          <cell r="Q335">
            <v>6.5000749999999998</v>
          </cell>
          <cell r="R335" t="e">
            <v>#N/A</v>
          </cell>
        </row>
        <row r="336">
          <cell r="A336">
            <v>39639</v>
          </cell>
          <cell r="B336">
            <v>39639</v>
          </cell>
          <cell r="C336" t="str">
            <v>Past</v>
          </cell>
          <cell r="D336">
            <v>48.16</v>
          </cell>
          <cell r="E336" t="e">
            <v>#N/A</v>
          </cell>
          <cell r="F336" t="e">
            <v>#N/A</v>
          </cell>
          <cell r="G336" t="e">
            <v>#N/A</v>
          </cell>
          <cell r="H336" t="e">
            <v>#N/A</v>
          </cell>
          <cell r="I336" t="e">
            <v>#N/A</v>
          </cell>
          <cell r="J336" t="e">
            <v>#N/A</v>
          </cell>
          <cell r="K336" t="e">
            <v>#N/A</v>
          </cell>
          <cell r="L336" t="e">
            <v>#N/A</v>
          </cell>
          <cell r="M336" t="e">
            <v>#N/A</v>
          </cell>
          <cell r="N336" t="e">
            <v>#N/A</v>
          </cell>
          <cell r="O336" t="e">
            <v>#N/A</v>
          </cell>
          <cell r="P336">
            <v>48.16</v>
          </cell>
          <cell r="Q336">
            <v>7.3747479999999994</v>
          </cell>
          <cell r="R336" t="e">
            <v>#N/A</v>
          </cell>
        </row>
        <row r="337">
          <cell r="A337">
            <v>39640</v>
          </cell>
          <cell r="B337">
            <v>39640</v>
          </cell>
          <cell r="C337" t="str">
            <v>Past</v>
          </cell>
          <cell r="D337">
            <v>47.67</v>
          </cell>
          <cell r="E337" t="e">
            <v>#N/A</v>
          </cell>
          <cell r="F337" t="e">
            <v>#N/A</v>
          </cell>
          <cell r="G337" t="e">
            <v>#N/A</v>
          </cell>
          <cell r="H337" t="e">
            <v>#N/A</v>
          </cell>
          <cell r="I337" t="e">
            <v>#N/A</v>
          </cell>
          <cell r="J337" t="e">
            <v>#N/A</v>
          </cell>
          <cell r="K337" t="e">
            <v>#N/A</v>
          </cell>
          <cell r="L337" t="e">
            <v>#N/A</v>
          </cell>
          <cell r="M337" t="e">
            <v>#N/A</v>
          </cell>
          <cell r="N337" t="e">
            <v>#N/A</v>
          </cell>
          <cell r="O337" t="e">
            <v>#N/A</v>
          </cell>
          <cell r="P337">
            <v>47.67</v>
          </cell>
          <cell r="Q337">
            <v>4.5388700000000002</v>
          </cell>
          <cell r="R337" t="e">
            <v>#N/A</v>
          </cell>
        </row>
        <row r="338">
          <cell r="A338">
            <v>39643</v>
          </cell>
          <cell r="B338">
            <v>39643</v>
          </cell>
          <cell r="C338" t="str">
            <v>Past</v>
          </cell>
          <cell r="D338">
            <v>48.01</v>
          </cell>
          <cell r="E338" t="e">
            <v>#N/A</v>
          </cell>
          <cell r="F338" t="e">
            <v>#N/A</v>
          </cell>
          <cell r="G338" t="e">
            <v>#N/A</v>
          </cell>
          <cell r="H338" t="e">
            <v>#N/A</v>
          </cell>
          <cell r="I338" t="e">
            <v>#N/A</v>
          </cell>
          <cell r="J338" t="e">
            <v>#N/A</v>
          </cell>
          <cell r="K338" t="e">
            <v>#N/A</v>
          </cell>
          <cell r="L338" t="e">
            <v>#N/A</v>
          </cell>
          <cell r="M338" t="e">
            <v>#N/A</v>
          </cell>
          <cell r="N338" t="e">
            <v>#N/A</v>
          </cell>
          <cell r="O338" t="e">
            <v>#N/A</v>
          </cell>
          <cell r="P338">
            <v>48.01</v>
          </cell>
          <cell r="Q338">
            <v>5.7160969999999995</v>
          </cell>
          <cell r="R338" t="e">
            <v>#N/A</v>
          </cell>
        </row>
        <row r="339">
          <cell r="A339">
            <v>39644</v>
          </cell>
          <cell r="B339">
            <v>39644</v>
          </cell>
          <cell r="C339" t="str">
            <v>Past</v>
          </cell>
          <cell r="D339">
            <v>48.11</v>
          </cell>
          <cell r="E339" t="e">
            <v>#N/A</v>
          </cell>
          <cell r="F339" t="e">
            <v>#N/A</v>
          </cell>
          <cell r="G339" t="e">
            <v>#N/A</v>
          </cell>
          <cell r="H339" t="e">
            <v>#N/A</v>
          </cell>
          <cell r="I339" t="e">
            <v>#N/A</v>
          </cell>
          <cell r="J339" t="e">
            <v>#N/A</v>
          </cell>
          <cell r="K339" t="e">
            <v>#N/A</v>
          </cell>
          <cell r="L339" t="e">
            <v>#N/A</v>
          </cell>
          <cell r="M339" t="e">
            <v>#N/A</v>
          </cell>
          <cell r="N339" t="e">
            <v>#N/A</v>
          </cell>
          <cell r="O339" t="e">
            <v>#N/A</v>
          </cell>
          <cell r="P339">
            <v>48.11</v>
          </cell>
          <cell r="Q339">
            <v>8.1845389999999991</v>
          </cell>
          <cell r="R339" t="e">
            <v>#N/A</v>
          </cell>
        </row>
        <row r="340">
          <cell r="A340">
            <v>39645</v>
          </cell>
          <cell r="B340">
            <v>39645</v>
          </cell>
          <cell r="C340" t="str">
            <v>Past</v>
          </cell>
          <cell r="D340">
            <v>48.28</v>
          </cell>
          <cell r="E340" t="e">
            <v>#N/A</v>
          </cell>
          <cell r="F340" t="e">
            <v>#N/A</v>
          </cell>
          <cell r="G340" t="e">
            <v>#N/A</v>
          </cell>
          <cell r="H340" t="e">
            <v>#N/A</v>
          </cell>
          <cell r="I340" t="e">
            <v>#N/A</v>
          </cell>
          <cell r="J340" t="e">
            <v>#N/A</v>
          </cell>
          <cell r="K340" t="e">
            <v>#N/A</v>
          </cell>
          <cell r="L340" t="e">
            <v>#N/A</v>
          </cell>
          <cell r="M340" t="e">
            <v>#N/A</v>
          </cell>
          <cell r="N340" t="e">
            <v>#N/A</v>
          </cell>
          <cell r="O340" t="e">
            <v>#N/A</v>
          </cell>
          <cell r="P340">
            <v>48.28</v>
          </cell>
          <cell r="Q340">
            <v>6.356236</v>
          </cell>
          <cell r="R340" t="e">
            <v>#N/A</v>
          </cell>
        </row>
        <row r="341">
          <cell r="A341">
            <v>39646</v>
          </cell>
          <cell r="B341">
            <v>39646</v>
          </cell>
          <cell r="C341" t="str">
            <v>Past</v>
          </cell>
          <cell r="D341">
            <v>48.38</v>
          </cell>
          <cell r="E341" t="e">
            <v>#N/A</v>
          </cell>
          <cell r="F341" t="e">
            <v>#N/A</v>
          </cell>
          <cell r="G341" t="e">
            <v>#N/A</v>
          </cell>
          <cell r="H341" t="e">
            <v>#N/A</v>
          </cell>
          <cell r="I341" t="e">
            <v>#N/A</v>
          </cell>
          <cell r="J341" t="e">
            <v>#N/A</v>
          </cell>
          <cell r="K341" t="e">
            <v>#N/A</v>
          </cell>
          <cell r="L341" t="e">
            <v>#N/A</v>
          </cell>
          <cell r="M341" t="e">
            <v>#N/A</v>
          </cell>
          <cell r="N341" t="e">
            <v>#N/A</v>
          </cell>
          <cell r="O341" t="e">
            <v>#N/A</v>
          </cell>
          <cell r="P341">
            <v>48.38</v>
          </cell>
          <cell r="Q341">
            <v>6.514837</v>
          </cell>
          <cell r="R341" t="e">
            <v>#N/A</v>
          </cell>
        </row>
        <row r="342">
          <cell r="A342">
            <v>39647</v>
          </cell>
          <cell r="B342">
            <v>39647</v>
          </cell>
          <cell r="C342" t="str">
            <v>Past</v>
          </cell>
          <cell r="D342">
            <v>47.91</v>
          </cell>
          <cell r="E342" t="e">
            <v>#N/A</v>
          </cell>
          <cell r="F342" t="e">
            <v>#N/A</v>
          </cell>
          <cell r="G342" t="e">
            <v>#N/A</v>
          </cell>
          <cell r="H342" t="e">
            <v>#N/A</v>
          </cell>
          <cell r="I342" t="e">
            <v>#N/A</v>
          </cell>
          <cell r="J342" t="e">
            <v>#N/A</v>
          </cell>
          <cell r="K342" t="e">
            <v>#N/A</v>
          </cell>
          <cell r="L342" t="e">
            <v>#N/A</v>
          </cell>
          <cell r="M342" t="e">
            <v>#N/A</v>
          </cell>
          <cell r="N342" t="e">
            <v>#N/A</v>
          </cell>
          <cell r="O342" t="e">
            <v>#N/A</v>
          </cell>
          <cell r="P342">
            <v>47.91</v>
          </cell>
          <cell r="Q342">
            <v>6.4213829999999996</v>
          </cell>
          <cell r="R342" t="e">
            <v>#N/A</v>
          </cell>
        </row>
        <row r="343">
          <cell r="A343">
            <v>39650</v>
          </cell>
          <cell r="B343">
            <v>39650</v>
          </cell>
          <cell r="C343" t="str">
            <v>Past</v>
          </cell>
          <cell r="D343">
            <v>47.18</v>
          </cell>
          <cell r="E343" t="e">
            <v>#N/A</v>
          </cell>
          <cell r="F343" t="e">
            <v>#N/A</v>
          </cell>
          <cell r="G343" t="e">
            <v>#N/A</v>
          </cell>
          <cell r="H343" t="e">
            <v>#N/A</v>
          </cell>
          <cell r="I343" t="e">
            <v>#N/A</v>
          </cell>
          <cell r="J343" t="e">
            <v>#N/A</v>
          </cell>
          <cell r="K343" t="e">
            <v>#N/A</v>
          </cell>
          <cell r="L343" t="e">
            <v>#N/A</v>
          </cell>
          <cell r="M343" t="e">
            <v>#N/A</v>
          </cell>
          <cell r="N343" t="e">
            <v>#N/A</v>
          </cell>
          <cell r="O343" t="e">
            <v>#N/A</v>
          </cell>
          <cell r="P343">
            <v>47.18</v>
          </cell>
          <cell r="Q343">
            <v>4.7416919999999996</v>
          </cell>
          <cell r="R343" t="e">
            <v>#N/A</v>
          </cell>
        </row>
        <row r="344">
          <cell r="A344">
            <v>39651</v>
          </cell>
          <cell r="B344">
            <v>39651</v>
          </cell>
          <cell r="C344" t="str">
            <v>Past</v>
          </cell>
          <cell r="D344">
            <v>46.73</v>
          </cell>
          <cell r="E344" t="e">
            <v>#N/A</v>
          </cell>
          <cell r="F344" t="e">
            <v>#N/A</v>
          </cell>
          <cell r="G344" t="e">
            <v>#N/A</v>
          </cell>
          <cell r="H344" t="e">
            <v>#N/A</v>
          </cell>
          <cell r="I344" t="e">
            <v>#N/A</v>
          </cell>
          <cell r="J344" t="e">
            <v>#N/A</v>
          </cell>
          <cell r="K344" t="e">
            <v>#N/A</v>
          </cell>
          <cell r="L344" t="e">
            <v>#N/A</v>
          </cell>
          <cell r="M344" t="e">
            <v>#N/A</v>
          </cell>
          <cell r="N344" t="e">
            <v>#N/A</v>
          </cell>
          <cell r="O344" t="e">
            <v>#N/A</v>
          </cell>
          <cell r="P344">
            <v>46.73</v>
          </cell>
          <cell r="Q344">
            <v>6.6683329999999996</v>
          </cell>
          <cell r="R344" t="e">
            <v>#N/A</v>
          </cell>
        </row>
        <row r="345">
          <cell r="A345">
            <v>39652</v>
          </cell>
          <cell r="B345">
            <v>39652</v>
          </cell>
          <cell r="C345" t="str">
            <v>Past</v>
          </cell>
          <cell r="D345">
            <v>47.62</v>
          </cell>
          <cell r="E345" t="e">
            <v>#N/A</v>
          </cell>
          <cell r="F345" t="e">
            <v>#N/A</v>
          </cell>
          <cell r="G345" t="e">
            <v>#N/A</v>
          </cell>
          <cell r="H345" t="e">
            <v>#N/A</v>
          </cell>
          <cell r="I345" t="e">
            <v>#N/A</v>
          </cell>
          <cell r="J345" t="e">
            <v>#N/A</v>
          </cell>
          <cell r="K345" t="e">
            <v>#N/A</v>
          </cell>
          <cell r="L345" t="e">
            <v>#N/A</v>
          </cell>
          <cell r="M345" t="e">
            <v>#N/A</v>
          </cell>
          <cell r="N345" t="e">
            <v>#N/A</v>
          </cell>
          <cell r="O345" t="e">
            <v>#N/A</v>
          </cell>
          <cell r="P345">
            <v>47.62</v>
          </cell>
          <cell r="Q345">
            <v>5.6084069999999997</v>
          </cell>
          <cell r="R345" t="e">
            <v>#N/A</v>
          </cell>
        </row>
        <row r="346">
          <cell r="A346">
            <v>39653</v>
          </cell>
          <cell r="B346">
            <v>39653</v>
          </cell>
          <cell r="C346" t="str">
            <v>Past</v>
          </cell>
          <cell r="D346">
            <v>48</v>
          </cell>
          <cell r="E346" t="e">
            <v>#N/A</v>
          </cell>
          <cell r="F346" t="e">
            <v>#N/A</v>
          </cell>
          <cell r="G346" t="e">
            <v>#N/A</v>
          </cell>
          <cell r="H346" t="e">
            <v>#N/A</v>
          </cell>
          <cell r="I346" t="e">
            <v>#N/A</v>
          </cell>
          <cell r="J346" t="e">
            <v>#N/A</v>
          </cell>
          <cell r="K346" t="e">
            <v>#N/A</v>
          </cell>
          <cell r="L346" t="e">
            <v>#N/A</v>
          </cell>
          <cell r="M346" t="e">
            <v>#N/A</v>
          </cell>
          <cell r="N346" t="e">
            <v>#N/A</v>
          </cell>
          <cell r="O346" t="e">
            <v>#N/A</v>
          </cell>
          <cell r="P346">
            <v>48</v>
          </cell>
          <cell r="Q346">
            <v>4.9491429999999994</v>
          </cell>
          <cell r="R346" t="e">
            <v>#N/A</v>
          </cell>
        </row>
        <row r="347">
          <cell r="A347">
            <v>39654</v>
          </cell>
          <cell r="B347">
            <v>39654</v>
          </cell>
          <cell r="C347" t="str">
            <v>Past</v>
          </cell>
          <cell r="D347">
            <v>47.81</v>
          </cell>
          <cell r="E347" t="e">
            <v>#N/A</v>
          </cell>
          <cell r="F347" t="e">
            <v>#N/A</v>
          </cell>
          <cell r="G347" t="e">
            <v>#N/A</v>
          </cell>
          <cell r="H347" t="e">
            <v>#N/A</v>
          </cell>
          <cell r="I347" t="e">
            <v>#N/A</v>
          </cell>
          <cell r="J347" t="e">
            <v>#N/A</v>
          </cell>
          <cell r="K347" t="e">
            <v>#N/A</v>
          </cell>
          <cell r="L347" t="e">
            <v>#N/A</v>
          </cell>
          <cell r="M347" t="e">
            <v>#N/A</v>
          </cell>
          <cell r="N347" t="e">
            <v>#N/A</v>
          </cell>
          <cell r="O347" t="e">
            <v>#N/A</v>
          </cell>
          <cell r="P347">
            <v>47.81</v>
          </cell>
          <cell r="Q347">
            <v>4.2006809999999994</v>
          </cell>
          <cell r="R347" t="e">
            <v>#N/A</v>
          </cell>
        </row>
        <row r="348">
          <cell r="A348">
            <v>39657</v>
          </cell>
          <cell r="B348">
            <v>39657</v>
          </cell>
          <cell r="C348" t="str">
            <v>Past</v>
          </cell>
          <cell r="D348">
            <v>47.62</v>
          </cell>
          <cell r="E348" t="e">
            <v>#N/A</v>
          </cell>
          <cell r="F348" t="e">
            <v>#N/A</v>
          </cell>
          <cell r="G348" t="e">
            <v>#N/A</v>
          </cell>
          <cell r="H348" t="e">
            <v>#N/A</v>
          </cell>
          <cell r="I348" t="e">
            <v>#N/A</v>
          </cell>
          <cell r="J348" t="e">
            <v>#N/A</v>
          </cell>
          <cell r="K348" t="e">
            <v>#N/A</v>
          </cell>
          <cell r="L348" t="e">
            <v>#N/A</v>
          </cell>
          <cell r="M348" t="e">
            <v>#N/A</v>
          </cell>
          <cell r="N348" t="e">
            <v>#N/A</v>
          </cell>
          <cell r="O348" t="e">
            <v>#N/A</v>
          </cell>
          <cell r="P348">
            <v>47.62</v>
          </cell>
          <cell r="Q348">
            <v>5.1311879999999999</v>
          </cell>
          <cell r="R348" t="e">
            <v>#N/A</v>
          </cell>
        </row>
        <row r="349">
          <cell r="A349">
            <v>39658</v>
          </cell>
          <cell r="B349">
            <v>39658</v>
          </cell>
          <cell r="C349" t="str">
            <v>Past</v>
          </cell>
          <cell r="D349">
            <v>48.26</v>
          </cell>
          <cell r="E349" t="e">
            <v>#N/A</v>
          </cell>
          <cell r="F349" t="e">
            <v>#N/A</v>
          </cell>
          <cell r="G349" t="e">
            <v>#N/A</v>
          </cell>
          <cell r="H349" t="e">
            <v>#N/A</v>
          </cell>
          <cell r="I349" t="e">
            <v>#N/A</v>
          </cell>
          <cell r="J349" t="e">
            <v>#N/A</v>
          </cell>
          <cell r="K349" t="e">
            <v>#N/A</v>
          </cell>
          <cell r="L349" t="e">
            <v>#N/A</v>
          </cell>
          <cell r="M349" t="e">
            <v>#N/A</v>
          </cell>
          <cell r="N349" t="e">
            <v>#N/A</v>
          </cell>
          <cell r="O349" t="e">
            <v>#N/A</v>
          </cell>
          <cell r="P349">
            <v>48.26</v>
          </cell>
          <cell r="Q349">
            <v>5.5355879999999997</v>
          </cell>
          <cell r="R349" t="e">
            <v>#N/A</v>
          </cell>
        </row>
        <row r="350">
          <cell r="A350">
            <v>39659</v>
          </cell>
          <cell r="B350">
            <v>39659</v>
          </cell>
          <cell r="C350" t="str">
            <v>Past</v>
          </cell>
          <cell r="D350">
            <v>47.41</v>
          </cell>
          <cell r="E350" t="e">
            <v>#N/A</v>
          </cell>
          <cell r="F350" t="e">
            <v>#N/A</v>
          </cell>
          <cell r="G350" t="e">
            <v>#N/A</v>
          </cell>
          <cell r="H350" t="e">
            <v>#N/A</v>
          </cell>
          <cell r="I350" t="e">
            <v>#N/A</v>
          </cell>
          <cell r="J350" t="e">
            <v>#N/A</v>
          </cell>
          <cell r="K350" t="e">
            <v>#N/A</v>
          </cell>
          <cell r="L350" t="e">
            <v>#N/A</v>
          </cell>
          <cell r="M350" t="e">
            <v>#N/A</v>
          </cell>
          <cell r="N350" t="e">
            <v>#N/A</v>
          </cell>
          <cell r="O350" t="e">
            <v>#N/A</v>
          </cell>
          <cell r="P350">
            <v>47.41</v>
          </cell>
          <cell r="Q350">
            <v>7.4262059999999996</v>
          </cell>
          <cell r="R350" t="e">
            <v>#N/A</v>
          </cell>
        </row>
        <row r="351">
          <cell r="A351">
            <v>39660</v>
          </cell>
          <cell r="B351">
            <v>39660</v>
          </cell>
          <cell r="C351" t="str">
            <v>Past</v>
          </cell>
          <cell r="D351">
            <v>47.11</v>
          </cell>
          <cell r="E351" t="e">
            <v>#N/A</v>
          </cell>
          <cell r="F351" t="e">
            <v>#N/A</v>
          </cell>
          <cell r="G351" t="e">
            <v>#N/A</v>
          </cell>
          <cell r="H351" t="e">
            <v>#N/A</v>
          </cell>
          <cell r="I351" t="e">
            <v>#N/A</v>
          </cell>
          <cell r="J351" t="e">
            <v>#N/A</v>
          </cell>
          <cell r="K351" t="e">
            <v>#N/A</v>
          </cell>
          <cell r="L351" t="e">
            <v>#N/A</v>
          </cell>
          <cell r="M351" t="e">
            <v>#N/A</v>
          </cell>
          <cell r="N351" t="e">
            <v>#N/A</v>
          </cell>
          <cell r="O351" t="e">
            <v>#N/A</v>
          </cell>
          <cell r="P351">
            <v>47.11</v>
          </cell>
          <cell r="Q351">
            <v>4.9318520000000001</v>
          </cell>
          <cell r="R351" t="e">
            <v>#N/A</v>
          </cell>
        </row>
        <row r="352">
          <cell r="A352">
            <v>39661</v>
          </cell>
          <cell r="B352">
            <v>39661</v>
          </cell>
          <cell r="C352" t="str">
            <v>Past</v>
          </cell>
          <cell r="D352">
            <v>47.04</v>
          </cell>
          <cell r="E352" t="e">
            <v>#N/A</v>
          </cell>
          <cell r="F352" t="e">
            <v>#N/A</v>
          </cell>
          <cell r="G352" t="e">
            <v>#N/A</v>
          </cell>
          <cell r="H352" t="e">
            <v>#N/A</v>
          </cell>
          <cell r="I352" t="e">
            <v>#N/A</v>
          </cell>
          <cell r="J352" t="e">
            <v>#N/A</v>
          </cell>
          <cell r="K352" t="e">
            <v>#N/A</v>
          </cell>
          <cell r="L352" t="e">
            <v>#N/A</v>
          </cell>
          <cell r="M352" t="e">
            <v>#N/A</v>
          </cell>
          <cell r="N352" t="e">
            <v>#N/A</v>
          </cell>
          <cell r="O352" t="e">
            <v>#N/A</v>
          </cell>
          <cell r="P352">
            <v>47.04</v>
          </cell>
          <cell r="Q352">
            <v>4.3291810000000002</v>
          </cell>
          <cell r="R352" t="e">
            <v>#N/A</v>
          </cell>
        </row>
        <row r="353">
          <cell r="A353">
            <v>39664</v>
          </cell>
          <cell r="B353">
            <v>39664</v>
          </cell>
          <cell r="C353" t="str">
            <v>Past</v>
          </cell>
          <cell r="D353">
            <v>47.37</v>
          </cell>
          <cell r="E353" t="e">
            <v>#N/A</v>
          </cell>
          <cell r="F353" t="e">
            <v>#N/A</v>
          </cell>
          <cell r="G353" t="e">
            <v>#N/A</v>
          </cell>
          <cell r="H353" t="e">
            <v>#N/A</v>
          </cell>
          <cell r="I353" t="e">
            <v>#N/A</v>
          </cell>
          <cell r="J353" t="e">
            <v>#N/A</v>
          </cell>
          <cell r="K353" t="e">
            <v>#N/A</v>
          </cell>
          <cell r="L353" t="e">
            <v>#N/A</v>
          </cell>
          <cell r="M353" t="e">
            <v>#N/A</v>
          </cell>
          <cell r="N353" t="e">
            <v>#N/A</v>
          </cell>
          <cell r="O353" t="e">
            <v>#N/A</v>
          </cell>
          <cell r="P353">
            <v>47.37</v>
          </cell>
          <cell r="Q353">
            <v>4.7518129999999994</v>
          </cell>
          <cell r="R353" t="e">
            <v>#N/A</v>
          </cell>
        </row>
        <row r="354">
          <cell r="A354">
            <v>39665</v>
          </cell>
          <cell r="B354">
            <v>39665</v>
          </cell>
          <cell r="C354" t="str">
            <v>Past</v>
          </cell>
          <cell r="D354">
            <v>47.79</v>
          </cell>
          <cell r="E354" t="e">
            <v>#N/A</v>
          </cell>
          <cell r="F354" t="e">
            <v>#N/A</v>
          </cell>
          <cell r="G354" t="e">
            <v>#N/A</v>
          </cell>
          <cell r="H354" t="e">
            <v>#N/A</v>
          </cell>
          <cell r="I354" t="e">
            <v>#N/A</v>
          </cell>
          <cell r="J354" t="e">
            <v>#N/A</v>
          </cell>
          <cell r="K354" t="e">
            <v>#N/A</v>
          </cell>
          <cell r="L354" t="e">
            <v>#N/A</v>
          </cell>
          <cell r="M354" t="e">
            <v>#N/A</v>
          </cell>
          <cell r="N354" t="e">
            <v>#N/A</v>
          </cell>
          <cell r="O354" t="e">
            <v>#N/A</v>
          </cell>
          <cell r="P354">
            <v>47.79</v>
          </cell>
          <cell r="Q354">
            <v>6.4860509999999998</v>
          </cell>
          <cell r="R354" t="e">
            <v>#N/A</v>
          </cell>
        </row>
        <row r="355">
          <cell r="A355">
            <v>39666</v>
          </cell>
          <cell r="B355">
            <v>39666</v>
          </cell>
          <cell r="C355" t="str">
            <v>Past</v>
          </cell>
          <cell r="D355">
            <v>48</v>
          </cell>
          <cell r="E355" t="e">
            <v>#N/A</v>
          </cell>
          <cell r="F355" t="e">
            <v>#N/A</v>
          </cell>
          <cell r="G355" t="e">
            <v>#N/A</v>
          </cell>
          <cell r="H355" t="e">
            <v>#N/A</v>
          </cell>
          <cell r="I355" t="e">
            <v>#N/A</v>
          </cell>
          <cell r="J355" t="e">
            <v>#N/A</v>
          </cell>
          <cell r="K355" t="e">
            <v>#N/A</v>
          </cell>
          <cell r="L355" t="e">
            <v>#N/A</v>
          </cell>
          <cell r="M355" t="e">
            <v>#N/A</v>
          </cell>
          <cell r="N355" t="e">
            <v>#N/A</v>
          </cell>
          <cell r="O355" t="e">
            <v>#N/A</v>
          </cell>
          <cell r="P355">
            <v>48</v>
          </cell>
          <cell r="Q355">
            <v>3.5196000000000001</v>
          </cell>
          <cell r="R355" t="e">
            <v>#N/A</v>
          </cell>
        </row>
        <row r="356">
          <cell r="A356">
            <v>39667</v>
          </cell>
          <cell r="B356">
            <v>39667</v>
          </cell>
          <cell r="C356" t="str">
            <v>Past</v>
          </cell>
          <cell r="D356">
            <v>47.58</v>
          </cell>
          <cell r="E356" t="e">
            <v>#N/A</v>
          </cell>
          <cell r="F356" t="e">
            <v>#N/A</v>
          </cell>
          <cell r="G356" t="e">
            <v>#N/A</v>
          </cell>
          <cell r="H356" t="e">
            <v>#N/A</v>
          </cell>
          <cell r="I356" t="e">
            <v>#N/A</v>
          </cell>
          <cell r="J356" t="e">
            <v>#N/A</v>
          </cell>
          <cell r="K356" t="e">
            <v>#N/A</v>
          </cell>
          <cell r="L356" t="e">
            <v>#N/A</v>
          </cell>
          <cell r="M356" t="e">
            <v>#N/A</v>
          </cell>
          <cell r="N356" t="e">
            <v>#N/A</v>
          </cell>
          <cell r="O356" t="e">
            <v>#N/A</v>
          </cell>
          <cell r="P356">
            <v>47.58</v>
          </cell>
          <cell r="Q356">
            <v>4.5968609999999996</v>
          </cell>
          <cell r="R356" t="e">
            <v>#N/A</v>
          </cell>
        </row>
        <row r="357">
          <cell r="A357">
            <v>39668</v>
          </cell>
          <cell r="B357">
            <v>39668</v>
          </cell>
          <cell r="C357" t="str">
            <v>Past</v>
          </cell>
          <cell r="D357">
            <v>48.51</v>
          </cell>
          <cell r="E357" t="e">
            <v>#N/A</v>
          </cell>
          <cell r="F357" t="e">
            <v>#N/A</v>
          </cell>
          <cell r="G357" t="e">
            <v>#N/A</v>
          </cell>
          <cell r="H357" t="e">
            <v>#N/A</v>
          </cell>
          <cell r="I357" t="e">
            <v>#N/A</v>
          </cell>
          <cell r="J357" t="e">
            <v>#N/A</v>
          </cell>
          <cell r="K357" t="e">
            <v>#N/A</v>
          </cell>
          <cell r="L357" t="e">
            <v>#N/A</v>
          </cell>
          <cell r="M357" t="e">
            <v>#N/A</v>
          </cell>
          <cell r="N357" t="e">
            <v>#N/A</v>
          </cell>
          <cell r="O357" t="e">
            <v>#N/A</v>
          </cell>
          <cell r="P357">
            <v>48.51</v>
          </cell>
          <cell r="Q357">
            <v>4.1587300000000003</v>
          </cell>
          <cell r="R357" t="e">
            <v>#N/A</v>
          </cell>
        </row>
        <row r="358">
          <cell r="A358">
            <v>39671</v>
          </cell>
          <cell r="B358">
            <v>39671</v>
          </cell>
          <cell r="C358" t="str">
            <v>Past</v>
          </cell>
          <cell r="D358">
            <v>49.05</v>
          </cell>
          <cell r="E358" t="e">
            <v>#N/A</v>
          </cell>
          <cell r="F358" t="e">
            <v>#N/A</v>
          </cell>
          <cell r="G358" t="e">
            <v>#N/A</v>
          </cell>
          <cell r="H358" t="e">
            <v>#N/A</v>
          </cell>
          <cell r="I358" t="e">
            <v>#N/A</v>
          </cell>
          <cell r="J358" t="e">
            <v>#N/A</v>
          </cell>
          <cell r="K358" t="e">
            <v>#N/A</v>
          </cell>
          <cell r="L358" t="e">
            <v>#N/A</v>
          </cell>
          <cell r="M358" t="e">
            <v>#N/A</v>
          </cell>
          <cell r="N358" t="e">
            <v>#N/A</v>
          </cell>
          <cell r="O358" t="e">
            <v>#N/A</v>
          </cell>
          <cell r="P358">
            <v>49.05</v>
          </cell>
          <cell r="Q358">
            <v>6.1157829999999995</v>
          </cell>
          <cell r="R358" t="e">
            <v>#N/A</v>
          </cell>
        </row>
        <row r="359">
          <cell r="A359">
            <v>39672</v>
          </cell>
          <cell r="B359">
            <v>39672</v>
          </cell>
          <cell r="C359" t="str">
            <v>Past</v>
          </cell>
          <cell r="D359">
            <v>49.25</v>
          </cell>
          <cell r="E359" t="e">
            <v>#N/A</v>
          </cell>
          <cell r="F359" t="e">
            <v>#N/A</v>
          </cell>
          <cell r="G359" t="e">
            <v>#N/A</v>
          </cell>
          <cell r="H359" t="e">
            <v>#N/A</v>
          </cell>
          <cell r="I359" t="e">
            <v>#N/A</v>
          </cell>
          <cell r="J359" t="e">
            <v>#N/A</v>
          </cell>
          <cell r="K359" t="e">
            <v>#N/A</v>
          </cell>
          <cell r="L359" t="e">
            <v>#N/A</v>
          </cell>
          <cell r="M359" t="e">
            <v>#N/A</v>
          </cell>
          <cell r="N359" t="e">
            <v>#N/A</v>
          </cell>
          <cell r="O359" t="e">
            <v>#N/A</v>
          </cell>
          <cell r="P359">
            <v>49.25</v>
          </cell>
          <cell r="Q359">
            <v>6.038087</v>
          </cell>
          <cell r="R359" t="e">
            <v>#N/A</v>
          </cell>
        </row>
        <row r="360">
          <cell r="A360">
            <v>39673</v>
          </cell>
          <cell r="B360">
            <v>39673</v>
          </cell>
          <cell r="C360" t="str">
            <v>Past</v>
          </cell>
          <cell r="D360">
            <v>48.38</v>
          </cell>
          <cell r="E360" t="e">
            <v>#N/A</v>
          </cell>
          <cell r="F360" t="e">
            <v>#N/A</v>
          </cell>
          <cell r="G360" t="e">
            <v>#N/A</v>
          </cell>
          <cell r="H360" t="e">
            <v>#N/A</v>
          </cell>
          <cell r="I360" t="e">
            <v>#N/A</v>
          </cell>
          <cell r="J360" t="e">
            <v>#N/A</v>
          </cell>
          <cell r="K360" t="e">
            <v>#N/A</v>
          </cell>
          <cell r="L360" t="e">
            <v>#N/A</v>
          </cell>
          <cell r="M360" t="e">
            <v>#N/A</v>
          </cell>
          <cell r="N360" t="e">
            <v>#N/A</v>
          </cell>
          <cell r="O360" t="e">
            <v>#N/A</v>
          </cell>
          <cell r="P360">
            <v>48.38</v>
          </cell>
          <cell r="Q360">
            <v>4.9549279999999998</v>
          </cell>
          <cell r="R360" t="e">
            <v>#N/A</v>
          </cell>
        </row>
        <row r="361">
          <cell r="A361">
            <v>39674</v>
          </cell>
          <cell r="B361">
            <v>39674</v>
          </cell>
          <cell r="C361" t="str">
            <v>Past</v>
          </cell>
          <cell r="D361">
            <v>48.34</v>
          </cell>
          <cell r="E361" t="e">
            <v>#N/A</v>
          </cell>
          <cell r="F361" t="e">
            <v>#N/A</v>
          </cell>
          <cell r="G361" t="e">
            <v>#N/A</v>
          </cell>
          <cell r="H361" t="e">
            <v>#N/A</v>
          </cell>
          <cell r="I361" t="e">
            <v>#N/A</v>
          </cell>
          <cell r="J361" t="e">
            <v>#N/A</v>
          </cell>
          <cell r="K361" t="e">
            <v>#N/A</v>
          </cell>
          <cell r="L361" t="e">
            <v>#N/A</v>
          </cell>
          <cell r="M361" t="e">
            <v>#N/A</v>
          </cell>
          <cell r="N361" t="e">
            <v>#N/A</v>
          </cell>
          <cell r="O361" t="e">
            <v>#N/A</v>
          </cell>
          <cell r="P361">
            <v>48.34</v>
          </cell>
          <cell r="Q361">
            <v>4.7061489999999999</v>
          </cell>
          <cell r="R361" t="e">
            <v>#N/A</v>
          </cell>
        </row>
        <row r="362">
          <cell r="A362">
            <v>39675</v>
          </cell>
          <cell r="B362">
            <v>39675</v>
          </cell>
          <cell r="C362" t="str">
            <v>Past</v>
          </cell>
          <cell r="D362">
            <v>48.78</v>
          </cell>
          <cell r="E362" t="e">
            <v>#N/A</v>
          </cell>
          <cell r="F362" t="e">
            <v>#N/A</v>
          </cell>
          <cell r="G362" t="e">
            <v>#N/A</v>
          </cell>
          <cell r="H362" t="e">
            <v>#N/A</v>
          </cell>
          <cell r="I362" t="e">
            <v>#N/A</v>
          </cell>
          <cell r="J362" t="e">
            <v>#N/A</v>
          </cell>
          <cell r="K362" t="e">
            <v>#N/A</v>
          </cell>
          <cell r="L362" t="e">
            <v>#N/A</v>
          </cell>
          <cell r="M362" t="e">
            <v>#N/A</v>
          </cell>
          <cell r="N362" t="e">
            <v>#N/A</v>
          </cell>
          <cell r="O362" t="e">
            <v>#N/A</v>
          </cell>
          <cell r="P362">
            <v>48.78</v>
          </cell>
          <cell r="Q362">
            <v>4.6113580000000001</v>
          </cell>
          <cell r="R362" t="e">
            <v>#N/A</v>
          </cell>
        </row>
        <row r="363">
          <cell r="A363">
            <v>39678</v>
          </cell>
          <cell r="B363">
            <v>39678</v>
          </cell>
          <cell r="C363" t="str">
            <v>Past</v>
          </cell>
          <cell r="D363">
            <v>48.05</v>
          </cell>
          <cell r="E363" t="e">
            <v>#N/A</v>
          </cell>
          <cell r="F363" t="e">
            <v>#N/A</v>
          </cell>
          <cell r="G363" t="e">
            <v>#N/A</v>
          </cell>
          <cell r="H363" t="e">
            <v>#N/A</v>
          </cell>
          <cell r="I363" t="e">
            <v>#N/A</v>
          </cell>
          <cell r="J363" t="e">
            <v>#N/A</v>
          </cell>
          <cell r="K363" t="e">
            <v>#N/A</v>
          </cell>
          <cell r="L363" t="e">
            <v>#N/A</v>
          </cell>
          <cell r="M363" t="e">
            <v>#N/A</v>
          </cell>
          <cell r="N363" t="e">
            <v>#N/A</v>
          </cell>
          <cell r="O363" t="e">
            <v>#N/A</v>
          </cell>
          <cell r="P363">
            <v>48.05</v>
          </cell>
          <cell r="Q363">
            <v>6.2457180000000001</v>
          </cell>
          <cell r="R363" t="e">
            <v>#N/A</v>
          </cell>
        </row>
        <row r="364">
          <cell r="A364">
            <v>39679</v>
          </cell>
          <cell r="B364">
            <v>39679</v>
          </cell>
          <cell r="C364" t="str">
            <v>Past</v>
          </cell>
          <cell r="D364">
            <v>47.8</v>
          </cell>
          <cell r="E364" t="e">
            <v>#N/A</v>
          </cell>
          <cell r="F364" t="e">
            <v>#N/A</v>
          </cell>
          <cell r="G364" t="e">
            <v>#N/A</v>
          </cell>
          <cell r="H364" t="e">
            <v>#N/A</v>
          </cell>
          <cell r="I364" t="e">
            <v>#N/A</v>
          </cell>
          <cell r="J364" t="e">
            <v>#N/A</v>
          </cell>
          <cell r="K364" t="e">
            <v>#N/A</v>
          </cell>
          <cell r="L364" t="e">
            <v>#N/A</v>
          </cell>
          <cell r="M364" t="e">
            <v>#N/A</v>
          </cell>
          <cell r="N364" t="e">
            <v>#N/A</v>
          </cell>
          <cell r="O364" t="e">
            <v>#N/A</v>
          </cell>
          <cell r="P364">
            <v>47.8</v>
          </cell>
          <cell r="Q364">
            <v>5.4486829999999999</v>
          </cell>
          <cell r="R364" t="e">
            <v>#N/A</v>
          </cell>
        </row>
        <row r="365">
          <cell r="A365">
            <v>39680</v>
          </cell>
          <cell r="B365">
            <v>39680</v>
          </cell>
          <cell r="C365" t="str">
            <v>Past</v>
          </cell>
          <cell r="D365">
            <v>47.41</v>
          </cell>
          <cell r="E365" t="e">
            <v>#N/A</v>
          </cell>
          <cell r="F365" t="e">
            <v>#N/A</v>
          </cell>
          <cell r="G365" t="e">
            <v>#N/A</v>
          </cell>
          <cell r="H365" t="e">
            <v>#N/A</v>
          </cell>
          <cell r="I365" t="e">
            <v>#N/A</v>
          </cell>
          <cell r="J365" t="e">
            <v>#N/A</v>
          </cell>
          <cell r="K365" t="e">
            <v>#N/A</v>
          </cell>
          <cell r="L365" t="e">
            <v>#N/A</v>
          </cell>
          <cell r="M365" t="e">
            <v>#N/A</v>
          </cell>
          <cell r="N365" t="e">
            <v>#N/A</v>
          </cell>
          <cell r="O365" t="e">
            <v>#N/A</v>
          </cell>
          <cell r="P365">
            <v>47.41</v>
          </cell>
          <cell r="Q365">
            <v>4.5450109999999997</v>
          </cell>
          <cell r="R365" t="e">
            <v>#N/A</v>
          </cell>
        </row>
        <row r="366">
          <cell r="A366">
            <v>39681</v>
          </cell>
          <cell r="B366">
            <v>39681</v>
          </cell>
          <cell r="C366" t="str">
            <v>Past</v>
          </cell>
          <cell r="D366">
            <v>47.17</v>
          </cell>
          <cell r="E366" t="e">
            <v>#N/A</v>
          </cell>
          <cell r="F366" t="e">
            <v>#N/A</v>
          </cell>
          <cell r="G366" t="e">
            <v>#N/A</v>
          </cell>
          <cell r="H366" t="e">
            <v>#N/A</v>
          </cell>
          <cell r="I366" t="e">
            <v>#N/A</v>
          </cell>
          <cell r="J366" t="e">
            <v>#N/A</v>
          </cell>
          <cell r="K366" t="e">
            <v>#N/A</v>
          </cell>
          <cell r="L366" t="e">
            <v>#N/A</v>
          </cell>
          <cell r="M366" t="e">
            <v>#N/A</v>
          </cell>
          <cell r="N366" t="e">
            <v>#N/A</v>
          </cell>
          <cell r="O366" t="e">
            <v>#N/A</v>
          </cell>
          <cell r="P366">
            <v>47.17</v>
          </cell>
          <cell r="Q366">
            <v>4.1615440000000001</v>
          </cell>
          <cell r="R366" t="e">
            <v>#N/A</v>
          </cell>
        </row>
        <row r="367">
          <cell r="A367">
            <v>39682</v>
          </cell>
          <cell r="B367">
            <v>39682</v>
          </cell>
          <cell r="C367" t="str">
            <v>Past</v>
          </cell>
          <cell r="D367">
            <v>48.03</v>
          </cell>
          <cell r="E367" t="e">
            <v>#N/A</v>
          </cell>
          <cell r="F367" t="e">
            <v>#N/A</v>
          </cell>
          <cell r="G367" t="e">
            <v>#N/A</v>
          </cell>
          <cell r="H367" t="e">
            <v>#N/A</v>
          </cell>
          <cell r="I367" t="e">
            <v>#N/A</v>
          </cell>
          <cell r="J367" t="e">
            <v>#N/A</v>
          </cell>
          <cell r="K367" t="e">
            <v>#N/A</v>
          </cell>
          <cell r="L367" t="e">
            <v>#N/A</v>
          </cell>
          <cell r="M367" t="e">
            <v>#N/A</v>
          </cell>
          <cell r="N367" t="e">
            <v>#N/A</v>
          </cell>
          <cell r="O367" t="e">
            <v>#N/A</v>
          </cell>
          <cell r="P367">
            <v>48.03</v>
          </cell>
          <cell r="Q367">
            <v>5.1343179999999995</v>
          </cell>
          <cell r="R367" t="e">
            <v>#N/A</v>
          </cell>
        </row>
        <row r="368">
          <cell r="A368">
            <v>39685</v>
          </cell>
          <cell r="B368">
            <v>39685</v>
          </cell>
          <cell r="C368" t="str">
            <v>Past</v>
          </cell>
          <cell r="D368">
            <v>47.52</v>
          </cell>
          <cell r="E368" t="e">
            <v>#N/A</v>
          </cell>
          <cell r="F368" t="e">
            <v>#N/A</v>
          </cell>
          <cell r="G368" t="e">
            <v>#N/A</v>
          </cell>
          <cell r="H368" t="e">
            <v>#N/A</v>
          </cell>
          <cell r="I368" t="e">
            <v>#N/A</v>
          </cell>
          <cell r="J368" t="e">
            <v>#N/A</v>
          </cell>
          <cell r="K368" t="e">
            <v>#N/A</v>
          </cell>
          <cell r="L368" t="e">
            <v>#N/A</v>
          </cell>
          <cell r="M368" t="e">
            <v>#N/A</v>
          </cell>
          <cell r="N368" t="e">
            <v>#N/A</v>
          </cell>
          <cell r="O368" t="e">
            <v>#N/A</v>
          </cell>
          <cell r="P368">
            <v>47.52</v>
          </cell>
          <cell r="Q368">
            <v>3.9402059999999999</v>
          </cell>
          <cell r="R368" t="e">
            <v>#N/A</v>
          </cell>
        </row>
        <row r="369">
          <cell r="A369">
            <v>39686</v>
          </cell>
          <cell r="B369">
            <v>39686</v>
          </cell>
          <cell r="C369" t="str">
            <v>Past</v>
          </cell>
          <cell r="D369">
            <v>47.02</v>
          </cell>
          <cell r="E369" t="e">
            <v>#N/A</v>
          </cell>
          <cell r="F369" t="e">
            <v>#N/A</v>
          </cell>
          <cell r="G369" t="e">
            <v>#N/A</v>
          </cell>
          <cell r="H369" t="e">
            <v>#N/A</v>
          </cell>
          <cell r="I369" t="e">
            <v>#N/A</v>
          </cell>
          <cell r="J369" t="e">
            <v>#N/A</v>
          </cell>
          <cell r="K369" t="e">
            <v>#N/A</v>
          </cell>
          <cell r="L369" t="e">
            <v>#N/A</v>
          </cell>
          <cell r="M369" t="e">
            <v>#N/A</v>
          </cell>
          <cell r="N369" t="e">
            <v>#N/A</v>
          </cell>
          <cell r="O369" t="e">
            <v>#N/A</v>
          </cell>
          <cell r="P369">
            <v>47.02</v>
          </cell>
          <cell r="Q369">
            <v>3.3715219999999997</v>
          </cell>
          <cell r="R369" t="e">
            <v>#N/A</v>
          </cell>
        </row>
        <row r="370">
          <cell r="A370">
            <v>39687</v>
          </cell>
          <cell r="B370">
            <v>39687</v>
          </cell>
          <cell r="C370" t="str">
            <v>Past</v>
          </cell>
          <cell r="D370">
            <v>46.87</v>
          </cell>
          <cell r="E370" t="e">
            <v>#N/A</v>
          </cell>
          <cell r="F370" t="e">
            <v>#N/A</v>
          </cell>
          <cell r="G370" t="e">
            <v>#N/A</v>
          </cell>
          <cell r="H370" t="e">
            <v>#N/A</v>
          </cell>
          <cell r="I370" t="e">
            <v>#N/A</v>
          </cell>
          <cell r="J370" t="e">
            <v>#N/A</v>
          </cell>
          <cell r="K370" t="e">
            <v>#N/A</v>
          </cell>
          <cell r="L370" t="e">
            <v>#N/A</v>
          </cell>
          <cell r="M370" t="e">
            <v>#N/A</v>
          </cell>
          <cell r="N370" t="e">
            <v>#N/A</v>
          </cell>
          <cell r="O370" t="e">
            <v>#N/A</v>
          </cell>
          <cell r="P370">
            <v>46.87</v>
          </cell>
          <cell r="Q370">
            <v>5.5200829999999996</v>
          </cell>
          <cell r="R370" t="e">
            <v>#N/A</v>
          </cell>
        </row>
        <row r="371">
          <cell r="A371">
            <v>39688</v>
          </cell>
          <cell r="B371">
            <v>39688</v>
          </cell>
          <cell r="C371" t="str">
            <v>Past</v>
          </cell>
          <cell r="D371">
            <v>46.91</v>
          </cell>
          <cell r="E371" t="e">
            <v>#N/A</v>
          </cell>
          <cell r="F371" t="e">
            <v>#N/A</v>
          </cell>
          <cell r="G371" t="e">
            <v>#N/A</v>
          </cell>
          <cell r="H371" t="e">
            <v>#N/A</v>
          </cell>
          <cell r="I371" t="e">
            <v>#N/A</v>
          </cell>
          <cell r="J371" t="e">
            <v>#N/A</v>
          </cell>
          <cell r="K371" t="e">
            <v>#N/A</v>
          </cell>
          <cell r="L371" t="e">
            <v>#N/A</v>
          </cell>
          <cell r="M371" t="e">
            <v>#N/A</v>
          </cell>
          <cell r="N371" t="e">
            <v>#N/A</v>
          </cell>
          <cell r="O371" t="e">
            <v>#N/A</v>
          </cell>
          <cell r="P371">
            <v>46.91</v>
          </cell>
          <cell r="Q371">
            <v>4.285463</v>
          </cell>
          <cell r="R371" t="e">
            <v>#N/A</v>
          </cell>
        </row>
        <row r="372">
          <cell r="A372">
            <v>39689</v>
          </cell>
          <cell r="B372">
            <v>39689</v>
          </cell>
          <cell r="C372" t="str">
            <v>Past</v>
          </cell>
          <cell r="D372">
            <v>46.65</v>
          </cell>
          <cell r="E372" t="e">
            <v>#N/A</v>
          </cell>
          <cell r="F372" t="e">
            <v>#N/A</v>
          </cell>
          <cell r="G372" t="e">
            <v>#N/A</v>
          </cell>
          <cell r="H372" t="e">
            <v>#N/A</v>
          </cell>
          <cell r="I372" t="e">
            <v>#N/A</v>
          </cell>
          <cell r="J372" t="e">
            <v>#N/A</v>
          </cell>
          <cell r="K372" t="e">
            <v>#N/A</v>
          </cell>
          <cell r="L372" t="e">
            <v>#N/A</v>
          </cell>
          <cell r="M372" t="e">
            <v>#N/A</v>
          </cell>
          <cell r="N372" t="e">
            <v>#N/A</v>
          </cell>
          <cell r="O372" t="e">
            <v>#N/A</v>
          </cell>
          <cell r="P372">
            <v>46.65</v>
          </cell>
          <cell r="Q372">
            <v>4.7651479999999999</v>
          </cell>
          <cell r="R372" t="e">
            <v>#N/A</v>
          </cell>
        </row>
        <row r="373">
          <cell r="A373">
            <v>39693</v>
          </cell>
          <cell r="B373">
            <v>39693</v>
          </cell>
          <cell r="C373" t="str">
            <v>Past</v>
          </cell>
          <cell r="D373">
            <v>46.66</v>
          </cell>
          <cell r="E373" t="e">
            <v>#N/A</v>
          </cell>
          <cell r="F373" t="e">
            <v>#N/A</v>
          </cell>
          <cell r="G373" t="e">
            <v>#N/A</v>
          </cell>
          <cell r="H373" t="e">
            <v>#N/A</v>
          </cell>
          <cell r="I373" t="e">
            <v>#N/A</v>
          </cell>
          <cell r="J373" t="e">
            <v>#N/A</v>
          </cell>
          <cell r="K373" t="e">
            <v>#N/A</v>
          </cell>
          <cell r="L373" t="e">
            <v>#N/A</v>
          </cell>
          <cell r="M373" t="e">
            <v>#N/A</v>
          </cell>
          <cell r="N373" t="e">
            <v>#N/A</v>
          </cell>
          <cell r="O373" t="e">
            <v>#N/A</v>
          </cell>
          <cell r="P373">
            <v>46.66</v>
          </cell>
          <cell r="Q373">
            <v>5.2418079999999998</v>
          </cell>
          <cell r="R373" t="e">
            <v>#N/A</v>
          </cell>
        </row>
        <row r="374">
          <cell r="A374">
            <v>39694</v>
          </cell>
          <cell r="B374">
            <v>39694</v>
          </cell>
          <cell r="C374" t="str">
            <v>Past</v>
          </cell>
          <cell r="D374">
            <v>46.91</v>
          </cell>
          <cell r="E374" t="e">
            <v>#N/A</v>
          </cell>
          <cell r="F374" t="e">
            <v>#N/A</v>
          </cell>
          <cell r="G374" t="e">
            <v>#N/A</v>
          </cell>
          <cell r="H374" t="e">
            <v>#N/A</v>
          </cell>
          <cell r="I374" t="e">
            <v>#N/A</v>
          </cell>
          <cell r="J374" t="e">
            <v>#N/A</v>
          </cell>
          <cell r="K374" t="e">
            <v>#N/A</v>
          </cell>
          <cell r="L374" t="e">
            <v>#N/A</v>
          </cell>
          <cell r="M374" t="e">
            <v>#N/A</v>
          </cell>
          <cell r="N374" t="e">
            <v>#N/A</v>
          </cell>
          <cell r="O374" t="e">
            <v>#N/A</v>
          </cell>
          <cell r="P374">
            <v>46.91</v>
          </cell>
          <cell r="Q374">
            <v>4.4258259999999998</v>
          </cell>
          <cell r="R374" t="e">
            <v>#N/A</v>
          </cell>
        </row>
        <row r="375">
          <cell r="A375">
            <v>39695</v>
          </cell>
          <cell r="B375">
            <v>39695</v>
          </cell>
          <cell r="C375" t="str">
            <v>Past</v>
          </cell>
          <cell r="D375">
            <v>46.09</v>
          </cell>
          <cell r="E375" t="e">
            <v>#N/A</v>
          </cell>
          <cell r="F375" t="e">
            <v>#N/A</v>
          </cell>
          <cell r="G375" t="e">
            <v>#N/A</v>
          </cell>
          <cell r="H375" t="e">
            <v>#N/A</v>
          </cell>
          <cell r="I375" t="e">
            <v>#N/A</v>
          </cell>
          <cell r="J375" t="e">
            <v>#N/A</v>
          </cell>
          <cell r="K375" t="e">
            <v>#N/A</v>
          </cell>
          <cell r="L375" t="e">
            <v>#N/A</v>
          </cell>
          <cell r="M375" t="e">
            <v>#N/A</v>
          </cell>
          <cell r="N375" t="e">
            <v>#N/A</v>
          </cell>
          <cell r="O375" t="e">
            <v>#N/A</v>
          </cell>
          <cell r="P375">
            <v>46.09</v>
          </cell>
          <cell r="Q375">
            <v>4.7143489999999995</v>
          </cell>
          <cell r="R375" t="e">
            <v>#N/A</v>
          </cell>
        </row>
        <row r="376">
          <cell r="A376">
            <v>39696</v>
          </cell>
          <cell r="B376">
            <v>39696</v>
          </cell>
          <cell r="C376" t="str">
            <v>Past</v>
          </cell>
          <cell r="D376">
            <v>45.44</v>
          </cell>
          <cell r="E376" t="e">
            <v>#N/A</v>
          </cell>
          <cell r="F376" t="e">
            <v>#N/A</v>
          </cell>
          <cell r="G376" t="e">
            <v>#N/A</v>
          </cell>
          <cell r="H376" t="e">
            <v>#N/A</v>
          </cell>
          <cell r="I376" t="e">
            <v>#N/A</v>
          </cell>
          <cell r="J376" t="e">
            <v>#N/A</v>
          </cell>
          <cell r="K376" t="e">
            <v>#N/A</v>
          </cell>
          <cell r="L376" t="e">
            <v>#N/A</v>
          </cell>
          <cell r="M376" t="e">
            <v>#N/A</v>
          </cell>
          <cell r="N376" t="e">
            <v>#N/A</v>
          </cell>
          <cell r="O376" t="e">
            <v>#N/A</v>
          </cell>
          <cell r="P376">
            <v>45.44</v>
          </cell>
          <cell r="Q376">
            <v>5.1277609999999996</v>
          </cell>
          <cell r="R376" t="e">
            <v>#N/A</v>
          </cell>
        </row>
        <row r="377">
          <cell r="A377">
            <v>39699</v>
          </cell>
          <cell r="B377">
            <v>39699</v>
          </cell>
          <cell r="C377" t="str">
            <v>Past</v>
          </cell>
          <cell r="D377">
            <v>46.67</v>
          </cell>
          <cell r="E377" t="e">
            <v>#N/A</v>
          </cell>
          <cell r="F377" t="e">
            <v>#N/A</v>
          </cell>
          <cell r="G377" t="e">
            <v>#N/A</v>
          </cell>
          <cell r="H377" t="e">
            <v>#N/A</v>
          </cell>
          <cell r="I377" t="e">
            <v>#N/A</v>
          </cell>
          <cell r="J377" t="e">
            <v>#N/A</v>
          </cell>
          <cell r="K377" t="e">
            <v>#N/A</v>
          </cell>
          <cell r="L377" t="e">
            <v>#N/A</v>
          </cell>
          <cell r="M377" t="e">
            <v>#N/A</v>
          </cell>
          <cell r="N377" t="e">
            <v>#N/A</v>
          </cell>
          <cell r="O377" t="e">
            <v>#N/A</v>
          </cell>
          <cell r="P377">
            <v>46.67</v>
          </cell>
          <cell r="Q377">
            <v>5.791283</v>
          </cell>
          <cell r="R377" t="e">
            <v>#N/A</v>
          </cell>
        </row>
        <row r="378">
          <cell r="A378">
            <v>39700</v>
          </cell>
          <cell r="B378">
            <v>39700</v>
          </cell>
          <cell r="C378" t="str">
            <v>Past</v>
          </cell>
          <cell r="D378">
            <v>46.46</v>
          </cell>
          <cell r="E378" t="e">
            <v>#N/A</v>
          </cell>
          <cell r="F378" t="e">
            <v>#N/A</v>
          </cell>
          <cell r="G378" t="e">
            <v>#N/A</v>
          </cell>
          <cell r="H378" t="e">
            <v>#N/A</v>
          </cell>
          <cell r="I378" t="e">
            <v>#N/A</v>
          </cell>
          <cell r="J378" t="e">
            <v>#N/A</v>
          </cell>
          <cell r="K378" t="e">
            <v>#N/A</v>
          </cell>
          <cell r="L378" t="e">
            <v>#N/A</v>
          </cell>
          <cell r="M378" t="e">
            <v>#N/A</v>
          </cell>
          <cell r="N378" t="e">
            <v>#N/A</v>
          </cell>
          <cell r="O378" t="e">
            <v>#N/A</v>
          </cell>
          <cell r="P378">
            <v>46.46</v>
          </cell>
          <cell r="Q378">
            <v>7.8215509999999995</v>
          </cell>
          <cell r="R378" t="e">
            <v>#N/A</v>
          </cell>
        </row>
        <row r="379">
          <cell r="A379">
            <v>39701</v>
          </cell>
          <cell r="B379">
            <v>39701</v>
          </cell>
          <cell r="C379" t="str">
            <v>Past</v>
          </cell>
          <cell r="D379">
            <v>46.73</v>
          </cell>
          <cell r="E379" t="e">
            <v>#N/A</v>
          </cell>
          <cell r="F379" t="e">
            <v>#N/A</v>
          </cell>
          <cell r="G379" t="e">
            <v>#N/A</v>
          </cell>
          <cell r="H379" t="e">
            <v>#N/A</v>
          </cell>
          <cell r="I379" t="e">
            <v>#N/A</v>
          </cell>
          <cell r="J379" t="e">
            <v>#N/A</v>
          </cell>
          <cell r="K379" t="e">
            <v>#N/A</v>
          </cell>
          <cell r="L379" t="e">
            <v>#N/A</v>
          </cell>
          <cell r="M379" t="e">
            <v>#N/A</v>
          </cell>
          <cell r="N379" t="e">
            <v>#N/A</v>
          </cell>
          <cell r="O379" t="e">
            <v>#N/A</v>
          </cell>
          <cell r="P379">
            <v>46.73</v>
          </cell>
          <cell r="Q379">
            <v>6.1061689999999995</v>
          </cell>
          <cell r="R379" t="e">
            <v>#N/A</v>
          </cell>
        </row>
        <row r="380">
          <cell r="A380">
            <v>39702</v>
          </cell>
          <cell r="B380">
            <v>39702</v>
          </cell>
          <cell r="C380" t="str">
            <v>Past</v>
          </cell>
          <cell r="D380">
            <v>46.72</v>
          </cell>
          <cell r="E380" t="e">
            <v>#N/A</v>
          </cell>
          <cell r="F380" t="e">
            <v>#N/A</v>
          </cell>
          <cell r="G380" t="e">
            <v>#N/A</v>
          </cell>
          <cell r="H380" t="e">
            <v>#N/A</v>
          </cell>
          <cell r="I380" t="e">
            <v>#N/A</v>
          </cell>
          <cell r="J380" t="e">
            <v>#N/A</v>
          </cell>
          <cell r="K380" t="e">
            <v>#N/A</v>
          </cell>
          <cell r="L380" t="e">
            <v>#N/A</v>
          </cell>
          <cell r="M380" t="e">
            <v>#N/A</v>
          </cell>
          <cell r="N380" t="e">
            <v>#N/A</v>
          </cell>
          <cell r="O380" t="e">
            <v>#N/A</v>
          </cell>
          <cell r="P380">
            <v>46.72</v>
          </cell>
          <cell r="Q380">
            <v>4.7126969999999995</v>
          </cell>
          <cell r="R380" t="e">
            <v>#N/A</v>
          </cell>
        </row>
        <row r="381">
          <cell r="A381">
            <v>39703</v>
          </cell>
          <cell r="B381">
            <v>39703</v>
          </cell>
          <cell r="C381" t="str">
            <v>Past</v>
          </cell>
          <cell r="D381">
            <v>46.6</v>
          </cell>
          <cell r="E381" t="e">
            <v>#N/A</v>
          </cell>
          <cell r="F381" t="e">
            <v>#N/A</v>
          </cell>
          <cell r="G381" t="e">
            <v>#N/A</v>
          </cell>
          <cell r="H381" t="e">
            <v>#N/A</v>
          </cell>
          <cell r="I381" t="e">
            <v>#N/A</v>
          </cell>
          <cell r="J381" t="e">
            <v>#N/A</v>
          </cell>
          <cell r="K381" t="e">
            <v>#N/A</v>
          </cell>
          <cell r="L381" t="e">
            <v>#N/A</v>
          </cell>
          <cell r="M381" t="e">
            <v>#N/A</v>
          </cell>
          <cell r="N381" t="e">
            <v>#N/A</v>
          </cell>
          <cell r="O381" t="e">
            <v>#N/A</v>
          </cell>
          <cell r="P381">
            <v>46.6</v>
          </cell>
          <cell r="Q381">
            <v>4.2716479999999999</v>
          </cell>
          <cell r="R381" t="e">
            <v>#N/A</v>
          </cell>
        </row>
        <row r="382">
          <cell r="A382">
            <v>39706</v>
          </cell>
          <cell r="B382">
            <v>39706</v>
          </cell>
          <cell r="C382" t="str">
            <v>Past</v>
          </cell>
          <cell r="D382">
            <v>46.04</v>
          </cell>
          <cell r="E382" t="e">
            <v>#N/A</v>
          </cell>
          <cell r="F382" t="e">
            <v>#N/A</v>
          </cell>
          <cell r="G382" t="e">
            <v>#N/A</v>
          </cell>
          <cell r="H382" t="e">
            <v>#N/A</v>
          </cell>
          <cell r="I382" t="e">
            <v>#N/A</v>
          </cell>
          <cell r="J382" t="e">
            <v>#N/A</v>
          </cell>
          <cell r="K382" t="e">
            <v>#N/A</v>
          </cell>
          <cell r="L382" t="e">
            <v>#N/A</v>
          </cell>
          <cell r="M382" t="e">
            <v>#N/A</v>
          </cell>
          <cell r="N382" t="e">
            <v>#N/A</v>
          </cell>
          <cell r="O382" t="e">
            <v>#N/A</v>
          </cell>
          <cell r="P382">
            <v>46.04</v>
          </cell>
          <cell r="Q382">
            <v>5.3281909999999995</v>
          </cell>
          <cell r="R382" t="e">
            <v>#N/A</v>
          </cell>
        </row>
        <row r="383">
          <cell r="A383">
            <v>39707</v>
          </cell>
          <cell r="B383">
            <v>39707</v>
          </cell>
          <cell r="C383" t="str">
            <v>Past</v>
          </cell>
          <cell r="D383">
            <v>45.26</v>
          </cell>
          <cell r="E383" t="e">
            <v>#N/A</v>
          </cell>
          <cell r="F383" t="e">
            <v>#N/A</v>
          </cell>
          <cell r="G383" t="e">
            <v>#N/A</v>
          </cell>
          <cell r="H383" t="e">
            <v>#N/A</v>
          </cell>
          <cell r="I383" t="e">
            <v>#N/A</v>
          </cell>
          <cell r="J383" t="e">
            <v>#N/A</v>
          </cell>
          <cell r="K383" t="e">
            <v>#N/A</v>
          </cell>
          <cell r="L383" t="e">
            <v>#N/A</v>
          </cell>
          <cell r="M383" t="e">
            <v>#N/A</v>
          </cell>
          <cell r="N383" t="e">
            <v>#N/A</v>
          </cell>
          <cell r="O383" t="e">
            <v>#N/A</v>
          </cell>
          <cell r="P383">
            <v>45.26</v>
          </cell>
          <cell r="Q383">
            <v>10.0488</v>
          </cell>
          <cell r="R383" t="e">
            <v>#N/A</v>
          </cell>
        </row>
        <row r="384">
          <cell r="A384">
            <v>39708</v>
          </cell>
          <cell r="B384">
            <v>39708</v>
          </cell>
          <cell r="C384" t="str">
            <v>Past</v>
          </cell>
          <cell r="D384">
            <v>43.92</v>
          </cell>
          <cell r="E384" t="e">
            <v>#N/A</v>
          </cell>
          <cell r="F384" t="e">
            <v>#N/A</v>
          </cell>
          <cell r="G384" t="e">
            <v>#N/A</v>
          </cell>
          <cell r="H384" t="e">
            <v>#N/A</v>
          </cell>
          <cell r="I384" t="e">
            <v>#N/A</v>
          </cell>
          <cell r="J384" t="e">
            <v>#N/A</v>
          </cell>
          <cell r="K384" t="e">
            <v>#N/A</v>
          </cell>
          <cell r="L384" t="e">
            <v>#N/A</v>
          </cell>
          <cell r="M384" t="e">
            <v>#N/A</v>
          </cell>
          <cell r="N384" t="e">
            <v>#N/A</v>
          </cell>
          <cell r="O384" t="e">
            <v>#N/A</v>
          </cell>
          <cell r="P384">
            <v>43.92</v>
          </cell>
          <cell r="Q384">
            <v>7.1758479999999993</v>
          </cell>
          <cell r="R384" t="e">
            <v>#N/A</v>
          </cell>
        </row>
        <row r="385">
          <cell r="A385">
            <v>39709</v>
          </cell>
          <cell r="B385">
            <v>39709</v>
          </cell>
          <cell r="C385" t="str">
            <v>Past</v>
          </cell>
          <cell r="D385">
            <v>45.42</v>
          </cell>
          <cell r="E385" t="e">
            <v>#N/A</v>
          </cell>
          <cell r="F385" t="e">
            <v>#N/A</v>
          </cell>
          <cell r="G385" t="e">
            <v>#N/A</v>
          </cell>
          <cell r="H385" t="e">
            <v>#N/A</v>
          </cell>
          <cell r="I385" t="e">
            <v>#N/A</v>
          </cell>
          <cell r="J385" t="e">
            <v>#N/A</v>
          </cell>
          <cell r="K385" t="e">
            <v>#N/A</v>
          </cell>
          <cell r="L385" t="e">
            <v>#N/A</v>
          </cell>
          <cell r="M385" t="e">
            <v>#N/A</v>
          </cell>
          <cell r="N385" t="e">
            <v>#N/A</v>
          </cell>
          <cell r="O385" t="e">
            <v>#N/A</v>
          </cell>
          <cell r="P385">
            <v>45.42</v>
          </cell>
          <cell r="Q385">
            <v>9.9173390000000001</v>
          </cell>
          <cell r="R385" t="e">
            <v>#N/A</v>
          </cell>
        </row>
        <row r="386">
          <cell r="A386">
            <v>39710</v>
          </cell>
          <cell r="B386">
            <v>39710</v>
          </cell>
          <cell r="C386" t="str">
            <v>Past</v>
          </cell>
          <cell r="D386">
            <v>46.69</v>
          </cell>
          <cell r="E386" t="e">
            <v>#N/A</v>
          </cell>
          <cell r="F386" t="e">
            <v>#N/A</v>
          </cell>
          <cell r="G386" t="e">
            <v>#N/A</v>
          </cell>
          <cell r="H386" t="e">
            <v>#N/A</v>
          </cell>
          <cell r="I386" t="e">
            <v>#N/A</v>
          </cell>
          <cell r="J386" t="e">
            <v>#N/A</v>
          </cell>
          <cell r="K386" t="e">
            <v>#N/A</v>
          </cell>
          <cell r="L386" t="e">
            <v>#N/A</v>
          </cell>
          <cell r="M386" t="e">
            <v>#N/A</v>
          </cell>
          <cell r="N386" t="e">
            <v>#N/A</v>
          </cell>
          <cell r="O386" t="e">
            <v>#N/A</v>
          </cell>
          <cell r="P386">
            <v>46.69</v>
          </cell>
          <cell r="Q386">
            <v>12.047700000000001</v>
          </cell>
          <cell r="R386" t="e">
            <v>#N/A</v>
          </cell>
        </row>
        <row r="387">
          <cell r="A387">
            <v>39713</v>
          </cell>
          <cell r="B387">
            <v>39713</v>
          </cell>
          <cell r="C387" t="str">
            <v>Past</v>
          </cell>
          <cell r="D387">
            <v>45.9</v>
          </cell>
          <cell r="E387" t="e">
            <v>#N/A</v>
          </cell>
          <cell r="F387" t="e">
            <v>#N/A</v>
          </cell>
          <cell r="G387" t="e">
            <v>#N/A</v>
          </cell>
          <cell r="H387" t="e">
            <v>#N/A</v>
          </cell>
          <cell r="I387" t="e">
            <v>#N/A</v>
          </cell>
          <cell r="J387" t="e">
            <v>#N/A</v>
          </cell>
          <cell r="K387" t="e">
            <v>#N/A</v>
          </cell>
          <cell r="L387" t="e">
            <v>#N/A</v>
          </cell>
          <cell r="M387" t="e">
            <v>#N/A</v>
          </cell>
          <cell r="N387" t="e">
            <v>#N/A</v>
          </cell>
          <cell r="O387" t="e">
            <v>#N/A</v>
          </cell>
          <cell r="P387">
            <v>45.9</v>
          </cell>
          <cell r="Q387">
            <v>5.7838919999999998</v>
          </cell>
          <cell r="R387" t="e">
            <v>#N/A</v>
          </cell>
        </row>
        <row r="388">
          <cell r="A388">
            <v>39714</v>
          </cell>
          <cell r="B388">
            <v>39714</v>
          </cell>
          <cell r="C388" t="str">
            <v>Past</v>
          </cell>
          <cell r="D388">
            <v>45.73</v>
          </cell>
          <cell r="E388" t="e">
            <v>#N/A</v>
          </cell>
          <cell r="F388" t="e">
            <v>#N/A</v>
          </cell>
          <cell r="G388" t="e">
            <v>#N/A</v>
          </cell>
          <cell r="H388" t="e">
            <v>#N/A</v>
          </cell>
          <cell r="I388" t="e">
            <v>#N/A</v>
          </cell>
          <cell r="J388" t="e">
            <v>#N/A</v>
          </cell>
          <cell r="K388" t="e">
            <v>#N/A</v>
          </cell>
          <cell r="L388" t="e">
            <v>#N/A</v>
          </cell>
          <cell r="M388" t="e">
            <v>#N/A</v>
          </cell>
          <cell r="N388" t="e">
            <v>#N/A</v>
          </cell>
          <cell r="O388" t="e">
            <v>#N/A</v>
          </cell>
          <cell r="P388">
            <v>45.73</v>
          </cell>
          <cell r="Q388">
            <v>7.8780429999999999</v>
          </cell>
          <cell r="R388" t="e">
            <v>#N/A</v>
          </cell>
        </row>
        <row r="389">
          <cell r="A389">
            <v>39715</v>
          </cell>
          <cell r="B389">
            <v>39715</v>
          </cell>
          <cell r="C389" t="str">
            <v>Past</v>
          </cell>
          <cell r="D389">
            <v>46.34</v>
          </cell>
          <cell r="E389" t="e">
            <v>#N/A</v>
          </cell>
          <cell r="F389" t="e">
            <v>#N/A</v>
          </cell>
          <cell r="G389" t="e">
            <v>#N/A</v>
          </cell>
          <cell r="H389" t="e">
            <v>#N/A</v>
          </cell>
          <cell r="I389" t="e">
            <v>#N/A</v>
          </cell>
          <cell r="J389" t="e">
            <v>#N/A</v>
          </cell>
          <cell r="K389" t="e">
            <v>#N/A</v>
          </cell>
          <cell r="L389" t="e">
            <v>#N/A</v>
          </cell>
          <cell r="M389" t="e">
            <v>#N/A</v>
          </cell>
          <cell r="N389" t="e">
            <v>#N/A</v>
          </cell>
          <cell r="O389" t="e">
            <v>#N/A</v>
          </cell>
          <cell r="P389">
            <v>46.34</v>
          </cell>
          <cell r="Q389">
            <v>7.2406400000000009</v>
          </cell>
          <cell r="R389" t="e">
            <v>#N/A</v>
          </cell>
        </row>
        <row r="390">
          <cell r="A390">
            <v>39716</v>
          </cell>
          <cell r="B390">
            <v>39716</v>
          </cell>
          <cell r="C390" t="str">
            <v>Past</v>
          </cell>
          <cell r="D390">
            <v>46.6</v>
          </cell>
          <cell r="E390" t="e">
            <v>#N/A</v>
          </cell>
          <cell r="F390" t="e">
            <v>#N/A</v>
          </cell>
          <cell r="G390" t="e">
            <v>#N/A</v>
          </cell>
          <cell r="H390" t="e">
            <v>#N/A</v>
          </cell>
          <cell r="I390" t="e">
            <v>#N/A</v>
          </cell>
          <cell r="J390" t="e">
            <v>#N/A</v>
          </cell>
          <cell r="K390" t="e">
            <v>#N/A</v>
          </cell>
          <cell r="L390" t="e">
            <v>#N/A</v>
          </cell>
          <cell r="M390" t="e">
            <v>#N/A</v>
          </cell>
          <cell r="N390" t="e">
            <v>#N/A</v>
          </cell>
          <cell r="O390" t="e">
            <v>#N/A</v>
          </cell>
          <cell r="P390">
            <v>46.6</v>
          </cell>
          <cell r="Q390">
            <v>9.338139</v>
          </cell>
          <cell r="R390" t="e">
            <v>#N/A</v>
          </cell>
        </row>
        <row r="391">
          <cell r="A391">
            <v>39717</v>
          </cell>
          <cell r="B391">
            <v>39717</v>
          </cell>
          <cell r="C391" t="str">
            <v>Past</v>
          </cell>
          <cell r="D391">
            <v>46.82</v>
          </cell>
          <cell r="E391" t="e">
            <v>#N/A</v>
          </cell>
          <cell r="F391" t="e">
            <v>#N/A</v>
          </cell>
          <cell r="G391" t="e">
            <v>#N/A</v>
          </cell>
          <cell r="H391" t="e">
            <v>#N/A</v>
          </cell>
          <cell r="I391" t="e">
            <v>#N/A</v>
          </cell>
          <cell r="J391" t="e">
            <v>#N/A</v>
          </cell>
          <cell r="K391" t="e">
            <v>#N/A</v>
          </cell>
          <cell r="L391" t="e">
            <v>#N/A</v>
          </cell>
          <cell r="M391" t="e">
            <v>#N/A</v>
          </cell>
          <cell r="N391" t="e">
            <v>#N/A</v>
          </cell>
          <cell r="O391" t="e">
            <v>#N/A</v>
          </cell>
          <cell r="P391">
            <v>46.82</v>
          </cell>
          <cell r="Q391">
            <v>5.7698029999999996</v>
          </cell>
          <cell r="R391" t="e">
            <v>#N/A</v>
          </cell>
        </row>
        <row r="392">
          <cell r="A392">
            <v>39720</v>
          </cell>
          <cell r="B392">
            <v>39720</v>
          </cell>
          <cell r="C392" t="str">
            <v>Past</v>
          </cell>
          <cell r="D392">
            <v>43.92</v>
          </cell>
          <cell r="E392" t="e">
            <v>#N/A</v>
          </cell>
          <cell r="F392" t="e">
            <v>#N/A</v>
          </cell>
          <cell r="G392" t="e">
            <v>#N/A</v>
          </cell>
          <cell r="H392" t="e">
            <v>#N/A</v>
          </cell>
          <cell r="I392" t="e">
            <v>#N/A</v>
          </cell>
          <cell r="J392" t="e">
            <v>#N/A</v>
          </cell>
          <cell r="K392" t="e">
            <v>#N/A</v>
          </cell>
          <cell r="L392" t="e">
            <v>#N/A</v>
          </cell>
          <cell r="M392" t="e">
            <v>#N/A</v>
          </cell>
          <cell r="N392" t="e">
            <v>#N/A</v>
          </cell>
          <cell r="O392" t="e">
            <v>#N/A</v>
          </cell>
          <cell r="P392">
            <v>43.92</v>
          </cell>
          <cell r="Q392">
            <v>9.7914779999999997</v>
          </cell>
          <cell r="R392" t="e">
            <v>#N/A</v>
          </cell>
        </row>
        <row r="393">
          <cell r="A393">
            <v>39721</v>
          </cell>
          <cell r="B393">
            <v>39721</v>
          </cell>
          <cell r="C393" t="str">
            <v>Past</v>
          </cell>
          <cell r="D393">
            <v>44.03</v>
          </cell>
          <cell r="E393" t="e">
            <v>#N/A</v>
          </cell>
          <cell r="F393" t="e">
            <v>#N/A</v>
          </cell>
          <cell r="G393" t="e">
            <v>#N/A</v>
          </cell>
          <cell r="H393" t="e">
            <v>#N/A</v>
          </cell>
          <cell r="I393" t="e">
            <v>#N/A</v>
          </cell>
          <cell r="J393" t="e">
            <v>#N/A</v>
          </cell>
          <cell r="K393" t="e">
            <v>#N/A</v>
          </cell>
          <cell r="L393" t="e">
            <v>#N/A</v>
          </cell>
          <cell r="M393" t="e">
            <v>#N/A</v>
          </cell>
          <cell r="N393" t="e">
            <v>#N/A</v>
          </cell>
          <cell r="O393" t="e">
            <v>#N/A</v>
          </cell>
          <cell r="P393">
            <v>44.03</v>
          </cell>
          <cell r="Q393">
            <v>8.43872</v>
          </cell>
          <cell r="R393" t="e">
            <v>#N/A</v>
          </cell>
        </row>
        <row r="394">
          <cell r="A394">
            <v>39722</v>
          </cell>
          <cell r="B394">
            <v>39722</v>
          </cell>
          <cell r="C394" t="str">
            <v>Past</v>
          </cell>
          <cell r="D394">
            <v>43.69</v>
          </cell>
          <cell r="E394" t="e">
            <v>#N/A</v>
          </cell>
          <cell r="F394" t="e">
            <v>#N/A</v>
          </cell>
          <cell r="G394" t="e">
            <v>#N/A</v>
          </cell>
          <cell r="H394" t="e">
            <v>#N/A</v>
          </cell>
          <cell r="I394" t="e">
            <v>#N/A</v>
          </cell>
          <cell r="J394" t="e">
            <v>#N/A</v>
          </cell>
          <cell r="K394" t="e">
            <v>#N/A</v>
          </cell>
          <cell r="L394" t="e">
            <v>#N/A</v>
          </cell>
          <cell r="M394" t="e">
            <v>#N/A</v>
          </cell>
          <cell r="N394" t="e">
            <v>#N/A</v>
          </cell>
          <cell r="O394" t="e">
            <v>#N/A</v>
          </cell>
          <cell r="P394">
            <v>43.69</v>
          </cell>
          <cell r="Q394">
            <v>6.3403209999999994</v>
          </cell>
          <cell r="R394" t="e">
            <v>#N/A</v>
          </cell>
        </row>
        <row r="395">
          <cell r="A395">
            <v>39723</v>
          </cell>
          <cell r="B395">
            <v>39723</v>
          </cell>
          <cell r="C395" t="str">
            <v>Past</v>
          </cell>
          <cell r="D395">
            <v>42.55</v>
          </cell>
          <cell r="E395" t="e">
            <v>#N/A</v>
          </cell>
          <cell r="F395" t="e">
            <v>#N/A</v>
          </cell>
          <cell r="G395" t="e">
            <v>#N/A</v>
          </cell>
          <cell r="H395" t="e">
            <v>#N/A</v>
          </cell>
          <cell r="I395" t="e">
            <v>#N/A</v>
          </cell>
          <cell r="J395" t="e">
            <v>#N/A</v>
          </cell>
          <cell r="K395" t="e">
            <v>#N/A</v>
          </cell>
          <cell r="L395" t="e">
            <v>#N/A</v>
          </cell>
          <cell r="M395" t="e">
            <v>#N/A</v>
          </cell>
          <cell r="N395" t="e">
            <v>#N/A</v>
          </cell>
          <cell r="O395" t="e">
            <v>#N/A</v>
          </cell>
          <cell r="P395">
            <v>42.55</v>
          </cell>
          <cell r="Q395">
            <v>6.5659789999999996</v>
          </cell>
          <cell r="R395" t="e">
            <v>#N/A</v>
          </cell>
        </row>
        <row r="396">
          <cell r="A396">
            <v>39724</v>
          </cell>
          <cell r="B396">
            <v>39724</v>
          </cell>
          <cell r="C396" t="str">
            <v>Past</v>
          </cell>
          <cell r="D396">
            <v>41.31</v>
          </cell>
          <cell r="E396" t="e">
            <v>#N/A</v>
          </cell>
          <cell r="F396" t="e">
            <v>#N/A</v>
          </cell>
          <cell r="G396" t="e">
            <v>#N/A</v>
          </cell>
          <cell r="H396" t="e">
            <v>#N/A</v>
          </cell>
          <cell r="I396" t="e">
            <v>#N/A</v>
          </cell>
          <cell r="J396" t="e">
            <v>#N/A</v>
          </cell>
          <cell r="K396" t="e">
            <v>#N/A</v>
          </cell>
          <cell r="L396" t="e">
            <v>#N/A</v>
          </cell>
          <cell r="M396" t="e">
            <v>#N/A</v>
          </cell>
          <cell r="N396" t="e">
            <v>#N/A</v>
          </cell>
          <cell r="O396" t="e">
            <v>#N/A</v>
          </cell>
          <cell r="P396">
            <v>41.31</v>
          </cell>
          <cell r="Q396">
            <v>9.4462289999999989</v>
          </cell>
          <cell r="R396" t="e">
            <v>#N/A</v>
          </cell>
        </row>
        <row r="397">
          <cell r="A397">
            <v>39727</v>
          </cell>
          <cell r="B397">
            <v>39727</v>
          </cell>
          <cell r="C397" t="str">
            <v>Past</v>
          </cell>
          <cell r="D397">
            <v>38.42</v>
          </cell>
          <cell r="E397" t="e">
            <v>#N/A</v>
          </cell>
          <cell r="F397" t="e">
            <v>#N/A</v>
          </cell>
          <cell r="G397" t="e">
            <v>#N/A</v>
          </cell>
          <cell r="H397" t="e">
            <v>#N/A</v>
          </cell>
          <cell r="I397" t="e">
            <v>#N/A</v>
          </cell>
          <cell r="J397" t="e">
            <v>#N/A</v>
          </cell>
          <cell r="K397" t="e">
            <v>#N/A</v>
          </cell>
          <cell r="L397" t="e">
            <v>#N/A</v>
          </cell>
          <cell r="M397" t="e">
            <v>#N/A</v>
          </cell>
          <cell r="N397" t="e">
            <v>#N/A</v>
          </cell>
          <cell r="O397" t="e">
            <v>#N/A</v>
          </cell>
          <cell r="P397">
            <v>38.42</v>
          </cell>
          <cell r="Q397">
            <v>18.989150000000002</v>
          </cell>
          <cell r="R397" t="e">
            <v>#N/A</v>
          </cell>
        </row>
        <row r="398">
          <cell r="A398">
            <v>39728</v>
          </cell>
          <cell r="B398">
            <v>39728</v>
          </cell>
          <cell r="C398" t="str">
            <v>Past</v>
          </cell>
          <cell r="D398">
            <v>38.61</v>
          </cell>
          <cell r="E398" t="e">
            <v>#N/A</v>
          </cell>
          <cell r="F398" t="e">
            <v>#N/A</v>
          </cell>
          <cell r="G398" t="e">
            <v>#N/A</v>
          </cell>
          <cell r="H398" t="e">
            <v>#N/A</v>
          </cell>
          <cell r="I398" t="e">
            <v>#N/A</v>
          </cell>
          <cell r="J398" t="e">
            <v>#N/A</v>
          </cell>
          <cell r="K398" t="e">
            <v>#N/A</v>
          </cell>
          <cell r="L398" t="e">
            <v>#N/A</v>
          </cell>
          <cell r="M398" t="e">
            <v>#N/A</v>
          </cell>
          <cell r="N398" t="e">
            <v>#N/A</v>
          </cell>
          <cell r="O398" t="e">
            <v>#N/A</v>
          </cell>
          <cell r="P398">
            <v>38.61</v>
          </cell>
          <cell r="Q398">
            <v>12.466280000000001</v>
          </cell>
          <cell r="R398" t="e">
            <v>#N/A</v>
          </cell>
        </row>
        <row r="399">
          <cell r="A399">
            <v>39729</v>
          </cell>
          <cell r="B399">
            <v>39729</v>
          </cell>
          <cell r="C399" t="str">
            <v>Past</v>
          </cell>
          <cell r="D399">
            <v>37.9</v>
          </cell>
          <cell r="E399" t="e">
            <v>#N/A</v>
          </cell>
          <cell r="F399" t="e">
            <v>#N/A</v>
          </cell>
          <cell r="G399" t="e">
            <v>#N/A</v>
          </cell>
          <cell r="H399" t="e">
            <v>#N/A</v>
          </cell>
          <cell r="I399" t="e">
            <v>#N/A</v>
          </cell>
          <cell r="J399" t="e">
            <v>#N/A</v>
          </cell>
          <cell r="K399" t="e">
            <v>#N/A</v>
          </cell>
          <cell r="L399" t="e">
            <v>#N/A</v>
          </cell>
          <cell r="M399" t="e">
            <v>#N/A</v>
          </cell>
          <cell r="N399" t="e">
            <v>#N/A</v>
          </cell>
          <cell r="O399" t="e">
            <v>#N/A</v>
          </cell>
          <cell r="P399">
            <v>37.9</v>
          </cell>
          <cell r="Q399">
            <v>8.946200000000001</v>
          </cell>
          <cell r="R399" t="e">
            <v>#N/A</v>
          </cell>
        </row>
        <row r="400">
          <cell r="A400">
            <v>39730</v>
          </cell>
          <cell r="B400">
            <v>39730</v>
          </cell>
          <cell r="C400" t="str">
            <v>Past</v>
          </cell>
          <cell r="D400">
            <v>33.22</v>
          </cell>
          <cell r="E400" t="e">
            <v>#N/A</v>
          </cell>
          <cell r="F400" t="e">
            <v>#N/A</v>
          </cell>
          <cell r="G400" t="e">
            <v>#N/A</v>
          </cell>
          <cell r="H400" t="e">
            <v>#N/A</v>
          </cell>
          <cell r="I400" t="e">
            <v>#N/A</v>
          </cell>
          <cell r="J400" t="e">
            <v>#N/A</v>
          </cell>
          <cell r="K400" t="e">
            <v>#N/A</v>
          </cell>
          <cell r="L400" t="e">
            <v>#N/A</v>
          </cell>
          <cell r="M400" t="e">
            <v>#N/A</v>
          </cell>
          <cell r="N400" t="e">
            <v>#N/A</v>
          </cell>
          <cell r="O400" t="e">
            <v>#N/A</v>
          </cell>
          <cell r="P400">
            <v>33.22</v>
          </cell>
          <cell r="Q400">
            <v>13.833860000000001</v>
          </cell>
          <cell r="R400" t="e">
            <v>#N/A</v>
          </cell>
        </row>
        <row r="401">
          <cell r="A401">
            <v>39731</v>
          </cell>
          <cell r="B401">
            <v>39731</v>
          </cell>
          <cell r="C401" t="str">
            <v>Past</v>
          </cell>
          <cell r="D401">
            <v>31.36</v>
          </cell>
          <cell r="E401" t="e">
            <v>#N/A</v>
          </cell>
          <cell r="F401" t="e">
            <v>#N/A</v>
          </cell>
          <cell r="G401" t="e">
            <v>#N/A</v>
          </cell>
          <cell r="H401" t="e">
            <v>#N/A</v>
          </cell>
          <cell r="I401" t="e">
            <v>#N/A</v>
          </cell>
          <cell r="J401" t="e">
            <v>#N/A</v>
          </cell>
          <cell r="K401" t="e">
            <v>#N/A</v>
          </cell>
          <cell r="L401" t="e">
            <v>#N/A</v>
          </cell>
          <cell r="M401" t="e">
            <v>#N/A</v>
          </cell>
          <cell r="N401" t="e">
            <v>#N/A</v>
          </cell>
          <cell r="O401" t="e">
            <v>#N/A</v>
          </cell>
          <cell r="P401">
            <v>31.36</v>
          </cell>
          <cell r="Q401">
            <v>15.866700000000002</v>
          </cell>
          <cell r="R401" t="e">
            <v>#N/A</v>
          </cell>
        </row>
        <row r="402">
          <cell r="A402">
            <v>39734</v>
          </cell>
          <cell r="B402">
            <v>39734</v>
          </cell>
          <cell r="C402" t="str">
            <v>Past</v>
          </cell>
          <cell r="D402">
            <v>35.86</v>
          </cell>
          <cell r="E402" t="e">
            <v>#N/A</v>
          </cell>
          <cell r="F402" t="e">
            <v>#N/A</v>
          </cell>
          <cell r="G402" t="e">
            <v>#N/A</v>
          </cell>
          <cell r="H402" t="e">
            <v>#N/A</v>
          </cell>
          <cell r="I402" t="e">
            <v>#N/A</v>
          </cell>
          <cell r="J402" t="e">
            <v>#N/A</v>
          </cell>
          <cell r="K402" t="e">
            <v>#N/A</v>
          </cell>
          <cell r="L402" t="e">
            <v>#N/A</v>
          </cell>
          <cell r="M402" t="e">
            <v>#N/A</v>
          </cell>
          <cell r="N402" t="e">
            <v>#N/A</v>
          </cell>
          <cell r="O402" t="e">
            <v>#N/A</v>
          </cell>
          <cell r="P402">
            <v>35.86</v>
          </cell>
          <cell r="Q402">
            <v>8.2861390000000004</v>
          </cell>
          <cell r="R402" t="e">
            <v>#N/A</v>
          </cell>
        </row>
        <row r="403">
          <cell r="A403">
            <v>39735</v>
          </cell>
          <cell r="B403">
            <v>39735</v>
          </cell>
          <cell r="C403" t="str">
            <v>Past</v>
          </cell>
          <cell r="D403">
            <v>34.94</v>
          </cell>
          <cell r="E403" t="e">
            <v>#N/A</v>
          </cell>
          <cell r="F403" t="e">
            <v>#N/A</v>
          </cell>
          <cell r="G403" t="e">
            <v>#N/A</v>
          </cell>
          <cell r="H403" t="e">
            <v>#N/A</v>
          </cell>
          <cell r="I403" t="e">
            <v>#N/A</v>
          </cell>
          <cell r="J403" t="e">
            <v>#N/A</v>
          </cell>
          <cell r="K403" t="e">
            <v>#N/A</v>
          </cell>
          <cell r="L403" t="e">
            <v>#N/A</v>
          </cell>
          <cell r="M403" t="e">
            <v>#N/A</v>
          </cell>
          <cell r="N403" t="e">
            <v>#N/A</v>
          </cell>
          <cell r="O403" t="e">
            <v>#N/A</v>
          </cell>
          <cell r="P403">
            <v>34.94</v>
          </cell>
          <cell r="Q403">
            <v>10.643370000000001</v>
          </cell>
          <cell r="R403" t="e">
            <v>#N/A</v>
          </cell>
        </row>
        <row r="404">
          <cell r="A404">
            <v>39736</v>
          </cell>
          <cell r="B404">
            <v>39736</v>
          </cell>
          <cell r="C404" t="str">
            <v>Past</v>
          </cell>
          <cell r="D404">
            <v>32.54</v>
          </cell>
          <cell r="E404" t="e">
            <v>#N/A</v>
          </cell>
          <cell r="F404" t="e">
            <v>#N/A</v>
          </cell>
          <cell r="G404" t="e">
            <v>#N/A</v>
          </cell>
          <cell r="H404" t="e">
            <v>#N/A</v>
          </cell>
          <cell r="I404" t="e">
            <v>#N/A</v>
          </cell>
          <cell r="J404" t="e">
            <v>#N/A</v>
          </cell>
          <cell r="K404" t="e">
            <v>#N/A</v>
          </cell>
          <cell r="L404" t="e">
            <v>#N/A</v>
          </cell>
          <cell r="M404" t="e">
            <v>#N/A</v>
          </cell>
          <cell r="N404" t="e">
            <v>#N/A</v>
          </cell>
          <cell r="O404" t="e">
            <v>#N/A</v>
          </cell>
          <cell r="P404">
            <v>32.54</v>
          </cell>
          <cell r="Q404">
            <v>10.602690000000001</v>
          </cell>
          <cell r="R404" t="e">
            <v>#N/A</v>
          </cell>
        </row>
        <row r="405">
          <cell r="A405">
            <v>39737</v>
          </cell>
          <cell r="B405">
            <v>39737</v>
          </cell>
          <cell r="C405" t="str">
            <v>Past</v>
          </cell>
          <cell r="D405">
            <v>34.380000000000003</v>
          </cell>
          <cell r="E405" t="e">
            <v>#N/A</v>
          </cell>
          <cell r="F405" t="e">
            <v>#N/A</v>
          </cell>
          <cell r="G405" t="e">
            <v>#N/A</v>
          </cell>
          <cell r="H405" t="e">
            <v>#N/A</v>
          </cell>
          <cell r="I405" t="e">
            <v>#N/A</v>
          </cell>
          <cell r="J405" t="e">
            <v>#N/A</v>
          </cell>
          <cell r="K405" t="e">
            <v>#N/A</v>
          </cell>
          <cell r="L405" t="e">
            <v>#N/A</v>
          </cell>
          <cell r="M405" t="e">
            <v>#N/A</v>
          </cell>
          <cell r="N405" t="e">
            <v>#N/A</v>
          </cell>
          <cell r="O405" t="e">
            <v>#N/A</v>
          </cell>
          <cell r="P405">
            <v>34.380000000000003</v>
          </cell>
          <cell r="Q405">
            <v>10.297870000000001</v>
          </cell>
          <cell r="R405" t="e">
            <v>#N/A</v>
          </cell>
        </row>
        <row r="406">
          <cell r="A406">
            <v>39738</v>
          </cell>
          <cell r="B406">
            <v>39738</v>
          </cell>
          <cell r="C406" t="str">
            <v>Past</v>
          </cell>
          <cell r="D406">
            <v>32.200000000000003</v>
          </cell>
          <cell r="E406" t="e">
            <v>#N/A</v>
          </cell>
          <cell r="F406" t="e">
            <v>#N/A</v>
          </cell>
          <cell r="G406" t="e">
            <v>#N/A</v>
          </cell>
          <cell r="H406" t="e">
            <v>#N/A</v>
          </cell>
          <cell r="I406" t="e">
            <v>#N/A</v>
          </cell>
          <cell r="J406" t="e">
            <v>#N/A</v>
          </cell>
          <cell r="K406" t="e">
            <v>#N/A</v>
          </cell>
          <cell r="L406" t="e">
            <v>#N/A</v>
          </cell>
          <cell r="M406" t="e">
            <v>#N/A</v>
          </cell>
          <cell r="N406" t="e">
            <v>#N/A</v>
          </cell>
          <cell r="O406" t="e">
            <v>#N/A</v>
          </cell>
          <cell r="P406">
            <v>32.200000000000003</v>
          </cell>
          <cell r="Q406">
            <v>9.1611349999999998</v>
          </cell>
          <cell r="R406" t="e">
            <v>#N/A</v>
          </cell>
        </row>
        <row r="407">
          <cell r="A407">
            <v>39741</v>
          </cell>
          <cell r="B407">
            <v>39741</v>
          </cell>
          <cell r="C407" t="str">
            <v>Past</v>
          </cell>
          <cell r="D407">
            <v>34.1</v>
          </cell>
          <cell r="E407" t="e">
            <v>#N/A</v>
          </cell>
          <cell r="F407" t="e">
            <v>#N/A</v>
          </cell>
          <cell r="G407" t="e">
            <v>#N/A</v>
          </cell>
          <cell r="H407" t="e">
            <v>#N/A</v>
          </cell>
          <cell r="I407" t="e">
            <v>#N/A</v>
          </cell>
          <cell r="J407" t="e">
            <v>#N/A</v>
          </cell>
          <cell r="K407" t="e">
            <v>#N/A</v>
          </cell>
          <cell r="L407" t="e">
            <v>#N/A</v>
          </cell>
          <cell r="M407" t="e">
            <v>#N/A</v>
          </cell>
          <cell r="N407" t="e">
            <v>#N/A</v>
          </cell>
          <cell r="O407" t="e">
            <v>#N/A</v>
          </cell>
          <cell r="P407">
            <v>34.1</v>
          </cell>
          <cell r="Q407">
            <v>9.0492119999999989</v>
          </cell>
          <cell r="R407" t="e">
            <v>#N/A</v>
          </cell>
        </row>
        <row r="408">
          <cell r="A408">
            <v>39742</v>
          </cell>
          <cell r="B408">
            <v>39742</v>
          </cell>
          <cell r="C408" t="str">
            <v>Past</v>
          </cell>
          <cell r="D408">
            <v>33.68</v>
          </cell>
          <cell r="E408" t="e">
            <v>#N/A</v>
          </cell>
          <cell r="F408" t="e">
            <v>#N/A</v>
          </cell>
          <cell r="G408" t="e">
            <v>#N/A</v>
          </cell>
          <cell r="H408" t="e">
            <v>#N/A</v>
          </cell>
          <cell r="I408" t="e">
            <v>#N/A</v>
          </cell>
          <cell r="J408" t="e">
            <v>#N/A</v>
          </cell>
          <cell r="K408" t="e">
            <v>#N/A</v>
          </cell>
          <cell r="L408" t="e">
            <v>#N/A</v>
          </cell>
          <cell r="M408" t="e">
            <v>#N/A</v>
          </cell>
          <cell r="N408" t="e">
            <v>#N/A</v>
          </cell>
          <cell r="O408" t="e">
            <v>#N/A</v>
          </cell>
          <cell r="P408">
            <v>33.68</v>
          </cell>
          <cell r="Q408">
            <v>7.7329600000000003</v>
          </cell>
          <cell r="R408" t="e">
            <v>#N/A</v>
          </cell>
        </row>
        <row r="409">
          <cell r="A409">
            <v>39743</v>
          </cell>
          <cell r="B409">
            <v>39743</v>
          </cell>
          <cell r="C409" t="str">
            <v>Past</v>
          </cell>
          <cell r="D409">
            <v>32.11</v>
          </cell>
          <cell r="E409" t="e">
            <v>#N/A</v>
          </cell>
          <cell r="F409" t="e">
            <v>#N/A</v>
          </cell>
          <cell r="G409" t="e">
            <v>#N/A</v>
          </cell>
          <cell r="H409" t="e">
            <v>#N/A</v>
          </cell>
          <cell r="I409" t="e">
            <v>#N/A</v>
          </cell>
          <cell r="J409" t="e">
            <v>#N/A</v>
          </cell>
          <cell r="K409" t="e">
            <v>#N/A</v>
          </cell>
          <cell r="L409" t="e">
            <v>#N/A</v>
          </cell>
          <cell r="M409" t="e">
            <v>#N/A</v>
          </cell>
          <cell r="N409" t="e">
            <v>#N/A</v>
          </cell>
          <cell r="O409" t="e">
            <v>#N/A</v>
          </cell>
          <cell r="P409">
            <v>32.11</v>
          </cell>
          <cell r="Q409">
            <v>6.6719949999999999</v>
          </cell>
          <cell r="R409" t="e">
            <v>#N/A</v>
          </cell>
        </row>
        <row r="410">
          <cell r="A410">
            <v>39744</v>
          </cell>
          <cell r="B410">
            <v>39744</v>
          </cell>
          <cell r="C410" t="str">
            <v>Past</v>
          </cell>
          <cell r="D410">
            <v>33.479999999999997</v>
          </cell>
          <cell r="E410" t="e">
            <v>#N/A</v>
          </cell>
          <cell r="F410" t="e">
            <v>#N/A</v>
          </cell>
          <cell r="G410" t="e">
            <v>#N/A</v>
          </cell>
          <cell r="H410" t="e">
            <v>#N/A</v>
          </cell>
          <cell r="I410" t="e">
            <v>#N/A</v>
          </cell>
          <cell r="J410" t="e">
            <v>#N/A</v>
          </cell>
          <cell r="K410" t="e">
            <v>#N/A</v>
          </cell>
          <cell r="L410" t="e">
            <v>#N/A</v>
          </cell>
          <cell r="M410" t="e">
            <v>#N/A</v>
          </cell>
          <cell r="N410" t="e">
            <v>#N/A</v>
          </cell>
          <cell r="O410" t="e">
            <v>#N/A</v>
          </cell>
          <cell r="P410">
            <v>33.479999999999997</v>
          </cell>
          <cell r="Q410">
            <v>8.7292550000000002</v>
          </cell>
          <cell r="R410" t="e">
            <v>#N/A</v>
          </cell>
        </row>
        <row r="411">
          <cell r="A411">
            <v>39745</v>
          </cell>
          <cell r="B411">
            <v>39745</v>
          </cell>
          <cell r="C411" t="str">
            <v>Past</v>
          </cell>
          <cell r="D411">
            <v>31.73</v>
          </cell>
          <cell r="E411" t="e">
            <v>#N/A</v>
          </cell>
          <cell r="F411" t="e">
            <v>#N/A</v>
          </cell>
          <cell r="G411" t="e">
            <v>#N/A</v>
          </cell>
          <cell r="H411" t="e">
            <v>#N/A</v>
          </cell>
          <cell r="I411" t="e">
            <v>#N/A</v>
          </cell>
          <cell r="J411" t="e">
            <v>#N/A</v>
          </cell>
          <cell r="K411" t="e">
            <v>#N/A</v>
          </cell>
          <cell r="L411" t="e">
            <v>#N/A</v>
          </cell>
          <cell r="M411" t="e">
            <v>#N/A</v>
          </cell>
          <cell r="N411" t="e">
            <v>#N/A</v>
          </cell>
          <cell r="O411" t="e">
            <v>#N/A</v>
          </cell>
          <cell r="P411">
            <v>31.73</v>
          </cell>
          <cell r="Q411">
            <v>7.2242579999999998</v>
          </cell>
          <cell r="R411" t="e">
            <v>#N/A</v>
          </cell>
        </row>
        <row r="412">
          <cell r="A412">
            <v>39748</v>
          </cell>
          <cell r="B412">
            <v>39748</v>
          </cell>
          <cell r="C412" t="str">
            <v>Past</v>
          </cell>
          <cell r="D412">
            <v>30.4</v>
          </cell>
          <cell r="E412" t="e">
            <v>#N/A</v>
          </cell>
          <cell r="F412" t="e">
            <v>#N/A</v>
          </cell>
          <cell r="G412" t="e">
            <v>#N/A</v>
          </cell>
          <cell r="H412" t="e">
            <v>#N/A</v>
          </cell>
          <cell r="I412" t="e">
            <v>#N/A</v>
          </cell>
          <cell r="J412" t="e">
            <v>#N/A</v>
          </cell>
          <cell r="K412" t="e">
            <v>#N/A</v>
          </cell>
          <cell r="L412" t="e">
            <v>#N/A</v>
          </cell>
          <cell r="M412" t="e">
            <v>#N/A</v>
          </cell>
          <cell r="N412" t="e">
            <v>#N/A</v>
          </cell>
          <cell r="O412" t="e">
            <v>#N/A</v>
          </cell>
          <cell r="P412">
            <v>30.4</v>
          </cell>
          <cell r="Q412">
            <v>7.5269170000000001</v>
          </cell>
          <cell r="R412" t="e">
            <v>#N/A</v>
          </cell>
        </row>
        <row r="413">
          <cell r="A413">
            <v>39749</v>
          </cell>
          <cell r="B413">
            <v>39749</v>
          </cell>
          <cell r="C413" t="str">
            <v>Past</v>
          </cell>
          <cell r="D413">
            <v>33.380000000000003</v>
          </cell>
          <cell r="E413" t="e">
            <v>#N/A</v>
          </cell>
          <cell r="F413" t="e">
            <v>#N/A</v>
          </cell>
          <cell r="G413" t="e">
            <v>#N/A</v>
          </cell>
          <cell r="H413" t="e">
            <v>#N/A</v>
          </cell>
          <cell r="I413" t="e">
            <v>#N/A</v>
          </cell>
          <cell r="J413" t="e">
            <v>#N/A</v>
          </cell>
          <cell r="K413" t="e">
            <v>#N/A</v>
          </cell>
          <cell r="L413" t="e">
            <v>#N/A</v>
          </cell>
          <cell r="M413" t="e">
            <v>#N/A</v>
          </cell>
          <cell r="N413" t="e">
            <v>#N/A</v>
          </cell>
          <cell r="O413" t="e">
            <v>#N/A</v>
          </cell>
          <cell r="P413">
            <v>33.380000000000003</v>
          </cell>
          <cell r="Q413">
            <v>8.3281400000000012</v>
          </cell>
          <cell r="R413" t="e">
            <v>#N/A</v>
          </cell>
        </row>
        <row r="414">
          <cell r="A414">
            <v>39750</v>
          </cell>
          <cell r="B414">
            <v>39750</v>
          </cell>
          <cell r="C414" t="str">
            <v>Past</v>
          </cell>
          <cell r="D414">
            <v>32.03</v>
          </cell>
          <cell r="E414" t="e">
            <v>#N/A</v>
          </cell>
          <cell r="F414" t="e">
            <v>#N/A</v>
          </cell>
          <cell r="G414" t="e">
            <v>#N/A</v>
          </cell>
          <cell r="H414" t="e">
            <v>#N/A</v>
          </cell>
          <cell r="I414" t="e">
            <v>#N/A</v>
          </cell>
          <cell r="J414" t="e">
            <v>#N/A</v>
          </cell>
          <cell r="K414" t="e">
            <v>#N/A</v>
          </cell>
          <cell r="L414" t="e">
            <v>#N/A</v>
          </cell>
          <cell r="M414" t="e">
            <v>#N/A</v>
          </cell>
          <cell r="N414" t="e">
            <v>#N/A</v>
          </cell>
          <cell r="O414" t="e">
            <v>#N/A</v>
          </cell>
          <cell r="P414">
            <v>32.03</v>
          </cell>
          <cell r="Q414">
            <v>9.1801659999999998</v>
          </cell>
          <cell r="R414" t="e">
            <v>#N/A</v>
          </cell>
        </row>
        <row r="415">
          <cell r="A415">
            <v>39751</v>
          </cell>
          <cell r="B415">
            <v>39751</v>
          </cell>
          <cell r="C415" t="str">
            <v>Past</v>
          </cell>
          <cell r="D415">
            <v>32.83</v>
          </cell>
          <cell r="E415" t="e">
            <v>#N/A</v>
          </cell>
          <cell r="F415" t="e">
            <v>#N/A</v>
          </cell>
          <cell r="G415" t="e">
            <v>#N/A</v>
          </cell>
          <cell r="H415" t="e">
            <v>#N/A</v>
          </cell>
          <cell r="I415" t="e">
            <v>#N/A</v>
          </cell>
          <cell r="J415" t="e">
            <v>#N/A</v>
          </cell>
          <cell r="K415" t="e">
            <v>#N/A</v>
          </cell>
          <cell r="L415" t="e">
            <v>#N/A</v>
          </cell>
          <cell r="M415" t="e">
            <v>#N/A</v>
          </cell>
          <cell r="N415" t="e">
            <v>#N/A</v>
          </cell>
          <cell r="O415" t="e">
            <v>#N/A</v>
          </cell>
          <cell r="P415">
            <v>32.83</v>
          </cell>
          <cell r="Q415">
            <v>7.3632809999999997</v>
          </cell>
          <cell r="R415" t="e">
            <v>#N/A</v>
          </cell>
        </row>
        <row r="416">
          <cell r="A416">
            <v>39752</v>
          </cell>
          <cell r="B416">
            <v>39752</v>
          </cell>
          <cell r="C416" t="str">
            <v>Past</v>
          </cell>
          <cell r="D416">
            <v>33.82</v>
          </cell>
          <cell r="E416" t="e">
            <v>#N/A</v>
          </cell>
          <cell r="F416" t="e">
            <v>#N/A</v>
          </cell>
          <cell r="G416" t="e">
            <v>#N/A</v>
          </cell>
          <cell r="H416" t="e">
            <v>#N/A</v>
          </cell>
          <cell r="I416" t="e">
            <v>#N/A</v>
          </cell>
          <cell r="J416" t="e">
            <v>#N/A</v>
          </cell>
          <cell r="K416" t="e">
            <v>#N/A</v>
          </cell>
          <cell r="L416" t="e">
            <v>#N/A</v>
          </cell>
          <cell r="M416" t="e">
            <v>#N/A</v>
          </cell>
          <cell r="N416" t="e">
            <v>#N/A</v>
          </cell>
          <cell r="O416" t="e">
            <v>#N/A</v>
          </cell>
          <cell r="P416">
            <v>33.82</v>
          </cell>
          <cell r="Q416">
            <v>6.8747219999999993</v>
          </cell>
          <cell r="R416" t="e">
            <v>#N/A</v>
          </cell>
        </row>
        <row r="417">
          <cell r="A417">
            <v>39755</v>
          </cell>
          <cell r="B417">
            <v>39755</v>
          </cell>
          <cell r="C417" t="str">
            <v>Past</v>
          </cell>
          <cell r="D417">
            <v>34.01</v>
          </cell>
          <cell r="E417" t="e">
            <v>#N/A</v>
          </cell>
          <cell r="F417" t="e">
            <v>#N/A</v>
          </cell>
          <cell r="G417" t="e">
            <v>#N/A</v>
          </cell>
          <cell r="H417" t="e">
            <v>#N/A</v>
          </cell>
          <cell r="I417" t="e">
            <v>#N/A</v>
          </cell>
          <cell r="J417" t="e">
            <v>#N/A</v>
          </cell>
          <cell r="K417" t="e">
            <v>#N/A</v>
          </cell>
          <cell r="L417" t="e">
            <v>#N/A</v>
          </cell>
          <cell r="M417" t="e">
            <v>#N/A</v>
          </cell>
          <cell r="N417" t="e">
            <v>#N/A</v>
          </cell>
          <cell r="O417" t="e">
            <v>#N/A</v>
          </cell>
          <cell r="P417">
            <v>34.01</v>
          </cell>
          <cell r="Q417">
            <v>4.8018919999999996</v>
          </cell>
          <cell r="R417" t="e">
            <v>#N/A</v>
          </cell>
        </row>
        <row r="418">
          <cell r="A418">
            <v>39756</v>
          </cell>
          <cell r="B418">
            <v>39756</v>
          </cell>
          <cell r="C418" t="str">
            <v>Past</v>
          </cell>
          <cell r="D418">
            <v>35.15</v>
          </cell>
          <cell r="E418" t="e">
            <v>#N/A</v>
          </cell>
          <cell r="F418" t="e">
            <v>#N/A</v>
          </cell>
          <cell r="G418" t="e">
            <v>#N/A</v>
          </cell>
          <cell r="H418" t="e">
            <v>#N/A</v>
          </cell>
          <cell r="I418" t="e">
            <v>#N/A</v>
          </cell>
          <cell r="J418" t="e">
            <v>#N/A</v>
          </cell>
          <cell r="K418" t="e">
            <v>#N/A</v>
          </cell>
          <cell r="L418" t="e">
            <v>#N/A</v>
          </cell>
          <cell r="M418" t="e">
            <v>#N/A</v>
          </cell>
          <cell r="N418" t="e">
            <v>#N/A</v>
          </cell>
          <cell r="O418" t="e">
            <v>#N/A</v>
          </cell>
          <cell r="P418">
            <v>35.15</v>
          </cell>
          <cell r="Q418">
            <v>7.7893819999999998</v>
          </cell>
          <cell r="R418" t="e">
            <v>#N/A</v>
          </cell>
        </row>
        <row r="419">
          <cell r="A419">
            <v>39757</v>
          </cell>
          <cell r="B419">
            <v>39757</v>
          </cell>
          <cell r="C419" t="str">
            <v>Past</v>
          </cell>
          <cell r="D419">
            <v>33.76</v>
          </cell>
          <cell r="E419" t="e">
            <v>#N/A</v>
          </cell>
          <cell r="F419" t="e">
            <v>#N/A</v>
          </cell>
          <cell r="G419" t="e">
            <v>#N/A</v>
          </cell>
          <cell r="H419" t="e">
            <v>#N/A</v>
          </cell>
          <cell r="I419" t="e">
            <v>#N/A</v>
          </cell>
          <cell r="J419" t="e">
            <v>#N/A</v>
          </cell>
          <cell r="K419" t="e">
            <v>#N/A</v>
          </cell>
          <cell r="L419" t="e">
            <v>#N/A</v>
          </cell>
          <cell r="M419" t="e">
            <v>#N/A</v>
          </cell>
          <cell r="N419" t="e">
            <v>#N/A</v>
          </cell>
          <cell r="O419" t="e">
            <v>#N/A</v>
          </cell>
          <cell r="P419">
            <v>33.76</v>
          </cell>
          <cell r="Q419">
            <v>5.8583129999999999</v>
          </cell>
          <cell r="R419" t="e">
            <v>#N/A</v>
          </cell>
        </row>
        <row r="420">
          <cell r="A420">
            <v>39758</v>
          </cell>
          <cell r="B420">
            <v>39758</v>
          </cell>
          <cell r="C420" t="str">
            <v>Past</v>
          </cell>
          <cell r="D420">
            <v>32.869999999999997</v>
          </cell>
          <cell r="E420" t="e">
            <v>#N/A</v>
          </cell>
          <cell r="F420" t="e">
            <v>#N/A</v>
          </cell>
          <cell r="G420" t="e">
            <v>#N/A</v>
          </cell>
          <cell r="H420" t="e">
            <v>#N/A</v>
          </cell>
          <cell r="I420" t="e">
            <v>#N/A</v>
          </cell>
          <cell r="J420" t="e">
            <v>#N/A</v>
          </cell>
          <cell r="K420" t="e">
            <v>#N/A</v>
          </cell>
          <cell r="L420" t="e">
            <v>#N/A</v>
          </cell>
          <cell r="M420" t="e">
            <v>#N/A</v>
          </cell>
          <cell r="N420" t="e">
            <v>#N/A</v>
          </cell>
          <cell r="O420" t="e">
            <v>#N/A</v>
          </cell>
          <cell r="P420">
            <v>32.869999999999997</v>
          </cell>
          <cell r="Q420">
            <v>6.4474269999999994</v>
          </cell>
          <cell r="R420" t="e">
            <v>#N/A</v>
          </cell>
        </row>
        <row r="421">
          <cell r="A421">
            <v>39759</v>
          </cell>
          <cell r="B421">
            <v>39759</v>
          </cell>
          <cell r="C421" t="str">
            <v>Past</v>
          </cell>
          <cell r="D421">
            <v>34.200000000000003</v>
          </cell>
          <cell r="E421" t="e">
            <v>#N/A</v>
          </cell>
          <cell r="F421" t="e">
            <v>#N/A</v>
          </cell>
          <cell r="G421" t="e">
            <v>#N/A</v>
          </cell>
          <cell r="H421" t="e">
            <v>#N/A</v>
          </cell>
          <cell r="I421" t="e">
            <v>#N/A</v>
          </cell>
          <cell r="J421" t="e">
            <v>#N/A</v>
          </cell>
          <cell r="K421" t="e">
            <v>#N/A</v>
          </cell>
          <cell r="L421" t="e">
            <v>#N/A</v>
          </cell>
          <cell r="M421" t="e">
            <v>#N/A</v>
          </cell>
          <cell r="N421" t="e">
            <v>#N/A</v>
          </cell>
          <cell r="O421" t="e">
            <v>#N/A</v>
          </cell>
          <cell r="P421">
            <v>34.200000000000003</v>
          </cell>
          <cell r="Q421">
            <v>4.023854</v>
          </cell>
          <cell r="R421" t="e">
            <v>#N/A</v>
          </cell>
        </row>
        <row r="422">
          <cell r="A422">
            <v>39762</v>
          </cell>
          <cell r="B422">
            <v>39762</v>
          </cell>
          <cell r="C422" t="str">
            <v>Past</v>
          </cell>
          <cell r="D422">
            <v>34.869999999999997</v>
          </cell>
          <cell r="E422" t="e">
            <v>#N/A</v>
          </cell>
          <cell r="F422" t="e">
            <v>#N/A</v>
          </cell>
          <cell r="G422" t="e">
            <v>#N/A</v>
          </cell>
          <cell r="H422" t="e">
            <v>#N/A</v>
          </cell>
          <cell r="I422" t="e">
            <v>#N/A</v>
          </cell>
          <cell r="J422" t="e">
            <v>#N/A</v>
          </cell>
          <cell r="K422" t="e">
            <v>#N/A</v>
          </cell>
          <cell r="L422" t="e">
            <v>#N/A</v>
          </cell>
          <cell r="M422" t="e">
            <v>#N/A</v>
          </cell>
          <cell r="N422" t="e">
            <v>#N/A</v>
          </cell>
          <cell r="O422" t="e">
            <v>#N/A</v>
          </cell>
          <cell r="P422">
            <v>34.869999999999997</v>
          </cell>
          <cell r="Q422">
            <v>5.9272800000000005</v>
          </cell>
          <cell r="R422" t="e">
            <v>#N/A</v>
          </cell>
        </row>
        <row r="423">
          <cell r="A423">
            <v>39763</v>
          </cell>
          <cell r="B423">
            <v>39763</v>
          </cell>
          <cell r="C423" t="str">
            <v>Past</v>
          </cell>
          <cell r="D423">
            <v>33.97</v>
          </cell>
          <cell r="E423" t="e">
            <v>#N/A</v>
          </cell>
          <cell r="F423" t="e">
            <v>#N/A</v>
          </cell>
          <cell r="G423" t="e">
            <v>#N/A</v>
          </cell>
          <cell r="H423" t="e">
            <v>#N/A</v>
          </cell>
          <cell r="I423" t="e">
            <v>#N/A</v>
          </cell>
          <cell r="J423" t="e">
            <v>#N/A</v>
          </cell>
          <cell r="K423" t="e">
            <v>#N/A</v>
          </cell>
          <cell r="L423" t="e">
            <v>#N/A</v>
          </cell>
          <cell r="M423" t="e">
            <v>#N/A</v>
          </cell>
          <cell r="N423" t="e">
            <v>#N/A</v>
          </cell>
          <cell r="O423" t="e">
            <v>#N/A</v>
          </cell>
          <cell r="P423">
            <v>33.97</v>
          </cell>
          <cell r="Q423">
            <v>4.9625000000000004</v>
          </cell>
          <cell r="R423" t="e">
            <v>#N/A</v>
          </cell>
        </row>
        <row r="424">
          <cell r="A424">
            <v>39764</v>
          </cell>
          <cell r="B424">
            <v>39764</v>
          </cell>
          <cell r="C424" t="str">
            <v>Past</v>
          </cell>
          <cell r="D424">
            <v>31.99</v>
          </cell>
          <cell r="E424" t="e">
            <v>#N/A</v>
          </cell>
          <cell r="F424" t="e">
            <v>#N/A</v>
          </cell>
          <cell r="G424" t="e">
            <v>#N/A</v>
          </cell>
          <cell r="H424" t="e">
            <v>#N/A</v>
          </cell>
          <cell r="I424" t="e">
            <v>#N/A</v>
          </cell>
          <cell r="J424" t="e">
            <v>#N/A</v>
          </cell>
          <cell r="K424" t="e">
            <v>#N/A</v>
          </cell>
          <cell r="L424" t="e">
            <v>#N/A</v>
          </cell>
          <cell r="M424" t="e">
            <v>#N/A</v>
          </cell>
          <cell r="N424" t="e">
            <v>#N/A</v>
          </cell>
          <cell r="O424" t="e">
            <v>#N/A</v>
          </cell>
          <cell r="P424">
            <v>31.99</v>
          </cell>
          <cell r="Q424">
            <v>6.1608130000000001</v>
          </cell>
          <cell r="R424" t="e">
            <v>#N/A</v>
          </cell>
        </row>
        <row r="425">
          <cell r="A425">
            <v>39765</v>
          </cell>
          <cell r="B425">
            <v>39765</v>
          </cell>
          <cell r="C425" t="str">
            <v>Past</v>
          </cell>
          <cell r="D425">
            <v>34.119999999999997</v>
          </cell>
          <cell r="E425" t="e">
            <v>#N/A</v>
          </cell>
          <cell r="F425" t="e">
            <v>#N/A</v>
          </cell>
          <cell r="G425" t="e">
            <v>#N/A</v>
          </cell>
          <cell r="H425" t="e">
            <v>#N/A</v>
          </cell>
          <cell r="I425" t="e">
            <v>#N/A</v>
          </cell>
          <cell r="J425" t="e">
            <v>#N/A</v>
          </cell>
          <cell r="K425" t="e">
            <v>#N/A</v>
          </cell>
          <cell r="L425" t="e">
            <v>#N/A</v>
          </cell>
          <cell r="M425" t="e">
            <v>#N/A</v>
          </cell>
          <cell r="N425" t="e">
            <v>#N/A</v>
          </cell>
          <cell r="O425" t="e">
            <v>#N/A</v>
          </cell>
          <cell r="P425">
            <v>34.119999999999997</v>
          </cell>
          <cell r="Q425">
            <v>13.039400000000001</v>
          </cell>
          <cell r="R425" t="e">
            <v>#N/A</v>
          </cell>
        </row>
        <row r="426">
          <cell r="A426">
            <v>39766</v>
          </cell>
          <cell r="B426">
            <v>39766</v>
          </cell>
          <cell r="C426" t="str">
            <v>Past</v>
          </cell>
          <cell r="D426">
            <v>32.06</v>
          </cell>
          <cell r="E426" t="e">
            <v>#N/A</v>
          </cell>
          <cell r="F426" t="e">
            <v>#N/A</v>
          </cell>
          <cell r="G426" t="e">
            <v>#N/A</v>
          </cell>
          <cell r="H426" t="e">
            <v>#N/A</v>
          </cell>
          <cell r="I426" t="e">
            <v>#N/A</v>
          </cell>
          <cell r="J426" t="e">
            <v>#N/A</v>
          </cell>
          <cell r="K426" t="e">
            <v>#N/A</v>
          </cell>
          <cell r="L426" t="e">
            <v>#N/A</v>
          </cell>
          <cell r="M426" t="e">
            <v>#N/A</v>
          </cell>
          <cell r="N426" t="e">
            <v>#N/A</v>
          </cell>
          <cell r="O426" t="e">
            <v>#N/A</v>
          </cell>
          <cell r="P426">
            <v>32.06</v>
          </cell>
          <cell r="Q426">
            <v>8.1136920000000003</v>
          </cell>
          <cell r="R426" t="e">
            <v>#N/A</v>
          </cell>
        </row>
        <row r="427">
          <cell r="A427">
            <v>39769</v>
          </cell>
          <cell r="B427">
            <v>39769</v>
          </cell>
          <cell r="C427" t="str">
            <v>Past</v>
          </cell>
          <cell r="D427">
            <v>32.130000000000003</v>
          </cell>
          <cell r="E427" t="e">
            <v>#N/A</v>
          </cell>
          <cell r="F427" t="e">
            <v>#N/A</v>
          </cell>
          <cell r="G427" t="e">
            <v>#N/A</v>
          </cell>
          <cell r="H427" t="e">
            <v>#N/A</v>
          </cell>
          <cell r="I427" t="e">
            <v>#N/A</v>
          </cell>
          <cell r="J427" t="e">
            <v>#N/A</v>
          </cell>
          <cell r="K427" t="e">
            <v>#N/A</v>
          </cell>
          <cell r="L427" t="e">
            <v>#N/A</v>
          </cell>
          <cell r="M427" t="e">
            <v>#N/A</v>
          </cell>
          <cell r="N427" t="e">
            <v>#N/A</v>
          </cell>
          <cell r="O427" t="e">
            <v>#N/A</v>
          </cell>
          <cell r="P427">
            <v>32.130000000000003</v>
          </cell>
          <cell r="Q427">
            <v>6.4393359999999999</v>
          </cell>
          <cell r="R427" t="e">
            <v>#N/A</v>
          </cell>
        </row>
        <row r="428">
          <cell r="A428">
            <v>39770</v>
          </cell>
          <cell r="B428">
            <v>39770</v>
          </cell>
          <cell r="C428" t="str">
            <v>Past</v>
          </cell>
          <cell r="D428">
            <v>33.340000000000003</v>
          </cell>
          <cell r="E428" t="e">
            <v>#N/A</v>
          </cell>
          <cell r="F428" t="e">
            <v>#N/A</v>
          </cell>
          <cell r="G428" t="e">
            <v>#N/A</v>
          </cell>
          <cell r="H428" t="e">
            <v>#N/A</v>
          </cell>
          <cell r="I428" t="e">
            <v>#N/A</v>
          </cell>
          <cell r="J428" t="e">
            <v>#N/A</v>
          </cell>
          <cell r="K428" t="e">
            <v>#N/A</v>
          </cell>
          <cell r="L428" t="e">
            <v>#N/A</v>
          </cell>
          <cell r="M428" t="e">
            <v>#N/A</v>
          </cell>
          <cell r="N428" t="e">
            <v>#N/A</v>
          </cell>
          <cell r="O428" t="e">
            <v>#N/A</v>
          </cell>
          <cell r="P428">
            <v>33.340000000000003</v>
          </cell>
          <cell r="Q428">
            <v>6.5812459999999993</v>
          </cell>
          <cell r="R428" t="e">
            <v>#N/A</v>
          </cell>
        </row>
        <row r="429">
          <cell r="A429">
            <v>39771</v>
          </cell>
          <cell r="B429">
            <v>39771</v>
          </cell>
          <cell r="C429" t="str">
            <v>Past</v>
          </cell>
          <cell r="D429">
            <v>31.41</v>
          </cell>
          <cell r="E429" t="e">
            <v>#N/A</v>
          </cell>
          <cell r="F429" t="e">
            <v>#N/A</v>
          </cell>
          <cell r="G429" t="e">
            <v>#N/A</v>
          </cell>
          <cell r="H429" t="e">
            <v>#N/A</v>
          </cell>
          <cell r="I429" t="e">
            <v>#N/A</v>
          </cell>
          <cell r="J429" t="e">
            <v>#N/A</v>
          </cell>
          <cell r="K429" t="e">
            <v>#N/A</v>
          </cell>
          <cell r="L429" t="e">
            <v>#N/A</v>
          </cell>
          <cell r="M429" t="e">
            <v>#N/A</v>
          </cell>
          <cell r="N429" t="e">
            <v>#N/A</v>
          </cell>
          <cell r="O429" t="e">
            <v>#N/A</v>
          </cell>
          <cell r="P429">
            <v>31.41</v>
          </cell>
          <cell r="Q429">
            <v>7.1641959999999996</v>
          </cell>
          <cell r="R429" t="e">
            <v>#N/A</v>
          </cell>
        </row>
        <row r="430">
          <cell r="A430">
            <v>39772</v>
          </cell>
          <cell r="B430">
            <v>39772</v>
          </cell>
          <cell r="C430" t="str">
            <v>Past</v>
          </cell>
          <cell r="D430">
            <v>29.91</v>
          </cell>
          <cell r="E430" t="e">
            <v>#N/A</v>
          </cell>
          <cell r="F430" t="e">
            <v>#N/A</v>
          </cell>
          <cell r="G430" t="e">
            <v>#N/A</v>
          </cell>
          <cell r="H430" t="e">
            <v>#N/A</v>
          </cell>
          <cell r="I430" t="e">
            <v>#N/A</v>
          </cell>
          <cell r="J430" t="e">
            <v>#N/A</v>
          </cell>
          <cell r="K430" t="e">
            <v>#N/A</v>
          </cell>
          <cell r="L430" t="e">
            <v>#N/A</v>
          </cell>
          <cell r="M430" t="e">
            <v>#N/A</v>
          </cell>
          <cell r="N430" t="e">
            <v>#N/A</v>
          </cell>
          <cell r="O430" t="e">
            <v>#N/A</v>
          </cell>
          <cell r="P430">
            <v>29.91</v>
          </cell>
          <cell r="Q430">
            <v>7.9666109999999994</v>
          </cell>
          <cell r="R430" t="e">
            <v>#N/A</v>
          </cell>
        </row>
        <row r="431">
          <cell r="A431">
            <v>39773</v>
          </cell>
          <cell r="B431">
            <v>39773</v>
          </cell>
          <cell r="C431" t="str">
            <v>Past</v>
          </cell>
          <cell r="D431">
            <v>30.43</v>
          </cell>
          <cell r="E431" t="e">
            <v>#N/A</v>
          </cell>
          <cell r="F431" t="e">
            <v>#N/A</v>
          </cell>
          <cell r="G431" t="e">
            <v>#N/A</v>
          </cell>
          <cell r="H431" t="e">
            <v>#N/A</v>
          </cell>
          <cell r="I431" t="e">
            <v>#N/A</v>
          </cell>
          <cell r="J431" t="e">
            <v>#N/A</v>
          </cell>
          <cell r="K431" t="e">
            <v>#N/A</v>
          </cell>
          <cell r="L431" t="e">
            <v>#N/A</v>
          </cell>
          <cell r="M431" t="e">
            <v>#N/A</v>
          </cell>
          <cell r="N431" t="e">
            <v>#N/A</v>
          </cell>
          <cell r="O431" t="e">
            <v>#N/A</v>
          </cell>
          <cell r="P431">
            <v>30.43</v>
          </cell>
          <cell r="Q431">
            <v>9.9475600000000011</v>
          </cell>
          <cell r="R431" t="e">
            <v>#N/A</v>
          </cell>
        </row>
        <row r="432">
          <cell r="A432">
            <v>39776</v>
          </cell>
          <cell r="B432">
            <v>39776</v>
          </cell>
          <cell r="C432" t="str">
            <v>Past</v>
          </cell>
          <cell r="D432">
            <v>32.08</v>
          </cell>
          <cell r="E432" t="e">
            <v>#N/A</v>
          </cell>
          <cell r="F432" t="e">
            <v>#N/A</v>
          </cell>
          <cell r="G432" t="e">
            <v>#N/A</v>
          </cell>
          <cell r="H432" t="e">
            <v>#N/A</v>
          </cell>
          <cell r="I432" t="e">
            <v>#N/A</v>
          </cell>
          <cell r="J432" t="e">
            <v>#N/A</v>
          </cell>
          <cell r="K432" t="e">
            <v>#N/A</v>
          </cell>
          <cell r="L432" t="e">
            <v>#N/A</v>
          </cell>
          <cell r="M432" t="e">
            <v>#N/A</v>
          </cell>
          <cell r="N432" t="e">
            <v>#N/A</v>
          </cell>
          <cell r="O432" t="e">
            <v>#N/A</v>
          </cell>
          <cell r="P432">
            <v>32.08</v>
          </cell>
          <cell r="Q432">
            <v>7.845186</v>
          </cell>
          <cell r="R432" t="e">
            <v>#N/A</v>
          </cell>
        </row>
        <row r="433">
          <cell r="A433">
            <v>39777</v>
          </cell>
          <cell r="B433">
            <v>39777</v>
          </cell>
          <cell r="C433" t="str">
            <v>Past</v>
          </cell>
          <cell r="D433">
            <v>32.799999999999997</v>
          </cell>
          <cell r="E433" t="e">
            <v>#N/A</v>
          </cell>
          <cell r="F433" t="e">
            <v>#N/A</v>
          </cell>
          <cell r="G433" t="e">
            <v>#N/A</v>
          </cell>
          <cell r="H433" t="e">
            <v>#N/A</v>
          </cell>
          <cell r="I433" t="e">
            <v>#N/A</v>
          </cell>
          <cell r="J433" t="e">
            <v>#N/A</v>
          </cell>
          <cell r="K433" t="e">
            <v>#N/A</v>
          </cell>
          <cell r="L433" t="e">
            <v>#N/A</v>
          </cell>
          <cell r="M433" t="e">
            <v>#N/A</v>
          </cell>
          <cell r="N433" t="e">
            <v>#N/A</v>
          </cell>
          <cell r="O433" t="e">
            <v>#N/A</v>
          </cell>
          <cell r="P433">
            <v>32.799999999999997</v>
          </cell>
          <cell r="Q433">
            <v>6.4954510000000001</v>
          </cell>
          <cell r="R433" t="e">
            <v>#N/A</v>
          </cell>
        </row>
        <row r="434">
          <cell r="A434">
            <v>39778</v>
          </cell>
          <cell r="B434">
            <v>39778</v>
          </cell>
          <cell r="C434" t="str">
            <v>Past</v>
          </cell>
          <cell r="D434">
            <v>32.869999999999997</v>
          </cell>
          <cell r="E434" t="e">
            <v>#N/A</v>
          </cell>
          <cell r="F434" t="e">
            <v>#N/A</v>
          </cell>
          <cell r="G434" t="e">
            <v>#N/A</v>
          </cell>
          <cell r="H434" t="e">
            <v>#N/A</v>
          </cell>
          <cell r="I434" t="e">
            <v>#N/A</v>
          </cell>
          <cell r="J434" t="e">
            <v>#N/A</v>
          </cell>
          <cell r="K434" t="e">
            <v>#N/A</v>
          </cell>
          <cell r="L434" t="e">
            <v>#N/A</v>
          </cell>
          <cell r="M434" t="e">
            <v>#N/A</v>
          </cell>
          <cell r="N434" t="e">
            <v>#N/A</v>
          </cell>
          <cell r="O434" t="e">
            <v>#N/A</v>
          </cell>
          <cell r="P434">
            <v>32.869999999999997</v>
          </cell>
          <cell r="Q434">
            <v>5.8867069999999995</v>
          </cell>
          <cell r="R434" t="e">
            <v>#N/A</v>
          </cell>
        </row>
        <row r="435">
          <cell r="A435">
            <v>39780</v>
          </cell>
          <cell r="B435">
            <v>39780</v>
          </cell>
          <cell r="C435" t="str">
            <v>Past</v>
          </cell>
          <cell r="D435">
            <v>34.15</v>
          </cell>
          <cell r="E435" t="e">
            <v>#N/A</v>
          </cell>
          <cell r="F435" t="e">
            <v>#N/A</v>
          </cell>
          <cell r="G435" t="e">
            <v>#N/A</v>
          </cell>
          <cell r="H435" t="e">
            <v>#N/A</v>
          </cell>
          <cell r="I435" t="e">
            <v>#N/A</v>
          </cell>
          <cell r="J435" t="e">
            <v>#N/A</v>
          </cell>
          <cell r="K435" t="e">
            <v>#N/A</v>
          </cell>
          <cell r="L435" t="e">
            <v>#N/A</v>
          </cell>
          <cell r="M435" t="e">
            <v>#N/A</v>
          </cell>
          <cell r="N435" t="e">
            <v>#N/A</v>
          </cell>
          <cell r="O435" t="e">
            <v>#N/A</v>
          </cell>
          <cell r="P435">
            <v>34.15</v>
          </cell>
          <cell r="Q435">
            <v>2.7362479999999998</v>
          </cell>
          <cell r="R435" t="e">
            <v>#N/A</v>
          </cell>
        </row>
        <row r="436">
          <cell r="A436">
            <v>39783</v>
          </cell>
          <cell r="B436">
            <v>39783</v>
          </cell>
          <cell r="C436" t="str">
            <v>Past</v>
          </cell>
          <cell r="D436">
            <v>31.12</v>
          </cell>
          <cell r="E436" t="e">
            <v>#N/A</v>
          </cell>
          <cell r="F436" t="e">
            <v>#N/A</v>
          </cell>
          <cell r="G436" t="e">
            <v>#N/A</v>
          </cell>
          <cell r="H436" t="e">
            <v>#N/A</v>
          </cell>
          <cell r="I436" t="e">
            <v>#N/A</v>
          </cell>
          <cell r="J436" t="e">
            <v>#N/A</v>
          </cell>
          <cell r="K436" t="e">
            <v>#N/A</v>
          </cell>
          <cell r="L436" t="e">
            <v>#N/A</v>
          </cell>
          <cell r="M436" t="e">
            <v>#N/A</v>
          </cell>
          <cell r="N436" t="e">
            <v>#N/A</v>
          </cell>
          <cell r="O436" t="e">
            <v>#N/A</v>
          </cell>
          <cell r="P436">
            <v>31.12</v>
          </cell>
          <cell r="Q436">
            <v>6.3300539999999996</v>
          </cell>
          <cell r="R436" t="e">
            <v>#N/A</v>
          </cell>
        </row>
        <row r="437">
          <cell r="A437">
            <v>39784</v>
          </cell>
          <cell r="B437">
            <v>39784</v>
          </cell>
          <cell r="C437" t="str">
            <v>Past</v>
          </cell>
          <cell r="D437">
            <v>33.19</v>
          </cell>
          <cell r="E437" t="e">
            <v>#N/A</v>
          </cell>
          <cell r="F437" t="e">
            <v>#N/A</v>
          </cell>
          <cell r="G437" t="e">
            <v>#N/A</v>
          </cell>
          <cell r="H437" t="e">
            <v>#N/A</v>
          </cell>
          <cell r="I437" t="e">
            <v>#N/A</v>
          </cell>
          <cell r="J437" t="e">
            <v>#N/A</v>
          </cell>
          <cell r="K437" t="e">
            <v>#N/A</v>
          </cell>
          <cell r="L437" t="e">
            <v>#N/A</v>
          </cell>
          <cell r="M437" t="e">
            <v>#N/A</v>
          </cell>
          <cell r="N437" t="e">
            <v>#N/A</v>
          </cell>
          <cell r="O437" t="e">
            <v>#N/A</v>
          </cell>
          <cell r="P437">
            <v>33.19</v>
          </cell>
          <cell r="Q437">
            <v>6.817895</v>
          </cell>
          <cell r="R437" t="e">
            <v>#N/A</v>
          </cell>
        </row>
        <row r="438">
          <cell r="A438">
            <v>39785</v>
          </cell>
          <cell r="B438">
            <v>39785</v>
          </cell>
          <cell r="C438" t="str">
            <v>Past</v>
          </cell>
          <cell r="D438">
            <v>34.97</v>
          </cell>
          <cell r="E438" t="e">
            <v>#N/A</v>
          </cell>
          <cell r="F438" t="e">
            <v>#N/A</v>
          </cell>
          <cell r="G438" t="e">
            <v>#N/A</v>
          </cell>
          <cell r="H438" t="e">
            <v>#N/A</v>
          </cell>
          <cell r="I438" t="e">
            <v>#N/A</v>
          </cell>
          <cell r="J438" t="e">
            <v>#N/A</v>
          </cell>
          <cell r="K438" t="e">
            <v>#N/A</v>
          </cell>
          <cell r="L438" t="e">
            <v>#N/A</v>
          </cell>
          <cell r="M438" t="e">
            <v>#N/A</v>
          </cell>
          <cell r="N438" t="e">
            <v>#N/A</v>
          </cell>
          <cell r="O438" t="e">
            <v>#N/A</v>
          </cell>
          <cell r="P438">
            <v>34.97</v>
          </cell>
          <cell r="Q438">
            <v>7.7707500000000005</v>
          </cell>
          <cell r="R438" t="e">
            <v>#N/A</v>
          </cell>
        </row>
        <row r="439">
          <cell r="A439">
            <v>39786</v>
          </cell>
          <cell r="B439">
            <v>39786</v>
          </cell>
          <cell r="C439" t="str">
            <v>Past</v>
          </cell>
          <cell r="D439">
            <v>33.89</v>
          </cell>
          <cell r="E439" t="e">
            <v>#N/A</v>
          </cell>
          <cell r="F439" t="e">
            <v>#N/A</v>
          </cell>
          <cell r="G439" t="e">
            <v>#N/A</v>
          </cell>
          <cell r="H439" t="e">
            <v>#N/A</v>
          </cell>
          <cell r="I439" t="e">
            <v>#N/A</v>
          </cell>
          <cell r="J439" t="e">
            <v>#N/A</v>
          </cell>
          <cell r="K439" t="e">
            <v>#N/A</v>
          </cell>
          <cell r="L439" t="e">
            <v>#N/A</v>
          </cell>
          <cell r="M439" t="e">
            <v>#N/A</v>
          </cell>
          <cell r="N439" t="e">
            <v>#N/A</v>
          </cell>
          <cell r="O439" t="e">
            <v>#N/A</v>
          </cell>
          <cell r="P439">
            <v>33.89</v>
          </cell>
          <cell r="Q439">
            <v>6.8564449999999999</v>
          </cell>
          <cell r="R439" t="e">
            <v>#N/A</v>
          </cell>
        </row>
        <row r="440">
          <cell r="A440">
            <v>39787</v>
          </cell>
          <cell r="B440">
            <v>39787</v>
          </cell>
          <cell r="C440" t="str">
            <v>Past</v>
          </cell>
          <cell r="D440">
            <v>34.94</v>
          </cell>
          <cell r="E440" t="e">
            <v>#N/A</v>
          </cell>
          <cell r="F440" t="e">
            <v>#N/A</v>
          </cell>
          <cell r="G440" t="e">
            <v>#N/A</v>
          </cell>
          <cell r="H440" t="e">
            <v>#N/A</v>
          </cell>
          <cell r="I440" t="e">
            <v>#N/A</v>
          </cell>
          <cell r="J440" t="e">
            <v>#N/A</v>
          </cell>
          <cell r="K440" t="e">
            <v>#N/A</v>
          </cell>
          <cell r="L440" t="e">
            <v>#N/A</v>
          </cell>
          <cell r="M440" t="e">
            <v>#N/A</v>
          </cell>
          <cell r="N440" t="e">
            <v>#N/A</v>
          </cell>
          <cell r="O440" t="e">
            <v>#N/A</v>
          </cell>
          <cell r="P440">
            <v>34.94</v>
          </cell>
          <cell r="Q440">
            <v>7.5709859999999995</v>
          </cell>
          <cell r="R440" t="e">
            <v>#N/A</v>
          </cell>
        </row>
        <row r="441">
          <cell r="A441">
            <v>39790</v>
          </cell>
          <cell r="B441">
            <v>39790</v>
          </cell>
          <cell r="C441" t="str">
            <v>Past</v>
          </cell>
          <cell r="D441">
            <v>34.86</v>
          </cell>
          <cell r="E441" t="e">
            <v>#N/A</v>
          </cell>
          <cell r="F441" t="e">
            <v>#N/A</v>
          </cell>
          <cell r="G441" t="e">
            <v>#N/A</v>
          </cell>
          <cell r="H441" t="e">
            <v>#N/A</v>
          </cell>
          <cell r="I441" t="e">
            <v>#N/A</v>
          </cell>
          <cell r="J441" t="e">
            <v>#N/A</v>
          </cell>
          <cell r="K441" t="e">
            <v>#N/A</v>
          </cell>
          <cell r="L441" t="e">
            <v>#N/A</v>
          </cell>
          <cell r="M441" t="e">
            <v>#N/A</v>
          </cell>
          <cell r="N441" t="e">
            <v>#N/A</v>
          </cell>
          <cell r="O441" t="e">
            <v>#N/A</v>
          </cell>
          <cell r="P441">
            <v>34.86</v>
          </cell>
          <cell r="Q441">
            <v>6.8849669999999996</v>
          </cell>
          <cell r="R441" t="e">
            <v>#N/A</v>
          </cell>
        </row>
        <row r="442">
          <cell r="A442">
            <v>39791</v>
          </cell>
          <cell r="B442">
            <v>39791</v>
          </cell>
          <cell r="C442" t="str">
            <v>Past</v>
          </cell>
          <cell r="D442">
            <v>34.57</v>
          </cell>
          <cell r="E442" t="e">
            <v>#N/A</v>
          </cell>
          <cell r="F442" t="e">
            <v>#N/A</v>
          </cell>
          <cell r="G442" t="e">
            <v>#N/A</v>
          </cell>
          <cell r="H442" t="e">
            <v>#N/A</v>
          </cell>
          <cell r="I442" t="e">
            <v>#N/A</v>
          </cell>
          <cell r="J442" t="e">
            <v>#N/A</v>
          </cell>
          <cell r="K442" t="e">
            <v>#N/A</v>
          </cell>
          <cell r="L442" t="e">
            <v>#N/A</v>
          </cell>
          <cell r="M442" t="e">
            <v>#N/A</v>
          </cell>
          <cell r="N442" t="e">
            <v>#N/A</v>
          </cell>
          <cell r="O442" t="e">
            <v>#N/A</v>
          </cell>
          <cell r="P442">
            <v>34.57</v>
          </cell>
          <cell r="Q442">
            <v>4.4716059999999995</v>
          </cell>
          <cell r="R442" t="e">
            <v>#N/A</v>
          </cell>
        </row>
        <row r="443">
          <cell r="A443">
            <v>39792</v>
          </cell>
          <cell r="B443">
            <v>39792</v>
          </cell>
          <cell r="C443" t="str">
            <v>Past</v>
          </cell>
          <cell r="D443">
            <v>35.01</v>
          </cell>
          <cell r="E443" t="e">
            <v>#N/A</v>
          </cell>
          <cell r="F443" t="e">
            <v>#N/A</v>
          </cell>
          <cell r="G443" t="e">
            <v>#N/A</v>
          </cell>
          <cell r="H443" t="e">
            <v>#N/A</v>
          </cell>
          <cell r="I443" t="e">
            <v>#N/A</v>
          </cell>
          <cell r="J443" t="e">
            <v>#N/A</v>
          </cell>
          <cell r="K443" t="e">
            <v>#N/A</v>
          </cell>
          <cell r="L443" t="e">
            <v>#N/A</v>
          </cell>
          <cell r="M443" t="e">
            <v>#N/A</v>
          </cell>
          <cell r="N443" t="e">
            <v>#N/A</v>
          </cell>
          <cell r="O443" t="e">
            <v>#N/A</v>
          </cell>
          <cell r="P443">
            <v>35.01</v>
          </cell>
          <cell r="Q443">
            <v>4.8541800000000004</v>
          </cell>
          <cell r="R443" t="e">
            <v>#N/A</v>
          </cell>
        </row>
        <row r="444">
          <cell r="A444">
            <v>39793</v>
          </cell>
          <cell r="B444">
            <v>39793</v>
          </cell>
          <cell r="C444" t="str">
            <v>Past</v>
          </cell>
          <cell r="D444">
            <v>35.619999999999997</v>
          </cell>
          <cell r="E444" t="e">
            <v>#N/A</v>
          </cell>
          <cell r="F444" t="e">
            <v>#N/A</v>
          </cell>
          <cell r="G444" t="e">
            <v>#N/A</v>
          </cell>
          <cell r="H444" t="e">
            <v>#N/A</v>
          </cell>
          <cell r="I444" t="e">
            <v>#N/A</v>
          </cell>
          <cell r="J444" t="e">
            <v>#N/A</v>
          </cell>
          <cell r="K444" t="e">
            <v>#N/A</v>
          </cell>
          <cell r="L444" t="e">
            <v>#N/A</v>
          </cell>
          <cell r="M444" t="e">
            <v>#N/A</v>
          </cell>
          <cell r="N444" t="e">
            <v>#N/A</v>
          </cell>
          <cell r="O444" t="e">
            <v>#N/A</v>
          </cell>
          <cell r="P444">
            <v>35.619999999999997</v>
          </cell>
          <cell r="Q444">
            <v>8.0255299999999998</v>
          </cell>
          <cell r="R444" t="e">
            <v>#N/A</v>
          </cell>
        </row>
        <row r="445">
          <cell r="A445">
            <v>39794</v>
          </cell>
          <cell r="B445">
            <v>39794</v>
          </cell>
          <cell r="C445" t="str">
            <v>Past</v>
          </cell>
          <cell r="D445">
            <v>36.409999999999997</v>
          </cell>
          <cell r="E445" t="e">
            <v>#N/A</v>
          </cell>
          <cell r="F445" t="e">
            <v>#N/A</v>
          </cell>
          <cell r="G445" t="e">
            <v>#N/A</v>
          </cell>
          <cell r="H445" t="e">
            <v>#N/A</v>
          </cell>
          <cell r="I445" t="e">
            <v>#N/A</v>
          </cell>
          <cell r="J445" t="e">
            <v>#N/A</v>
          </cell>
          <cell r="K445" t="e">
            <v>#N/A</v>
          </cell>
          <cell r="L445" t="e">
            <v>#N/A</v>
          </cell>
          <cell r="M445" t="e">
            <v>#N/A</v>
          </cell>
          <cell r="N445" t="e">
            <v>#N/A</v>
          </cell>
          <cell r="O445" t="e">
            <v>#N/A</v>
          </cell>
          <cell r="P445">
            <v>36.409999999999997</v>
          </cell>
          <cell r="Q445">
            <v>6.6373489999999995</v>
          </cell>
          <cell r="R445" t="e">
            <v>#N/A</v>
          </cell>
        </row>
        <row r="446">
          <cell r="A446">
            <v>39797</v>
          </cell>
          <cell r="B446">
            <v>39797</v>
          </cell>
          <cell r="C446" t="str">
            <v>Past</v>
          </cell>
          <cell r="D446">
            <v>35.32</v>
          </cell>
          <cell r="E446" t="e">
            <v>#N/A</v>
          </cell>
          <cell r="F446" t="e">
            <v>#N/A</v>
          </cell>
          <cell r="G446" t="e">
            <v>#N/A</v>
          </cell>
          <cell r="H446" t="e">
            <v>#N/A</v>
          </cell>
          <cell r="I446" t="e">
            <v>#N/A</v>
          </cell>
          <cell r="J446" t="e">
            <v>#N/A</v>
          </cell>
          <cell r="K446" t="e">
            <v>#N/A</v>
          </cell>
          <cell r="L446" t="e">
            <v>#N/A</v>
          </cell>
          <cell r="M446" t="e">
            <v>#N/A</v>
          </cell>
          <cell r="N446" t="e">
            <v>#N/A</v>
          </cell>
          <cell r="O446" t="e">
            <v>#N/A</v>
          </cell>
          <cell r="P446">
            <v>35.32</v>
          </cell>
          <cell r="Q446">
            <v>5.7284609999999994</v>
          </cell>
          <cell r="R446" t="e">
            <v>#N/A</v>
          </cell>
        </row>
        <row r="447">
          <cell r="A447">
            <v>39798</v>
          </cell>
          <cell r="B447">
            <v>39798</v>
          </cell>
          <cell r="C447" t="str">
            <v>Past</v>
          </cell>
          <cell r="D447">
            <v>37.21</v>
          </cell>
          <cell r="E447" t="e">
            <v>#N/A</v>
          </cell>
          <cell r="F447" t="e">
            <v>#N/A</v>
          </cell>
          <cell r="G447" t="e">
            <v>#N/A</v>
          </cell>
          <cell r="H447" t="e">
            <v>#N/A</v>
          </cell>
          <cell r="I447" t="e">
            <v>#N/A</v>
          </cell>
          <cell r="J447" t="e">
            <v>#N/A</v>
          </cell>
          <cell r="K447" t="e">
            <v>#N/A</v>
          </cell>
          <cell r="L447" t="e">
            <v>#N/A</v>
          </cell>
          <cell r="M447" t="e">
            <v>#N/A</v>
          </cell>
          <cell r="N447" t="e">
            <v>#N/A</v>
          </cell>
          <cell r="O447" t="e">
            <v>#N/A</v>
          </cell>
          <cell r="P447">
            <v>37.21</v>
          </cell>
          <cell r="Q447">
            <v>6.1563619999999997</v>
          </cell>
          <cell r="R447" t="e">
            <v>#N/A</v>
          </cell>
        </row>
        <row r="448">
          <cell r="A448">
            <v>39799</v>
          </cell>
          <cell r="B448">
            <v>39799</v>
          </cell>
          <cell r="C448" t="str">
            <v>Past</v>
          </cell>
          <cell r="D448">
            <v>36.94</v>
          </cell>
          <cell r="E448" t="e">
            <v>#N/A</v>
          </cell>
          <cell r="F448" t="e">
            <v>#N/A</v>
          </cell>
          <cell r="G448" t="e">
            <v>#N/A</v>
          </cell>
          <cell r="H448" t="e">
            <v>#N/A</v>
          </cell>
          <cell r="I448" t="e">
            <v>#N/A</v>
          </cell>
          <cell r="J448" t="e">
            <v>#N/A</v>
          </cell>
          <cell r="K448" t="e">
            <v>#N/A</v>
          </cell>
          <cell r="L448" t="e">
            <v>#N/A</v>
          </cell>
          <cell r="M448" t="e">
            <v>#N/A</v>
          </cell>
          <cell r="N448" t="e">
            <v>#N/A</v>
          </cell>
          <cell r="O448" t="e">
            <v>#N/A</v>
          </cell>
          <cell r="P448">
            <v>36.94</v>
          </cell>
          <cell r="Q448">
            <v>5.2769369999999993</v>
          </cell>
          <cell r="R448" t="e">
            <v>#N/A</v>
          </cell>
        </row>
        <row r="449">
          <cell r="A449">
            <v>39800</v>
          </cell>
          <cell r="B449">
            <v>39800</v>
          </cell>
          <cell r="C449" t="str">
            <v>Past</v>
          </cell>
          <cell r="D449">
            <v>36.869999999999997</v>
          </cell>
          <cell r="E449" t="e">
            <v>#N/A</v>
          </cell>
          <cell r="F449" t="e">
            <v>#N/A</v>
          </cell>
          <cell r="G449" t="e">
            <v>#N/A</v>
          </cell>
          <cell r="H449" t="e">
            <v>#N/A</v>
          </cell>
          <cell r="I449" t="e">
            <v>#N/A</v>
          </cell>
          <cell r="J449" t="e">
            <v>#N/A</v>
          </cell>
          <cell r="K449" t="e">
            <v>#N/A</v>
          </cell>
          <cell r="L449" t="e">
            <v>#N/A</v>
          </cell>
          <cell r="M449" t="e">
            <v>#N/A</v>
          </cell>
          <cell r="N449" t="e">
            <v>#N/A</v>
          </cell>
          <cell r="O449" t="e">
            <v>#N/A</v>
          </cell>
          <cell r="P449">
            <v>36.869999999999997</v>
          </cell>
          <cell r="Q449">
            <v>6.6499489999999994</v>
          </cell>
          <cell r="R449" t="e">
            <v>#N/A</v>
          </cell>
        </row>
        <row r="450">
          <cell r="A450">
            <v>39801</v>
          </cell>
          <cell r="B450">
            <v>39801</v>
          </cell>
          <cell r="C450" t="str">
            <v>Past</v>
          </cell>
          <cell r="D450">
            <v>38.26</v>
          </cell>
          <cell r="E450" t="e">
            <v>#N/A</v>
          </cell>
          <cell r="F450" t="e">
            <v>#N/A</v>
          </cell>
          <cell r="G450" t="e">
            <v>#N/A</v>
          </cell>
          <cell r="H450" t="e">
            <v>#N/A</v>
          </cell>
          <cell r="I450" t="e">
            <v>#N/A</v>
          </cell>
          <cell r="J450" t="e">
            <v>#N/A</v>
          </cell>
          <cell r="K450" t="e">
            <v>#N/A</v>
          </cell>
          <cell r="L450" t="e">
            <v>#N/A</v>
          </cell>
          <cell r="M450" t="e">
            <v>#N/A</v>
          </cell>
          <cell r="N450" t="e">
            <v>#N/A</v>
          </cell>
          <cell r="O450" t="e">
            <v>#N/A</v>
          </cell>
          <cell r="P450">
            <v>38.26</v>
          </cell>
          <cell r="Q450">
            <v>10.252540000000002</v>
          </cell>
          <cell r="R450" t="e">
            <v>#N/A</v>
          </cell>
        </row>
        <row r="451">
          <cell r="A451">
            <v>39804</v>
          </cell>
          <cell r="B451">
            <v>39804</v>
          </cell>
          <cell r="C451" t="str">
            <v>Past</v>
          </cell>
          <cell r="D451">
            <v>37.340000000000003</v>
          </cell>
          <cell r="E451" t="e">
            <v>#N/A</v>
          </cell>
          <cell r="F451" t="e">
            <v>#N/A</v>
          </cell>
          <cell r="G451" t="e">
            <v>#N/A</v>
          </cell>
          <cell r="H451" t="e">
            <v>#N/A</v>
          </cell>
          <cell r="I451" t="e">
            <v>#N/A</v>
          </cell>
          <cell r="J451" t="e">
            <v>#N/A</v>
          </cell>
          <cell r="K451" t="e">
            <v>#N/A</v>
          </cell>
          <cell r="L451" t="e">
            <v>#N/A</v>
          </cell>
          <cell r="M451" t="e">
            <v>#N/A</v>
          </cell>
          <cell r="N451" t="e">
            <v>#N/A</v>
          </cell>
          <cell r="O451" t="e">
            <v>#N/A</v>
          </cell>
          <cell r="P451">
            <v>37.340000000000003</v>
          </cell>
          <cell r="Q451">
            <v>5.0688139999999997</v>
          </cell>
          <cell r="R451" t="e">
            <v>#N/A</v>
          </cell>
        </row>
        <row r="452">
          <cell r="A452">
            <v>39805</v>
          </cell>
          <cell r="B452">
            <v>39805</v>
          </cell>
          <cell r="C452" t="str">
            <v>Past</v>
          </cell>
          <cell r="D452">
            <v>37.49</v>
          </cell>
          <cell r="E452" t="e">
            <v>#N/A</v>
          </cell>
          <cell r="F452" t="e">
            <v>#N/A</v>
          </cell>
          <cell r="G452" t="e">
            <v>#N/A</v>
          </cell>
          <cell r="H452" t="e">
            <v>#N/A</v>
          </cell>
          <cell r="I452" t="e">
            <v>#N/A</v>
          </cell>
          <cell r="J452" t="e">
            <v>#N/A</v>
          </cell>
          <cell r="K452" t="e">
            <v>#N/A</v>
          </cell>
          <cell r="L452" t="e">
            <v>#N/A</v>
          </cell>
          <cell r="M452" t="e">
            <v>#N/A</v>
          </cell>
          <cell r="N452" t="e">
            <v>#N/A</v>
          </cell>
          <cell r="O452" t="e">
            <v>#N/A</v>
          </cell>
          <cell r="P452">
            <v>37.49</v>
          </cell>
          <cell r="Q452">
            <v>4.2378779999999994</v>
          </cell>
          <cell r="R452" t="e">
            <v>#N/A</v>
          </cell>
        </row>
        <row r="453">
          <cell r="A453">
            <v>39806</v>
          </cell>
          <cell r="B453">
            <v>39806</v>
          </cell>
          <cell r="C453" t="str">
            <v>Past</v>
          </cell>
          <cell r="D453">
            <v>37.799999999999997</v>
          </cell>
          <cell r="E453" t="e">
            <v>#N/A</v>
          </cell>
          <cell r="F453" t="e">
            <v>#N/A</v>
          </cell>
          <cell r="G453" t="e">
            <v>#N/A</v>
          </cell>
          <cell r="H453" t="e">
            <v>#N/A</v>
          </cell>
          <cell r="I453" t="e">
            <v>#N/A</v>
          </cell>
          <cell r="J453" t="e">
            <v>#N/A</v>
          </cell>
          <cell r="K453" t="e">
            <v>#N/A</v>
          </cell>
          <cell r="L453" t="e">
            <v>#N/A</v>
          </cell>
          <cell r="M453" t="e">
            <v>#N/A</v>
          </cell>
          <cell r="N453" t="e">
            <v>#N/A</v>
          </cell>
          <cell r="O453" t="e">
            <v>#N/A</v>
          </cell>
          <cell r="P453">
            <v>37.799999999999997</v>
          </cell>
          <cell r="Q453">
            <v>1.2376589999999998</v>
          </cell>
          <cell r="R453" t="e">
            <v>#N/A</v>
          </cell>
        </row>
        <row r="454">
          <cell r="A454">
            <v>39808</v>
          </cell>
          <cell r="B454">
            <v>39808</v>
          </cell>
          <cell r="C454" t="str">
            <v>Past</v>
          </cell>
          <cell r="D454">
            <v>37.979999999999997</v>
          </cell>
          <cell r="E454" t="e">
            <v>#N/A</v>
          </cell>
          <cell r="F454" t="e">
            <v>#N/A</v>
          </cell>
          <cell r="G454" t="e">
            <v>#N/A</v>
          </cell>
          <cell r="H454" t="e">
            <v>#N/A</v>
          </cell>
          <cell r="I454" t="e">
            <v>#N/A</v>
          </cell>
          <cell r="J454" t="e">
            <v>#N/A</v>
          </cell>
          <cell r="K454" t="e">
            <v>#N/A</v>
          </cell>
          <cell r="L454" t="e">
            <v>#N/A</v>
          </cell>
          <cell r="M454" t="e">
            <v>#N/A</v>
          </cell>
          <cell r="N454" t="e">
            <v>#N/A</v>
          </cell>
          <cell r="O454" t="e">
            <v>#N/A</v>
          </cell>
          <cell r="P454">
            <v>37.979999999999997</v>
          </cell>
          <cell r="Q454">
            <v>1.6140219999999998</v>
          </cell>
          <cell r="R454" t="e">
            <v>#N/A</v>
          </cell>
        </row>
        <row r="455">
          <cell r="A455">
            <v>39811</v>
          </cell>
          <cell r="B455">
            <v>39811</v>
          </cell>
          <cell r="C455" t="str">
            <v>Past</v>
          </cell>
          <cell r="D455">
            <v>38.479999999999997</v>
          </cell>
          <cell r="E455" t="e">
            <v>#N/A</v>
          </cell>
          <cell r="F455" t="e">
            <v>#N/A</v>
          </cell>
          <cell r="G455" t="e">
            <v>#N/A</v>
          </cell>
          <cell r="H455" t="e">
            <v>#N/A</v>
          </cell>
          <cell r="I455" t="e">
            <v>#N/A</v>
          </cell>
          <cell r="J455" t="e">
            <v>#N/A</v>
          </cell>
          <cell r="K455" t="e">
            <v>#N/A</v>
          </cell>
          <cell r="L455" t="e">
            <v>#N/A</v>
          </cell>
          <cell r="M455" t="e">
            <v>#N/A</v>
          </cell>
          <cell r="N455" t="e">
            <v>#N/A</v>
          </cell>
          <cell r="O455" t="e">
            <v>#N/A</v>
          </cell>
          <cell r="P455">
            <v>38.479999999999997</v>
          </cell>
          <cell r="Q455">
            <v>4.0112319999999997</v>
          </cell>
          <cell r="R455" t="e">
            <v>#N/A</v>
          </cell>
        </row>
        <row r="456">
          <cell r="A456">
            <v>39812</v>
          </cell>
          <cell r="B456">
            <v>39812</v>
          </cell>
          <cell r="C456" t="str">
            <v>Past</v>
          </cell>
          <cell r="D456">
            <v>39.67</v>
          </cell>
          <cell r="E456" t="e">
            <v>#N/A</v>
          </cell>
          <cell r="F456" t="e">
            <v>#N/A</v>
          </cell>
          <cell r="G456" t="e">
            <v>#N/A</v>
          </cell>
          <cell r="H456" t="e">
            <v>#N/A</v>
          </cell>
          <cell r="I456" t="e">
            <v>#N/A</v>
          </cell>
          <cell r="J456" t="e">
            <v>#N/A</v>
          </cell>
          <cell r="K456" t="e">
            <v>#N/A</v>
          </cell>
          <cell r="L456" t="e">
            <v>#N/A</v>
          </cell>
          <cell r="M456" t="e">
            <v>#N/A</v>
          </cell>
          <cell r="N456" t="e">
            <v>#N/A</v>
          </cell>
          <cell r="O456" t="e">
            <v>#N/A</v>
          </cell>
          <cell r="P456">
            <v>39.67</v>
          </cell>
          <cell r="Q456">
            <v>4.7436539999999994</v>
          </cell>
          <cell r="R456" t="e">
            <v>#N/A</v>
          </cell>
        </row>
        <row r="457">
          <cell r="A457">
            <v>39813</v>
          </cell>
          <cell r="B457">
            <v>39813</v>
          </cell>
          <cell r="C457" t="str">
            <v>Past</v>
          </cell>
          <cell r="D457">
            <v>40.270000000000003</v>
          </cell>
          <cell r="E457" t="e">
            <v>#N/A</v>
          </cell>
          <cell r="F457" t="e">
            <v>#N/A</v>
          </cell>
          <cell r="G457" t="e">
            <v>#N/A</v>
          </cell>
          <cell r="H457" t="e">
            <v>#N/A</v>
          </cell>
          <cell r="I457" t="e">
            <v>#N/A</v>
          </cell>
          <cell r="J457" t="e">
            <v>#N/A</v>
          </cell>
          <cell r="K457" t="e">
            <v>#N/A</v>
          </cell>
          <cell r="L457" t="e">
            <v>#N/A</v>
          </cell>
          <cell r="M457" t="e">
            <v>#N/A</v>
          </cell>
          <cell r="N457" t="e">
            <v>#N/A</v>
          </cell>
          <cell r="O457" t="e">
            <v>#N/A</v>
          </cell>
          <cell r="P457">
            <v>40.270000000000003</v>
          </cell>
          <cell r="Q457">
            <v>4.7353500000000004</v>
          </cell>
          <cell r="R457" t="e">
            <v>#N/A</v>
          </cell>
        </row>
        <row r="458">
          <cell r="A458">
            <v>39815</v>
          </cell>
          <cell r="B458">
            <v>39815</v>
          </cell>
          <cell r="C458" t="str">
            <v>Past</v>
          </cell>
          <cell r="D458">
            <v>40.57</v>
          </cell>
          <cell r="E458" t="e">
            <v>#N/A</v>
          </cell>
          <cell r="F458" t="e">
            <v>#N/A</v>
          </cell>
          <cell r="G458" t="e">
            <v>#N/A</v>
          </cell>
          <cell r="H458" t="e">
            <v>#N/A</v>
          </cell>
          <cell r="I458" t="e">
            <v>#N/A</v>
          </cell>
          <cell r="J458" t="e">
            <v>#N/A</v>
          </cell>
          <cell r="K458" t="e">
            <v>#N/A</v>
          </cell>
          <cell r="L458" t="e">
            <v>#N/A</v>
          </cell>
          <cell r="M458" t="e">
            <v>#N/A</v>
          </cell>
          <cell r="N458" t="e">
            <v>#N/A</v>
          </cell>
          <cell r="O458" t="e">
            <v>#N/A</v>
          </cell>
          <cell r="P458">
            <v>40.57</v>
          </cell>
          <cell r="Q458">
            <v>6.0319430000000001</v>
          </cell>
          <cell r="R458" t="e">
            <v>#N/A</v>
          </cell>
        </row>
        <row r="459">
          <cell r="A459">
            <v>39818</v>
          </cell>
          <cell r="B459">
            <v>39818</v>
          </cell>
          <cell r="C459" t="str">
            <v>Past</v>
          </cell>
          <cell r="D459">
            <v>39.46</v>
          </cell>
          <cell r="E459" t="e">
            <v>#N/A</v>
          </cell>
          <cell r="F459" t="e">
            <v>#N/A</v>
          </cell>
          <cell r="G459" t="e">
            <v>#N/A</v>
          </cell>
          <cell r="H459" t="e">
            <v>#N/A</v>
          </cell>
          <cell r="I459" t="e">
            <v>#N/A</v>
          </cell>
          <cell r="J459" t="e">
            <v>#N/A</v>
          </cell>
          <cell r="K459" t="e">
            <v>#N/A</v>
          </cell>
          <cell r="L459" t="e">
            <v>#N/A</v>
          </cell>
          <cell r="M459" t="e">
            <v>#N/A</v>
          </cell>
          <cell r="N459" t="e">
            <v>#N/A</v>
          </cell>
          <cell r="O459" t="e">
            <v>#N/A</v>
          </cell>
          <cell r="P459">
            <v>39.46</v>
          </cell>
          <cell r="Q459">
            <v>6.8690400000000009</v>
          </cell>
          <cell r="R459" t="e">
            <v>#N/A</v>
          </cell>
        </row>
        <row r="460">
          <cell r="A460">
            <v>39819</v>
          </cell>
          <cell r="B460">
            <v>39819</v>
          </cell>
          <cell r="C460" t="str">
            <v>Past</v>
          </cell>
          <cell r="D460">
            <v>39.57</v>
          </cell>
          <cell r="E460" t="e">
            <v>#N/A</v>
          </cell>
          <cell r="F460" t="e">
            <v>#N/A</v>
          </cell>
          <cell r="G460" t="e">
            <v>#N/A</v>
          </cell>
          <cell r="H460" t="e">
            <v>#N/A</v>
          </cell>
          <cell r="I460" t="e">
            <v>#N/A</v>
          </cell>
          <cell r="J460" t="e">
            <v>#N/A</v>
          </cell>
          <cell r="K460" t="e">
            <v>#N/A</v>
          </cell>
          <cell r="L460" t="e">
            <v>#N/A</v>
          </cell>
          <cell r="M460" t="e">
            <v>#N/A</v>
          </cell>
          <cell r="N460" t="e">
            <v>#N/A</v>
          </cell>
          <cell r="O460" t="e">
            <v>#N/A</v>
          </cell>
          <cell r="P460">
            <v>39.57</v>
          </cell>
          <cell r="Q460">
            <v>9.0501200000000015</v>
          </cell>
          <cell r="R460" t="e">
            <v>#N/A</v>
          </cell>
        </row>
        <row r="461">
          <cell r="A461">
            <v>39820</v>
          </cell>
          <cell r="B461">
            <v>39820</v>
          </cell>
          <cell r="C461" t="str">
            <v>Past</v>
          </cell>
          <cell r="D461">
            <v>38.619999999999997</v>
          </cell>
          <cell r="E461" t="e">
            <v>#N/A</v>
          </cell>
          <cell r="F461" t="e">
            <v>#N/A</v>
          </cell>
          <cell r="G461" t="e">
            <v>#N/A</v>
          </cell>
          <cell r="H461" t="e">
            <v>#N/A</v>
          </cell>
          <cell r="I461" t="e">
            <v>#N/A</v>
          </cell>
          <cell r="J461" t="e">
            <v>#N/A</v>
          </cell>
          <cell r="K461" t="e">
            <v>#N/A</v>
          </cell>
          <cell r="L461" t="e">
            <v>#N/A</v>
          </cell>
          <cell r="M461" t="e">
            <v>#N/A</v>
          </cell>
          <cell r="N461" t="e">
            <v>#N/A</v>
          </cell>
          <cell r="O461" t="e">
            <v>#N/A</v>
          </cell>
          <cell r="P461">
            <v>38.619999999999997</v>
          </cell>
          <cell r="Q461">
            <v>6.3655789999999994</v>
          </cell>
          <cell r="R461" t="e">
            <v>#N/A</v>
          </cell>
        </row>
        <row r="462">
          <cell r="A462">
            <v>39821</v>
          </cell>
          <cell r="B462">
            <v>39821</v>
          </cell>
          <cell r="C462" t="str">
            <v>Past</v>
          </cell>
          <cell r="D462">
            <v>38.81</v>
          </cell>
          <cell r="E462" t="e">
            <v>#N/A</v>
          </cell>
          <cell r="F462" t="e">
            <v>#N/A</v>
          </cell>
          <cell r="G462" t="e">
            <v>#N/A</v>
          </cell>
          <cell r="H462" t="e">
            <v>#N/A</v>
          </cell>
          <cell r="I462" t="e">
            <v>#N/A</v>
          </cell>
          <cell r="J462" t="e">
            <v>#N/A</v>
          </cell>
          <cell r="K462" t="e">
            <v>#N/A</v>
          </cell>
          <cell r="L462" t="e">
            <v>#N/A</v>
          </cell>
          <cell r="M462" t="e">
            <v>#N/A</v>
          </cell>
          <cell r="N462" t="e">
            <v>#N/A</v>
          </cell>
          <cell r="O462" t="e">
            <v>#N/A</v>
          </cell>
          <cell r="P462">
            <v>38.81</v>
          </cell>
          <cell r="Q462">
            <v>5.6269049999999998</v>
          </cell>
          <cell r="R462" t="e">
            <v>#N/A</v>
          </cell>
        </row>
        <row r="463">
          <cell r="A463">
            <v>39822</v>
          </cell>
          <cell r="B463">
            <v>39822</v>
          </cell>
          <cell r="C463" t="str">
            <v>Past</v>
          </cell>
          <cell r="D463">
            <v>38.479999999999997</v>
          </cell>
          <cell r="E463" t="e">
            <v>#N/A</v>
          </cell>
          <cell r="F463" t="e">
            <v>#N/A</v>
          </cell>
          <cell r="G463" t="e">
            <v>#N/A</v>
          </cell>
          <cell r="H463" t="e">
            <v>#N/A</v>
          </cell>
          <cell r="I463" t="e">
            <v>#N/A</v>
          </cell>
          <cell r="J463" t="e">
            <v>#N/A</v>
          </cell>
          <cell r="K463" t="e">
            <v>#N/A</v>
          </cell>
          <cell r="L463" t="e">
            <v>#N/A</v>
          </cell>
          <cell r="M463" t="e">
            <v>#N/A</v>
          </cell>
          <cell r="N463" t="e">
            <v>#N/A</v>
          </cell>
          <cell r="O463" t="e">
            <v>#N/A</v>
          </cell>
          <cell r="P463">
            <v>38.479999999999997</v>
          </cell>
          <cell r="Q463">
            <v>5.9375529999999994</v>
          </cell>
          <cell r="R463" t="e">
            <v>#N/A</v>
          </cell>
        </row>
        <row r="464">
          <cell r="A464">
            <v>39825</v>
          </cell>
          <cell r="B464">
            <v>39825</v>
          </cell>
          <cell r="C464" t="str">
            <v>Past</v>
          </cell>
          <cell r="D464">
            <v>38.130000000000003</v>
          </cell>
          <cell r="E464" t="e">
            <v>#N/A</v>
          </cell>
          <cell r="F464" t="e">
            <v>#N/A</v>
          </cell>
          <cell r="G464" t="e">
            <v>#N/A</v>
          </cell>
          <cell r="H464" t="e">
            <v>#N/A</v>
          </cell>
          <cell r="I464" t="e">
            <v>#N/A</v>
          </cell>
          <cell r="J464" t="e">
            <v>#N/A</v>
          </cell>
          <cell r="K464" t="e">
            <v>#N/A</v>
          </cell>
          <cell r="L464" t="e">
            <v>#N/A</v>
          </cell>
          <cell r="M464" t="e">
            <v>#N/A</v>
          </cell>
          <cell r="N464" t="e">
            <v>#N/A</v>
          </cell>
          <cell r="O464" t="e">
            <v>#N/A</v>
          </cell>
          <cell r="P464">
            <v>38.130000000000003</v>
          </cell>
          <cell r="Q464">
            <v>5.1992759999999993</v>
          </cell>
          <cell r="R464" t="e">
            <v>#N/A</v>
          </cell>
        </row>
        <row r="465">
          <cell r="A465">
            <v>39826</v>
          </cell>
          <cell r="B465">
            <v>39826</v>
          </cell>
          <cell r="C465" t="str">
            <v>Past</v>
          </cell>
          <cell r="D465">
            <v>38.520000000000003</v>
          </cell>
          <cell r="E465" t="e">
            <v>#N/A</v>
          </cell>
          <cell r="F465" t="e">
            <v>#N/A</v>
          </cell>
          <cell r="G465" t="e">
            <v>#N/A</v>
          </cell>
          <cell r="H465" t="e">
            <v>#N/A</v>
          </cell>
          <cell r="I465" t="e">
            <v>#N/A</v>
          </cell>
          <cell r="J465" t="e">
            <v>#N/A</v>
          </cell>
          <cell r="K465" t="e">
            <v>#N/A</v>
          </cell>
          <cell r="L465" t="e">
            <v>#N/A</v>
          </cell>
          <cell r="M465" t="e">
            <v>#N/A</v>
          </cell>
          <cell r="N465" t="e">
            <v>#N/A</v>
          </cell>
          <cell r="O465" t="e">
            <v>#N/A</v>
          </cell>
          <cell r="P465">
            <v>38.520000000000003</v>
          </cell>
          <cell r="Q465">
            <v>5.3014000000000001</v>
          </cell>
          <cell r="R465" t="e">
            <v>#N/A</v>
          </cell>
        </row>
        <row r="466">
          <cell r="A466">
            <v>39827</v>
          </cell>
          <cell r="B466">
            <v>39827</v>
          </cell>
          <cell r="C466" t="str">
            <v>Past</v>
          </cell>
          <cell r="D466">
            <v>37.47</v>
          </cell>
          <cell r="E466" t="e">
            <v>#N/A</v>
          </cell>
          <cell r="F466" t="e">
            <v>#N/A</v>
          </cell>
          <cell r="G466" t="e">
            <v>#N/A</v>
          </cell>
          <cell r="H466" t="e">
            <v>#N/A</v>
          </cell>
          <cell r="I466" t="e">
            <v>#N/A</v>
          </cell>
          <cell r="J466" t="e">
            <v>#N/A</v>
          </cell>
          <cell r="K466" t="e">
            <v>#N/A</v>
          </cell>
          <cell r="L466" t="e">
            <v>#N/A</v>
          </cell>
          <cell r="M466" t="e">
            <v>#N/A</v>
          </cell>
          <cell r="N466" t="e">
            <v>#N/A</v>
          </cell>
          <cell r="O466" t="e">
            <v>#N/A</v>
          </cell>
          <cell r="P466">
            <v>37.47</v>
          </cell>
          <cell r="Q466">
            <v>6.5570919999999999</v>
          </cell>
          <cell r="R466" t="e">
            <v>#N/A</v>
          </cell>
        </row>
        <row r="467">
          <cell r="A467">
            <v>39828</v>
          </cell>
          <cell r="B467">
            <v>39828</v>
          </cell>
          <cell r="C467" t="str">
            <v>Past</v>
          </cell>
          <cell r="D467">
            <v>37.549999999999997</v>
          </cell>
          <cell r="E467" t="e">
            <v>#N/A</v>
          </cell>
          <cell r="F467" t="e">
            <v>#N/A</v>
          </cell>
          <cell r="G467" t="e">
            <v>#N/A</v>
          </cell>
          <cell r="H467" t="e">
            <v>#N/A</v>
          </cell>
          <cell r="I467" t="e">
            <v>#N/A</v>
          </cell>
          <cell r="J467" t="e">
            <v>#N/A</v>
          </cell>
          <cell r="K467" t="e">
            <v>#N/A</v>
          </cell>
          <cell r="L467" t="e">
            <v>#N/A</v>
          </cell>
          <cell r="M467" t="e">
            <v>#N/A</v>
          </cell>
          <cell r="N467" t="e">
            <v>#N/A</v>
          </cell>
          <cell r="O467" t="e">
            <v>#N/A</v>
          </cell>
          <cell r="P467">
            <v>37.549999999999997</v>
          </cell>
          <cell r="Q467">
            <v>4.9573479999999996</v>
          </cell>
          <cell r="R467" t="e">
            <v>#N/A</v>
          </cell>
        </row>
        <row r="468">
          <cell r="A468">
            <v>39829</v>
          </cell>
          <cell r="B468">
            <v>39829</v>
          </cell>
          <cell r="C468" t="str">
            <v>Past</v>
          </cell>
          <cell r="D468">
            <v>38.130000000000003</v>
          </cell>
          <cell r="E468" t="e">
            <v>#N/A</v>
          </cell>
          <cell r="F468" t="e">
            <v>#N/A</v>
          </cell>
          <cell r="G468" t="e">
            <v>#N/A</v>
          </cell>
          <cell r="H468" t="e">
            <v>#N/A</v>
          </cell>
          <cell r="I468" t="e">
            <v>#N/A</v>
          </cell>
          <cell r="J468" t="e">
            <v>#N/A</v>
          </cell>
          <cell r="K468" t="e">
            <v>#N/A</v>
          </cell>
          <cell r="L468" t="e">
            <v>#N/A</v>
          </cell>
          <cell r="M468" t="e">
            <v>#N/A</v>
          </cell>
          <cell r="N468" t="e">
            <v>#N/A</v>
          </cell>
          <cell r="O468" t="e">
            <v>#N/A</v>
          </cell>
          <cell r="P468">
            <v>38.130000000000003</v>
          </cell>
          <cell r="Q468">
            <v>5.4438930000000001</v>
          </cell>
          <cell r="R468" t="e">
            <v>#N/A</v>
          </cell>
        </row>
        <row r="469">
          <cell r="A469">
            <v>39833</v>
          </cell>
          <cell r="B469">
            <v>39833</v>
          </cell>
          <cell r="C469" t="str">
            <v>Past</v>
          </cell>
          <cell r="D469">
            <v>37.39</v>
          </cell>
          <cell r="E469" t="e">
            <v>#N/A</v>
          </cell>
          <cell r="F469" t="e">
            <v>#N/A</v>
          </cell>
          <cell r="G469" t="e">
            <v>#N/A</v>
          </cell>
          <cell r="H469" t="e">
            <v>#N/A</v>
          </cell>
          <cell r="I469" t="e">
            <v>#N/A</v>
          </cell>
          <cell r="J469" t="e">
            <v>#N/A</v>
          </cell>
          <cell r="K469" t="e">
            <v>#N/A</v>
          </cell>
          <cell r="L469" t="e">
            <v>#N/A</v>
          </cell>
          <cell r="M469" t="e">
            <v>#N/A</v>
          </cell>
          <cell r="N469" t="e">
            <v>#N/A</v>
          </cell>
          <cell r="O469" t="e">
            <v>#N/A</v>
          </cell>
          <cell r="P469">
            <v>37.39</v>
          </cell>
          <cell r="Q469">
            <v>9.4422870000000003</v>
          </cell>
          <cell r="R469" t="e">
            <v>#N/A</v>
          </cell>
        </row>
        <row r="470">
          <cell r="A470">
            <v>39834</v>
          </cell>
          <cell r="B470">
            <v>39834</v>
          </cell>
          <cell r="C470" t="str">
            <v>Past</v>
          </cell>
          <cell r="D470">
            <v>38.24</v>
          </cell>
          <cell r="E470" t="e">
            <v>#N/A</v>
          </cell>
          <cell r="F470" t="e">
            <v>#N/A</v>
          </cell>
          <cell r="G470" t="e">
            <v>#N/A</v>
          </cell>
          <cell r="H470" t="e">
            <v>#N/A</v>
          </cell>
          <cell r="I470" t="e">
            <v>#N/A</v>
          </cell>
          <cell r="J470" t="e">
            <v>#N/A</v>
          </cell>
          <cell r="K470" t="e">
            <v>#N/A</v>
          </cell>
          <cell r="L470" t="e">
            <v>#N/A</v>
          </cell>
          <cell r="M470" t="e">
            <v>#N/A</v>
          </cell>
          <cell r="N470" t="e">
            <v>#N/A</v>
          </cell>
          <cell r="O470" t="e">
            <v>#N/A</v>
          </cell>
          <cell r="P470">
            <v>38.24</v>
          </cell>
          <cell r="Q470">
            <v>6.8359109999999994</v>
          </cell>
          <cell r="R470" t="e">
            <v>#N/A</v>
          </cell>
        </row>
        <row r="471">
          <cell r="A471">
            <v>39835</v>
          </cell>
          <cell r="B471">
            <v>39835</v>
          </cell>
          <cell r="C471" t="str">
            <v>Past</v>
          </cell>
          <cell r="D471">
            <v>37.799999999999997</v>
          </cell>
          <cell r="E471" t="e">
            <v>#N/A</v>
          </cell>
          <cell r="F471" t="e">
            <v>#N/A</v>
          </cell>
          <cell r="G471" t="e">
            <v>#N/A</v>
          </cell>
          <cell r="H471" t="e">
            <v>#N/A</v>
          </cell>
          <cell r="I471" t="e">
            <v>#N/A</v>
          </cell>
          <cell r="J471" t="e">
            <v>#N/A</v>
          </cell>
          <cell r="K471" t="e">
            <v>#N/A</v>
          </cell>
          <cell r="L471" t="e">
            <v>#N/A</v>
          </cell>
          <cell r="M471" t="e">
            <v>#N/A</v>
          </cell>
          <cell r="N471" t="e">
            <v>#N/A</v>
          </cell>
          <cell r="O471" t="e">
            <v>#N/A</v>
          </cell>
          <cell r="P471">
            <v>37.799999999999997</v>
          </cell>
          <cell r="Q471">
            <v>5.5477039999999995</v>
          </cell>
          <cell r="R471" t="e">
            <v>#N/A</v>
          </cell>
        </row>
        <row r="472">
          <cell r="A472">
            <v>39836</v>
          </cell>
          <cell r="B472">
            <v>39836</v>
          </cell>
          <cell r="C472" t="str">
            <v>Past</v>
          </cell>
          <cell r="D472">
            <v>37.42</v>
          </cell>
          <cell r="E472" t="e">
            <v>#N/A</v>
          </cell>
          <cell r="F472" t="e">
            <v>#N/A</v>
          </cell>
          <cell r="G472" t="e">
            <v>#N/A</v>
          </cell>
          <cell r="H472" t="e">
            <v>#N/A</v>
          </cell>
          <cell r="I472" t="e">
            <v>#N/A</v>
          </cell>
          <cell r="J472" t="e">
            <v>#N/A</v>
          </cell>
          <cell r="K472" t="e">
            <v>#N/A</v>
          </cell>
          <cell r="L472" t="e">
            <v>#N/A</v>
          </cell>
          <cell r="M472" t="e">
            <v>#N/A</v>
          </cell>
          <cell r="N472" t="e">
            <v>#N/A</v>
          </cell>
          <cell r="O472" t="e">
            <v>#N/A</v>
          </cell>
          <cell r="P472">
            <v>37.42</v>
          </cell>
          <cell r="Q472">
            <v>6.2286000000000001</v>
          </cell>
          <cell r="R472" t="e">
            <v>#N/A</v>
          </cell>
        </row>
        <row r="473">
          <cell r="A473">
            <v>39839</v>
          </cell>
          <cell r="B473">
            <v>39839</v>
          </cell>
          <cell r="C473" t="str">
            <v>Past</v>
          </cell>
          <cell r="D473">
            <v>37.57</v>
          </cell>
          <cell r="E473" t="e">
            <v>#N/A</v>
          </cell>
          <cell r="F473" t="e">
            <v>#N/A</v>
          </cell>
          <cell r="G473" t="e">
            <v>#N/A</v>
          </cell>
          <cell r="H473" t="e">
            <v>#N/A</v>
          </cell>
          <cell r="I473" t="e">
            <v>#N/A</v>
          </cell>
          <cell r="J473" t="e">
            <v>#N/A</v>
          </cell>
          <cell r="K473" t="e">
            <v>#N/A</v>
          </cell>
          <cell r="L473" t="e">
            <v>#N/A</v>
          </cell>
          <cell r="M473" t="e">
            <v>#N/A</v>
          </cell>
          <cell r="N473" t="e">
            <v>#N/A</v>
          </cell>
          <cell r="O473" t="e">
            <v>#N/A</v>
          </cell>
          <cell r="P473">
            <v>37.57</v>
          </cell>
          <cell r="Q473">
            <v>6.7665639999999998</v>
          </cell>
          <cell r="R473" t="e">
            <v>#N/A</v>
          </cell>
        </row>
        <row r="474">
          <cell r="A474">
            <v>39840</v>
          </cell>
          <cell r="B474">
            <v>39840</v>
          </cell>
          <cell r="C474" t="str">
            <v>Past</v>
          </cell>
          <cell r="D474">
            <v>38.61</v>
          </cell>
          <cell r="E474" t="e">
            <v>#N/A</v>
          </cell>
          <cell r="F474" t="e">
            <v>#N/A</v>
          </cell>
          <cell r="G474" t="e">
            <v>#N/A</v>
          </cell>
          <cell r="H474" t="e">
            <v>#N/A</v>
          </cell>
          <cell r="I474" t="e">
            <v>#N/A</v>
          </cell>
          <cell r="J474" t="e">
            <v>#N/A</v>
          </cell>
          <cell r="K474" t="e">
            <v>#N/A</v>
          </cell>
          <cell r="L474" t="e">
            <v>#N/A</v>
          </cell>
          <cell r="M474" t="e">
            <v>#N/A</v>
          </cell>
          <cell r="N474" t="e">
            <v>#N/A</v>
          </cell>
          <cell r="O474" t="e">
            <v>#N/A</v>
          </cell>
          <cell r="P474">
            <v>38.61</v>
          </cell>
          <cell r="Q474">
            <v>5.4036520000000001</v>
          </cell>
          <cell r="R474" t="e">
            <v>#N/A</v>
          </cell>
        </row>
        <row r="475">
          <cell r="A475">
            <v>39841</v>
          </cell>
          <cell r="B475">
            <v>39841</v>
          </cell>
          <cell r="C475" t="str">
            <v>Past</v>
          </cell>
          <cell r="D475">
            <v>39.090000000000003</v>
          </cell>
          <cell r="E475" t="e">
            <v>#N/A</v>
          </cell>
          <cell r="F475" t="e">
            <v>#N/A</v>
          </cell>
          <cell r="G475" t="e">
            <v>#N/A</v>
          </cell>
          <cell r="H475" t="e">
            <v>#N/A</v>
          </cell>
          <cell r="I475" t="e">
            <v>#N/A</v>
          </cell>
          <cell r="J475" t="e">
            <v>#N/A</v>
          </cell>
          <cell r="K475" t="e">
            <v>#N/A</v>
          </cell>
          <cell r="L475" t="e">
            <v>#N/A</v>
          </cell>
          <cell r="M475" t="e">
            <v>#N/A</v>
          </cell>
          <cell r="N475" t="e">
            <v>#N/A</v>
          </cell>
          <cell r="O475" t="e">
            <v>#N/A</v>
          </cell>
          <cell r="P475">
            <v>39.090000000000003</v>
          </cell>
          <cell r="Q475">
            <v>5.3712</v>
          </cell>
          <cell r="R475" t="e">
            <v>#N/A</v>
          </cell>
        </row>
        <row r="476">
          <cell r="A476">
            <v>39842</v>
          </cell>
          <cell r="B476">
            <v>39842</v>
          </cell>
          <cell r="C476" t="str">
            <v>Past</v>
          </cell>
          <cell r="D476">
            <v>37.97</v>
          </cell>
          <cell r="E476" t="e">
            <v>#N/A</v>
          </cell>
          <cell r="F476" t="e">
            <v>#N/A</v>
          </cell>
          <cell r="G476" t="e">
            <v>#N/A</v>
          </cell>
          <cell r="H476" t="e">
            <v>#N/A</v>
          </cell>
          <cell r="I476" t="e">
            <v>#N/A</v>
          </cell>
          <cell r="J476" t="e">
            <v>#N/A</v>
          </cell>
          <cell r="K476" t="e">
            <v>#N/A</v>
          </cell>
          <cell r="L476" t="e">
            <v>#N/A</v>
          </cell>
          <cell r="M476" t="e">
            <v>#N/A</v>
          </cell>
          <cell r="N476" t="e">
            <v>#N/A</v>
          </cell>
          <cell r="O476" t="e">
            <v>#N/A</v>
          </cell>
          <cell r="P476">
            <v>37.97</v>
          </cell>
          <cell r="Q476">
            <v>6.4738359999999995</v>
          </cell>
          <cell r="R476" t="e">
            <v>#N/A</v>
          </cell>
        </row>
        <row r="477">
          <cell r="A477">
            <v>39843</v>
          </cell>
          <cell r="B477">
            <v>39843</v>
          </cell>
          <cell r="C477" t="str">
            <v>Past</v>
          </cell>
          <cell r="D477">
            <v>36.82</v>
          </cell>
          <cell r="E477" t="e">
            <v>#N/A</v>
          </cell>
          <cell r="F477" t="e">
            <v>#N/A</v>
          </cell>
          <cell r="G477" t="e">
            <v>#N/A</v>
          </cell>
          <cell r="H477" t="e">
            <v>#N/A</v>
          </cell>
          <cell r="I477" t="e">
            <v>#N/A</v>
          </cell>
          <cell r="J477" t="e">
            <v>#N/A</v>
          </cell>
          <cell r="K477" t="e">
            <v>#N/A</v>
          </cell>
          <cell r="L477" t="e">
            <v>#N/A</v>
          </cell>
          <cell r="M477" t="e">
            <v>#N/A</v>
          </cell>
          <cell r="N477" t="e">
            <v>#N/A</v>
          </cell>
          <cell r="O477" t="e">
            <v>#N/A</v>
          </cell>
          <cell r="P477">
            <v>36.82</v>
          </cell>
          <cell r="Q477">
            <v>9.5991330000000001</v>
          </cell>
          <cell r="R477" t="e">
            <v>#N/A</v>
          </cell>
        </row>
        <row r="478">
          <cell r="A478">
            <v>39846</v>
          </cell>
          <cell r="B478">
            <v>39846</v>
          </cell>
          <cell r="C478" t="str">
            <v>Past</v>
          </cell>
          <cell r="D478">
            <v>37.270000000000003</v>
          </cell>
          <cell r="E478" t="e">
            <v>#N/A</v>
          </cell>
          <cell r="F478" t="e">
            <v>#N/A</v>
          </cell>
          <cell r="G478" t="e">
            <v>#N/A</v>
          </cell>
          <cell r="H478" t="e">
            <v>#N/A</v>
          </cell>
          <cell r="I478" t="e">
            <v>#N/A</v>
          </cell>
          <cell r="J478" t="e">
            <v>#N/A</v>
          </cell>
          <cell r="K478" t="e">
            <v>#N/A</v>
          </cell>
          <cell r="L478" t="e">
            <v>#N/A</v>
          </cell>
          <cell r="M478" t="e">
            <v>#N/A</v>
          </cell>
          <cell r="N478" t="e">
            <v>#N/A</v>
          </cell>
          <cell r="O478" t="e">
            <v>#N/A</v>
          </cell>
          <cell r="P478">
            <v>37.270000000000003</v>
          </cell>
          <cell r="Q478">
            <v>5.5051160000000001</v>
          </cell>
          <cell r="R478" t="e">
            <v>#N/A</v>
          </cell>
        </row>
        <row r="479">
          <cell r="A479">
            <v>39847</v>
          </cell>
          <cell r="B479">
            <v>39847</v>
          </cell>
          <cell r="C479" t="str">
            <v>Past</v>
          </cell>
          <cell r="D479">
            <v>38.69</v>
          </cell>
          <cell r="E479" t="e">
            <v>#N/A</v>
          </cell>
          <cell r="F479" t="e">
            <v>#N/A</v>
          </cell>
          <cell r="G479" t="e">
            <v>#N/A</v>
          </cell>
          <cell r="H479" t="e">
            <v>#N/A</v>
          </cell>
          <cell r="I479" t="e">
            <v>#N/A</v>
          </cell>
          <cell r="J479" t="e">
            <v>#N/A</v>
          </cell>
          <cell r="K479" t="e">
            <v>#N/A</v>
          </cell>
          <cell r="L479" t="e">
            <v>#N/A</v>
          </cell>
          <cell r="M479" t="e">
            <v>#N/A</v>
          </cell>
          <cell r="N479" t="e">
            <v>#N/A</v>
          </cell>
          <cell r="O479" t="e">
            <v>#N/A</v>
          </cell>
          <cell r="P479">
            <v>38.69</v>
          </cell>
          <cell r="Q479">
            <v>10.013140000000002</v>
          </cell>
          <cell r="R479" t="e">
            <v>#N/A</v>
          </cell>
        </row>
        <row r="480">
          <cell r="A480">
            <v>39848</v>
          </cell>
          <cell r="B480">
            <v>39848</v>
          </cell>
          <cell r="C480" t="str">
            <v>Past</v>
          </cell>
          <cell r="D480">
            <v>38.01</v>
          </cell>
          <cell r="E480" t="e">
            <v>#N/A</v>
          </cell>
          <cell r="F480" t="e">
            <v>#N/A</v>
          </cell>
          <cell r="G480" t="e">
            <v>#N/A</v>
          </cell>
          <cell r="H480" t="e">
            <v>#N/A</v>
          </cell>
          <cell r="I480" t="e">
            <v>#N/A</v>
          </cell>
          <cell r="J480" t="e">
            <v>#N/A</v>
          </cell>
          <cell r="K480" t="e">
            <v>#N/A</v>
          </cell>
          <cell r="L480" t="e">
            <v>#N/A</v>
          </cell>
          <cell r="M480" t="e">
            <v>#N/A</v>
          </cell>
          <cell r="N480" t="e">
            <v>#N/A</v>
          </cell>
          <cell r="O480" t="e">
            <v>#N/A</v>
          </cell>
          <cell r="P480">
            <v>38.01</v>
          </cell>
          <cell r="Q480">
            <v>7.4171279999999999</v>
          </cell>
          <cell r="R480" t="e">
            <v>#N/A</v>
          </cell>
        </row>
        <row r="481">
          <cell r="A481">
            <v>39849</v>
          </cell>
          <cell r="B481">
            <v>39849</v>
          </cell>
          <cell r="C481" t="str">
            <v>Past</v>
          </cell>
          <cell r="D481">
            <v>38.159999999999997</v>
          </cell>
          <cell r="E481" t="e">
            <v>#N/A</v>
          </cell>
          <cell r="F481" t="e">
            <v>#N/A</v>
          </cell>
          <cell r="G481" t="e">
            <v>#N/A</v>
          </cell>
          <cell r="H481" t="e">
            <v>#N/A</v>
          </cell>
          <cell r="I481" t="e">
            <v>#N/A</v>
          </cell>
          <cell r="J481" t="e">
            <v>#N/A</v>
          </cell>
          <cell r="K481" t="e">
            <v>#N/A</v>
          </cell>
          <cell r="L481" t="e">
            <v>#N/A</v>
          </cell>
          <cell r="M481" t="e">
            <v>#N/A</v>
          </cell>
          <cell r="N481" t="e">
            <v>#N/A</v>
          </cell>
          <cell r="O481" t="e">
            <v>#N/A</v>
          </cell>
          <cell r="P481">
            <v>38.159999999999997</v>
          </cell>
          <cell r="Q481">
            <v>5.0512559999999995</v>
          </cell>
          <cell r="R481" t="e">
            <v>#N/A</v>
          </cell>
        </row>
        <row r="482">
          <cell r="A482">
            <v>39850</v>
          </cell>
          <cell r="B482">
            <v>39850</v>
          </cell>
          <cell r="C482" t="str">
            <v>Past</v>
          </cell>
          <cell r="D482">
            <v>38.18</v>
          </cell>
          <cell r="E482" t="e">
            <v>#N/A</v>
          </cell>
          <cell r="F482" t="e">
            <v>#N/A</v>
          </cell>
          <cell r="G482" t="e">
            <v>#N/A</v>
          </cell>
          <cell r="H482" t="e">
            <v>#N/A</v>
          </cell>
          <cell r="I482" t="e">
            <v>#N/A</v>
          </cell>
          <cell r="J482" t="e">
            <v>#N/A</v>
          </cell>
          <cell r="K482" t="e">
            <v>#N/A</v>
          </cell>
          <cell r="L482" t="e">
            <v>#N/A</v>
          </cell>
          <cell r="M482" t="e">
            <v>#N/A</v>
          </cell>
          <cell r="N482" t="e">
            <v>#N/A</v>
          </cell>
          <cell r="O482" t="e">
            <v>#N/A</v>
          </cell>
          <cell r="P482">
            <v>38.18</v>
          </cell>
          <cell r="Q482">
            <v>4.9782630000000001</v>
          </cell>
          <cell r="R482" t="e">
            <v>#N/A</v>
          </cell>
        </row>
        <row r="483">
          <cell r="A483">
            <v>39853</v>
          </cell>
          <cell r="B483">
            <v>39853</v>
          </cell>
          <cell r="C483" t="str">
            <v>Past</v>
          </cell>
          <cell r="D483">
            <v>38.119999999999997</v>
          </cell>
          <cell r="E483" t="e">
            <v>#N/A</v>
          </cell>
          <cell r="F483" t="e">
            <v>#N/A</v>
          </cell>
          <cell r="G483" t="e">
            <v>#N/A</v>
          </cell>
          <cell r="H483" t="e">
            <v>#N/A</v>
          </cell>
          <cell r="I483" t="e">
            <v>#N/A</v>
          </cell>
          <cell r="J483" t="e">
            <v>#N/A</v>
          </cell>
          <cell r="K483" t="e">
            <v>#N/A</v>
          </cell>
          <cell r="L483" t="e">
            <v>#N/A</v>
          </cell>
          <cell r="M483" t="e">
            <v>#N/A</v>
          </cell>
          <cell r="N483" t="e">
            <v>#N/A</v>
          </cell>
          <cell r="O483" t="e">
            <v>#N/A</v>
          </cell>
          <cell r="P483">
            <v>38.119999999999997</v>
          </cell>
          <cell r="Q483">
            <v>4.1329539999999998</v>
          </cell>
          <cell r="R483" t="e">
            <v>#N/A</v>
          </cell>
        </row>
        <row r="484">
          <cell r="A484">
            <v>39854</v>
          </cell>
          <cell r="B484">
            <v>39854</v>
          </cell>
          <cell r="C484" t="str">
            <v>Past</v>
          </cell>
          <cell r="D484">
            <v>36.94</v>
          </cell>
          <cell r="E484" t="e">
            <v>#N/A</v>
          </cell>
          <cell r="F484" t="e">
            <v>#N/A</v>
          </cell>
          <cell r="G484" t="e">
            <v>#N/A</v>
          </cell>
          <cell r="H484" t="e">
            <v>#N/A</v>
          </cell>
          <cell r="I484" t="e">
            <v>#N/A</v>
          </cell>
          <cell r="J484" t="e">
            <v>#N/A</v>
          </cell>
          <cell r="K484" t="e">
            <v>#N/A</v>
          </cell>
          <cell r="L484" t="e">
            <v>#N/A</v>
          </cell>
          <cell r="M484" t="e">
            <v>#N/A</v>
          </cell>
          <cell r="N484" t="e">
            <v>#N/A</v>
          </cell>
          <cell r="O484" t="e">
            <v>#N/A</v>
          </cell>
          <cell r="P484">
            <v>36.94</v>
          </cell>
          <cell r="Q484">
            <v>5.7219000000000007</v>
          </cell>
          <cell r="R484" t="e">
            <v>#N/A</v>
          </cell>
        </row>
        <row r="485">
          <cell r="A485">
            <v>39855</v>
          </cell>
          <cell r="B485">
            <v>39855</v>
          </cell>
          <cell r="C485" t="str">
            <v>Past</v>
          </cell>
          <cell r="D485">
            <v>36.72</v>
          </cell>
          <cell r="E485" t="e">
            <v>#N/A</v>
          </cell>
          <cell r="F485" t="e">
            <v>#N/A</v>
          </cell>
          <cell r="G485" t="e">
            <v>#N/A</v>
          </cell>
          <cell r="H485" t="e">
            <v>#N/A</v>
          </cell>
          <cell r="I485" t="e">
            <v>#N/A</v>
          </cell>
          <cell r="J485" t="e">
            <v>#N/A</v>
          </cell>
          <cell r="K485" t="e">
            <v>#N/A</v>
          </cell>
          <cell r="L485" t="e">
            <v>#N/A</v>
          </cell>
          <cell r="M485" t="e">
            <v>#N/A</v>
          </cell>
          <cell r="N485" t="e">
            <v>#N/A</v>
          </cell>
          <cell r="O485" t="e">
            <v>#N/A</v>
          </cell>
          <cell r="P485">
            <v>36.72</v>
          </cell>
          <cell r="Q485">
            <v>4.2443919999999995</v>
          </cell>
          <cell r="R485" t="e">
            <v>#N/A</v>
          </cell>
        </row>
        <row r="486">
          <cell r="A486">
            <v>39856</v>
          </cell>
          <cell r="B486">
            <v>39856</v>
          </cell>
          <cell r="C486" t="str">
            <v>Past</v>
          </cell>
          <cell r="D486">
            <v>36.340000000000003</v>
          </cell>
          <cell r="E486" t="e">
            <v>#N/A</v>
          </cell>
          <cell r="F486" t="e">
            <v>#N/A</v>
          </cell>
          <cell r="G486" t="e">
            <v>#N/A</v>
          </cell>
          <cell r="H486" t="e">
            <v>#N/A</v>
          </cell>
          <cell r="I486" t="e">
            <v>#N/A</v>
          </cell>
          <cell r="J486" t="e">
            <v>#N/A</v>
          </cell>
          <cell r="K486" t="e">
            <v>#N/A</v>
          </cell>
          <cell r="L486" t="e">
            <v>#N/A</v>
          </cell>
          <cell r="M486" t="e">
            <v>#N/A</v>
          </cell>
          <cell r="N486" t="e">
            <v>#N/A</v>
          </cell>
          <cell r="O486" t="e">
            <v>#N/A</v>
          </cell>
          <cell r="P486">
            <v>36.340000000000003</v>
          </cell>
          <cell r="Q486">
            <v>6.0982659999999997</v>
          </cell>
          <cell r="R486" t="e">
            <v>#N/A</v>
          </cell>
        </row>
        <row r="487">
          <cell r="A487">
            <v>39857</v>
          </cell>
          <cell r="B487">
            <v>39857</v>
          </cell>
          <cell r="C487" t="str">
            <v>Past</v>
          </cell>
          <cell r="D487">
            <v>35.43</v>
          </cell>
          <cell r="E487" t="e">
            <v>#N/A</v>
          </cell>
          <cell r="F487" t="e">
            <v>#N/A</v>
          </cell>
          <cell r="G487" t="e">
            <v>#N/A</v>
          </cell>
          <cell r="H487" t="e">
            <v>#N/A</v>
          </cell>
          <cell r="I487" t="e">
            <v>#N/A</v>
          </cell>
          <cell r="J487" t="e">
            <v>#N/A</v>
          </cell>
          <cell r="K487" t="e">
            <v>#N/A</v>
          </cell>
          <cell r="L487" t="e">
            <v>#N/A</v>
          </cell>
          <cell r="M487" t="e">
            <v>#N/A</v>
          </cell>
          <cell r="N487" t="e">
            <v>#N/A</v>
          </cell>
          <cell r="O487" t="e">
            <v>#N/A</v>
          </cell>
          <cell r="P487">
            <v>35.43</v>
          </cell>
          <cell r="Q487">
            <v>6.0230549999999994</v>
          </cell>
          <cell r="R487" t="e">
            <v>#N/A</v>
          </cell>
        </row>
        <row r="488">
          <cell r="A488">
            <v>39861</v>
          </cell>
          <cell r="B488">
            <v>39861</v>
          </cell>
          <cell r="C488" t="str">
            <v>Past</v>
          </cell>
          <cell r="D488">
            <v>34.58</v>
          </cell>
          <cell r="E488" t="e">
            <v>#N/A</v>
          </cell>
          <cell r="F488" t="e">
            <v>#N/A</v>
          </cell>
          <cell r="G488" t="e">
            <v>#N/A</v>
          </cell>
          <cell r="H488" t="e">
            <v>#N/A</v>
          </cell>
          <cell r="I488" t="e">
            <v>#N/A</v>
          </cell>
          <cell r="J488" t="e">
            <v>#N/A</v>
          </cell>
          <cell r="K488" t="e">
            <v>#N/A</v>
          </cell>
          <cell r="L488" t="e">
            <v>#N/A</v>
          </cell>
          <cell r="M488" t="e">
            <v>#N/A</v>
          </cell>
          <cell r="N488" t="e">
            <v>#N/A</v>
          </cell>
          <cell r="O488" t="e">
            <v>#N/A</v>
          </cell>
          <cell r="P488">
            <v>34.58</v>
          </cell>
          <cell r="Q488">
            <v>7.4004500000000002</v>
          </cell>
          <cell r="R488" t="e">
            <v>#N/A</v>
          </cell>
        </row>
        <row r="489">
          <cell r="A489">
            <v>39862</v>
          </cell>
          <cell r="B489">
            <v>39862</v>
          </cell>
          <cell r="C489" t="str">
            <v>Past</v>
          </cell>
          <cell r="D489">
            <v>34.4</v>
          </cell>
          <cell r="E489" t="e">
            <v>#N/A</v>
          </cell>
          <cell r="F489" t="e">
            <v>#N/A</v>
          </cell>
          <cell r="G489" t="e">
            <v>#N/A</v>
          </cell>
          <cell r="H489" t="e">
            <v>#N/A</v>
          </cell>
          <cell r="I489" t="e">
            <v>#N/A</v>
          </cell>
          <cell r="J489" t="e">
            <v>#N/A</v>
          </cell>
          <cell r="K489" t="e">
            <v>#N/A</v>
          </cell>
          <cell r="L489" t="e">
            <v>#N/A</v>
          </cell>
          <cell r="M489" t="e">
            <v>#N/A</v>
          </cell>
          <cell r="N489" t="e">
            <v>#N/A</v>
          </cell>
          <cell r="O489" t="e">
            <v>#N/A</v>
          </cell>
          <cell r="P489">
            <v>34.4</v>
          </cell>
          <cell r="Q489">
            <v>5.9168149999999997</v>
          </cell>
          <cell r="R489" t="e">
            <v>#N/A</v>
          </cell>
        </row>
        <row r="490">
          <cell r="A490">
            <v>39863</v>
          </cell>
          <cell r="B490">
            <v>39863</v>
          </cell>
          <cell r="C490" t="str">
            <v>Past</v>
          </cell>
          <cell r="D490">
            <v>34.479999999999997</v>
          </cell>
          <cell r="E490" t="e">
            <v>#N/A</v>
          </cell>
          <cell r="F490" t="e">
            <v>#N/A</v>
          </cell>
          <cell r="G490" t="e">
            <v>#N/A</v>
          </cell>
          <cell r="H490" t="e">
            <v>#N/A</v>
          </cell>
          <cell r="I490" t="e">
            <v>#N/A</v>
          </cell>
          <cell r="J490" t="e">
            <v>#N/A</v>
          </cell>
          <cell r="K490" t="e">
            <v>#N/A</v>
          </cell>
          <cell r="L490" t="e">
            <v>#N/A</v>
          </cell>
          <cell r="M490" t="e">
            <v>#N/A</v>
          </cell>
          <cell r="N490" t="e">
            <v>#N/A</v>
          </cell>
          <cell r="O490" t="e">
            <v>#N/A</v>
          </cell>
          <cell r="P490">
            <v>34.479999999999997</v>
          </cell>
          <cell r="Q490">
            <v>4.241352</v>
          </cell>
          <cell r="R490" t="e">
            <v>#N/A</v>
          </cell>
        </row>
        <row r="491">
          <cell r="A491">
            <v>39864</v>
          </cell>
          <cell r="B491">
            <v>39864</v>
          </cell>
          <cell r="C491" t="str">
            <v>Past</v>
          </cell>
          <cell r="D491">
            <v>33.24</v>
          </cell>
          <cell r="E491" t="e">
            <v>#N/A</v>
          </cell>
          <cell r="F491" t="e">
            <v>#N/A</v>
          </cell>
          <cell r="G491" t="e">
            <v>#N/A</v>
          </cell>
          <cell r="H491" t="e">
            <v>#N/A</v>
          </cell>
          <cell r="I491" t="e">
            <v>#N/A</v>
          </cell>
          <cell r="J491" t="e">
            <v>#N/A</v>
          </cell>
          <cell r="K491" t="e">
            <v>#N/A</v>
          </cell>
          <cell r="L491" t="e">
            <v>#N/A</v>
          </cell>
          <cell r="M491" t="e">
            <v>#N/A</v>
          </cell>
          <cell r="N491" t="e">
            <v>#N/A</v>
          </cell>
          <cell r="O491" t="e">
            <v>#N/A</v>
          </cell>
          <cell r="P491">
            <v>33.24</v>
          </cell>
          <cell r="Q491">
            <v>8.3610439999999997</v>
          </cell>
          <cell r="R491" t="e">
            <v>#N/A</v>
          </cell>
        </row>
        <row r="492">
          <cell r="A492">
            <v>39867</v>
          </cell>
          <cell r="B492">
            <v>39867</v>
          </cell>
          <cell r="C492" t="str">
            <v>Past</v>
          </cell>
          <cell r="D492">
            <v>32.31</v>
          </cell>
          <cell r="E492" t="e">
            <v>#N/A</v>
          </cell>
          <cell r="F492" t="e">
            <v>#N/A</v>
          </cell>
          <cell r="G492" t="e">
            <v>#N/A</v>
          </cell>
          <cell r="H492" t="e">
            <v>#N/A</v>
          </cell>
          <cell r="I492" t="e">
            <v>#N/A</v>
          </cell>
          <cell r="J492" t="e">
            <v>#N/A</v>
          </cell>
          <cell r="K492" t="e">
            <v>#N/A</v>
          </cell>
          <cell r="L492" t="e">
            <v>#N/A</v>
          </cell>
          <cell r="M492" t="e">
            <v>#N/A</v>
          </cell>
          <cell r="N492" t="e">
            <v>#N/A</v>
          </cell>
          <cell r="O492" t="e">
            <v>#N/A</v>
          </cell>
          <cell r="P492">
            <v>32.31</v>
          </cell>
          <cell r="Q492">
            <v>5.5451389999999998</v>
          </cell>
          <cell r="R492" t="e">
            <v>#N/A</v>
          </cell>
        </row>
        <row r="493">
          <cell r="A493">
            <v>39868</v>
          </cell>
          <cell r="B493">
            <v>39868</v>
          </cell>
          <cell r="C493" t="str">
            <v>Past</v>
          </cell>
          <cell r="D493">
            <v>32.909999999999997</v>
          </cell>
          <cell r="E493" t="e">
            <v>#N/A</v>
          </cell>
          <cell r="F493" t="e">
            <v>#N/A</v>
          </cell>
          <cell r="G493" t="e">
            <v>#N/A</v>
          </cell>
          <cell r="H493" t="e">
            <v>#N/A</v>
          </cell>
          <cell r="I493" t="e">
            <v>#N/A</v>
          </cell>
          <cell r="J493" t="e">
            <v>#N/A</v>
          </cell>
          <cell r="K493" t="e">
            <v>#N/A</v>
          </cell>
          <cell r="L493" t="e">
            <v>#N/A</v>
          </cell>
          <cell r="M493" t="e">
            <v>#N/A</v>
          </cell>
          <cell r="N493" t="e">
            <v>#N/A</v>
          </cell>
          <cell r="O493" t="e">
            <v>#N/A</v>
          </cell>
          <cell r="P493">
            <v>32.909999999999997</v>
          </cell>
          <cell r="Q493">
            <v>7.3455969999999997</v>
          </cell>
          <cell r="R493" t="e">
            <v>#N/A</v>
          </cell>
        </row>
        <row r="494">
          <cell r="A494">
            <v>39869</v>
          </cell>
          <cell r="B494">
            <v>39869</v>
          </cell>
          <cell r="C494" t="str">
            <v>Past</v>
          </cell>
          <cell r="D494">
            <v>32.56</v>
          </cell>
          <cell r="E494" t="e">
            <v>#N/A</v>
          </cell>
          <cell r="F494" t="e">
            <v>#N/A</v>
          </cell>
          <cell r="G494" t="e">
            <v>#N/A</v>
          </cell>
          <cell r="H494" t="e">
            <v>#N/A</v>
          </cell>
          <cell r="I494" t="e">
            <v>#N/A</v>
          </cell>
          <cell r="J494" t="e">
            <v>#N/A</v>
          </cell>
          <cell r="K494" t="e">
            <v>#N/A</v>
          </cell>
          <cell r="L494" t="e">
            <v>#N/A</v>
          </cell>
          <cell r="M494" t="e">
            <v>#N/A</v>
          </cell>
          <cell r="N494" t="e">
            <v>#N/A</v>
          </cell>
          <cell r="O494" t="e">
            <v>#N/A</v>
          </cell>
          <cell r="P494">
            <v>32.56</v>
          </cell>
          <cell r="Q494">
            <v>6.9441649999999999</v>
          </cell>
          <cell r="R494" t="e">
            <v>#N/A</v>
          </cell>
        </row>
        <row r="495">
          <cell r="A495">
            <v>39870</v>
          </cell>
          <cell r="B495">
            <v>39870</v>
          </cell>
          <cell r="C495" t="str">
            <v>Past</v>
          </cell>
          <cell r="D495">
            <v>31.04</v>
          </cell>
          <cell r="E495" t="e">
            <v>#N/A</v>
          </cell>
          <cell r="F495" t="e">
            <v>#N/A</v>
          </cell>
          <cell r="G495" t="e">
            <v>#N/A</v>
          </cell>
          <cell r="H495" t="e">
            <v>#N/A</v>
          </cell>
          <cell r="I495" t="e">
            <v>#N/A</v>
          </cell>
          <cell r="J495" t="e">
            <v>#N/A</v>
          </cell>
          <cell r="K495" t="e">
            <v>#N/A</v>
          </cell>
          <cell r="L495" t="e">
            <v>#N/A</v>
          </cell>
          <cell r="M495" t="e">
            <v>#N/A</v>
          </cell>
          <cell r="N495" t="e">
            <v>#N/A</v>
          </cell>
          <cell r="O495" t="e">
            <v>#N/A</v>
          </cell>
          <cell r="P495">
            <v>31.04</v>
          </cell>
          <cell r="Q495">
            <v>12.1358</v>
          </cell>
          <cell r="R495" t="e">
            <v>#N/A</v>
          </cell>
        </row>
        <row r="496">
          <cell r="A496">
            <v>39871</v>
          </cell>
          <cell r="B496">
            <v>39871</v>
          </cell>
          <cell r="C496" t="str">
            <v>Past</v>
          </cell>
          <cell r="D496">
            <v>29.38</v>
          </cell>
          <cell r="E496" t="e">
            <v>#N/A</v>
          </cell>
          <cell r="F496" t="e">
            <v>#N/A</v>
          </cell>
          <cell r="G496" t="e">
            <v>#N/A</v>
          </cell>
          <cell r="H496" t="e">
            <v>#N/A</v>
          </cell>
          <cell r="I496" t="e">
            <v>#N/A</v>
          </cell>
          <cell r="J496" t="e">
            <v>#N/A</v>
          </cell>
          <cell r="K496" t="e">
            <v>#N/A</v>
          </cell>
          <cell r="L496" t="e">
            <v>#N/A</v>
          </cell>
          <cell r="M496" t="e">
            <v>#N/A</v>
          </cell>
          <cell r="N496" t="e">
            <v>#N/A</v>
          </cell>
          <cell r="O496" t="e">
            <v>#N/A</v>
          </cell>
          <cell r="P496">
            <v>29.38</v>
          </cell>
          <cell r="Q496">
            <v>9.5235319999999994</v>
          </cell>
          <cell r="R496" t="e">
            <v>#N/A</v>
          </cell>
        </row>
        <row r="497">
          <cell r="A497">
            <v>39874</v>
          </cell>
          <cell r="B497">
            <v>39874</v>
          </cell>
          <cell r="C497" t="str">
            <v>Past</v>
          </cell>
          <cell r="D497">
            <v>27.75</v>
          </cell>
          <cell r="E497" t="e">
            <v>#N/A</v>
          </cell>
          <cell r="F497" t="e">
            <v>#N/A</v>
          </cell>
          <cell r="G497" t="e">
            <v>#N/A</v>
          </cell>
          <cell r="H497" t="e">
            <v>#N/A</v>
          </cell>
          <cell r="I497" t="e">
            <v>#N/A</v>
          </cell>
          <cell r="J497" t="e">
            <v>#N/A</v>
          </cell>
          <cell r="K497" t="e">
            <v>#N/A</v>
          </cell>
          <cell r="L497" t="e">
            <v>#N/A</v>
          </cell>
          <cell r="M497" t="e">
            <v>#N/A</v>
          </cell>
          <cell r="N497" t="e">
            <v>#N/A</v>
          </cell>
          <cell r="O497" t="e">
            <v>#N/A</v>
          </cell>
          <cell r="P497">
            <v>27.75</v>
          </cell>
          <cell r="Q497">
            <v>13.436470000000002</v>
          </cell>
          <cell r="R497" t="e">
            <v>#N/A</v>
          </cell>
        </row>
        <row r="498">
          <cell r="A498">
            <v>39875</v>
          </cell>
          <cell r="B498">
            <v>39875</v>
          </cell>
          <cell r="C498" t="str">
            <v>Past</v>
          </cell>
          <cell r="D498">
            <v>27.49</v>
          </cell>
          <cell r="E498" t="e">
            <v>#N/A</v>
          </cell>
          <cell r="F498" t="e">
            <v>#N/A</v>
          </cell>
          <cell r="G498" t="e">
            <v>#N/A</v>
          </cell>
          <cell r="H498" t="e">
            <v>#N/A</v>
          </cell>
          <cell r="I498" t="e">
            <v>#N/A</v>
          </cell>
          <cell r="J498" t="e">
            <v>#N/A</v>
          </cell>
          <cell r="K498" t="e">
            <v>#N/A</v>
          </cell>
          <cell r="L498" t="e">
            <v>#N/A</v>
          </cell>
          <cell r="M498" t="e">
            <v>#N/A</v>
          </cell>
          <cell r="N498" t="e">
            <v>#N/A</v>
          </cell>
          <cell r="O498" t="e">
            <v>#N/A</v>
          </cell>
          <cell r="P498">
            <v>27.49</v>
          </cell>
          <cell r="Q498">
            <v>9.490162999999999</v>
          </cell>
          <cell r="R498" t="e">
            <v>#N/A</v>
          </cell>
        </row>
        <row r="499">
          <cell r="A499">
            <v>39876</v>
          </cell>
          <cell r="B499">
            <v>39876</v>
          </cell>
          <cell r="C499" t="str">
            <v>Past</v>
          </cell>
          <cell r="D499">
            <v>28.5</v>
          </cell>
          <cell r="E499" t="e">
            <v>#N/A</v>
          </cell>
          <cell r="F499" t="e">
            <v>#N/A</v>
          </cell>
          <cell r="G499" t="e">
            <v>#N/A</v>
          </cell>
          <cell r="H499" t="e">
            <v>#N/A</v>
          </cell>
          <cell r="I499" t="e">
            <v>#N/A</v>
          </cell>
          <cell r="J499" t="e">
            <v>#N/A</v>
          </cell>
          <cell r="K499" t="e">
            <v>#N/A</v>
          </cell>
          <cell r="L499" t="e">
            <v>#N/A</v>
          </cell>
          <cell r="M499" t="e">
            <v>#N/A</v>
          </cell>
          <cell r="N499" t="e">
            <v>#N/A</v>
          </cell>
          <cell r="O499" t="e">
            <v>#N/A</v>
          </cell>
          <cell r="P499">
            <v>28.5</v>
          </cell>
          <cell r="Q499">
            <v>8.8650219999999997</v>
          </cell>
          <cell r="R499" t="e">
            <v>#N/A</v>
          </cell>
        </row>
        <row r="500">
          <cell r="A500">
            <v>39877</v>
          </cell>
          <cell r="B500">
            <v>39877</v>
          </cell>
          <cell r="C500" t="str">
            <v>Past</v>
          </cell>
          <cell r="D500">
            <v>27.47</v>
          </cell>
          <cell r="E500" t="e">
            <v>#N/A</v>
          </cell>
          <cell r="F500" t="e">
            <v>#N/A</v>
          </cell>
          <cell r="G500" t="e">
            <v>#N/A</v>
          </cell>
          <cell r="H500" t="e">
            <v>#N/A</v>
          </cell>
          <cell r="I500" t="e">
            <v>#N/A</v>
          </cell>
          <cell r="J500" t="e">
            <v>#N/A</v>
          </cell>
          <cell r="K500" t="e">
            <v>#N/A</v>
          </cell>
          <cell r="L500" t="e">
            <v>#N/A</v>
          </cell>
          <cell r="M500" t="e">
            <v>#N/A</v>
          </cell>
          <cell r="N500" t="e">
            <v>#N/A</v>
          </cell>
          <cell r="O500" t="e">
            <v>#N/A</v>
          </cell>
          <cell r="P500">
            <v>27.47</v>
          </cell>
          <cell r="Q500">
            <v>9.0288579999999996</v>
          </cell>
          <cell r="R500" t="e">
            <v>#N/A</v>
          </cell>
        </row>
        <row r="501">
          <cell r="A501">
            <v>39878</v>
          </cell>
          <cell r="B501">
            <v>39878</v>
          </cell>
          <cell r="C501" t="str">
            <v>Past</v>
          </cell>
          <cell r="D501">
            <v>27.98</v>
          </cell>
          <cell r="E501" t="e">
            <v>#N/A</v>
          </cell>
          <cell r="F501" t="e">
            <v>#N/A</v>
          </cell>
          <cell r="G501" t="e">
            <v>#N/A</v>
          </cell>
          <cell r="H501" t="e">
            <v>#N/A</v>
          </cell>
          <cell r="I501" t="e">
            <v>#N/A</v>
          </cell>
          <cell r="J501" t="e">
            <v>#N/A</v>
          </cell>
          <cell r="K501" t="e">
            <v>#N/A</v>
          </cell>
          <cell r="L501" t="e">
            <v>#N/A</v>
          </cell>
          <cell r="M501" t="e">
            <v>#N/A</v>
          </cell>
          <cell r="N501" t="e">
            <v>#N/A</v>
          </cell>
          <cell r="O501" t="e">
            <v>#N/A</v>
          </cell>
          <cell r="P501">
            <v>27.98</v>
          </cell>
          <cell r="Q501">
            <v>8.7001270000000002</v>
          </cell>
          <cell r="R501" t="e">
            <v>#N/A</v>
          </cell>
        </row>
        <row r="502">
          <cell r="A502">
            <v>39881</v>
          </cell>
          <cell r="B502">
            <v>39881</v>
          </cell>
          <cell r="C502" t="str">
            <v>Past</v>
          </cell>
          <cell r="D502">
            <v>27.97</v>
          </cell>
          <cell r="E502" t="e">
            <v>#N/A</v>
          </cell>
          <cell r="F502" t="e">
            <v>#N/A</v>
          </cell>
          <cell r="G502" t="e">
            <v>#N/A</v>
          </cell>
          <cell r="H502" t="e">
            <v>#N/A</v>
          </cell>
          <cell r="I502" t="e">
            <v>#N/A</v>
          </cell>
          <cell r="J502" t="e">
            <v>#N/A</v>
          </cell>
          <cell r="K502" t="e">
            <v>#N/A</v>
          </cell>
          <cell r="L502" t="e">
            <v>#N/A</v>
          </cell>
          <cell r="M502" t="e">
            <v>#N/A</v>
          </cell>
          <cell r="N502" t="e">
            <v>#N/A</v>
          </cell>
          <cell r="O502" t="e">
            <v>#N/A</v>
          </cell>
          <cell r="P502">
            <v>27.97</v>
          </cell>
          <cell r="Q502">
            <v>8.6357489999999988</v>
          </cell>
          <cell r="R502" t="e">
            <v>#N/A</v>
          </cell>
        </row>
        <row r="503">
          <cell r="A503">
            <v>39882</v>
          </cell>
          <cell r="B503">
            <v>39882</v>
          </cell>
          <cell r="C503" t="str">
            <v>Past</v>
          </cell>
          <cell r="D503">
            <v>29.72</v>
          </cell>
          <cell r="E503" t="e">
            <v>#N/A</v>
          </cell>
          <cell r="F503" t="e">
            <v>#N/A</v>
          </cell>
          <cell r="G503" t="e">
            <v>#N/A</v>
          </cell>
          <cell r="H503" t="e">
            <v>#N/A</v>
          </cell>
          <cell r="I503" t="e">
            <v>#N/A</v>
          </cell>
          <cell r="J503" t="e">
            <v>#N/A</v>
          </cell>
          <cell r="K503" t="e">
            <v>#N/A</v>
          </cell>
          <cell r="L503" t="e">
            <v>#N/A</v>
          </cell>
          <cell r="M503" t="e">
            <v>#N/A</v>
          </cell>
          <cell r="N503" t="e">
            <v>#N/A</v>
          </cell>
          <cell r="O503" t="e">
            <v>#N/A</v>
          </cell>
          <cell r="P503">
            <v>29.72</v>
          </cell>
          <cell r="Q503">
            <v>10.124770000000002</v>
          </cell>
          <cell r="R503" t="e">
            <v>#N/A</v>
          </cell>
        </row>
        <row r="504">
          <cell r="A504">
            <v>39883</v>
          </cell>
          <cell r="B504">
            <v>39883</v>
          </cell>
          <cell r="C504" t="str">
            <v>Past</v>
          </cell>
          <cell r="D504">
            <v>28.85</v>
          </cell>
          <cell r="E504" t="e">
            <v>#N/A</v>
          </cell>
          <cell r="F504" t="e">
            <v>#N/A</v>
          </cell>
          <cell r="G504" t="e">
            <v>#N/A</v>
          </cell>
          <cell r="H504" t="e">
            <v>#N/A</v>
          </cell>
          <cell r="I504" t="e">
            <v>#N/A</v>
          </cell>
          <cell r="J504" t="e">
            <v>#N/A</v>
          </cell>
          <cell r="K504" t="e">
            <v>#N/A</v>
          </cell>
          <cell r="L504" t="e">
            <v>#N/A</v>
          </cell>
          <cell r="M504" t="e">
            <v>#N/A</v>
          </cell>
          <cell r="N504" t="e">
            <v>#N/A</v>
          </cell>
          <cell r="O504" t="e">
            <v>#N/A</v>
          </cell>
          <cell r="P504">
            <v>28.85</v>
          </cell>
          <cell r="Q504">
            <v>9.624606</v>
          </cell>
          <cell r="R504" t="e">
            <v>#N/A</v>
          </cell>
        </row>
        <row r="505">
          <cell r="A505">
            <v>39884</v>
          </cell>
          <cell r="B505">
            <v>39884</v>
          </cell>
          <cell r="C505" t="str">
            <v>Past</v>
          </cell>
          <cell r="D505">
            <v>30.03</v>
          </cell>
          <cell r="E505" t="e">
            <v>#N/A</v>
          </cell>
          <cell r="F505" t="e">
            <v>#N/A</v>
          </cell>
          <cell r="G505" t="e">
            <v>#N/A</v>
          </cell>
          <cell r="H505" t="e">
            <v>#N/A</v>
          </cell>
          <cell r="I505" t="e">
            <v>#N/A</v>
          </cell>
          <cell r="J505" t="e">
            <v>#N/A</v>
          </cell>
          <cell r="K505" t="e">
            <v>#N/A</v>
          </cell>
          <cell r="L505" t="e">
            <v>#N/A</v>
          </cell>
          <cell r="M505" t="e">
            <v>#N/A</v>
          </cell>
          <cell r="N505" t="e">
            <v>#N/A</v>
          </cell>
          <cell r="O505" t="e">
            <v>#N/A</v>
          </cell>
          <cell r="P505">
            <v>30.03</v>
          </cell>
          <cell r="Q505">
            <v>6.3600959999999995</v>
          </cell>
          <cell r="R505" t="e">
            <v>#N/A</v>
          </cell>
        </row>
        <row r="506">
          <cell r="A506">
            <v>39885</v>
          </cell>
          <cell r="B506">
            <v>39885</v>
          </cell>
          <cell r="C506" t="str">
            <v>Past</v>
          </cell>
          <cell r="D506">
            <v>30.64</v>
          </cell>
          <cell r="E506" t="e">
            <v>#N/A</v>
          </cell>
          <cell r="F506" t="e">
            <v>#N/A</v>
          </cell>
          <cell r="G506" t="e">
            <v>#N/A</v>
          </cell>
          <cell r="H506" t="e">
            <v>#N/A</v>
          </cell>
          <cell r="I506" t="e">
            <v>#N/A</v>
          </cell>
          <cell r="J506" t="e">
            <v>#N/A</v>
          </cell>
          <cell r="K506" t="e">
            <v>#N/A</v>
          </cell>
          <cell r="L506" t="e">
            <v>#N/A</v>
          </cell>
          <cell r="M506" t="e">
            <v>#N/A</v>
          </cell>
          <cell r="N506" t="e">
            <v>#N/A</v>
          </cell>
          <cell r="O506" t="e">
            <v>#N/A</v>
          </cell>
          <cell r="P506">
            <v>30.64</v>
          </cell>
          <cell r="Q506">
            <v>6.790419</v>
          </cell>
          <cell r="R506" t="e">
            <v>#N/A</v>
          </cell>
        </row>
        <row r="507">
          <cell r="A507">
            <v>39888</v>
          </cell>
          <cell r="B507">
            <v>39888</v>
          </cell>
          <cell r="C507" t="str">
            <v>Past</v>
          </cell>
          <cell r="D507">
            <v>30.81</v>
          </cell>
          <cell r="E507" t="e">
            <v>#N/A</v>
          </cell>
          <cell r="F507" t="e">
            <v>#N/A</v>
          </cell>
          <cell r="G507" t="e">
            <v>#N/A</v>
          </cell>
          <cell r="H507" t="e">
            <v>#N/A</v>
          </cell>
          <cell r="I507" t="e">
            <v>#N/A</v>
          </cell>
          <cell r="J507" t="e">
            <v>#N/A</v>
          </cell>
          <cell r="K507" t="e">
            <v>#N/A</v>
          </cell>
          <cell r="L507" t="e">
            <v>#N/A</v>
          </cell>
          <cell r="M507" t="e">
            <v>#N/A</v>
          </cell>
          <cell r="N507" t="e">
            <v>#N/A</v>
          </cell>
          <cell r="O507" t="e">
            <v>#N/A</v>
          </cell>
          <cell r="P507">
            <v>30.81</v>
          </cell>
          <cell r="Q507">
            <v>6.6244000000000005</v>
          </cell>
          <cell r="R507" t="e">
            <v>#N/A</v>
          </cell>
        </row>
        <row r="508">
          <cell r="A508">
            <v>39889</v>
          </cell>
          <cell r="B508">
            <v>39889</v>
          </cell>
          <cell r="C508" t="str">
            <v>Past</v>
          </cell>
          <cell r="D508">
            <v>31.76</v>
          </cell>
          <cell r="E508" t="e">
            <v>#N/A</v>
          </cell>
          <cell r="F508" t="e">
            <v>#N/A</v>
          </cell>
          <cell r="G508" t="e">
            <v>#N/A</v>
          </cell>
          <cell r="H508" t="e">
            <v>#N/A</v>
          </cell>
          <cell r="I508" t="e">
            <v>#N/A</v>
          </cell>
          <cell r="J508" t="e">
            <v>#N/A</v>
          </cell>
          <cell r="K508" t="e">
            <v>#N/A</v>
          </cell>
          <cell r="L508" t="e">
            <v>#N/A</v>
          </cell>
          <cell r="M508" t="e">
            <v>#N/A</v>
          </cell>
          <cell r="N508" t="e">
            <v>#N/A</v>
          </cell>
          <cell r="O508" t="e">
            <v>#N/A</v>
          </cell>
          <cell r="P508">
            <v>31.76</v>
          </cell>
          <cell r="Q508">
            <v>5.0318000000000005</v>
          </cell>
          <cell r="R508" t="e">
            <v>#N/A</v>
          </cell>
        </row>
        <row r="509">
          <cell r="A509">
            <v>39890</v>
          </cell>
          <cell r="B509">
            <v>39890</v>
          </cell>
          <cell r="C509" t="str">
            <v>Past</v>
          </cell>
          <cell r="D509">
            <v>32.5</v>
          </cell>
          <cell r="E509" t="e">
            <v>#N/A</v>
          </cell>
          <cell r="F509" t="e">
            <v>#N/A</v>
          </cell>
          <cell r="G509" t="e">
            <v>#N/A</v>
          </cell>
          <cell r="H509" t="e">
            <v>#N/A</v>
          </cell>
          <cell r="I509" t="e">
            <v>#N/A</v>
          </cell>
          <cell r="J509" t="e">
            <v>#N/A</v>
          </cell>
          <cell r="K509" t="e">
            <v>#N/A</v>
          </cell>
          <cell r="L509" t="e">
            <v>#N/A</v>
          </cell>
          <cell r="M509" t="e">
            <v>#N/A</v>
          </cell>
          <cell r="N509" t="e">
            <v>#N/A</v>
          </cell>
          <cell r="O509" t="e">
            <v>#N/A</v>
          </cell>
          <cell r="P509">
            <v>32.5</v>
          </cell>
          <cell r="Q509">
            <v>6.5189179999999993</v>
          </cell>
          <cell r="R509" t="e">
            <v>#N/A</v>
          </cell>
        </row>
        <row r="510">
          <cell r="A510">
            <v>39891</v>
          </cell>
          <cell r="B510">
            <v>39891</v>
          </cell>
          <cell r="C510" t="str">
            <v>Past</v>
          </cell>
          <cell r="D510">
            <v>31.83</v>
          </cell>
          <cell r="E510" t="e">
            <v>#N/A</v>
          </cell>
          <cell r="F510" t="e">
            <v>#N/A</v>
          </cell>
          <cell r="G510" t="e">
            <v>#N/A</v>
          </cell>
          <cell r="H510" t="e">
            <v>#N/A</v>
          </cell>
          <cell r="I510" t="e">
            <v>#N/A</v>
          </cell>
          <cell r="J510" t="e">
            <v>#N/A</v>
          </cell>
          <cell r="K510" t="e">
            <v>#N/A</v>
          </cell>
          <cell r="L510" t="e">
            <v>#N/A</v>
          </cell>
          <cell r="M510" t="e">
            <v>#N/A</v>
          </cell>
          <cell r="N510" t="e">
            <v>#N/A</v>
          </cell>
          <cell r="O510" t="e">
            <v>#N/A</v>
          </cell>
          <cell r="P510">
            <v>31.83</v>
          </cell>
          <cell r="Q510">
            <v>5.1708379999999998</v>
          </cell>
          <cell r="R510" t="e">
            <v>#N/A</v>
          </cell>
        </row>
        <row r="511">
          <cell r="A511">
            <v>39892</v>
          </cell>
          <cell r="B511">
            <v>39892</v>
          </cell>
          <cell r="C511" t="str">
            <v>Past</v>
          </cell>
          <cell r="D511">
            <v>32.549999999999997</v>
          </cell>
          <cell r="E511" t="e">
            <v>#N/A</v>
          </cell>
          <cell r="F511" t="e">
            <v>#N/A</v>
          </cell>
          <cell r="G511" t="e">
            <v>#N/A</v>
          </cell>
          <cell r="H511" t="e">
            <v>#N/A</v>
          </cell>
          <cell r="I511" t="e">
            <v>#N/A</v>
          </cell>
          <cell r="J511" t="e">
            <v>#N/A</v>
          </cell>
          <cell r="K511" t="e">
            <v>#N/A</v>
          </cell>
          <cell r="L511" t="e">
            <v>#N/A</v>
          </cell>
          <cell r="M511" t="e">
            <v>#N/A</v>
          </cell>
          <cell r="N511" t="e">
            <v>#N/A</v>
          </cell>
          <cell r="O511" t="e">
            <v>#N/A</v>
          </cell>
          <cell r="P511">
            <v>32.549999999999997</v>
          </cell>
          <cell r="Q511">
            <v>10.262180000000001</v>
          </cell>
          <cell r="R511" t="e">
            <v>#N/A</v>
          </cell>
        </row>
        <row r="512">
          <cell r="A512">
            <v>39895</v>
          </cell>
          <cell r="B512">
            <v>39895</v>
          </cell>
          <cell r="C512" t="str">
            <v>Past</v>
          </cell>
          <cell r="D512">
            <v>34.090000000000003</v>
          </cell>
          <cell r="E512" t="e">
            <v>#N/A</v>
          </cell>
          <cell r="F512" t="e">
            <v>#N/A</v>
          </cell>
          <cell r="G512" t="e">
            <v>#N/A</v>
          </cell>
          <cell r="H512" t="e">
            <v>#N/A</v>
          </cell>
          <cell r="I512" t="e">
            <v>#N/A</v>
          </cell>
          <cell r="J512" t="e">
            <v>#N/A</v>
          </cell>
          <cell r="K512" t="e">
            <v>#N/A</v>
          </cell>
          <cell r="L512" t="e">
            <v>#N/A</v>
          </cell>
          <cell r="M512" t="e">
            <v>#N/A</v>
          </cell>
          <cell r="N512" t="e">
            <v>#N/A</v>
          </cell>
          <cell r="O512" t="e">
            <v>#N/A</v>
          </cell>
          <cell r="P512">
            <v>34.090000000000003</v>
          </cell>
          <cell r="Q512">
            <v>6.6119249999999994</v>
          </cell>
          <cell r="R512" t="e">
            <v>#N/A</v>
          </cell>
        </row>
        <row r="513">
          <cell r="A513">
            <v>39896</v>
          </cell>
          <cell r="B513">
            <v>39896</v>
          </cell>
          <cell r="C513" t="str">
            <v>Past</v>
          </cell>
          <cell r="D513">
            <v>33.17</v>
          </cell>
          <cell r="E513" t="e">
            <v>#N/A</v>
          </cell>
          <cell r="F513" t="e">
            <v>#N/A</v>
          </cell>
          <cell r="G513" t="e">
            <v>#N/A</v>
          </cell>
          <cell r="H513" t="e">
            <v>#N/A</v>
          </cell>
          <cell r="I513" t="e">
            <v>#N/A</v>
          </cell>
          <cell r="J513" t="e">
            <v>#N/A</v>
          </cell>
          <cell r="K513" t="e">
            <v>#N/A</v>
          </cell>
          <cell r="L513" t="e">
            <v>#N/A</v>
          </cell>
          <cell r="M513" t="e">
            <v>#N/A</v>
          </cell>
          <cell r="N513" t="e">
            <v>#N/A</v>
          </cell>
          <cell r="O513" t="e">
            <v>#N/A</v>
          </cell>
          <cell r="P513">
            <v>33.17</v>
          </cell>
          <cell r="Q513">
            <v>8.4878</v>
          </cell>
          <cell r="R513" t="e">
            <v>#N/A</v>
          </cell>
        </row>
        <row r="514">
          <cell r="A514">
            <v>39897</v>
          </cell>
          <cell r="B514">
            <v>39897</v>
          </cell>
          <cell r="C514" t="str">
            <v>Past</v>
          </cell>
          <cell r="D514">
            <v>33.53</v>
          </cell>
          <cell r="E514" t="e">
            <v>#N/A</v>
          </cell>
          <cell r="F514" t="e">
            <v>#N/A</v>
          </cell>
          <cell r="G514" t="e">
            <v>#N/A</v>
          </cell>
          <cell r="H514" t="e">
            <v>#N/A</v>
          </cell>
          <cell r="I514" t="e">
            <v>#N/A</v>
          </cell>
          <cell r="J514" t="e">
            <v>#N/A</v>
          </cell>
          <cell r="K514" t="e">
            <v>#N/A</v>
          </cell>
          <cell r="L514" t="e">
            <v>#N/A</v>
          </cell>
          <cell r="M514" t="e">
            <v>#N/A</v>
          </cell>
          <cell r="N514" t="e">
            <v>#N/A</v>
          </cell>
          <cell r="O514" t="e">
            <v>#N/A</v>
          </cell>
          <cell r="P514">
            <v>33.53</v>
          </cell>
          <cell r="Q514">
            <v>7.747814</v>
          </cell>
          <cell r="R514" t="e">
            <v>#N/A</v>
          </cell>
        </row>
        <row r="515">
          <cell r="A515">
            <v>39898</v>
          </cell>
          <cell r="B515">
            <v>39898</v>
          </cell>
          <cell r="C515" t="str">
            <v>Past</v>
          </cell>
          <cell r="D515">
            <v>34.22</v>
          </cell>
          <cell r="E515" t="e">
            <v>#N/A</v>
          </cell>
          <cell r="F515" t="e">
            <v>#N/A</v>
          </cell>
          <cell r="G515" t="e">
            <v>#N/A</v>
          </cell>
          <cell r="H515" t="e">
            <v>#N/A</v>
          </cell>
          <cell r="I515" t="e">
            <v>#N/A</v>
          </cell>
          <cell r="J515" t="e">
            <v>#N/A</v>
          </cell>
          <cell r="K515" t="e">
            <v>#N/A</v>
          </cell>
          <cell r="L515" t="e">
            <v>#N/A</v>
          </cell>
          <cell r="M515" t="e">
            <v>#N/A</v>
          </cell>
          <cell r="N515" t="e">
            <v>#N/A</v>
          </cell>
          <cell r="O515" t="e">
            <v>#N/A</v>
          </cell>
          <cell r="P515">
            <v>34.22</v>
          </cell>
          <cell r="Q515">
            <v>7.406955</v>
          </cell>
          <cell r="R515" t="e">
            <v>#N/A</v>
          </cell>
        </row>
        <row r="516">
          <cell r="A516">
            <v>39899</v>
          </cell>
          <cell r="B516">
            <v>39899</v>
          </cell>
          <cell r="C516" t="str">
            <v>Past</v>
          </cell>
          <cell r="D516">
            <v>33.75</v>
          </cell>
          <cell r="E516" t="e">
            <v>#N/A</v>
          </cell>
          <cell r="F516" t="e">
            <v>#N/A</v>
          </cell>
          <cell r="G516" t="e">
            <v>#N/A</v>
          </cell>
          <cell r="H516" t="e">
            <v>#N/A</v>
          </cell>
          <cell r="I516" t="e">
            <v>#N/A</v>
          </cell>
          <cell r="J516" t="e">
            <v>#N/A</v>
          </cell>
          <cell r="K516" t="e">
            <v>#N/A</v>
          </cell>
          <cell r="L516" t="e">
            <v>#N/A</v>
          </cell>
          <cell r="M516" t="e">
            <v>#N/A</v>
          </cell>
          <cell r="N516" t="e">
            <v>#N/A</v>
          </cell>
          <cell r="O516" t="e">
            <v>#N/A</v>
          </cell>
          <cell r="P516">
            <v>33.75</v>
          </cell>
          <cell r="Q516">
            <v>5.4617819999999995</v>
          </cell>
          <cell r="R516" t="e">
            <v>#N/A</v>
          </cell>
        </row>
        <row r="517">
          <cell r="A517">
            <v>39902</v>
          </cell>
          <cell r="B517">
            <v>39902</v>
          </cell>
          <cell r="C517" t="str">
            <v>Past</v>
          </cell>
          <cell r="D517">
            <v>32.840000000000003</v>
          </cell>
          <cell r="E517" t="e">
            <v>#N/A</v>
          </cell>
          <cell r="F517" t="e">
            <v>#N/A</v>
          </cell>
          <cell r="G517" t="e">
            <v>#N/A</v>
          </cell>
          <cell r="H517" t="e">
            <v>#N/A</v>
          </cell>
          <cell r="I517" t="e">
            <v>#N/A</v>
          </cell>
          <cell r="J517" t="e">
            <v>#N/A</v>
          </cell>
          <cell r="K517" t="e">
            <v>#N/A</v>
          </cell>
          <cell r="L517" t="e">
            <v>#N/A</v>
          </cell>
          <cell r="M517" t="e">
            <v>#N/A</v>
          </cell>
          <cell r="N517" t="e">
            <v>#N/A</v>
          </cell>
          <cell r="O517" t="e">
            <v>#N/A</v>
          </cell>
          <cell r="P517">
            <v>32.840000000000003</v>
          </cell>
          <cell r="Q517">
            <v>7.1063069999999993</v>
          </cell>
          <cell r="R517" t="e">
            <v>#N/A</v>
          </cell>
        </row>
        <row r="518">
          <cell r="A518">
            <v>39903</v>
          </cell>
          <cell r="B518">
            <v>39903</v>
          </cell>
          <cell r="C518" t="str">
            <v>Past</v>
          </cell>
          <cell r="D518">
            <v>33.409999999999997</v>
          </cell>
          <cell r="E518" t="e">
            <v>#N/A</v>
          </cell>
          <cell r="F518" t="e">
            <v>#N/A</v>
          </cell>
          <cell r="G518" t="e">
            <v>#N/A</v>
          </cell>
          <cell r="H518" t="e">
            <v>#N/A</v>
          </cell>
          <cell r="I518" t="e">
            <v>#N/A</v>
          </cell>
          <cell r="J518" t="e">
            <v>#N/A</v>
          </cell>
          <cell r="K518" t="e">
            <v>#N/A</v>
          </cell>
          <cell r="L518" t="e">
            <v>#N/A</v>
          </cell>
          <cell r="M518" t="e">
            <v>#N/A</v>
          </cell>
          <cell r="N518" t="e">
            <v>#N/A</v>
          </cell>
          <cell r="O518" t="e">
            <v>#N/A</v>
          </cell>
          <cell r="P518">
            <v>33.409999999999997</v>
          </cell>
          <cell r="Q518">
            <v>6.7019339999999996</v>
          </cell>
          <cell r="R518" t="e">
            <v>#N/A</v>
          </cell>
        </row>
        <row r="519">
          <cell r="A519">
            <v>39904</v>
          </cell>
          <cell r="B519">
            <v>39904</v>
          </cell>
          <cell r="C519" t="str">
            <v>Past</v>
          </cell>
          <cell r="D519">
            <v>33.78</v>
          </cell>
          <cell r="E519" t="e">
            <v>#N/A</v>
          </cell>
          <cell r="F519" t="e">
            <v>#N/A</v>
          </cell>
          <cell r="G519" t="e">
            <v>#N/A</v>
          </cell>
          <cell r="H519" t="e">
            <v>#N/A</v>
          </cell>
          <cell r="I519" t="e">
            <v>#N/A</v>
          </cell>
          <cell r="J519" t="e">
            <v>#N/A</v>
          </cell>
          <cell r="K519" t="e">
            <v>#N/A</v>
          </cell>
          <cell r="L519" t="e">
            <v>#N/A</v>
          </cell>
          <cell r="M519" t="e">
            <v>#N/A</v>
          </cell>
          <cell r="N519" t="e">
            <v>#N/A</v>
          </cell>
          <cell r="O519" t="e">
            <v>#N/A</v>
          </cell>
          <cell r="P519">
            <v>33.78</v>
          </cell>
          <cell r="Q519">
            <v>5.4834000000000005</v>
          </cell>
          <cell r="R519" t="e">
            <v>#N/A</v>
          </cell>
        </row>
        <row r="520">
          <cell r="A520">
            <v>39905</v>
          </cell>
          <cell r="B520">
            <v>39905</v>
          </cell>
          <cell r="C520" t="str">
            <v>Past</v>
          </cell>
          <cell r="D520">
            <v>33.9</v>
          </cell>
          <cell r="E520" t="e">
            <v>#N/A</v>
          </cell>
          <cell r="F520" t="e">
            <v>#N/A</v>
          </cell>
          <cell r="G520" t="e">
            <v>#N/A</v>
          </cell>
          <cell r="H520" t="e">
            <v>#N/A</v>
          </cell>
          <cell r="I520" t="e">
            <v>#N/A</v>
          </cell>
          <cell r="J520" t="e">
            <v>#N/A</v>
          </cell>
          <cell r="K520" t="e">
            <v>#N/A</v>
          </cell>
          <cell r="L520" t="e">
            <v>#N/A</v>
          </cell>
          <cell r="M520" t="e">
            <v>#N/A</v>
          </cell>
          <cell r="N520" t="e">
            <v>#N/A</v>
          </cell>
          <cell r="O520" t="e">
            <v>#N/A</v>
          </cell>
          <cell r="P520">
            <v>33.9</v>
          </cell>
          <cell r="Q520">
            <v>6.6657339999999996</v>
          </cell>
          <cell r="R520" t="e">
            <v>#N/A</v>
          </cell>
        </row>
        <row r="521">
          <cell r="A521">
            <v>39906</v>
          </cell>
          <cell r="B521">
            <v>39906</v>
          </cell>
          <cell r="C521" t="str">
            <v>Past</v>
          </cell>
          <cell r="D521">
            <v>33.01</v>
          </cell>
          <cell r="E521" t="e">
            <v>#N/A</v>
          </cell>
          <cell r="F521" t="e">
            <v>#N/A</v>
          </cell>
          <cell r="G521" t="e">
            <v>#N/A</v>
          </cell>
          <cell r="H521" t="e">
            <v>#N/A</v>
          </cell>
          <cell r="I521" t="e">
            <v>#N/A</v>
          </cell>
          <cell r="J521" t="e">
            <v>#N/A</v>
          </cell>
          <cell r="K521" t="e">
            <v>#N/A</v>
          </cell>
          <cell r="L521" t="e">
            <v>#N/A</v>
          </cell>
          <cell r="M521" t="e">
            <v>#N/A</v>
          </cell>
          <cell r="N521" t="e">
            <v>#N/A</v>
          </cell>
          <cell r="O521" t="e">
            <v>#N/A</v>
          </cell>
          <cell r="P521">
            <v>33.01</v>
          </cell>
          <cell r="Q521">
            <v>7.124409</v>
          </cell>
          <cell r="R521" t="e">
            <v>#N/A</v>
          </cell>
        </row>
        <row r="522">
          <cell r="A522">
            <v>39909</v>
          </cell>
          <cell r="B522">
            <v>39909</v>
          </cell>
          <cell r="C522" t="str">
            <v>Past</v>
          </cell>
          <cell r="D522">
            <v>32.840000000000003</v>
          </cell>
          <cell r="E522" t="e">
            <v>#N/A</v>
          </cell>
          <cell r="F522" t="e">
            <v>#N/A</v>
          </cell>
          <cell r="G522" t="e">
            <v>#N/A</v>
          </cell>
          <cell r="H522" t="e">
            <v>#N/A</v>
          </cell>
          <cell r="I522" t="e">
            <v>#N/A</v>
          </cell>
          <cell r="J522" t="e">
            <v>#N/A</v>
          </cell>
          <cell r="K522" t="e">
            <v>#N/A</v>
          </cell>
          <cell r="L522" t="e">
            <v>#N/A</v>
          </cell>
          <cell r="M522" t="e">
            <v>#N/A</v>
          </cell>
          <cell r="N522" t="e">
            <v>#N/A</v>
          </cell>
          <cell r="O522" t="e">
            <v>#N/A</v>
          </cell>
          <cell r="P522">
            <v>32.840000000000003</v>
          </cell>
          <cell r="Q522">
            <v>6.6188349999999998</v>
          </cell>
          <cell r="R522" t="e">
            <v>#N/A</v>
          </cell>
        </row>
        <row r="523">
          <cell r="A523">
            <v>39910</v>
          </cell>
          <cell r="B523">
            <v>39910</v>
          </cell>
          <cell r="C523" t="str">
            <v>Past</v>
          </cell>
          <cell r="D523">
            <v>31.88</v>
          </cell>
          <cell r="E523" t="e">
            <v>#N/A</v>
          </cell>
          <cell r="F523" t="e">
            <v>#N/A</v>
          </cell>
          <cell r="G523" t="e">
            <v>#N/A</v>
          </cell>
          <cell r="H523" t="e">
            <v>#N/A</v>
          </cell>
          <cell r="I523" t="e">
            <v>#N/A</v>
          </cell>
          <cell r="J523" t="e">
            <v>#N/A</v>
          </cell>
          <cell r="K523" t="e">
            <v>#N/A</v>
          </cell>
          <cell r="L523" t="e">
            <v>#N/A</v>
          </cell>
          <cell r="M523" t="e">
            <v>#N/A</v>
          </cell>
          <cell r="N523" t="e">
            <v>#N/A</v>
          </cell>
          <cell r="O523" t="e">
            <v>#N/A</v>
          </cell>
          <cell r="P523">
            <v>31.88</v>
          </cell>
          <cell r="Q523">
            <v>6.0334700000000003</v>
          </cell>
          <cell r="R523" t="e">
            <v>#N/A</v>
          </cell>
        </row>
        <row r="524">
          <cell r="A524">
            <v>39911</v>
          </cell>
          <cell r="B524">
            <v>39911</v>
          </cell>
          <cell r="C524" t="str">
            <v>Past</v>
          </cell>
          <cell r="D524">
            <v>32.340000000000003</v>
          </cell>
          <cell r="E524" t="e">
            <v>#N/A</v>
          </cell>
          <cell r="F524" t="e">
            <v>#N/A</v>
          </cell>
          <cell r="G524" t="e">
            <v>#N/A</v>
          </cell>
          <cell r="H524" t="e">
            <v>#N/A</v>
          </cell>
          <cell r="I524" t="e">
            <v>#N/A</v>
          </cell>
          <cell r="J524" t="e">
            <v>#N/A</v>
          </cell>
          <cell r="K524" t="e">
            <v>#N/A</v>
          </cell>
          <cell r="L524" t="e">
            <v>#N/A</v>
          </cell>
          <cell r="M524" t="e">
            <v>#N/A</v>
          </cell>
          <cell r="N524" t="e">
            <v>#N/A</v>
          </cell>
          <cell r="O524" t="e">
            <v>#N/A</v>
          </cell>
          <cell r="P524">
            <v>32.340000000000003</v>
          </cell>
          <cell r="Q524">
            <v>5.2268109999999997</v>
          </cell>
          <cell r="R524" t="e">
            <v>#N/A</v>
          </cell>
        </row>
        <row r="525">
          <cell r="A525">
            <v>39912</v>
          </cell>
          <cell r="B525">
            <v>39912</v>
          </cell>
          <cell r="C525" t="str">
            <v>Past</v>
          </cell>
          <cell r="D525">
            <v>32.64</v>
          </cell>
          <cell r="E525" t="e">
            <v>#N/A</v>
          </cell>
          <cell r="F525" t="e">
            <v>#N/A</v>
          </cell>
          <cell r="G525" t="e">
            <v>#N/A</v>
          </cell>
          <cell r="H525" t="e">
            <v>#N/A</v>
          </cell>
          <cell r="I525" t="e">
            <v>#N/A</v>
          </cell>
          <cell r="J525" t="e">
            <v>#N/A</v>
          </cell>
          <cell r="K525" t="e">
            <v>#N/A</v>
          </cell>
          <cell r="L525" t="e">
            <v>#N/A</v>
          </cell>
          <cell r="M525" t="e">
            <v>#N/A</v>
          </cell>
          <cell r="N525" t="e">
            <v>#N/A</v>
          </cell>
          <cell r="O525" t="e">
            <v>#N/A</v>
          </cell>
          <cell r="P525">
            <v>32.64</v>
          </cell>
          <cell r="Q525">
            <v>4.9841300000000004</v>
          </cell>
          <cell r="R525" t="e">
            <v>#N/A</v>
          </cell>
        </row>
        <row r="526">
          <cell r="A526">
            <v>39916</v>
          </cell>
          <cell r="B526">
            <v>39916</v>
          </cell>
          <cell r="C526" t="str">
            <v>Past</v>
          </cell>
          <cell r="D526">
            <v>32.57</v>
          </cell>
          <cell r="E526" t="e">
            <v>#N/A</v>
          </cell>
          <cell r="F526" t="e">
            <v>#N/A</v>
          </cell>
          <cell r="G526" t="e">
            <v>#N/A</v>
          </cell>
          <cell r="H526" t="e">
            <v>#N/A</v>
          </cell>
          <cell r="I526" t="e">
            <v>#N/A</v>
          </cell>
          <cell r="J526" t="e">
            <v>#N/A</v>
          </cell>
          <cell r="K526" t="e">
            <v>#N/A</v>
          </cell>
          <cell r="L526" t="e">
            <v>#N/A</v>
          </cell>
          <cell r="M526" t="e">
            <v>#N/A</v>
          </cell>
          <cell r="N526" t="e">
            <v>#N/A</v>
          </cell>
          <cell r="O526" t="e">
            <v>#N/A</v>
          </cell>
          <cell r="P526">
            <v>32.57</v>
          </cell>
          <cell r="Q526">
            <v>3.405227</v>
          </cell>
          <cell r="R526" t="e">
            <v>#N/A</v>
          </cell>
        </row>
        <row r="527">
          <cell r="A527">
            <v>39917</v>
          </cell>
          <cell r="B527">
            <v>39917</v>
          </cell>
          <cell r="C527" t="str">
            <v>Past</v>
          </cell>
          <cell r="D527">
            <v>32.15</v>
          </cell>
          <cell r="E527" t="e">
            <v>#N/A</v>
          </cell>
          <cell r="F527" t="e">
            <v>#N/A</v>
          </cell>
          <cell r="G527" t="e">
            <v>#N/A</v>
          </cell>
          <cell r="H527" t="e">
            <v>#N/A</v>
          </cell>
          <cell r="I527" t="e">
            <v>#N/A</v>
          </cell>
          <cell r="J527" t="e">
            <v>#N/A</v>
          </cell>
          <cell r="K527" t="e">
            <v>#N/A</v>
          </cell>
          <cell r="L527" t="e">
            <v>#N/A</v>
          </cell>
          <cell r="M527" t="e">
            <v>#N/A</v>
          </cell>
          <cell r="N527" t="e">
            <v>#N/A</v>
          </cell>
          <cell r="O527" t="e">
            <v>#N/A</v>
          </cell>
          <cell r="P527">
            <v>32.15</v>
          </cell>
          <cell r="Q527">
            <v>5.2493910000000001</v>
          </cell>
          <cell r="R527" t="e">
            <v>#N/A</v>
          </cell>
        </row>
        <row r="528">
          <cell r="A528">
            <v>39918</v>
          </cell>
          <cell r="B528">
            <v>39918</v>
          </cell>
          <cell r="C528" t="str">
            <v>Past</v>
          </cell>
          <cell r="D528">
            <v>32.81</v>
          </cell>
          <cell r="E528" t="e">
            <v>#N/A</v>
          </cell>
          <cell r="F528" t="e">
            <v>#N/A</v>
          </cell>
          <cell r="G528" t="e">
            <v>#N/A</v>
          </cell>
          <cell r="H528" t="e">
            <v>#N/A</v>
          </cell>
          <cell r="I528" t="e">
            <v>#N/A</v>
          </cell>
          <cell r="J528" t="e">
            <v>#N/A</v>
          </cell>
          <cell r="K528" t="e">
            <v>#N/A</v>
          </cell>
          <cell r="L528" t="e">
            <v>#N/A</v>
          </cell>
          <cell r="M528" t="e">
            <v>#N/A</v>
          </cell>
          <cell r="N528" t="e">
            <v>#N/A</v>
          </cell>
          <cell r="O528" t="e">
            <v>#N/A</v>
          </cell>
          <cell r="P528">
            <v>32.81</v>
          </cell>
          <cell r="Q528">
            <v>6.1552609999999994</v>
          </cell>
          <cell r="R528" t="e">
            <v>#N/A</v>
          </cell>
        </row>
        <row r="529">
          <cell r="A529">
            <v>39919</v>
          </cell>
          <cell r="B529">
            <v>39919</v>
          </cell>
          <cell r="C529" t="str">
            <v>Past</v>
          </cell>
          <cell r="D529">
            <v>33.270000000000003</v>
          </cell>
          <cell r="E529" t="e">
            <v>#N/A</v>
          </cell>
          <cell r="F529" t="e">
            <v>#N/A</v>
          </cell>
          <cell r="G529" t="e">
            <v>#N/A</v>
          </cell>
          <cell r="H529" t="e">
            <v>#N/A</v>
          </cell>
          <cell r="I529" t="e">
            <v>#N/A</v>
          </cell>
          <cell r="J529" t="e">
            <v>#N/A</v>
          </cell>
          <cell r="K529" t="e">
            <v>#N/A</v>
          </cell>
          <cell r="L529" t="e">
            <v>#N/A</v>
          </cell>
          <cell r="M529" t="e">
            <v>#N/A</v>
          </cell>
          <cell r="N529" t="e">
            <v>#N/A</v>
          </cell>
          <cell r="O529" t="e">
            <v>#N/A</v>
          </cell>
          <cell r="P529">
            <v>33.270000000000003</v>
          </cell>
          <cell r="Q529">
            <v>4.9672969999999994</v>
          </cell>
          <cell r="R529" t="e">
            <v>#N/A</v>
          </cell>
        </row>
        <row r="530">
          <cell r="A530">
            <v>39920</v>
          </cell>
          <cell r="B530">
            <v>39920</v>
          </cell>
          <cell r="C530" t="str">
            <v>Past</v>
          </cell>
          <cell r="D530">
            <v>33.75</v>
          </cell>
          <cell r="E530" t="e">
            <v>#N/A</v>
          </cell>
          <cell r="F530" t="e">
            <v>#N/A</v>
          </cell>
          <cell r="G530" t="e">
            <v>#N/A</v>
          </cell>
          <cell r="H530" t="e">
            <v>#N/A</v>
          </cell>
          <cell r="I530" t="e">
            <v>#N/A</v>
          </cell>
          <cell r="J530" t="e">
            <v>#N/A</v>
          </cell>
          <cell r="K530" t="e">
            <v>#N/A</v>
          </cell>
          <cell r="L530" t="e">
            <v>#N/A</v>
          </cell>
          <cell r="M530" t="e">
            <v>#N/A</v>
          </cell>
          <cell r="N530" t="e">
            <v>#N/A</v>
          </cell>
          <cell r="O530" t="e">
            <v>#N/A</v>
          </cell>
          <cell r="P530">
            <v>33.75</v>
          </cell>
          <cell r="Q530">
            <v>6.6703789999999996</v>
          </cell>
          <cell r="R530" t="e">
            <v>#N/A</v>
          </cell>
        </row>
        <row r="531">
          <cell r="A531">
            <v>39923</v>
          </cell>
          <cell r="B531">
            <v>39923</v>
          </cell>
          <cell r="C531" t="str">
            <v>Past</v>
          </cell>
          <cell r="D531">
            <v>32.99</v>
          </cell>
          <cell r="E531" t="e">
            <v>#N/A</v>
          </cell>
          <cell r="F531" t="e">
            <v>#N/A</v>
          </cell>
          <cell r="G531" t="e">
            <v>#N/A</v>
          </cell>
          <cell r="H531" t="e">
            <v>#N/A</v>
          </cell>
          <cell r="I531" t="e">
            <v>#N/A</v>
          </cell>
          <cell r="J531" t="e">
            <v>#N/A</v>
          </cell>
          <cell r="K531" t="e">
            <v>#N/A</v>
          </cell>
          <cell r="L531" t="e">
            <v>#N/A</v>
          </cell>
          <cell r="M531" t="e">
            <v>#N/A</v>
          </cell>
          <cell r="N531" t="e">
            <v>#N/A</v>
          </cell>
          <cell r="O531" t="e">
            <v>#N/A</v>
          </cell>
          <cell r="P531">
            <v>32.99</v>
          </cell>
          <cell r="Q531">
            <v>9.7992270000000001</v>
          </cell>
          <cell r="R531" t="e">
            <v>#N/A</v>
          </cell>
        </row>
        <row r="532">
          <cell r="A532">
            <v>39924</v>
          </cell>
          <cell r="B532">
            <v>39924</v>
          </cell>
          <cell r="C532" t="str">
            <v>Past</v>
          </cell>
          <cell r="D532">
            <v>33.340000000000003</v>
          </cell>
          <cell r="E532" t="e">
            <v>#N/A</v>
          </cell>
          <cell r="F532" t="e">
            <v>#N/A</v>
          </cell>
          <cell r="G532" t="e">
            <v>#N/A</v>
          </cell>
          <cell r="H532" t="e">
            <v>#N/A</v>
          </cell>
          <cell r="I532" t="e">
            <v>#N/A</v>
          </cell>
          <cell r="J532" t="e">
            <v>#N/A</v>
          </cell>
          <cell r="K532" t="e">
            <v>#N/A</v>
          </cell>
          <cell r="L532" t="e">
            <v>#N/A</v>
          </cell>
          <cell r="M532" t="e">
            <v>#N/A</v>
          </cell>
          <cell r="N532" t="e">
            <v>#N/A</v>
          </cell>
          <cell r="O532" t="e">
            <v>#N/A</v>
          </cell>
          <cell r="P532">
            <v>33.340000000000003</v>
          </cell>
          <cell r="Q532">
            <v>6.4096329999999995</v>
          </cell>
          <cell r="R532" t="e">
            <v>#N/A</v>
          </cell>
        </row>
        <row r="533">
          <cell r="A533">
            <v>39925</v>
          </cell>
          <cell r="B533">
            <v>39925</v>
          </cell>
          <cell r="C533" t="str">
            <v>Past</v>
          </cell>
          <cell r="D533">
            <v>32.74</v>
          </cell>
          <cell r="E533" t="e">
            <v>#N/A</v>
          </cell>
          <cell r="F533" t="e">
            <v>#N/A</v>
          </cell>
          <cell r="G533" t="e">
            <v>#N/A</v>
          </cell>
          <cell r="H533" t="e">
            <v>#N/A</v>
          </cell>
          <cell r="I533" t="e">
            <v>#N/A</v>
          </cell>
          <cell r="J533" t="e">
            <v>#N/A</v>
          </cell>
          <cell r="K533" t="e">
            <v>#N/A</v>
          </cell>
          <cell r="L533" t="e">
            <v>#N/A</v>
          </cell>
          <cell r="M533" t="e">
            <v>#N/A</v>
          </cell>
          <cell r="N533" t="e">
            <v>#N/A</v>
          </cell>
          <cell r="O533" t="e">
            <v>#N/A</v>
          </cell>
          <cell r="P533">
            <v>32.74</v>
          </cell>
          <cell r="Q533">
            <v>11.130370000000001</v>
          </cell>
          <cell r="R533" t="e">
            <v>#N/A</v>
          </cell>
        </row>
        <row r="534">
          <cell r="A534">
            <v>39926</v>
          </cell>
          <cell r="B534">
            <v>39926</v>
          </cell>
          <cell r="C534" t="str">
            <v>Past</v>
          </cell>
          <cell r="D534">
            <v>32.880000000000003</v>
          </cell>
          <cell r="E534" t="e">
            <v>#N/A</v>
          </cell>
          <cell r="F534" t="e">
            <v>#N/A</v>
          </cell>
          <cell r="G534" t="e">
            <v>#N/A</v>
          </cell>
          <cell r="H534" t="e">
            <v>#N/A</v>
          </cell>
          <cell r="I534" t="e">
            <v>#N/A</v>
          </cell>
          <cell r="J534" t="e">
            <v>#N/A</v>
          </cell>
          <cell r="K534" t="e">
            <v>#N/A</v>
          </cell>
          <cell r="L534" t="e">
            <v>#N/A</v>
          </cell>
          <cell r="M534" t="e">
            <v>#N/A</v>
          </cell>
          <cell r="N534" t="e">
            <v>#N/A</v>
          </cell>
          <cell r="O534" t="e">
            <v>#N/A</v>
          </cell>
          <cell r="P534">
            <v>32.880000000000003</v>
          </cell>
          <cell r="Q534">
            <v>8.591372999999999</v>
          </cell>
          <cell r="R534" t="e">
            <v>#N/A</v>
          </cell>
        </row>
        <row r="535">
          <cell r="A535">
            <v>39927</v>
          </cell>
          <cell r="B535">
            <v>39927</v>
          </cell>
          <cell r="C535" t="str">
            <v>Past</v>
          </cell>
          <cell r="D535">
            <v>33.01</v>
          </cell>
          <cell r="E535" t="e">
            <v>#N/A</v>
          </cell>
          <cell r="F535" t="e">
            <v>#N/A</v>
          </cell>
          <cell r="G535" t="e">
            <v>#N/A</v>
          </cell>
          <cell r="H535" t="e">
            <v>#N/A</v>
          </cell>
          <cell r="I535" t="e">
            <v>#N/A</v>
          </cell>
          <cell r="J535" t="e">
            <v>#N/A</v>
          </cell>
          <cell r="K535" t="e">
            <v>#N/A</v>
          </cell>
          <cell r="L535" t="e">
            <v>#N/A</v>
          </cell>
          <cell r="M535" t="e">
            <v>#N/A</v>
          </cell>
          <cell r="N535" t="e">
            <v>#N/A</v>
          </cell>
          <cell r="O535" t="e">
            <v>#N/A</v>
          </cell>
          <cell r="P535">
            <v>33.01</v>
          </cell>
          <cell r="Q535">
            <v>8.328225999999999</v>
          </cell>
          <cell r="R535" t="e">
            <v>#N/A</v>
          </cell>
        </row>
        <row r="536">
          <cell r="A536">
            <v>39930</v>
          </cell>
          <cell r="B536">
            <v>39930</v>
          </cell>
          <cell r="C536" t="str">
            <v>Past</v>
          </cell>
          <cell r="D536">
            <v>33.130000000000003</v>
          </cell>
          <cell r="E536" t="e">
            <v>#N/A</v>
          </cell>
          <cell r="F536" t="e">
            <v>#N/A</v>
          </cell>
          <cell r="G536" t="e">
            <v>#N/A</v>
          </cell>
          <cell r="H536" t="e">
            <v>#N/A</v>
          </cell>
          <cell r="I536" t="e">
            <v>#N/A</v>
          </cell>
          <cell r="J536" t="e">
            <v>#N/A</v>
          </cell>
          <cell r="K536" t="e">
            <v>#N/A</v>
          </cell>
          <cell r="L536" t="e">
            <v>#N/A</v>
          </cell>
          <cell r="M536" t="e">
            <v>#N/A</v>
          </cell>
          <cell r="N536" t="e">
            <v>#N/A</v>
          </cell>
          <cell r="O536" t="e">
            <v>#N/A</v>
          </cell>
          <cell r="P536">
            <v>33.130000000000003</v>
          </cell>
          <cell r="Q536">
            <v>4.16866</v>
          </cell>
          <cell r="R536" t="e">
            <v>#N/A</v>
          </cell>
        </row>
        <row r="537">
          <cell r="A537">
            <v>39931</v>
          </cell>
          <cell r="B537">
            <v>39931</v>
          </cell>
          <cell r="C537" t="str">
            <v>Past</v>
          </cell>
          <cell r="D537">
            <v>33.200000000000003</v>
          </cell>
          <cell r="E537" t="e">
            <v>#N/A</v>
          </cell>
          <cell r="F537" t="e">
            <v>#N/A</v>
          </cell>
          <cell r="G537" t="e">
            <v>#N/A</v>
          </cell>
          <cell r="H537" t="e">
            <v>#N/A</v>
          </cell>
          <cell r="I537" t="e">
            <v>#N/A</v>
          </cell>
          <cell r="J537" t="e">
            <v>#N/A</v>
          </cell>
          <cell r="K537" t="e">
            <v>#N/A</v>
          </cell>
          <cell r="L537" t="e">
            <v>#N/A</v>
          </cell>
          <cell r="M537" t="e">
            <v>#N/A</v>
          </cell>
          <cell r="N537" t="e">
            <v>#N/A</v>
          </cell>
          <cell r="O537" t="e">
            <v>#N/A</v>
          </cell>
          <cell r="P537">
            <v>33.200000000000003</v>
          </cell>
          <cell r="Q537">
            <v>7.6634069999999994</v>
          </cell>
          <cell r="R537" t="e">
            <v>#N/A</v>
          </cell>
        </row>
        <row r="538">
          <cell r="A538">
            <v>39932</v>
          </cell>
          <cell r="B538">
            <v>39932</v>
          </cell>
          <cell r="C538" t="str">
            <v>Past</v>
          </cell>
          <cell r="D538">
            <v>33.36</v>
          </cell>
          <cell r="E538" t="e">
            <v>#N/A</v>
          </cell>
          <cell r="F538" t="e">
            <v>#N/A</v>
          </cell>
          <cell r="G538" t="e">
            <v>#N/A</v>
          </cell>
          <cell r="H538" t="e">
            <v>#N/A</v>
          </cell>
          <cell r="I538" t="e">
            <v>#N/A</v>
          </cell>
          <cell r="J538" t="e">
            <v>#N/A</v>
          </cell>
          <cell r="K538" t="e">
            <v>#N/A</v>
          </cell>
          <cell r="L538" t="e">
            <v>#N/A</v>
          </cell>
          <cell r="M538" t="e">
            <v>#N/A</v>
          </cell>
          <cell r="N538" t="e">
            <v>#N/A</v>
          </cell>
          <cell r="O538" t="e">
            <v>#N/A</v>
          </cell>
          <cell r="P538">
            <v>33.36</v>
          </cell>
          <cell r="Q538">
            <v>6.7499750000000001</v>
          </cell>
          <cell r="R538" t="e">
            <v>#N/A</v>
          </cell>
        </row>
        <row r="539">
          <cell r="A539">
            <v>39933</v>
          </cell>
          <cell r="B539">
            <v>39933</v>
          </cell>
          <cell r="C539" t="str">
            <v>Past</v>
          </cell>
          <cell r="D539">
            <v>32.92</v>
          </cell>
          <cell r="E539" t="e">
            <v>#N/A</v>
          </cell>
          <cell r="F539" t="e">
            <v>#N/A</v>
          </cell>
          <cell r="G539" t="e">
            <v>#N/A</v>
          </cell>
          <cell r="H539" t="e">
            <v>#N/A</v>
          </cell>
          <cell r="I539" t="e">
            <v>#N/A</v>
          </cell>
          <cell r="J539" t="e">
            <v>#N/A</v>
          </cell>
          <cell r="K539" t="e">
            <v>#N/A</v>
          </cell>
          <cell r="L539" t="e">
            <v>#N/A</v>
          </cell>
          <cell r="M539" t="e">
            <v>#N/A</v>
          </cell>
          <cell r="N539" t="e">
            <v>#N/A</v>
          </cell>
          <cell r="O539" t="e">
            <v>#N/A</v>
          </cell>
          <cell r="P539">
            <v>32.92</v>
          </cell>
          <cell r="Q539">
            <v>8.2910430000000002</v>
          </cell>
          <cell r="R539" t="e">
            <v>#N/A</v>
          </cell>
        </row>
        <row r="540">
          <cell r="A540">
            <v>39934</v>
          </cell>
          <cell r="B540">
            <v>39934</v>
          </cell>
          <cell r="C540" t="str">
            <v>Past</v>
          </cell>
          <cell r="D540">
            <v>33.49</v>
          </cell>
          <cell r="E540" t="e">
            <v>#N/A</v>
          </cell>
          <cell r="F540" t="e">
            <v>#N/A</v>
          </cell>
          <cell r="G540" t="e">
            <v>#N/A</v>
          </cell>
          <cell r="H540" t="e">
            <v>#N/A</v>
          </cell>
          <cell r="I540" t="e">
            <v>#N/A</v>
          </cell>
          <cell r="J540" t="e">
            <v>#N/A</v>
          </cell>
          <cell r="K540" t="e">
            <v>#N/A</v>
          </cell>
          <cell r="L540" t="e">
            <v>#N/A</v>
          </cell>
          <cell r="M540" t="e">
            <v>#N/A</v>
          </cell>
          <cell r="N540" t="e">
            <v>#N/A</v>
          </cell>
          <cell r="O540" t="e">
            <v>#N/A</v>
          </cell>
          <cell r="P540">
            <v>33.49</v>
          </cell>
          <cell r="Q540">
            <v>5.4118600000000008</v>
          </cell>
          <cell r="R540" t="e">
            <v>#N/A</v>
          </cell>
        </row>
        <row r="541">
          <cell r="A541">
            <v>39937</v>
          </cell>
          <cell r="B541">
            <v>39937</v>
          </cell>
          <cell r="C541" t="str">
            <v>Past</v>
          </cell>
          <cell r="D541">
            <v>33.81</v>
          </cell>
          <cell r="E541" t="e">
            <v>#N/A</v>
          </cell>
          <cell r="F541" t="e">
            <v>#N/A</v>
          </cell>
          <cell r="G541" t="e">
            <v>#N/A</v>
          </cell>
          <cell r="H541" t="e">
            <v>#N/A</v>
          </cell>
          <cell r="I541" t="e">
            <v>#N/A</v>
          </cell>
          <cell r="J541" t="e">
            <v>#N/A</v>
          </cell>
          <cell r="K541" t="e">
            <v>#N/A</v>
          </cell>
          <cell r="L541" t="e">
            <v>#N/A</v>
          </cell>
          <cell r="M541" t="e">
            <v>#N/A</v>
          </cell>
          <cell r="N541" t="e">
            <v>#N/A</v>
          </cell>
          <cell r="O541" t="e">
            <v>#N/A</v>
          </cell>
          <cell r="P541">
            <v>33.81</v>
          </cell>
          <cell r="Q541">
            <v>5.3630269999999998</v>
          </cell>
          <cell r="R541" t="e">
            <v>#N/A</v>
          </cell>
        </row>
        <row r="542">
          <cell r="A542">
            <v>39938</v>
          </cell>
          <cell r="B542">
            <v>39938</v>
          </cell>
          <cell r="C542" t="str">
            <v>Past</v>
          </cell>
          <cell r="D542">
            <v>34.54</v>
          </cell>
          <cell r="E542" t="e">
            <v>#N/A</v>
          </cell>
          <cell r="F542" t="e">
            <v>#N/A</v>
          </cell>
          <cell r="G542" t="e">
            <v>#N/A</v>
          </cell>
          <cell r="H542" t="e">
            <v>#N/A</v>
          </cell>
          <cell r="I542" t="e">
            <v>#N/A</v>
          </cell>
          <cell r="J542" t="e">
            <v>#N/A</v>
          </cell>
          <cell r="K542" t="e">
            <v>#N/A</v>
          </cell>
          <cell r="L542" t="e">
            <v>#N/A</v>
          </cell>
          <cell r="M542" t="e">
            <v>#N/A</v>
          </cell>
          <cell r="N542" t="e">
            <v>#N/A</v>
          </cell>
          <cell r="O542" t="e">
            <v>#N/A</v>
          </cell>
          <cell r="P542">
            <v>34.54</v>
          </cell>
          <cell r="Q542">
            <v>8.3934090000000001</v>
          </cell>
          <cell r="R542" t="e">
            <v>#N/A</v>
          </cell>
        </row>
        <row r="543">
          <cell r="A543">
            <v>39939</v>
          </cell>
          <cell r="B543">
            <v>39939</v>
          </cell>
          <cell r="C543" t="str">
            <v>Past</v>
          </cell>
          <cell r="D543">
            <v>34.43</v>
          </cell>
          <cell r="E543" t="e">
            <v>#N/A</v>
          </cell>
          <cell r="F543" t="e">
            <v>#N/A</v>
          </cell>
          <cell r="G543" t="e">
            <v>#N/A</v>
          </cell>
          <cell r="H543" t="e">
            <v>#N/A</v>
          </cell>
          <cell r="I543" t="e">
            <v>#N/A</v>
          </cell>
          <cell r="J543" t="e">
            <v>#N/A</v>
          </cell>
          <cell r="K543" t="e">
            <v>#N/A</v>
          </cell>
          <cell r="L543" t="e">
            <v>#N/A</v>
          </cell>
          <cell r="M543" t="e">
            <v>#N/A</v>
          </cell>
          <cell r="N543" t="e">
            <v>#N/A</v>
          </cell>
          <cell r="O543" t="e">
            <v>#N/A</v>
          </cell>
          <cell r="P543">
            <v>34.43</v>
          </cell>
          <cell r="Q543">
            <v>5.6968429999999994</v>
          </cell>
          <cell r="R543" t="e">
            <v>#N/A</v>
          </cell>
        </row>
        <row r="544">
          <cell r="A544">
            <v>39940</v>
          </cell>
          <cell r="B544">
            <v>39940</v>
          </cell>
          <cell r="C544" t="str">
            <v>Past</v>
          </cell>
          <cell r="D544">
            <v>35.85</v>
          </cell>
          <cell r="E544" t="e">
            <v>#N/A</v>
          </cell>
          <cell r="F544" t="e">
            <v>#N/A</v>
          </cell>
          <cell r="G544" t="e">
            <v>#N/A</v>
          </cell>
          <cell r="H544" t="e">
            <v>#N/A</v>
          </cell>
          <cell r="I544" t="e">
            <v>#N/A</v>
          </cell>
          <cell r="J544" t="e">
            <v>#N/A</v>
          </cell>
          <cell r="K544" t="e">
            <v>#N/A</v>
          </cell>
          <cell r="L544" t="e">
            <v>#N/A</v>
          </cell>
          <cell r="M544" t="e">
            <v>#N/A</v>
          </cell>
          <cell r="N544" t="e">
            <v>#N/A</v>
          </cell>
          <cell r="O544" t="e">
            <v>#N/A</v>
          </cell>
          <cell r="P544">
            <v>35.85</v>
          </cell>
          <cell r="Q544">
            <v>11.239310000000001</v>
          </cell>
          <cell r="R544" t="e">
            <v>#N/A</v>
          </cell>
        </row>
        <row r="545">
          <cell r="A545">
            <v>39941</v>
          </cell>
          <cell r="B545">
            <v>39941</v>
          </cell>
          <cell r="C545" t="str">
            <v>Past</v>
          </cell>
          <cell r="D545">
            <v>35.950000000000003</v>
          </cell>
          <cell r="E545" t="e">
            <v>#N/A</v>
          </cell>
          <cell r="F545" t="e">
            <v>#N/A</v>
          </cell>
          <cell r="G545" t="e">
            <v>#N/A</v>
          </cell>
          <cell r="H545" t="e">
            <v>#N/A</v>
          </cell>
          <cell r="I545" t="e">
            <v>#N/A</v>
          </cell>
          <cell r="J545" t="e">
            <v>#N/A</v>
          </cell>
          <cell r="K545" t="e">
            <v>#N/A</v>
          </cell>
          <cell r="L545" t="e">
            <v>#N/A</v>
          </cell>
          <cell r="M545" t="e">
            <v>#N/A</v>
          </cell>
          <cell r="N545" t="e">
            <v>#N/A</v>
          </cell>
          <cell r="O545" t="e">
            <v>#N/A</v>
          </cell>
          <cell r="P545">
            <v>35.950000000000003</v>
          </cell>
          <cell r="Q545">
            <v>7.1747929999999993</v>
          </cell>
          <cell r="R545" t="e">
            <v>#N/A</v>
          </cell>
        </row>
        <row r="546">
          <cell r="A546">
            <v>39944</v>
          </cell>
          <cell r="B546">
            <v>39944</v>
          </cell>
          <cell r="C546" t="str">
            <v>Past</v>
          </cell>
          <cell r="D546">
            <v>35.35</v>
          </cell>
          <cell r="E546" t="e">
            <v>#N/A</v>
          </cell>
          <cell r="F546" t="e">
            <v>#N/A</v>
          </cell>
          <cell r="G546" t="e">
            <v>#N/A</v>
          </cell>
          <cell r="H546" t="e">
            <v>#N/A</v>
          </cell>
          <cell r="I546" t="e">
            <v>#N/A</v>
          </cell>
          <cell r="J546" t="e">
            <v>#N/A</v>
          </cell>
          <cell r="K546" t="e">
            <v>#N/A</v>
          </cell>
          <cell r="L546" t="e">
            <v>#N/A</v>
          </cell>
          <cell r="M546" t="e">
            <v>#N/A</v>
          </cell>
          <cell r="N546" t="e">
            <v>#N/A</v>
          </cell>
          <cell r="O546" t="e">
            <v>#N/A</v>
          </cell>
          <cell r="P546">
            <v>35.35</v>
          </cell>
          <cell r="Q546">
            <v>6.3392400000000002</v>
          </cell>
          <cell r="R546" t="e">
            <v>#N/A</v>
          </cell>
        </row>
        <row r="547">
          <cell r="A547">
            <v>39945</v>
          </cell>
          <cell r="B547">
            <v>39945</v>
          </cell>
          <cell r="C547" t="str">
            <v>Past</v>
          </cell>
          <cell r="D547">
            <v>35.9</v>
          </cell>
          <cell r="E547" t="e">
            <v>#N/A</v>
          </cell>
          <cell r="F547" t="e">
            <v>#N/A</v>
          </cell>
          <cell r="G547" t="e">
            <v>#N/A</v>
          </cell>
          <cell r="H547" t="e">
            <v>#N/A</v>
          </cell>
          <cell r="I547" t="e">
            <v>#N/A</v>
          </cell>
          <cell r="J547" t="e">
            <v>#N/A</v>
          </cell>
          <cell r="K547" t="e">
            <v>#N/A</v>
          </cell>
          <cell r="L547" t="e">
            <v>#N/A</v>
          </cell>
          <cell r="M547" t="e">
            <v>#N/A</v>
          </cell>
          <cell r="N547" t="e">
            <v>#N/A</v>
          </cell>
          <cell r="O547" t="e">
            <v>#N/A</v>
          </cell>
          <cell r="P547">
            <v>35.9</v>
          </cell>
          <cell r="Q547">
            <v>6.4275129999999994</v>
          </cell>
          <cell r="R547" t="e">
            <v>#N/A</v>
          </cell>
        </row>
        <row r="548">
          <cell r="A548">
            <v>39946</v>
          </cell>
          <cell r="B548">
            <v>39946</v>
          </cell>
          <cell r="C548" t="str">
            <v>Past</v>
          </cell>
          <cell r="D548">
            <v>35.15</v>
          </cell>
          <cell r="E548" t="e">
            <v>#N/A</v>
          </cell>
          <cell r="F548" t="e">
            <v>#N/A</v>
          </cell>
          <cell r="G548" t="e">
            <v>#N/A</v>
          </cell>
          <cell r="H548" t="e">
            <v>#N/A</v>
          </cell>
          <cell r="I548" t="e">
            <v>#N/A</v>
          </cell>
          <cell r="J548" t="e">
            <v>#N/A</v>
          </cell>
          <cell r="K548" t="e">
            <v>#N/A</v>
          </cell>
          <cell r="L548" t="e">
            <v>#N/A</v>
          </cell>
          <cell r="M548" t="e">
            <v>#N/A</v>
          </cell>
          <cell r="N548" t="e">
            <v>#N/A</v>
          </cell>
          <cell r="O548" t="e">
            <v>#N/A</v>
          </cell>
          <cell r="P548">
            <v>35.15</v>
          </cell>
          <cell r="Q548">
            <v>6.0419159999999996</v>
          </cell>
          <cell r="R548" t="e">
            <v>#N/A</v>
          </cell>
        </row>
        <row r="549">
          <cell r="A549">
            <v>39947</v>
          </cell>
          <cell r="B549">
            <v>39947</v>
          </cell>
          <cell r="C549" t="str">
            <v>Past</v>
          </cell>
          <cell r="D549">
            <v>35.119999999999997</v>
          </cell>
          <cell r="E549" t="e">
            <v>#N/A</v>
          </cell>
          <cell r="F549" t="e">
            <v>#N/A</v>
          </cell>
          <cell r="G549" t="e">
            <v>#N/A</v>
          </cell>
          <cell r="H549" t="e">
            <v>#N/A</v>
          </cell>
          <cell r="I549" t="e">
            <v>#N/A</v>
          </cell>
          <cell r="J549" t="e">
            <v>#N/A</v>
          </cell>
          <cell r="K549" t="e">
            <v>#N/A</v>
          </cell>
          <cell r="L549" t="e">
            <v>#N/A</v>
          </cell>
          <cell r="M549" t="e">
            <v>#N/A</v>
          </cell>
          <cell r="N549" t="e">
            <v>#N/A</v>
          </cell>
          <cell r="O549" t="e">
            <v>#N/A</v>
          </cell>
          <cell r="P549">
            <v>35.119999999999997</v>
          </cell>
          <cell r="Q549">
            <v>4.6474060000000001</v>
          </cell>
          <cell r="R549" t="e">
            <v>#N/A</v>
          </cell>
        </row>
        <row r="550">
          <cell r="A550">
            <v>39948</v>
          </cell>
          <cell r="B550">
            <v>39948</v>
          </cell>
          <cell r="C550" t="str">
            <v>Past</v>
          </cell>
          <cell r="D550">
            <v>34.17</v>
          </cell>
          <cell r="E550" t="e">
            <v>#N/A</v>
          </cell>
          <cell r="F550" t="e">
            <v>#N/A</v>
          </cell>
          <cell r="G550" t="e">
            <v>#N/A</v>
          </cell>
          <cell r="H550" t="e">
            <v>#N/A</v>
          </cell>
          <cell r="I550" t="e">
            <v>#N/A</v>
          </cell>
          <cell r="J550" t="e">
            <v>#N/A</v>
          </cell>
          <cell r="K550" t="e">
            <v>#N/A</v>
          </cell>
          <cell r="L550" t="e">
            <v>#N/A</v>
          </cell>
          <cell r="M550" t="e">
            <v>#N/A</v>
          </cell>
          <cell r="N550" t="e">
            <v>#N/A</v>
          </cell>
          <cell r="O550" t="e">
            <v>#N/A</v>
          </cell>
          <cell r="P550">
            <v>34.17</v>
          </cell>
          <cell r="Q550">
            <v>6.1764999999999999</v>
          </cell>
          <cell r="R550" t="e">
            <v>#N/A</v>
          </cell>
        </row>
        <row r="551">
          <cell r="A551">
            <v>39951</v>
          </cell>
          <cell r="B551">
            <v>39951</v>
          </cell>
          <cell r="C551" t="str">
            <v>Past</v>
          </cell>
          <cell r="D551">
            <v>34.67</v>
          </cell>
          <cell r="E551" t="e">
            <v>#N/A</v>
          </cell>
          <cell r="F551" t="e">
            <v>#N/A</v>
          </cell>
          <cell r="G551" t="e">
            <v>#N/A</v>
          </cell>
          <cell r="H551" t="e">
            <v>#N/A</v>
          </cell>
          <cell r="I551" t="e">
            <v>#N/A</v>
          </cell>
          <cell r="J551" t="e">
            <v>#N/A</v>
          </cell>
          <cell r="K551" t="e">
            <v>#N/A</v>
          </cell>
          <cell r="L551" t="e">
            <v>#N/A</v>
          </cell>
          <cell r="M551" t="e">
            <v>#N/A</v>
          </cell>
          <cell r="N551" t="e">
            <v>#N/A</v>
          </cell>
          <cell r="O551" t="e">
            <v>#N/A</v>
          </cell>
          <cell r="P551">
            <v>34.67</v>
          </cell>
          <cell r="Q551">
            <v>5.5593709999999996</v>
          </cell>
          <cell r="R551" t="e">
            <v>#N/A</v>
          </cell>
        </row>
        <row r="552">
          <cell r="A552">
            <v>39952</v>
          </cell>
          <cell r="B552">
            <v>39952</v>
          </cell>
          <cell r="C552" t="str">
            <v>Past</v>
          </cell>
          <cell r="D552">
            <v>34.53</v>
          </cell>
          <cell r="E552" t="e">
            <v>#N/A</v>
          </cell>
          <cell r="F552" t="e">
            <v>#N/A</v>
          </cell>
          <cell r="G552" t="e">
            <v>#N/A</v>
          </cell>
          <cell r="H552" t="e">
            <v>#N/A</v>
          </cell>
          <cell r="I552" t="e">
            <v>#N/A</v>
          </cell>
          <cell r="J552" t="e">
            <v>#N/A</v>
          </cell>
          <cell r="K552" t="e">
            <v>#N/A</v>
          </cell>
          <cell r="L552" t="e">
            <v>#N/A</v>
          </cell>
          <cell r="M552" t="e">
            <v>#N/A</v>
          </cell>
          <cell r="N552" t="e">
            <v>#N/A</v>
          </cell>
          <cell r="O552" t="e">
            <v>#N/A</v>
          </cell>
          <cell r="P552">
            <v>34.53</v>
          </cell>
          <cell r="Q552">
            <v>4.3698869999999994</v>
          </cell>
          <cell r="R552" t="e">
            <v>#N/A</v>
          </cell>
        </row>
        <row r="553">
          <cell r="A553">
            <v>39953</v>
          </cell>
          <cell r="B553">
            <v>39953</v>
          </cell>
          <cell r="C553" t="str">
            <v>Past</v>
          </cell>
          <cell r="D553">
            <v>34.729999999999997</v>
          </cell>
          <cell r="E553" t="e">
            <v>#N/A</v>
          </cell>
          <cell r="F553" t="e">
            <v>#N/A</v>
          </cell>
          <cell r="G553" t="e">
            <v>#N/A</v>
          </cell>
          <cell r="H553" t="e">
            <v>#N/A</v>
          </cell>
          <cell r="I553" t="e">
            <v>#N/A</v>
          </cell>
          <cell r="J553" t="e">
            <v>#N/A</v>
          </cell>
          <cell r="K553" t="e">
            <v>#N/A</v>
          </cell>
          <cell r="L553" t="e">
            <v>#N/A</v>
          </cell>
          <cell r="M553" t="e">
            <v>#N/A</v>
          </cell>
          <cell r="N553" t="e">
            <v>#N/A</v>
          </cell>
          <cell r="O553" t="e">
            <v>#N/A</v>
          </cell>
          <cell r="P553">
            <v>34.729999999999997</v>
          </cell>
          <cell r="Q553">
            <v>4.7807459999999997</v>
          </cell>
          <cell r="R553" t="e">
            <v>#N/A</v>
          </cell>
        </row>
        <row r="554">
          <cell r="A554">
            <v>39954</v>
          </cell>
          <cell r="B554">
            <v>39954</v>
          </cell>
          <cell r="C554" t="str">
            <v>Past</v>
          </cell>
          <cell r="D554">
            <v>34.619999999999997</v>
          </cell>
          <cell r="E554" t="e">
            <v>#N/A</v>
          </cell>
          <cell r="F554" t="e">
            <v>#N/A</v>
          </cell>
          <cell r="G554" t="e">
            <v>#N/A</v>
          </cell>
          <cell r="H554" t="e">
            <v>#N/A</v>
          </cell>
          <cell r="I554" t="e">
            <v>#N/A</v>
          </cell>
          <cell r="J554" t="e">
            <v>#N/A</v>
          </cell>
          <cell r="K554" t="e">
            <v>#N/A</v>
          </cell>
          <cell r="L554" t="e">
            <v>#N/A</v>
          </cell>
          <cell r="M554" t="e">
            <v>#N/A</v>
          </cell>
          <cell r="N554" t="e">
            <v>#N/A</v>
          </cell>
          <cell r="O554" t="e">
            <v>#N/A</v>
          </cell>
          <cell r="P554">
            <v>34.619999999999997</v>
          </cell>
          <cell r="Q554">
            <v>5.2200850000000001</v>
          </cell>
          <cell r="R554" t="e">
            <v>#N/A</v>
          </cell>
        </row>
        <row r="555">
          <cell r="A555">
            <v>39955</v>
          </cell>
          <cell r="B555">
            <v>39955</v>
          </cell>
          <cell r="C555" t="str">
            <v>Past</v>
          </cell>
          <cell r="D555">
            <v>34.340000000000003</v>
          </cell>
          <cell r="E555" t="e">
            <v>#N/A</v>
          </cell>
          <cell r="F555" t="e">
            <v>#N/A</v>
          </cell>
          <cell r="G555" t="e">
            <v>#N/A</v>
          </cell>
          <cell r="H555" t="e">
            <v>#N/A</v>
          </cell>
          <cell r="I555" t="e">
            <v>#N/A</v>
          </cell>
          <cell r="J555" t="e">
            <v>#N/A</v>
          </cell>
          <cell r="K555" t="e">
            <v>#N/A</v>
          </cell>
          <cell r="L555" t="e">
            <v>#N/A</v>
          </cell>
          <cell r="M555" t="e">
            <v>#N/A</v>
          </cell>
          <cell r="N555" t="e">
            <v>#N/A</v>
          </cell>
          <cell r="O555" t="e">
            <v>#N/A</v>
          </cell>
          <cell r="P555">
            <v>34.340000000000003</v>
          </cell>
          <cell r="Q555">
            <v>3.3391259999999998</v>
          </cell>
          <cell r="R555" t="e">
            <v>#N/A</v>
          </cell>
        </row>
        <row r="556">
          <cell r="A556">
            <v>39959</v>
          </cell>
          <cell r="B556">
            <v>39959</v>
          </cell>
          <cell r="C556" t="str">
            <v>Past</v>
          </cell>
          <cell r="D556">
            <v>34.85</v>
          </cell>
          <cell r="E556" t="e">
            <v>#N/A</v>
          </cell>
          <cell r="F556" t="e">
            <v>#N/A</v>
          </cell>
          <cell r="G556" t="e">
            <v>#N/A</v>
          </cell>
          <cell r="H556" t="e">
            <v>#N/A</v>
          </cell>
          <cell r="I556" t="e">
            <v>#N/A</v>
          </cell>
          <cell r="J556" t="e">
            <v>#N/A</v>
          </cell>
          <cell r="K556" t="e">
            <v>#N/A</v>
          </cell>
          <cell r="L556" t="e">
            <v>#N/A</v>
          </cell>
          <cell r="M556" t="e">
            <v>#N/A</v>
          </cell>
          <cell r="N556" t="e">
            <v>#N/A</v>
          </cell>
          <cell r="O556" t="e">
            <v>#N/A</v>
          </cell>
          <cell r="P556">
            <v>34.85</v>
          </cell>
          <cell r="Q556">
            <v>3.953217</v>
          </cell>
          <cell r="R556" t="e">
            <v>#N/A</v>
          </cell>
        </row>
        <row r="557">
          <cell r="A557">
            <v>39960</v>
          </cell>
          <cell r="B557">
            <v>39960</v>
          </cell>
          <cell r="C557" t="str">
            <v>Past</v>
          </cell>
          <cell r="D557">
            <v>33.67</v>
          </cell>
          <cell r="E557" t="e">
            <v>#N/A</v>
          </cell>
          <cell r="F557" t="e">
            <v>#N/A</v>
          </cell>
          <cell r="G557" t="e">
            <v>#N/A</v>
          </cell>
          <cell r="H557" t="e">
            <v>#N/A</v>
          </cell>
          <cell r="I557" t="e">
            <v>#N/A</v>
          </cell>
          <cell r="J557" t="e">
            <v>#N/A</v>
          </cell>
          <cell r="K557" t="e">
            <v>#N/A</v>
          </cell>
          <cell r="L557" t="e">
            <v>#N/A</v>
          </cell>
          <cell r="M557" t="e">
            <v>#N/A</v>
          </cell>
          <cell r="N557" t="e">
            <v>#N/A</v>
          </cell>
          <cell r="O557" t="e">
            <v>#N/A</v>
          </cell>
          <cell r="P557">
            <v>33.67</v>
          </cell>
          <cell r="Q557">
            <v>5.1936239999999998</v>
          </cell>
          <cell r="R557" t="e">
            <v>#N/A</v>
          </cell>
        </row>
        <row r="558">
          <cell r="A558">
            <v>39961</v>
          </cell>
          <cell r="B558">
            <v>39961</v>
          </cell>
          <cell r="C558" t="str">
            <v>Past</v>
          </cell>
          <cell r="D558">
            <v>33.78</v>
          </cell>
          <cell r="E558" t="e">
            <v>#N/A</v>
          </cell>
          <cell r="F558" t="e">
            <v>#N/A</v>
          </cell>
          <cell r="G558" t="e">
            <v>#N/A</v>
          </cell>
          <cell r="H558" t="e">
            <v>#N/A</v>
          </cell>
          <cell r="I558" t="e">
            <v>#N/A</v>
          </cell>
          <cell r="J558" t="e">
            <v>#N/A</v>
          </cell>
          <cell r="K558" t="e">
            <v>#N/A</v>
          </cell>
          <cell r="L558" t="e">
            <v>#N/A</v>
          </cell>
          <cell r="M558" t="e">
            <v>#N/A</v>
          </cell>
          <cell r="N558" t="e">
            <v>#N/A</v>
          </cell>
          <cell r="O558">
            <v>0</v>
          </cell>
          <cell r="P558">
            <v>33.78</v>
          </cell>
          <cell r="Q558">
            <v>4.4986489999999995</v>
          </cell>
          <cell r="R558" t="e">
            <v>#N/A</v>
          </cell>
        </row>
        <row r="559">
          <cell r="A559">
            <v>39962</v>
          </cell>
          <cell r="B559">
            <v>39962</v>
          </cell>
          <cell r="C559" t="str">
            <v>Current</v>
          </cell>
          <cell r="D559">
            <v>34.57</v>
          </cell>
          <cell r="E559">
            <v>34.57</v>
          </cell>
          <cell r="F559">
            <v>34.57</v>
          </cell>
          <cell r="G559">
            <v>34.57</v>
          </cell>
          <cell r="H559">
            <v>34.57</v>
          </cell>
          <cell r="I559">
            <v>34.57</v>
          </cell>
          <cell r="J559" t="e">
            <v>#N/A</v>
          </cell>
          <cell r="K559" t="e">
            <v>#N/A</v>
          </cell>
          <cell r="L559" t="e">
            <v>#N/A</v>
          </cell>
          <cell r="M559" t="e">
            <v>#N/A</v>
          </cell>
          <cell r="N559" t="e">
            <v>#N/A</v>
          </cell>
          <cell r="O559">
            <v>114.16500000000001</v>
          </cell>
          <cell r="P559">
            <v>34.57</v>
          </cell>
          <cell r="Q559">
            <v>4.873189</v>
          </cell>
          <cell r="R559" t="e">
            <v>#N/A</v>
          </cell>
        </row>
        <row r="560">
          <cell r="A560">
            <v>39965</v>
          </cell>
          <cell r="B560">
            <v>39965</v>
          </cell>
          <cell r="C560" t="str">
            <v>Future</v>
          </cell>
          <cell r="D560" t="e">
            <v>#N/A</v>
          </cell>
          <cell r="E560">
            <v>34.433359683794464</v>
          </cell>
          <cell r="F560">
            <v>34.599367588932807</v>
          </cell>
          <cell r="G560">
            <v>34.559841897233198</v>
          </cell>
          <cell r="H560">
            <v>34.559841897233198</v>
          </cell>
          <cell r="I560" t="e">
            <v>#N/A</v>
          </cell>
          <cell r="J560" t="e">
            <v>#N/A</v>
          </cell>
          <cell r="K560" t="e">
            <v>#N/A</v>
          </cell>
          <cell r="L560" t="e">
            <v>#N/A</v>
          </cell>
          <cell r="M560" t="e">
            <v>#N/A</v>
          </cell>
          <cell r="N560" t="e">
            <v>#N/A</v>
          </cell>
          <cell r="O560" t="e">
            <v>#N/A</v>
          </cell>
          <cell r="P560">
            <v>34.65</v>
          </cell>
          <cell r="Q560">
            <v>5.3196200000000005</v>
          </cell>
          <cell r="R560" t="e">
            <v>#N/A</v>
          </cell>
        </row>
        <row r="561">
          <cell r="A561">
            <v>39966</v>
          </cell>
          <cell r="B561">
            <v>39966</v>
          </cell>
          <cell r="C561" t="str">
            <v>Future</v>
          </cell>
          <cell r="D561" t="e">
            <v>#N/A</v>
          </cell>
          <cell r="E561">
            <v>34.296719367588928</v>
          </cell>
          <cell r="F561">
            <v>34.628735177865615</v>
          </cell>
          <cell r="G561">
            <v>34.549683794466397</v>
          </cell>
          <cell r="H561">
            <v>34.549683794466397</v>
          </cell>
          <cell r="I561" t="e">
            <v>#N/A</v>
          </cell>
          <cell r="J561" t="e">
            <v>#N/A</v>
          </cell>
          <cell r="K561" t="e">
            <v>#N/A</v>
          </cell>
          <cell r="L561" t="e">
            <v>#N/A</v>
          </cell>
          <cell r="M561" t="e">
            <v>#N/A</v>
          </cell>
          <cell r="N561" t="e">
            <v>#N/A</v>
          </cell>
          <cell r="O561" t="e">
            <v>#N/A</v>
          </cell>
          <cell r="P561">
            <v>34.65</v>
          </cell>
          <cell r="Q561" t="str">
            <v/>
          </cell>
          <cell r="R561" t="e">
            <v>#N/A</v>
          </cell>
        </row>
        <row r="562">
          <cell r="A562">
            <v>39967</v>
          </cell>
          <cell r="B562">
            <v>39967</v>
          </cell>
          <cell r="C562" t="str">
            <v>Future</v>
          </cell>
          <cell r="D562" t="e">
            <v>#N/A</v>
          </cell>
          <cell r="E562">
            <v>34.160079051383391</v>
          </cell>
          <cell r="F562">
            <v>34.658102766798422</v>
          </cell>
          <cell r="G562">
            <v>34.539525691699595</v>
          </cell>
          <cell r="H562">
            <v>34.539525691699595</v>
          </cell>
          <cell r="I562" t="e">
            <v>#N/A</v>
          </cell>
          <cell r="J562" t="e">
            <v>#N/A</v>
          </cell>
          <cell r="K562" t="e">
            <v>#N/A</v>
          </cell>
          <cell r="L562" t="e">
            <v>#N/A</v>
          </cell>
          <cell r="M562" t="e">
            <v>#N/A</v>
          </cell>
          <cell r="N562" t="e">
            <v>#N/A</v>
          </cell>
          <cell r="O562" t="e">
            <v>#N/A</v>
          </cell>
          <cell r="P562">
            <v>34.65</v>
          </cell>
          <cell r="Q562" t="str">
            <v/>
          </cell>
          <cell r="R562" t="e">
            <v>#N/A</v>
          </cell>
        </row>
        <row r="563">
          <cell r="A563">
            <v>39968</v>
          </cell>
          <cell r="B563">
            <v>39968</v>
          </cell>
          <cell r="C563" t="str">
            <v>Future</v>
          </cell>
          <cell r="D563" t="e">
            <v>#N/A</v>
          </cell>
          <cell r="E563">
            <v>34.023438735177855</v>
          </cell>
          <cell r="F563">
            <v>34.687470355731229</v>
          </cell>
          <cell r="G563">
            <v>34.529367588932793</v>
          </cell>
          <cell r="H563">
            <v>34.529367588932793</v>
          </cell>
          <cell r="I563" t="e">
            <v>#N/A</v>
          </cell>
          <cell r="J563" t="e">
            <v>#N/A</v>
          </cell>
          <cell r="K563" t="e">
            <v>#N/A</v>
          </cell>
          <cell r="L563" t="e">
            <v>#N/A</v>
          </cell>
          <cell r="M563" t="e">
            <v>#N/A</v>
          </cell>
          <cell r="N563" t="e">
            <v>#N/A</v>
          </cell>
          <cell r="O563" t="e">
            <v>#N/A</v>
          </cell>
          <cell r="P563">
            <v>34.65</v>
          </cell>
          <cell r="Q563" t="str">
            <v/>
          </cell>
          <cell r="R563" t="e">
            <v>#N/A</v>
          </cell>
        </row>
        <row r="564">
          <cell r="A564">
            <v>39969</v>
          </cell>
          <cell r="B564">
            <v>39969</v>
          </cell>
          <cell r="C564" t="str">
            <v>Future</v>
          </cell>
          <cell r="D564" t="e">
            <v>#N/A</v>
          </cell>
          <cell r="E564">
            <v>33.886798418972319</v>
          </cell>
          <cell r="F564">
            <v>34.716837944664036</v>
          </cell>
          <cell r="G564">
            <v>34.519209486165991</v>
          </cell>
          <cell r="H564">
            <v>34.519209486165991</v>
          </cell>
          <cell r="I564" t="e">
            <v>#N/A</v>
          </cell>
          <cell r="J564" t="e">
            <v>#N/A</v>
          </cell>
          <cell r="K564" t="e">
            <v>#N/A</v>
          </cell>
          <cell r="L564" t="e">
            <v>#N/A</v>
          </cell>
          <cell r="M564" t="e">
            <v>#N/A</v>
          </cell>
          <cell r="N564" t="e">
            <v>#N/A</v>
          </cell>
          <cell r="O564" t="e">
            <v>#N/A</v>
          </cell>
          <cell r="P564">
            <v>34.65</v>
          </cell>
          <cell r="Q564" t="str">
            <v/>
          </cell>
          <cell r="R564" t="e">
            <v>#N/A</v>
          </cell>
        </row>
        <row r="565">
          <cell r="A565">
            <v>39972</v>
          </cell>
          <cell r="B565">
            <v>39972</v>
          </cell>
          <cell r="C565" t="str">
            <v>Future</v>
          </cell>
          <cell r="D565" t="e">
            <v>#N/A</v>
          </cell>
          <cell r="E565">
            <v>33.750158102766783</v>
          </cell>
          <cell r="F565">
            <v>34.746205533596843</v>
          </cell>
          <cell r="G565">
            <v>34.509051383399189</v>
          </cell>
          <cell r="H565">
            <v>34.509051383399189</v>
          </cell>
          <cell r="I565" t="e">
            <v>#N/A</v>
          </cell>
          <cell r="J565" t="e">
            <v>#N/A</v>
          </cell>
          <cell r="K565" t="e">
            <v>#N/A</v>
          </cell>
          <cell r="L565" t="e">
            <v>#N/A</v>
          </cell>
          <cell r="M565" t="e">
            <v>#N/A</v>
          </cell>
          <cell r="N565" t="e">
            <v>#N/A</v>
          </cell>
          <cell r="O565" t="e">
            <v>#N/A</v>
          </cell>
          <cell r="P565">
            <v>34.65</v>
          </cell>
          <cell r="Q565" t="str">
            <v/>
          </cell>
          <cell r="R565" t="e">
            <v>#N/A</v>
          </cell>
        </row>
        <row r="566">
          <cell r="A566">
            <v>39973</v>
          </cell>
          <cell r="B566">
            <v>39973</v>
          </cell>
          <cell r="C566" t="str">
            <v>Future</v>
          </cell>
          <cell r="D566" t="e">
            <v>#N/A</v>
          </cell>
          <cell r="E566">
            <v>33.613517786561246</v>
          </cell>
          <cell r="F566">
            <v>34.77557312252965</v>
          </cell>
          <cell r="G566">
            <v>34.498893280632387</v>
          </cell>
          <cell r="H566">
            <v>34.498893280632387</v>
          </cell>
          <cell r="I566" t="e">
            <v>#N/A</v>
          </cell>
          <cell r="J566" t="e">
            <v>#N/A</v>
          </cell>
          <cell r="K566" t="e">
            <v>#N/A</v>
          </cell>
          <cell r="L566" t="e">
            <v>#N/A</v>
          </cell>
          <cell r="M566" t="e">
            <v>#N/A</v>
          </cell>
          <cell r="N566" t="e">
            <v>#N/A</v>
          </cell>
          <cell r="O566" t="e">
            <v>#N/A</v>
          </cell>
          <cell r="P566">
            <v>34.65</v>
          </cell>
          <cell r="Q566" t="str">
            <v/>
          </cell>
          <cell r="R566" t="e">
            <v>#N/A</v>
          </cell>
        </row>
        <row r="567">
          <cell r="A567">
            <v>39974</v>
          </cell>
          <cell r="B567">
            <v>39974</v>
          </cell>
          <cell r="C567" t="str">
            <v>Future</v>
          </cell>
          <cell r="D567" t="e">
            <v>#N/A</v>
          </cell>
          <cell r="E567">
            <v>33.47687747035571</v>
          </cell>
          <cell r="F567">
            <v>34.804940711462457</v>
          </cell>
          <cell r="G567">
            <v>34.488735177865586</v>
          </cell>
          <cell r="H567">
            <v>34.488735177865586</v>
          </cell>
          <cell r="I567" t="e">
            <v>#N/A</v>
          </cell>
          <cell r="J567" t="e">
            <v>#N/A</v>
          </cell>
          <cell r="K567" t="e">
            <v>#N/A</v>
          </cell>
          <cell r="L567" t="e">
            <v>#N/A</v>
          </cell>
          <cell r="M567" t="e">
            <v>#N/A</v>
          </cell>
          <cell r="N567" t="e">
            <v>#N/A</v>
          </cell>
          <cell r="O567" t="e">
            <v>#N/A</v>
          </cell>
          <cell r="P567">
            <v>34.65</v>
          </cell>
          <cell r="Q567" t="str">
            <v/>
          </cell>
          <cell r="R567" t="e">
            <v>#N/A</v>
          </cell>
        </row>
        <row r="568">
          <cell r="A568">
            <v>39975</v>
          </cell>
          <cell r="B568">
            <v>39975</v>
          </cell>
          <cell r="C568" t="str">
            <v>Future</v>
          </cell>
          <cell r="D568" t="e">
            <v>#N/A</v>
          </cell>
          <cell r="E568">
            <v>33.340237154150174</v>
          </cell>
          <cell r="F568">
            <v>34.834308300395264</v>
          </cell>
          <cell r="G568">
            <v>34.478577075098784</v>
          </cell>
          <cell r="H568">
            <v>34.478577075098784</v>
          </cell>
          <cell r="I568" t="e">
            <v>#N/A</v>
          </cell>
          <cell r="J568" t="e">
            <v>#N/A</v>
          </cell>
          <cell r="K568" t="e">
            <v>#N/A</v>
          </cell>
          <cell r="L568" t="e">
            <v>#N/A</v>
          </cell>
          <cell r="M568" t="e">
            <v>#N/A</v>
          </cell>
          <cell r="N568" t="e">
            <v>#N/A</v>
          </cell>
          <cell r="O568" t="e">
            <v>#N/A</v>
          </cell>
          <cell r="P568">
            <v>34.65</v>
          </cell>
          <cell r="Q568" t="str">
            <v/>
          </cell>
          <cell r="R568" t="e">
            <v>#N/A</v>
          </cell>
        </row>
        <row r="569">
          <cell r="A569">
            <v>39976</v>
          </cell>
          <cell r="B569">
            <v>39976</v>
          </cell>
          <cell r="C569" t="str">
            <v>Future</v>
          </cell>
          <cell r="D569" t="e">
            <v>#N/A</v>
          </cell>
          <cell r="E569">
            <v>33.203596837944637</v>
          </cell>
          <cell r="F569">
            <v>34.863675889328071</v>
          </cell>
          <cell r="G569">
            <v>34.468418972331982</v>
          </cell>
          <cell r="H569">
            <v>34.468418972331982</v>
          </cell>
          <cell r="I569" t="e">
            <v>#N/A</v>
          </cell>
          <cell r="J569" t="e">
            <v>#N/A</v>
          </cell>
          <cell r="K569" t="e">
            <v>#N/A</v>
          </cell>
          <cell r="L569" t="e">
            <v>#N/A</v>
          </cell>
          <cell r="M569" t="e">
            <v>#N/A</v>
          </cell>
          <cell r="N569" t="e">
            <v>#N/A</v>
          </cell>
          <cell r="O569" t="e">
            <v>#N/A</v>
          </cell>
          <cell r="P569">
            <v>34.65</v>
          </cell>
          <cell r="Q569" t="str">
            <v/>
          </cell>
          <cell r="R569" t="e">
            <v>#N/A</v>
          </cell>
        </row>
        <row r="570">
          <cell r="A570">
            <v>39979</v>
          </cell>
          <cell r="B570">
            <v>39979</v>
          </cell>
          <cell r="C570" t="str">
            <v>Future</v>
          </cell>
          <cell r="D570" t="e">
            <v>#N/A</v>
          </cell>
          <cell r="E570">
            <v>33.066956521739101</v>
          </cell>
          <cell r="F570">
            <v>34.893043478260878</v>
          </cell>
          <cell r="G570">
            <v>34.45826086956518</v>
          </cell>
          <cell r="H570">
            <v>34.45826086956518</v>
          </cell>
          <cell r="I570" t="e">
            <v>#N/A</v>
          </cell>
          <cell r="J570" t="e">
            <v>#N/A</v>
          </cell>
          <cell r="K570" t="e">
            <v>#N/A</v>
          </cell>
          <cell r="L570" t="e">
            <v>#N/A</v>
          </cell>
          <cell r="M570" t="e">
            <v>#N/A</v>
          </cell>
          <cell r="N570" t="e">
            <v>#N/A</v>
          </cell>
          <cell r="O570" t="e">
            <v>#N/A</v>
          </cell>
          <cell r="P570">
            <v>34.65</v>
          </cell>
          <cell r="Q570" t="str">
            <v/>
          </cell>
          <cell r="R570" t="e">
            <v>#N/A</v>
          </cell>
        </row>
        <row r="571">
          <cell r="A571">
            <v>39980</v>
          </cell>
          <cell r="B571">
            <v>39980</v>
          </cell>
          <cell r="C571" t="str">
            <v>Future</v>
          </cell>
          <cell r="D571" t="e">
            <v>#N/A</v>
          </cell>
          <cell r="E571">
            <v>32.930316205533565</v>
          </cell>
          <cell r="F571">
            <v>34.922411067193686</v>
          </cell>
          <cell r="G571">
            <v>34.448102766798378</v>
          </cell>
          <cell r="H571">
            <v>34.448102766798378</v>
          </cell>
          <cell r="I571" t="e">
            <v>#N/A</v>
          </cell>
          <cell r="J571" t="e">
            <v>#N/A</v>
          </cell>
          <cell r="K571" t="e">
            <v>#N/A</v>
          </cell>
          <cell r="L571" t="e">
            <v>#N/A</v>
          </cell>
          <cell r="M571" t="e">
            <v>#N/A</v>
          </cell>
          <cell r="N571" t="e">
            <v>#N/A</v>
          </cell>
          <cell r="O571" t="e">
            <v>#N/A</v>
          </cell>
          <cell r="P571">
            <v>34.65</v>
          </cell>
          <cell r="Q571" t="str">
            <v/>
          </cell>
          <cell r="R571" t="e">
            <v>#N/A</v>
          </cell>
        </row>
        <row r="572">
          <cell r="A572">
            <v>39981</v>
          </cell>
          <cell r="B572">
            <v>39981</v>
          </cell>
          <cell r="C572" t="str">
            <v>Future</v>
          </cell>
          <cell r="D572" t="e">
            <v>#N/A</v>
          </cell>
          <cell r="E572">
            <v>32.793675889328028</v>
          </cell>
          <cell r="F572">
            <v>34.951778656126493</v>
          </cell>
          <cell r="G572">
            <v>34.437944664031576</v>
          </cell>
          <cell r="H572">
            <v>34.437944664031576</v>
          </cell>
          <cell r="I572" t="e">
            <v>#N/A</v>
          </cell>
          <cell r="J572" t="e">
            <v>#N/A</v>
          </cell>
          <cell r="K572" t="e">
            <v>#N/A</v>
          </cell>
          <cell r="L572" t="e">
            <v>#N/A</v>
          </cell>
          <cell r="M572" t="e">
            <v>#N/A</v>
          </cell>
          <cell r="N572" t="e">
            <v>#N/A</v>
          </cell>
          <cell r="O572" t="e">
            <v>#N/A</v>
          </cell>
          <cell r="P572">
            <v>34.65</v>
          </cell>
          <cell r="Q572" t="str">
            <v/>
          </cell>
          <cell r="R572" t="e">
            <v>#N/A</v>
          </cell>
        </row>
        <row r="573">
          <cell r="A573">
            <v>39982</v>
          </cell>
          <cell r="B573">
            <v>39982</v>
          </cell>
          <cell r="C573" t="str">
            <v>Future</v>
          </cell>
          <cell r="D573" t="e">
            <v>#N/A</v>
          </cell>
          <cell r="E573">
            <v>32.657035573122492</v>
          </cell>
          <cell r="F573">
            <v>34.9811462450593</v>
          </cell>
          <cell r="G573">
            <v>34.427786561264774</v>
          </cell>
          <cell r="H573">
            <v>34.427786561264774</v>
          </cell>
          <cell r="I573" t="e">
            <v>#N/A</v>
          </cell>
          <cell r="J573" t="e">
            <v>#N/A</v>
          </cell>
          <cell r="K573" t="e">
            <v>#N/A</v>
          </cell>
          <cell r="L573" t="e">
            <v>#N/A</v>
          </cell>
          <cell r="M573" t="e">
            <v>#N/A</v>
          </cell>
          <cell r="N573" t="e">
            <v>#N/A</v>
          </cell>
          <cell r="O573" t="e">
            <v>#N/A</v>
          </cell>
          <cell r="P573">
            <v>34.65</v>
          </cell>
          <cell r="Q573" t="str">
            <v/>
          </cell>
          <cell r="R573" t="e">
            <v>#N/A</v>
          </cell>
        </row>
        <row r="574">
          <cell r="A574">
            <v>39983</v>
          </cell>
          <cell r="B574">
            <v>39983</v>
          </cell>
          <cell r="C574" t="str">
            <v>Future</v>
          </cell>
          <cell r="D574" t="e">
            <v>#N/A</v>
          </cell>
          <cell r="E574">
            <v>32.520395256916956</v>
          </cell>
          <cell r="F574">
            <v>35.010513833992107</v>
          </cell>
          <cell r="G574">
            <v>34.417628458497973</v>
          </cell>
          <cell r="H574">
            <v>34.417628458497973</v>
          </cell>
          <cell r="I574" t="e">
            <v>#N/A</v>
          </cell>
          <cell r="J574" t="e">
            <v>#N/A</v>
          </cell>
          <cell r="K574" t="e">
            <v>#N/A</v>
          </cell>
          <cell r="L574" t="e">
            <v>#N/A</v>
          </cell>
          <cell r="M574" t="e">
            <v>#N/A</v>
          </cell>
          <cell r="N574" t="e">
            <v>#N/A</v>
          </cell>
          <cell r="O574" t="e">
            <v>#N/A</v>
          </cell>
          <cell r="P574">
            <v>34.65</v>
          </cell>
          <cell r="Q574" t="str">
            <v/>
          </cell>
          <cell r="R574" t="e">
            <v>#N/A</v>
          </cell>
        </row>
        <row r="575">
          <cell r="A575">
            <v>39986</v>
          </cell>
          <cell r="B575">
            <v>39986</v>
          </cell>
          <cell r="C575" t="str">
            <v>Future</v>
          </cell>
          <cell r="D575" t="e">
            <v>#N/A</v>
          </cell>
          <cell r="E575">
            <v>32.38375494071142</v>
          </cell>
          <cell r="F575">
            <v>35.039881422924914</v>
          </cell>
          <cell r="G575">
            <v>34.407470355731171</v>
          </cell>
          <cell r="H575">
            <v>34.407470355731171</v>
          </cell>
          <cell r="I575" t="e">
            <v>#N/A</v>
          </cell>
          <cell r="J575" t="e">
            <v>#N/A</v>
          </cell>
          <cell r="K575" t="e">
            <v>#N/A</v>
          </cell>
          <cell r="L575" t="e">
            <v>#N/A</v>
          </cell>
          <cell r="M575" t="e">
            <v>#N/A</v>
          </cell>
          <cell r="N575" t="e">
            <v>#N/A</v>
          </cell>
          <cell r="O575" t="e">
            <v>#N/A</v>
          </cell>
          <cell r="P575">
            <v>34.65</v>
          </cell>
          <cell r="Q575" t="str">
            <v/>
          </cell>
          <cell r="R575" t="e">
            <v>#N/A</v>
          </cell>
        </row>
        <row r="576">
          <cell r="A576">
            <v>39987</v>
          </cell>
          <cell r="B576">
            <v>39987</v>
          </cell>
          <cell r="C576" t="str">
            <v>Future</v>
          </cell>
          <cell r="D576" t="e">
            <v>#N/A</v>
          </cell>
          <cell r="E576">
            <v>32.247114624505883</v>
          </cell>
          <cell r="F576">
            <v>35.069249011857721</v>
          </cell>
          <cell r="G576">
            <v>34.397312252964369</v>
          </cell>
          <cell r="H576">
            <v>34.397312252964369</v>
          </cell>
          <cell r="I576" t="e">
            <v>#N/A</v>
          </cell>
          <cell r="J576" t="e">
            <v>#N/A</v>
          </cell>
          <cell r="K576" t="e">
            <v>#N/A</v>
          </cell>
          <cell r="L576" t="e">
            <v>#N/A</v>
          </cell>
          <cell r="M576" t="e">
            <v>#N/A</v>
          </cell>
          <cell r="N576" t="e">
            <v>#N/A</v>
          </cell>
          <cell r="O576" t="e">
            <v>#N/A</v>
          </cell>
          <cell r="P576">
            <v>34.65</v>
          </cell>
          <cell r="Q576" t="str">
            <v/>
          </cell>
          <cell r="R576" t="e">
            <v>#N/A</v>
          </cell>
        </row>
        <row r="577">
          <cell r="A577">
            <v>39988</v>
          </cell>
          <cell r="B577">
            <v>39988</v>
          </cell>
          <cell r="C577" t="str">
            <v>Future</v>
          </cell>
          <cell r="D577" t="e">
            <v>#N/A</v>
          </cell>
          <cell r="E577">
            <v>32.110474308300347</v>
          </cell>
          <cell r="F577">
            <v>35.098616600790528</v>
          </cell>
          <cell r="G577">
            <v>34.387154150197567</v>
          </cell>
          <cell r="H577">
            <v>34.387154150197567</v>
          </cell>
          <cell r="I577" t="e">
            <v>#N/A</v>
          </cell>
          <cell r="J577" t="e">
            <v>#N/A</v>
          </cell>
          <cell r="K577" t="e">
            <v>#N/A</v>
          </cell>
          <cell r="L577" t="e">
            <v>#N/A</v>
          </cell>
          <cell r="M577" t="e">
            <v>#N/A</v>
          </cell>
          <cell r="N577" t="e">
            <v>#N/A</v>
          </cell>
          <cell r="O577" t="e">
            <v>#N/A</v>
          </cell>
          <cell r="P577">
            <v>34.65</v>
          </cell>
          <cell r="Q577" t="str">
            <v/>
          </cell>
          <cell r="R577" t="e">
            <v>#N/A</v>
          </cell>
        </row>
        <row r="578">
          <cell r="A578">
            <v>39989</v>
          </cell>
          <cell r="B578">
            <v>39989</v>
          </cell>
          <cell r="C578" t="str">
            <v>Future</v>
          </cell>
          <cell r="D578" t="e">
            <v>#N/A</v>
          </cell>
          <cell r="E578">
            <v>31.973833992094814</v>
          </cell>
          <cell r="F578">
            <v>35.127984189723335</v>
          </cell>
          <cell r="G578">
            <v>34.376996047430765</v>
          </cell>
          <cell r="H578">
            <v>34.376996047430765</v>
          </cell>
          <cell r="I578" t="e">
            <v>#N/A</v>
          </cell>
          <cell r="J578" t="e">
            <v>#N/A</v>
          </cell>
          <cell r="K578" t="e">
            <v>#N/A</v>
          </cell>
          <cell r="L578" t="e">
            <v>#N/A</v>
          </cell>
          <cell r="M578" t="e">
            <v>#N/A</v>
          </cell>
          <cell r="N578" t="e">
            <v>#N/A</v>
          </cell>
          <cell r="O578" t="e">
            <v>#N/A</v>
          </cell>
          <cell r="P578">
            <v>34.65</v>
          </cell>
          <cell r="Q578" t="str">
            <v/>
          </cell>
          <cell r="R578" t="e">
            <v>#N/A</v>
          </cell>
        </row>
        <row r="579">
          <cell r="A579">
            <v>39990</v>
          </cell>
          <cell r="B579">
            <v>39990</v>
          </cell>
          <cell r="C579" t="str">
            <v>Future</v>
          </cell>
          <cell r="D579" t="e">
            <v>#N/A</v>
          </cell>
          <cell r="E579">
            <v>31.837193675889282</v>
          </cell>
          <cell r="F579">
            <v>35.157351778656142</v>
          </cell>
          <cell r="G579">
            <v>34.366837944663963</v>
          </cell>
          <cell r="H579">
            <v>34.366837944663963</v>
          </cell>
          <cell r="I579" t="e">
            <v>#N/A</v>
          </cell>
          <cell r="J579" t="e">
            <v>#N/A</v>
          </cell>
          <cell r="K579" t="e">
            <v>#N/A</v>
          </cell>
          <cell r="L579" t="e">
            <v>#N/A</v>
          </cell>
          <cell r="M579" t="e">
            <v>#N/A</v>
          </cell>
          <cell r="N579" t="e">
            <v>#N/A</v>
          </cell>
          <cell r="O579" t="e">
            <v>#N/A</v>
          </cell>
          <cell r="P579">
            <v>34.65</v>
          </cell>
          <cell r="Q579" t="str">
            <v/>
          </cell>
          <cell r="R579" t="e">
            <v>#N/A</v>
          </cell>
        </row>
        <row r="580">
          <cell r="A580">
            <v>39993</v>
          </cell>
          <cell r="B580">
            <v>39993</v>
          </cell>
          <cell r="C580" t="str">
            <v>Future</v>
          </cell>
          <cell r="D580" t="e">
            <v>#N/A</v>
          </cell>
          <cell r="E580">
            <v>31.700553359683749</v>
          </cell>
          <cell r="F580">
            <v>35.18671936758895</v>
          </cell>
          <cell r="G580">
            <v>34.356679841897162</v>
          </cell>
          <cell r="H580">
            <v>34.356679841897162</v>
          </cell>
          <cell r="I580" t="e">
            <v>#N/A</v>
          </cell>
          <cell r="J580" t="e">
            <v>#N/A</v>
          </cell>
          <cell r="K580" t="e">
            <v>#N/A</v>
          </cell>
          <cell r="L580" t="e">
            <v>#N/A</v>
          </cell>
          <cell r="M580" t="e">
            <v>#N/A</v>
          </cell>
          <cell r="N580" t="e">
            <v>#N/A</v>
          </cell>
          <cell r="O580" t="e">
            <v>#N/A</v>
          </cell>
          <cell r="P580">
            <v>34.65</v>
          </cell>
          <cell r="Q580" t="str">
            <v/>
          </cell>
          <cell r="R580" t="e">
            <v>#N/A</v>
          </cell>
        </row>
        <row r="581">
          <cell r="A581">
            <v>39994</v>
          </cell>
          <cell r="B581">
            <v>39994</v>
          </cell>
          <cell r="C581" t="str">
            <v>Future</v>
          </cell>
          <cell r="D581" t="e">
            <v>#N/A</v>
          </cell>
          <cell r="E581">
            <v>31.563913043478216</v>
          </cell>
          <cell r="F581">
            <v>35.216086956521757</v>
          </cell>
          <cell r="G581">
            <v>34.34652173913036</v>
          </cell>
          <cell r="H581">
            <v>34.34652173913036</v>
          </cell>
          <cell r="I581" t="e">
            <v>#N/A</v>
          </cell>
          <cell r="J581" t="e">
            <v>#N/A</v>
          </cell>
          <cell r="K581" t="e">
            <v>#N/A</v>
          </cell>
          <cell r="L581" t="e">
            <v>#N/A</v>
          </cell>
          <cell r="M581" t="e">
            <v>#N/A</v>
          </cell>
          <cell r="N581" t="e">
            <v>#N/A</v>
          </cell>
          <cell r="O581" t="e">
            <v>#N/A</v>
          </cell>
          <cell r="P581">
            <v>34.65</v>
          </cell>
          <cell r="Q581" t="str">
            <v/>
          </cell>
          <cell r="R581" t="e">
            <v>#N/A</v>
          </cell>
        </row>
        <row r="582">
          <cell r="A582">
            <v>39995</v>
          </cell>
          <cell r="B582">
            <v>39995</v>
          </cell>
          <cell r="C582" t="str">
            <v>Future</v>
          </cell>
          <cell r="D582" t="e">
            <v>#N/A</v>
          </cell>
          <cell r="E582">
            <v>31.427272727272683</v>
          </cell>
          <cell r="F582">
            <v>35.245454545454564</v>
          </cell>
          <cell r="G582">
            <v>34.336363636363558</v>
          </cell>
          <cell r="H582">
            <v>34.336363636363558</v>
          </cell>
          <cell r="I582" t="e">
            <v>#N/A</v>
          </cell>
          <cell r="J582" t="e">
            <v>#N/A</v>
          </cell>
          <cell r="K582" t="e">
            <v>#N/A</v>
          </cell>
          <cell r="L582" t="e">
            <v>#N/A</v>
          </cell>
          <cell r="M582" t="e">
            <v>#N/A</v>
          </cell>
          <cell r="N582" t="e">
            <v>#N/A</v>
          </cell>
          <cell r="O582" t="e">
            <v>#N/A</v>
          </cell>
          <cell r="P582">
            <v>34.65</v>
          </cell>
          <cell r="Q582" t="str">
            <v/>
          </cell>
          <cell r="R582" t="e">
            <v>#N/A</v>
          </cell>
        </row>
        <row r="583">
          <cell r="A583">
            <v>39996</v>
          </cell>
          <cell r="B583">
            <v>39996</v>
          </cell>
          <cell r="C583" t="str">
            <v>Future</v>
          </cell>
          <cell r="D583" t="e">
            <v>#N/A</v>
          </cell>
          <cell r="E583">
            <v>31.290632411067151</v>
          </cell>
          <cell r="F583">
            <v>35.274822134387371</v>
          </cell>
          <cell r="G583">
            <v>34.326205533596756</v>
          </cell>
          <cell r="H583">
            <v>34.326205533596756</v>
          </cell>
          <cell r="I583" t="e">
            <v>#N/A</v>
          </cell>
          <cell r="J583" t="e">
            <v>#N/A</v>
          </cell>
          <cell r="K583" t="e">
            <v>#N/A</v>
          </cell>
          <cell r="L583" t="e">
            <v>#N/A</v>
          </cell>
          <cell r="M583" t="e">
            <v>#N/A</v>
          </cell>
          <cell r="N583" t="e">
            <v>#N/A</v>
          </cell>
          <cell r="O583" t="e">
            <v>#N/A</v>
          </cell>
          <cell r="P583">
            <v>34.65</v>
          </cell>
          <cell r="Q583" t="str">
            <v/>
          </cell>
          <cell r="R583" t="e">
            <v>#N/A</v>
          </cell>
        </row>
        <row r="584">
          <cell r="A584">
            <v>40000</v>
          </cell>
          <cell r="B584">
            <v>40000</v>
          </cell>
          <cell r="C584" t="str">
            <v>Future</v>
          </cell>
          <cell r="D584" t="e">
            <v>#N/A</v>
          </cell>
          <cell r="E584">
            <v>31.153992094861618</v>
          </cell>
          <cell r="F584">
            <v>35.304189723320178</v>
          </cell>
          <cell r="G584">
            <v>34.316047430829954</v>
          </cell>
          <cell r="H584">
            <v>34.316047430829954</v>
          </cell>
          <cell r="I584" t="e">
            <v>#N/A</v>
          </cell>
          <cell r="J584" t="e">
            <v>#N/A</v>
          </cell>
          <cell r="K584" t="e">
            <v>#N/A</v>
          </cell>
          <cell r="L584" t="e">
            <v>#N/A</v>
          </cell>
          <cell r="M584" t="e">
            <v>#N/A</v>
          </cell>
          <cell r="N584" t="e">
            <v>#N/A</v>
          </cell>
          <cell r="O584" t="e">
            <v>#N/A</v>
          </cell>
          <cell r="P584">
            <v>34.65</v>
          </cell>
          <cell r="Q584" t="str">
            <v/>
          </cell>
          <cell r="R584" t="e">
            <v>#N/A</v>
          </cell>
        </row>
        <row r="585">
          <cell r="A585">
            <v>40001</v>
          </cell>
          <cell r="B585">
            <v>40001</v>
          </cell>
          <cell r="C585" t="str">
            <v>Future</v>
          </cell>
          <cell r="D585" t="e">
            <v>#N/A</v>
          </cell>
          <cell r="E585">
            <v>31.017351778656085</v>
          </cell>
          <cell r="F585">
            <v>35.333557312252985</v>
          </cell>
          <cell r="G585">
            <v>34.305889328063152</v>
          </cell>
          <cell r="H585">
            <v>34.305889328063152</v>
          </cell>
          <cell r="I585" t="e">
            <v>#N/A</v>
          </cell>
          <cell r="J585" t="e">
            <v>#N/A</v>
          </cell>
          <cell r="K585" t="e">
            <v>#N/A</v>
          </cell>
          <cell r="L585" t="e">
            <v>#N/A</v>
          </cell>
          <cell r="M585" t="e">
            <v>#N/A</v>
          </cell>
          <cell r="N585" t="e">
            <v>#N/A</v>
          </cell>
          <cell r="O585" t="e">
            <v>#N/A</v>
          </cell>
          <cell r="P585">
            <v>34.65</v>
          </cell>
          <cell r="Q585" t="str">
            <v/>
          </cell>
          <cell r="R585" t="e">
            <v>#N/A</v>
          </cell>
        </row>
        <row r="586">
          <cell r="A586">
            <v>40002</v>
          </cell>
          <cell r="B586">
            <v>40002</v>
          </cell>
          <cell r="C586" t="str">
            <v>Future</v>
          </cell>
          <cell r="D586" t="e">
            <v>#N/A</v>
          </cell>
          <cell r="E586">
            <v>30.880711462450552</v>
          </cell>
          <cell r="F586">
            <v>35.362924901185792</v>
          </cell>
          <cell r="G586">
            <v>34.29573122529635</v>
          </cell>
          <cell r="H586">
            <v>34.29573122529635</v>
          </cell>
          <cell r="I586" t="e">
            <v>#N/A</v>
          </cell>
          <cell r="J586" t="e">
            <v>#N/A</v>
          </cell>
          <cell r="K586" t="e">
            <v>#N/A</v>
          </cell>
          <cell r="L586" t="e">
            <v>#N/A</v>
          </cell>
          <cell r="M586" t="e">
            <v>#N/A</v>
          </cell>
          <cell r="N586" t="e">
            <v>#N/A</v>
          </cell>
          <cell r="O586" t="e">
            <v>#N/A</v>
          </cell>
          <cell r="P586">
            <v>34.65</v>
          </cell>
          <cell r="Q586" t="str">
            <v/>
          </cell>
          <cell r="R586" t="e">
            <v>#N/A</v>
          </cell>
        </row>
        <row r="587">
          <cell r="A587">
            <v>40003</v>
          </cell>
          <cell r="B587">
            <v>40003</v>
          </cell>
          <cell r="C587" t="str">
            <v>Future</v>
          </cell>
          <cell r="D587" t="e">
            <v>#N/A</v>
          </cell>
          <cell r="E587">
            <v>30.74407114624502</v>
          </cell>
          <cell r="F587">
            <v>35.392292490118599</v>
          </cell>
          <cell r="G587">
            <v>34.285573122529549</v>
          </cell>
          <cell r="H587">
            <v>34.285573122529549</v>
          </cell>
          <cell r="I587" t="e">
            <v>#N/A</v>
          </cell>
          <cell r="J587" t="e">
            <v>#N/A</v>
          </cell>
          <cell r="K587" t="e">
            <v>#N/A</v>
          </cell>
          <cell r="L587" t="e">
            <v>#N/A</v>
          </cell>
          <cell r="M587" t="e">
            <v>#N/A</v>
          </cell>
          <cell r="N587" t="e">
            <v>#N/A</v>
          </cell>
          <cell r="O587" t="e">
            <v>#N/A</v>
          </cell>
          <cell r="P587">
            <v>34.65</v>
          </cell>
          <cell r="Q587" t="str">
            <v/>
          </cell>
          <cell r="R587" t="e">
            <v>#N/A</v>
          </cell>
        </row>
        <row r="588">
          <cell r="A588">
            <v>40004</v>
          </cell>
          <cell r="B588">
            <v>40004</v>
          </cell>
          <cell r="C588" t="str">
            <v>Future</v>
          </cell>
          <cell r="D588" t="e">
            <v>#N/A</v>
          </cell>
          <cell r="E588">
            <v>30.607430830039487</v>
          </cell>
          <cell r="F588">
            <v>35.421660079051406</v>
          </cell>
          <cell r="G588">
            <v>34.275415019762747</v>
          </cell>
          <cell r="H588">
            <v>34.275415019762747</v>
          </cell>
          <cell r="I588" t="e">
            <v>#N/A</v>
          </cell>
          <cell r="J588" t="e">
            <v>#N/A</v>
          </cell>
          <cell r="K588" t="e">
            <v>#N/A</v>
          </cell>
          <cell r="L588" t="e">
            <v>#N/A</v>
          </cell>
          <cell r="M588" t="e">
            <v>#N/A</v>
          </cell>
          <cell r="N588" t="e">
            <v>#N/A</v>
          </cell>
          <cell r="O588" t="e">
            <v>#N/A</v>
          </cell>
          <cell r="P588">
            <v>34.65</v>
          </cell>
          <cell r="Q588" t="str">
            <v/>
          </cell>
          <cell r="R588" t="e">
            <v>#N/A</v>
          </cell>
        </row>
        <row r="589">
          <cell r="A589">
            <v>40007</v>
          </cell>
          <cell r="B589">
            <v>40007</v>
          </cell>
          <cell r="C589" t="str">
            <v>Future</v>
          </cell>
          <cell r="D589" t="e">
            <v>#N/A</v>
          </cell>
          <cell r="E589">
            <v>30.470790513833954</v>
          </cell>
          <cell r="F589">
            <v>35.451027667984214</v>
          </cell>
          <cell r="G589">
            <v>34.265256916995945</v>
          </cell>
          <cell r="H589">
            <v>34.265256916995945</v>
          </cell>
          <cell r="I589" t="e">
            <v>#N/A</v>
          </cell>
          <cell r="J589" t="e">
            <v>#N/A</v>
          </cell>
          <cell r="K589" t="e">
            <v>#N/A</v>
          </cell>
          <cell r="L589" t="e">
            <v>#N/A</v>
          </cell>
          <cell r="M589" t="e">
            <v>#N/A</v>
          </cell>
          <cell r="N589" t="e">
            <v>#N/A</v>
          </cell>
          <cell r="O589" t="e">
            <v>#N/A</v>
          </cell>
          <cell r="P589">
            <v>34.65</v>
          </cell>
          <cell r="Q589" t="str">
            <v/>
          </cell>
          <cell r="R589" t="e">
            <v>#N/A</v>
          </cell>
        </row>
        <row r="590">
          <cell r="A590">
            <v>40008</v>
          </cell>
          <cell r="B590">
            <v>40008</v>
          </cell>
          <cell r="C590" t="str">
            <v>Future</v>
          </cell>
          <cell r="D590" t="e">
            <v>#N/A</v>
          </cell>
          <cell r="E590">
            <v>30.334150197628421</v>
          </cell>
          <cell r="F590">
            <v>35.480395256917021</v>
          </cell>
          <cell r="G590">
            <v>34.255098814229143</v>
          </cell>
          <cell r="H590">
            <v>34.255098814229143</v>
          </cell>
          <cell r="I590" t="e">
            <v>#N/A</v>
          </cell>
          <cell r="J590" t="e">
            <v>#N/A</v>
          </cell>
          <cell r="K590" t="e">
            <v>#N/A</v>
          </cell>
          <cell r="L590" t="e">
            <v>#N/A</v>
          </cell>
          <cell r="M590" t="e">
            <v>#N/A</v>
          </cell>
          <cell r="N590" t="e">
            <v>#N/A</v>
          </cell>
          <cell r="O590" t="e">
            <v>#N/A</v>
          </cell>
          <cell r="P590">
            <v>34.65</v>
          </cell>
          <cell r="Q590" t="str">
            <v/>
          </cell>
          <cell r="R590" t="e">
            <v>#N/A</v>
          </cell>
        </row>
        <row r="591">
          <cell r="A591">
            <v>40009</v>
          </cell>
          <cell r="B591">
            <v>40009</v>
          </cell>
          <cell r="C591" t="str">
            <v>Future</v>
          </cell>
          <cell r="D591" t="e">
            <v>#N/A</v>
          </cell>
          <cell r="E591">
            <v>30.197509881422889</v>
          </cell>
          <cell r="F591">
            <v>35.509762845849828</v>
          </cell>
          <cell r="G591">
            <v>34.244940711462341</v>
          </cell>
          <cell r="H591">
            <v>34.244940711462341</v>
          </cell>
          <cell r="I591" t="e">
            <v>#N/A</v>
          </cell>
          <cell r="J591" t="e">
            <v>#N/A</v>
          </cell>
          <cell r="K591" t="e">
            <v>#N/A</v>
          </cell>
          <cell r="L591" t="e">
            <v>#N/A</v>
          </cell>
          <cell r="M591" t="e">
            <v>#N/A</v>
          </cell>
          <cell r="N591" t="e">
            <v>#N/A</v>
          </cell>
          <cell r="O591" t="e">
            <v>#N/A</v>
          </cell>
          <cell r="P591">
            <v>34.65</v>
          </cell>
          <cell r="Q591" t="str">
            <v/>
          </cell>
          <cell r="R591" t="e">
            <v>#N/A</v>
          </cell>
        </row>
        <row r="592">
          <cell r="A592">
            <v>40010</v>
          </cell>
          <cell r="B592">
            <v>40010</v>
          </cell>
          <cell r="C592" t="str">
            <v>Future</v>
          </cell>
          <cell r="D592" t="e">
            <v>#N/A</v>
          </cell>
          <cell r="E592">
            <v>30.060869565217356</v>
          </cell>
          <cell r="F592">
            <v>35.539130434782635</v>
          </cell>
          <cell r="G592">
            <v>34.234782608695539</v>
          </cell>
          <cell r="H592">
            <v>34.234782608695539</v>
          </cell>
          <cell r="I592" t="e">
            <v>#N/A</v>
          </cell>
          <cell r="J592" t="e">
            <v>#N/A</v>
          </cell>
          <cell r="K592" t="e">
            <v>#N/A</v>
          </cell>
          <cell r="L592" t="e">
            <v>#N/A</v>
          </cell>
          <cell r="M592" t="e">
            <v>#N/A</v>
          </cell>
          <cell r="N592" t="e">
            <v>#N/A</v>
          </cell>
          <cell r="O592" t="e">
            <v>#N/A</v>
          </cell>
          <cell r="P592">
            <v>34.65</v>
          </cell>
          <cell r="Q592" t="str">
            <v/>
          </cell>
          <cell r="R592" t="e">
            <v>#N/A</v>
          </cell>
        </row>
        <row r="593">
          <cell r="A593">
            <v>40011</v>
          </cell>
          <cell r="B593">
            <v>40011</v>
          </cell>
          <cell r="C593" t="str">
            <v>Future</v>
          </cell>
          <cell r="D593" t="e">
            <v>#N/A</v>
          </cell>
          <cell r="E593">
            <v>29.924229249011823</v>
          </cell>
          <cell r="F593">
            <v>35.568498023715442</v>
          </cell>
          <cell r="G593">
            <v>34.224624505928738</v>
          </cell>
          <cell r="H593">
            <v>34.224624505928738</v>
          </cell>
          <cell r="I593" t="e">
            <v>#N/A</v>
          </cell>
          <cell r="J593" t="e">
            <v>#N/A</v>
          </cell>
          <cell r="K593" t="e">
            <v>#N/A</v>
          </cell>
          <cell r="L593" t="e">
            <v>#N/A</v>
          </cell>
          <cell r="M593" t="e">
            <v>#N/A</v>
          </cell>
          <cell r="N593" t="e">
            <v>#N/A</v>
          </cell>
          <cell r="O593" t="e">
            <v>#N/A</v>
          </cell>
          <cell r="P593">
            <v>34.65</v>
          </cell>
          <cell r="Q593" t="str">
            <v/>
          </cell>
          <cell r="R593" t="e">
            <v>#N/A</v>
          </cell>
        </row>
        <row r="594">
          <cell r="A594">
            <v>40014</v>
          </cell>
          <cell r="B594">
            <v>40014</v>
          </cell>
          <cell r="C594" t="str">
            <v>Future</v>
          </cell>
          <cell r="D594" t="e">
            <v>#N/A</v>
          </cell>
          <cell r="E594">
            <v>29.78758893280629</v>
          </cell>
          <cell r="F594">
            <v>35.597865612648249</v>
          </cell>
          <cell r="G594">
            <v>34.214466403161936</v>
          </cell>
          <cell r="H594">
            <v>34.214466403161936</v>
          </cell>
          <cell r="I594" t="e">
            <v>#N/A</v>
          </cell>
          <cell r="J594" t="e">
            <v>#N/A</v>
          </cell>
          <cell r="K594" t="e">
            <v>#N/A</v>
          </cell>
          <cell r="L594" t="e">
            <v>#N/A</v>
          </cell>
          <cell r="M594" t="e">
            <v>#N/A</v>
          </cell>
          <cell r="N594" t="e">
            <v>#N/A</v>
          </cell>
          <cell r="O594" t="e">
            <v>#N/A</v>
          </cell>
          <cell r="P594">
            <v>34.65</v>
          </cell>
          <cell r="Q594" t="str">
            <v/>
          </cell>
          <cell r="R594" t="e">
            <v>#N/A</v>
          </cell>
        </row>
        <row r="595">
          <cell r="A595">
            <v>40015</v>
          </cell>
          <cell r="B595">
            <v>40015</v>
          </cell>
          <cell r="C595" t="str">
            <v>Future</v>
          </cell>
          <cell r="D595" t="e">
            <v>#N/A</v>
          </cell>
          <cell r="E595">
            <v>29.650948616600758</v>
          </cell>
          <cell r="F595">
            <v>35.627233201581056</v>
          </cell>
          <cell r="G595">
            <v>34.204308300395134</v>
          </cell>
          <cell r="H595">
            <v>34.204308300395134</v>
          </cell>
          <cell r="I595" t="e">
            <v>#N/A</v>
          </cell>
          <cell r="J595" t="e">
            <v>#N/A</v>
          </cell>
          <cell r="K595" t="e">
            <v>#N/A</v>
          </cell>
          <cell r="L595" t="e">
            <v>#N/A</v>
          </cell>
          <cell r="M595" t="e">
            <v>#N/A</v>
          </cell>
          <cell r="N595" t="e">
            <v>#N/A</v>
          </cell>
          <cell r="O595" t="e">
            <v>#N/A</v>
          </cell>
          <cell r="P595">
            <v>34.65</v>
          </cell>
          <cell r="Q595" t="str">
            <v/>
          </cell>
          <cell r="R595" t="e">
            <v>#N/A</v>
          </cell>
        </row>
        <row r="596">
          <cell r="A596">
            <v>40016</v>
          </cell>
          <cell r="B596">
            <v>40016</v>
          </cell>
          <cell r="C596" t="str">
            <v>Future</v>
          </cell>
          <cell r="D596" t="e">
            <v>#N/A</v>
          </cell>
          <cell r="E596">
            <v>29.514308300395225</v>
          </cell>
          <cell r="F596">
            <v>35.656600790513863</v>
          </cell>
          <cell r="G596">
            <v>34.194150197628332</v>
          </cell>
          <cell r="H596">
            <v>34.194150197628332</v>
          </cell>
          <cell r="I596" t="e">
            <v>#N/A</v>
          </cell>
          <cell r="J596" t="e">
            <v>#N/A</v>
          </cell>
          <cell r="K596" t="e">
            <v>#N/A</v>
          </cell>
          <cell r="L596" t="e">
            <v>#N/A</v>
          </cell>
          <cell r="M596" t="e">
            <v>#N/A</v>
          </cell>
          <cell r="N596" t="e">
            <v>#N/A</v>
          </cell>
          <cell r="O596" t="e">
            <v>#N/A</v>
          </cell>
          <cell r="P596">
            <v>34.65</v>
          </cell>
          <cell r="Q596" t="str">
            <v/>
          </cell>
          <cell r="R596" t="e">
            <v>#N/A</v>
          </cell>
        </row>
        <row r="597">
          <cell r="A597">
            <v>40017</v>
          </cell>
          <cell r="B597">
            <v>40017</v>
          </cell>
          <cell r="C597" t="str">
            <v>Future</v>
          </cell>
          <cell r="D597" t="e">
            <v>#N/A</v>
          </cell>
          <cell r="E597">
            <v>29.377667984189692</v>
          </cell>
          <cell r="F597">
            <v>35.68596837944667</v>
          </cell>
          <cell r="G597">
            <v>34.18399209486153</v>
          </cell>
          <cell r="H597">
            <v>34.18399209486153</v>
          </cell>
          <cell r="I597" t="e">
            <v>#N/A</v>
          </cell>
          <cell r="J597" t="e">
            <v>#N/A</v>
          </cell>
          <cell r="K597" t="e">
            <v>#N/A</v>
          </cell>
          <cell r="L597" t="e">
            <v>#N/A</v>
          </cell>
          <cell r="M597" t="e">
            <v>#N/A</v>
          </cell>
          <cell r="N597" t="e">
            <v>#N/A</v>
          </cell>
          <cell r="O597" t="e">
            <v>#N/A</v>
          </cell>
          <cell r="P597">
            <v>34.65</v>
          </cell>
          <cell r="Q597" t="str">
            <v/>
          </cell>
          <cell r="R597" t="e">
            <v>#N/A</v>
          </cell>
        </row>
        <row r="598">
          <cell r="A598">
            <v>40018</v>
          </cell>
          <cell r="B598">
            <v>40018</v>
          </cell>
          <cell r="C598" t="str">
            <v>Future</v>
          </cell>
          <cell r="D598" t="e">
            <v>#N/A</v>
          </cell>
          <cell r="E598">
            <v>29.241027667984159</v>
          </cell>
          <cell r="F598">
            <v>35.715335968379478</v>
          </cell>
          <cell r="G598">
            <v>34.173833992094728</v>
          </cell>
          <cell r="H598">
            <v>34.173833992094728</v>
          </cell>
          <cell r="I598" t="e">
            <v>#N/A</v>
          </cell>
          <cell r="J598" t="e">
            <v>#N/A</v>
          </cell>
          <cell r="K598" t="e">
            <v>#N/A</v>
          </cell>
          <cell r="L598" t="e">
            <v>#N/A</v>
          </cell>
          <cell r="M598" t="e">
            <v>#N/A</v>
          </cell>
          <cell r="N598" t="e">
            <v>#N/A</v>
          </cell>
          <cell r="O598" t="e">
            <v>#N/A</v>
          </cell>
          <cell r="P598">
            <v>34.65</v>
          </cell>
          <cell r="Q598" t="str">
            <v/>
          </cell>
          <cell r="R598" t="e">
            <v>#N/A</v>
          </cell>
        </row>
        <row r="599">
          <cell r="A599">
            <v>40021</v>
          </cell>
          <cell r="B599">
            <v>40021</v>
          </cell>
          <cell r="C599" t="str">
            <v>Future</v>
          </cell>
          <cell r="D599" t="e">
            <v>#N/A</v>
          </cell>
          <cell r="E599">
            <v>29.104387351778627</v>
          </cell>
          <cell r="F599">
            <v>35.744703557312285</v>
          </cell>
          <cell r="G599">
            <v>34.163675889327926</v>
          </cell>
          <cell r="H599">
            <v>34.163675889327926</v>
          </cell>
          <cell r="I599" t="e">
            <v>#N/A</v>
          </cell>
          <cell r="J599" t="e">
            <v>#N/A</v>
          </cell>
          <cell r="K599" t="e">
            <v>#N/A</v>
          </cell>
          <cell r="L599" t="e">
            <v>#N/A</v>
          </cell>
          <cell r="M599" t="e">
            <v>#N/A</v>
          </cell>
          <cell r="N599" t="e">
            <v>#N/A</v>
          </cell>
          <cell r="O599" t="e">
            <v>#N/A</v>
          </cell>
          <cell r="P599">
            <v>34.65</v>
          </cell>
          <cell r="Q599" t="str">
            <v/>
          </cell>
          <cell r="R599" t="e">
            <v>#N/A</v>
          </cell>
        </row>
        <row r="600">
          <cell r="A600">
            <v>40022</v>
          </cell>
          <cell r="B600">
            <v>40022</v>
          </cell>
          <cell r="C600" t="str">
            <v>Future</v>
          </cell>
          <cell r="D600" t="e">
            <v>#N/A</v>
          </cell>
          <cell r="E600">
            <v>28.967747035573094</v>
          </cell>
          <cell r="F600">
            <v>35.774071146245092</v>
          </cell>
          <cell r="G600">
            <v>34.153517786561125</v>
          </cell>
          <cell r="H600">
            <v>34.153517786561125</v>
          </cell>
          <cell r="I600" t="e">
            <v>#N/A</v>
          </cell>
          <cell r="J600" t="e">
            <v>#N/A</v>
          </cell>
          <cell r="K600" t="e">
            <v>#N/A</v>
          </cell>
          <cell r="L600" t="e">
            <v>#N/A</v>
          </cell>
          <cell r="M600" t="e">
            <v>#N/A</v>
          </cell>
          <cell r="N600" t="e">
            <v>#N/A</v>
          </cell>
          <cell r="O600" t="e">
            <v>#N/A</v>
          </cell>
          <cell r="P600">
            <v>34.65</v>
          </cell>
          <cell r="Q600" t="str">
            <v/>
          </cell>
          <cell r="R600" t="e">
            <v>#N/A</v>
          </cell>
        </row>
        <row r="601">
          <cell r="A601">
            <v>40023</v>
          </cell>
          <cell r="B601">
            <v>40023</v>
          </cell>
          <cell r="C601" t="str">
            <v>Future</v>
          </cell>
          <cell r="D601" t="e">
            <v>#N/A</v>
          </cell>
          <cell r="E601">
            <v>28.831106719367561</v>
          </cell>
          <cell r="F601">
            <v>35.803438735177899</v>
          </cell>
          <cell r="G601">
            <v>34.143359683794323</v>
          </cell>
          <cell r="H601">
            <v>34.143359683794323</v>
          </cell>
          <cell r="I601" t="e">
            <v>#N/A</v>
          </cell>
          <cell r="J601" t="e">
            <v>#N/A</v>
          </cell>
          <cell r="K601" t="e">
            <v>#N/A</v>
          </cell>
          <cell r="L601" t="e">
            <v>#N/A</v>
          </cell>
          <cell r="M601" t="e">
            <v>#N/A</v>
          </cell>
          <cell r="N601" t="e">
            <v>#N/A</v>
          </cell>
          <cell r="O601" t="e">
            <v>#N/A</v>
          </cell>
          <cell r="P601">
            <v>34.65</v>
          </cell>
          <cell r="Q601" t="str">
            <v/>
          </cell>
          <cell r="R601" t="e">
            <v>#N/A</v>
          </cell>
        </row>
        <row r="602">
          <cell r="A602">
            <v>40024</v>
          </cell>
          <cell r="B602">
            <v>40024</v>
          </cell>
          <cell r="C602" t="str">
            <v>Future</v>
          </cell>
          <cell r="D602" t="e">
            <v>#N/A</v>
          </cell>
          <cell r="E602">
            <v>28.694466403162028</v>
          </cell>
          <cell r="F602">
            <v>35.832806324110706</v>
          </cell>
          <cell r="G602">
            <v>34.133201581027521</v>
          </cell>
          <cell r="H602">
            <v>34.133201581027521</v>
          </cell>
          <cell r="I602" t="e">
            <v>#N/A</v>
          </cell>
          <cell r="J602" t="e">
            <v>#N/A</v>
          </cell>
          <cell r="K602" t="e">
            <v>#N/A</v>
          </cell>
          <cell r="L602" t="e">
            <v>#N/A</v>
          </cell>
          <cell r="M602" t="e">
            <v>#N/A</v>
          </cell>
          <cell r="N602" t="e">
            <v>#N/A</v>
          </cell>
          <cell r="O602" t="e">
            <v>#N/A</v>
          </cell>
          <cell r="P602">
            <v>34.65</v>
          </cell>
          <cell r="Q602" t="str">
            <v/>
          </cell>
          <cell r="R602" t="e">
            <v>#N/A</v>
          </cell>
        </row>
        <row r="603">
          <cell r="A603">
            <v>40025</v>
          </cell>
          <cell r="B603">
            <v>40025</v>
          </cell>
          <cell r="C603" t="str">
            <v>Future</v>
          </cell>
          <cell r="D603" t="e">
            <v>#N/A</v>
          </cell>
          <cell r="E603">
            <v>28.557826086956496</v>
          </cell>
          <cell r="F603">
            <v>35.862173913043513</v>
          </cell>
          <cell r="G603">
            <v>34.123043478260719</v>
          </cell>
          <cell r="H603">
            <v>34.123043478260719</v>
          </cell>
          <cell r="I603" t="e">
            <v>#N/A</v>
          </cell>
          <cell r="J603" t="e">
            <v>#N/A</v>
          </cell>
          <cell r="K603" t="e">
            <v>#N/A</v>
          </cell>
          <cell r="L603" t="e">
            <v>#N/A</v>
          </cell>
          <cell r="M603" t="e">
            <v>#N/A</v>
          </cell>
          <cell r="N603" t="e">
            <v>#N/A</v>
          </cell>
          <cell r="O603" t="e">
            <v>#N/A</v>
          </cell>
          <cell r="P603">
            <v>34.65</v>
          </cell>
          <cell r="Q603" t="str">
            <v/>
          </cell>
          <cell r="R603" t="e">
            <v>#N/A</v>
          </cell>
        </row>
        <row r="604">
          <cell r="A604">
            <v>40028</v>
          </cell>
          <cell r="B604">
            <v>40028</v>
          </cell>
          <cell r="C604" t="str">
            <v>Future</v>
          </cell>
          <cell r="D604" t="e">
            <v>#N/A</v>
          </cell>
          <cell r="E604">
            <v>28.421185770750963</v>
          </cell>
          <cell r="F604">
            <v>35.89154150197632</v>
          </cell>
          <cell r="G604">
            <v>34.112885375493917</v>
          </cell>
          <cell r="H604">
            <v>34.112885375493917</v>
          </cell>
          <cell r="I604" t="e">
            <v>#N/A</v>
          </cell>
          <cell r="J604" t="e">
            <v>#N/A</v>
          </cell>
          <cell r="K604" t="e">
            <v>#N/A</v>
          </cell>
          <cell r="L604" t="e">
            <v>#N/A</v>
          </cell>
          <cell r="M604" t="e">
            <v>#N/A</v>
          </cell>
          <cell r="N604" t="e">
            <v>#N/A</v>
          </cell>
          <cell r="O604" t="e">
            <v>#N/A</v>
          </cell>
          <cell r="P604">
            <v>34.65</v>
          </cell>
          <cell r="Q604" t="str">
            <v/>
          </cell>
          <cell r="R604" t="e">
            <v>#N/A</v>
          </cell>
        </row>
        <row r="605">
          <cell r="A605">
            <v>40029</v>
          </cell>
          <cell r="B605">
            <v>40029</v>
          </cell>
          <cell r="C605" t="str">
            <v>Future</v>
          </cell>
          <cell r="D605" t="e">
            <v>#N/A</v>
          </cell>
          <cell r="E605">
            <v>28.28454545454543</v>
          </cell>
          <cell r="F605">
            <v>35.920909090909127</v>
          </cell>
          <cell r="G605">
            <v>34.102727272727115</v>
          </cell>
          <cell r="H605">
            <v>34.102727272727115</v>
          </cell>
          <cell r="I605" t="e">
            <v>#N/A</v>
          </cell>
          <cell r="J605" t="e">
            <v>#N/A</v>
          </cell>
          <cell r="K605" t="e">
            <v>#N/A</v>
          </cell>
          <cell r="L605" t="e">
            <v>#N/A</v>
          </cell>
          <cell r="M605" t="e">
            <v>#N/A</v>
          </cell>
          <cell r="N605" t="e">
            <v>#N/A</v>
          </cell>
          <cell r="O605" t="e">
            <v>#N/A</v>
          </cell>
          <cell r="P605">
            <v>34.65</v>
          </cell>
          <cell r="Q605" t="str">
            <v/>
          </cell>
          <cell r="R605" t="e">
            <v>#N/A</v>
          </cell>
        </row>
        <row r="606">
          <cell r="A606">
            <v>40030</v>
          </cell>
          <cell r="B606">
            <v>40030</v>
          </cell>
          <cell r="C606" t="str">
            <v>Future</v>
          </cell>
          <cell r="D606" t="e">
            <v>#N/A</v>
          </cell>
          <cell r="E606">
            <v>28.147905138339897</v>
          </cell>
          <cell r="F606">
            <v>35.950276679841934</v>
          </cell>
          <cell r="G606">
            <v>34.092569169960314</v>
          </cell>
          <cell r="H606">
            <v>34.092569169960314</v>
          </cell>
          <cell r="I606" t="e">
            <v>#N/A</v>
          </cell>
          <cell r="J606" t="e">
            <v>#N/A</v>
          </cell>
          <cell r="K606" t="e">
            <v>#N/A</v>
          </cell>
          <cell r="L606" t="e">
            <v>#N/A</v>
          </cell>
          <cell r="M606" t="e">
            <v>#N/A</v>
          </cell>
          <cell r="N606" t="e">
            <v>#N/A</v>
          </cell>
          <cell r="O606" t="e">
            <v>#N/A</v>
          </cell>
          <cell r="P606">
            <v>34.65</v>
          </cell>
          <cell r="Q606" t="str">
            <v/>
          </cell>
          <cell r="R606" t="e">
            <v>#N/A</v>
          </cell>
        </row>
        <row r="607">
          <cell r="A607">
            <v>40031</v>
          </cell>
          <cell r="B607">
            <v>40031</v>
          </cell>
          <cell r="C607" t="str">
            <v>Future</v>
          </cell>
          <cell r="D607" t="e">
            <v>#N/A</v>
          </cell>
          <cell r="E607">
            <v>28.011264822134365</v>
          </cell>
          <cell r="F607">
            <v>35.979644268774742</v>
          </cell>
          <cell r="G607">
            <v>34.082411067193512</v>
          </cell>
          <cell r="H607">
            <v>34.082411067193512</v>
          </cell>
          <cell r="I607" t="e">
            <v>#N/A</v>
          </cell>
          <cell r="J607" t="e">
            <v>#N/A</v>
          </cell>
          <cell r="K607" t="e">
            <v>#N/A</v>
          </cell>
          <cell r="L607" t="e">
            <v>#N/A</v>
          </cell>
          <cell r="M607" t="e">
            <v>#N/A</v>
          </cell>
          <cell r="N607" t="e">
            <v>#N/A</v>
          </cell>
          <cell r="O607" t="e">
            <v>#N/A</v>
          </cell>
          <cell r="P607">
            <v>34.65</v>
          </cell>
          <cell r="Q607" t="str">
            <v/>
          </cell>
          <cell r="R607" t="e">
            <v>#N/A</v>
          </cell>
        </row>
        <row r="608">
          <cell r="A608">
            <v>40032</v>
          </cell>
          <cell r="B608">
            <v>40032</v>
          </cell>
          <cell r="C608" t="str">
            <v>Future</v>
          </cell>
          <cell r="D608" t="e">
            <v>#N/A</v>
          </cell>
          <cell r="E608">
            <v>27.874624505928832</v>
          </cell>
          <cell r="F608">
            <v>36.009011857707549</v>
          </cell>
          <cell r="G608">
            <v>34.07225296442671</v>
          </cell>
          <cell r="H608">
            <v>34.07225296442671</v>
          </cell>
          <cell r="I608" t="e">
            <v>#N/A</v>
          </cell>
          <cell r="J608" t="e">
            <v>#N/A</v>
          </cell>
          <cell r="K608" t="e">
            <v>#N/A</v>
          </cell>
          <cell r="L608" t="e">
            <v>#N/A</v>
          </cell>
          <cell r="M608" t="e">
            <v>#N/A</v>
          </cell>
          <cell r="N608" t="e">
            <v>#N/A</v>
          </cell>
          <cell r="O608" t="e">
            <v>#N/A</v>
          </cell>
          <cell r="P608">
            <v>34.65</v>
          </cell>
          <cell r="Q608" t="str">
            <v/>
          </cell>
          <cell r="R608" t="e">
            <v>#N/A</v>
          </cell>
        </row>
        <row r="609">
          <cell r="A609">
            <v>40035</v>
          </cell>
          <cell r="B609">
            <v>40035</v>
          </cell>
          <cell r="C609" t="str">
            <v>Future</v>
          </cell>
          <cell r="D609" t="e">
            <v>#N/A</v>
          </cell>
          <cell r="E609">
            <v>27.737984189723299</v>
          </cell>
          <cell r="F609">
            <v>36.038379446640356</v>
          </cell>
          <cell r="G609">
            <v>34.062094861659908</v>
          </cell>
          <cell r="H609">
            <v>34.062094861659908</v>
          </cell>
          <cell r="I609" t="e">
            <v>#N/A</v>
          </cell>
          <cell r="J609" t="e">
            <v>#N/A</v>
          </cell>
          <cell r="K609" t="e">
            <v>#N/A</v>
          </cell>
          <cell r="L609" t="e">
            <v>#N/A</v>
          </cell>
          <cell r="M609" t="e">
            <v>#N/A</v>
          </cell>
          <cell r="N609" t="e">
            <v>#N/A</v>
          </cell>
          <cell r="O609" t="e">
            <v>#N/A</v>
          </cell>
          <cell r="P609">
            <v>34.65</v>
          </cell>
          <cell r="Q609" t="str">
            <v/>
          </cell>
          <cell r="R609" t="e">
            <v>#N/A</v>
          </cell>
        </row>
        <row r="610">
          <cell r="A610">
            <v>40036</v>
          </cell>
          <cell r="B610">
            <v>40036</v>
          </cell>
          <cell r="C610" t="str">
            <v>Future</v>
          </cell>
          <cell r="D610" t="e">
            <v>#N/A</v>
          </cell>
          <cell r="E610">
            <v>27.601343873517767</v>
          </cell>
          <cell r="F610">
            <v>36.067747035573163</v>
          </cell>
          <cell r="G610">
            <v>34.051936758893106</v>
          </cell>
          <cell r="H610">
            <v>34.051936758893106</v>
          </cell>
          <cell r="I610" t="e">
            <v>#N/A</v>
          </cell>
          <cell r="J610" t="e">
            <v>#N/A</v>
          </cell>
          <cell r="K610" t="e">
            <v>#N/A</v>
          </cell>
          <cell r="L610" t="e">
            <v>#N/A</v>
          </cell>
          <cell r="M610" t="e">
            <v>#N/A</v>
          </cell>
          <cell r="N610" t="e">
            <v>#N/A</v>
          </cell>
          <cell r="O610" t="e">
            <v>#N/A</v>
          </cell>
          <cell r="P610">
            <v>34.65</v>
          </cell>
          <cell r="Q610" t="str">
            <v/>
          </cell>
          <cell r="R610" t="e">
            <v>#N/A</v>
          </cell>
        </row>
        <row r="611">
          <cell r="A611">
            <v>40037</v>
          </cell>
          <cell r="B611">
            <v>40037</v>
          </cell>
          <cell r="C611" t="str">
            <v>Future</v>
          </cell>
          <cell r="D611" t="e">
            <v>#N/A</v>
          </cell>
          <cell r="E611">
            <v>27.464703557312234</v>
          </cell>
          <cell r="F611">
            <v>36.09711462450597</v>
          </cell>
          <cell r="G611">
            <v>34.041778656126304</v>
          </cell>
          <cell r="H611">
            <v>34.041778656126304</v>
          </cell>
          <cell r="I611" t="e">
            <v>#N/A</v>
          </cell>
          <cell r="J611" t="e">
            <v>#N/A</v>
          </cell>
          <cell r="K611" t="e">
            <v>#N/A</v>
          </cell>
          <cell r="L611" t="e">
            <v>#N/A</v>
          </cell>
          <cell r="M611" t="e">
            <v>#N/A</v>
          </cell>
          <cell r="N611" t="e">
            <v>#N/A</v>
          </cell>
          <cell r="O611" t="e">
            <v>#N/A</v>
          </cell>
          <cell r="P611">
            <v>34.65</v>
          </cell>
          <cell r="Q611" t="str">
            <v/>
          </cell>
          <cell r="R611" t="e">
            <v>#N/A</v>
          </cell>
        </row>
        <row r="612">
          <cell r="A612">
            <v>40038</v>
          </cell>
          <cell r="B612">
            <v>40038</v>
          </cell>
          <cell r="C612" t="str">
            <v>Future</v>
          </cell>
          <cell r="D612" t="e">
            <v>#N/A</v>
          </cell>
          <cell r="E612">
            <v>27.328063241106701</v>
          </cell>
          <cell r="F612">
            <v>36.126482213438777</v>
          </cell>
          <cell r="G612">
            <v>34.031620553359502</v>
          </cell>
          <cell r="H612">
            <v>34.031620553359502</v>
          </cell>
          <cell r="I612" t="e">
            <v>#N/A</v>
          </cell>
          <cell r="J612" t="e">
            <v>#N/A</v>
          </cell>
          <cell r="K612" t="e">
            <v>#N/A</v>
          </cell>
          <cell r="L612" t="e">
            <v>#N/A</v>
          </cell>
          <cell r="M612" t="e">
            <v>#N/A</v>
          </cell>
          <cell r="N612" t="e">
            <v>#N/A</v>
          </cell>
          <cell r="O612" t="e">
            <v>#N/A</v>
          </cell>
          <cell r="P612">
            <v>34.65</v>
          </cell>
          <cell r="Q612" t="str">
            <v/>
          </cell>
          <cell r="R612" t="e">
            <v>#N/A</v>
          </cell>
        </row>
        <row r="613">
          <cell r="A613">
            <v>40039</v>
          </cell>
          <cell r="B613">
            <v>40039</v>
          </cell>
          <cell r="C613" t="str">
            <v>Future</v>
          </cell>
          <cell r="D613" t="e">
            <v>#N/A</v>
          </cell>
          <cell r="E613">
            <v>27.191422924901168</v>
          </cell>
          <cell r="F613">
            <v>36.155849802371584</v>
          </cell>
          <cell r="G613">
            <v>34.021462450592701</v>
          </cell>
          <cell r="H613">
            <v>34.021462450592701</v>
          </cell>
          <cell r="I613" t="e">
            <v>#N/A</v>
          </cell>
          <cell r="J613" t="e">
            <v>#N/A</v>
          </cell>
          <cell r="K613" t="e">
            <v>#N/A</v>
          </cell>
          <cell r="L613" t="e">
            <v>#N/A</v>
          </cell>
          <cell r="M613" t="e">
            <v>#N/A</v>
          </cell>
          <cell r="N613" t="e">
            <v>#N/A</v>
          </cell>
          <cell r="O613" t="e">
            <v>#N/A</v>
          </cell>
          <cell r="P613">
            <v>34.65</v>
          </cell>
          <cell r="Q613" t="str">
            <v/>
          </cell>
          <cell r="R613" t="e">
            <v>#N/A</v>
          </cell>
        </row>
        <row r="614">
          <cell r="A614">
            <v>40042</v>
          </cell>
          <cell r="B614">
            <v>40042</v>
          </cell>
          <cell r="C614" t="str">
            <v>Future</v>
          </cell>
          <cell r="D614" t="e">
            <v>#N/A</v>
          </cell>
          <cell r="E614">
            <v>27.054782608695636</v>
          </cell>
          <cell r="F614">
            <v>36.185217391304391</v>
          </cell>
          <cell r="G614">
            <v>34.011304347825899</v>
          </cell>
          <cell r="H614">
            <v>34.011304347825899</v>
          </cell>
          <cell r="I614" t="e">
            <v>#N/A</v>
          </cell>
          <cell r="J614" t="e">
            <v>#N/A</v>
          </cell>
          <cell r="K614" t="e">
            <v>#N/A</v>
          </cell>
          <cell r="L614" t="e">
            <v>#N/A</v>
          </cell>
          <cell r="M614" t="e">
            <v>#N/A</v>
          </cell>
          <cell r="N614" t="e">
            <v>#N/A</v>
          </cell>
          <cell r="O614" t="e">
            <v>#N/A</v>
          </cell>
          <cell r="P614">
            <v>34.65</v>
          </cell>
          <cell r="Q614" t="str">
            <v/>
          </cell>
          <cell r="R614" t="e">
            <v>#N/A</v>
          </cell>
        </row>
        <row r="615">
          <cell r="A615">
            <v>40043</v>
          </cell>
          <cell r="B615">
            <v>40043</v>
          </cell>
          <cell r="C615" t="str">
            <v>Future</v>
          </cell>
          <cell r="D615" t="e">
            <v>#N/A</v>
          </cell>
          <cell r="E615">
            <v>26.918142292490103</v>
          </cell>
          <cell r="F615">
            <v>36.214584980237198</v>
          </cell>
          <cell r="G615">
            <v>34.001146245059097</v>
          </cell>
          <cell r="H615">
            <v>34.001146245059097</v>
          </cell>
          <cell r="I615" t="e">
            <v>#N/A</v>
          </cell>
          <cell r="J615" t="e">
            <v>#N/A</v>
          </cell>
          <cell r="K615" t="e">
            <v>#N/A</v>
          </cell>
          <cell r="L615" t="e">
            <v>#N/A</v>
          </cell>
          <cell r="M615" t="e">
            <v>#N/A</v>
          </cell>
          <cell r="N615" t="e">
            <v>#N/A</v>
          </cell>
          <cell r="O615" t="e">
            <v>#N/A</v>
          </cell>
          <cell r="P615">
            <v>34.65</v>
          </cell>
          <cell r="Q615" t="str">
            <v/>
          </cell>
          <cell r="R615" t="e">
            <v>#N/A</v>
          </cell>
        </row>
        <row r="616">
          <cell r="A616">
            <v>40044</v>
          </cell>
          <cell r="B616">
            <v>40044</v>
          </cell>
          <cell r="C616" t="str">
            <v>Future</v>
          </cell>
          <cell r="D616" t="e">
            <v>#N/A</v>
          </cell>
          <cell r="E616">
            <v>26.78150197628457</v>
          </cell>
          <cell r="F616">
            <v>36.243952569170006</v>
          </cell>
          <cell r="G616">
            <v>33.990988142292295</v>
          </cell>
          <cell r="H616">
            <v>33.990988142292295</v>
          </cell>
          <cell r="I616" t="e">
            <v>#N/A</v>
          </cell>
          <cell r="J616" t="e">
            <v>#N/A</v>
          </cell>
          <cell r="K616" t="e">
            <v>#N/A</v>
          </cell>
          <cell r="L616" t="e">
            <v>#N/A</v>
          </cell>
          <cell r="M616" t="e">
            <v>#N/A</v>
          </cell>
          <cell r="N616" t="e">
            <v>#N/A</v>
          </cell>
          <cell r="O616" t="e">
            <v>#N/A</v>
          </cell>
          <cell r="P616">
            <v>34.65</v>
          </cell>
          <cell r="Q616" t="str">
            <v/>
          </cell>
          <cell r="R616" t="e">
            <v>#N/A</v>
          </cell>
        </row>
        <row r="617">
          <cell r="A617">
            <v>40045</v>
          </cell>
          <cell r="B617">
            <v>40045</v>
          </cell>
          <cell r="C617" t="str">
            <v>Future</v>
          </cell>
          <cell r="D617" t="e">
            <v>#N/A</v>
          </cell>
          <cell r="E617">
            <v>26.644861660079037</v>
          </cell>
          <cell r="F617">
            <v>36.273320158102813</v>
          </cell>
          <cell r="G617">
            <v>33.980830039525493</v>
          </cell>
          <cell r="H617">
            <v>33.980830039525493</v>
          </cell>
          <cell r="I617" t="e">
            <v>#N/A</v>
          </cell>
          <cell r="J617" t="e">
            <v>#N/A</v>
          </cell>
          <cell r="K617" t="e">
            <v>#N/A</v>
          </cell>
          <cell r="L617" t="e">
            <v>#N/A</v>
          </cell>
          <cell r="M617" t="e">
            <v>#N/A</v>
          </cell>
          <cell r="N617" t="e">
            <v>#N/A</v>
          </cell>
          <cell r="O617" t="e">
            <v>#N/A</v>
          </cell>
          <cell r="P617">
            <v>34.65</v>
          </cell>
          <cell r="Q617" t="str">
            <v/>
          </cell>
          <cell r="R617" t="e">
            <v>#N/A</v>
          </cell>
        </row>
        <row r="618">
          <cell r="A618">
            <v>40046</v>
          </cell>
          <cell r="B618">
            <v>40046</v>
          </cell>
          <cell r="C618" t="str">
            <v>Future</v>
          </cell>
          <cell r="D618" t="e">
            <v>#N/A</v>
          </cell>
          <cell r="E618">
            <v>26.508221343873505</v>
          </cell>
          <cell r="F618">
            <v>36.30268774703562</v>
          </cell>
          <cell r="G618">
            <v>33.970671936758691</v>
          </cell>
          <cell r="H618">
            <v>33.970671936758691</v>
          </cell>
          <cell r="I618" t="e">
            <v>#N/A</v>
          </cell>
          <cell r="J618" t="e">
            <v>#N/A</v>
          </cell>
          <cell r="K618" t="e">
            <v>#N/A</v>
          </cell>
          <cell r="L618" t="e">
            <v>#N/A</v>
          </cell>
          <cell r="M618" t="e">
            <v>#N/A</v>
          </cell>
          <cell r="N618" t="e">
            <v>#N/A</v>
          </cell>
          <cell r="O618" t="e">
            <v>#N/A</v>
          </cell>
          <cell r="P618">
            <v>34.65</v>
          </cell>
          <cell r="Q618" t="str">
            <v/>
          </cell>
          <cell r="R618" t="e">
            <v>#N/A</v>
          </cell>
        </row>
        <row r="619">
          <cell r="A619">
            <v>40049</v>
          </cell>
          <cell r="B619">
            <v>40049</v>
          </cell>
          <cell r="C619" t="str">
            <v>Future</v>
          </cell>
          <cell r="D619" t="e">
            <v>#N/A</v>
          </cell>
          <cell r="E619">
            <v>26.371581027667972</v>
          </cell>
          <cell r="F619">
            <v>36.332055335968427</v>
          </cell>
          <cell r="G619">
            <v>33.960513833991889</v>
          </cell>
          <cell r="H619">
            <v>33.960513833991889</v>
          </cell>
          <cell r="I619" t="e">
            <v>#N/A</v>
          </cell>
          <cell r="J619" t="e">
            <v>#N/A</v>
          </cell>
          <cell r="K619" t="e">
            <v>#N/A</v>
          </cell>
          <cell r="L619" t="e">
            <v>#N/A</v>
          </cell>
          <cell r="M619" t="e">
            <v>#N/A</v>
          </cell>
          <cell r="N619" t="e">
            <v>#N/A</v>
          </cell>
          <cell r="O619" t="e">
            <v>#N/A</v>
          </cell>
          <cell r="P619">
            <v>34.65</v>
          </cell>
          <cell r="Q619" t="str">
            <v/>
          </cell>
          <cell r="R619" t="e">
            <v>#N/A</v>
          </cell>
        </row>
        <row r="620">
          <cell r="A620">
            <v>40050</v>
          </cell>
          <cell r="B620">
            <v>40050</v>
          </cell>
          <cell r="C620" t="str">
            <v>Future</v>
          </cell>
          <cell r="D620" t="e">
            <v>#N/A</v>
          </cell>
          <cell r="E620">
            <v>26.234940711462439</v>
          </cell>
          <cell r="F620">
            <v>36.361422924901234</v>
          </cell>
          <cell r="G620">
            <v>33.950355731225088</v>
          </cell>
          <cell r="H620">
            <v>33.950355731225088</v>
          </cell>
          <cell r="I620" t="e">
            <v>#N/A</v>
          </cell>
          <cell r="J620" t="e">
            <v>#N/A</v>
          </cell>
          <cell r="K620" t="e">
            <v>#N/A</v>
          </cell>
          <cell r="L620" t="e">
            <v>#N/A</v>
          </cell>
          <cell r="M620" t="e">
            <v>#N/A</v>
          </cell>
          <cell r="N620" t="e">
            <v>#N/A</v>
          </cell>
          <cell r="O620" t="e">
            <v>#N/A</v>
          </cell>
          <cell r="P620">
            <v>34.65</v>
          </cell>
          <cell r="Q620" t="str">
            <v/>
          </cell>
          <cell r="R620" t="e">
            <v>#N/A</v>
          </cell>
        </row>
        <row r="621">
          <cell r="A621">
            <v>40051</v>
          </cell>
          <cell r="B621">
            <v>40051</v>
          </cell>
          <cell r="C621" t="str">
            <v>Future</v>
          </cell>
          <cell r="D621" t="e">
            <v>#N/A</v>
          </cell>
          <cell r="E621">
            <v>26.098300395256906</v>
          </cell>
          <cell r="F621">
            <v>36.390790513834041</v>
          </cell>
          <cell r="G621">
            <v>33.940197628458286</v>
          </cell>
          <cell r="H621">
            <v>33.940197628458286</v>
          </cell>
          <cell r="I621" t="e">
            <v>#N/A</v>
          </cell>
          <cell r="J621" t="e">
            <v>#N/A</v>
          </cell>
          <cell r="K621" t="e">
            <v>#N/A</v>
          </cell>
          <cell r="L621" t="e">
            <v>#N/A</v>
          </cell>
          <cell r="M621" t="e">
            <v>#N/A</v>
          </cell>
          <cell r="N621" t="e">
            <v>#N/A</v>
          </cell>
          <cell r="O621" t="e">
            <v>#N/A</v>
          </cell>
          <cell r="P621">
            <v>34.65</v>
          </cell>
          <cell r="Q621" t="str">
            <v/>
          </cell>
          <cell r="R621" t="e">
            <v>#N/A</v>
          </cell>
        </row>
        <row r="622">
          <cell r="A622">
            <v>40052</v>
          </cell>
          <cell r="B622">
            <v>40052</v>
          </cell>
          <cell r="C622" t="str">
            <v>Future</v>
          </cell>
          <cell r="D622" t="e">
            <v>#N/A</v>
          </cell>
          <cell r="E622">
            <v>25.961660079051374</v>
          </cell>
          <cell r="F622">
            <v>36.420158102766848</v>
          </cell>
          <cell r="G622">
            <v>33.930039525691484</v>
          </cell>
          <cell r="H622">
            <v>33.930039525691484</v>
          </cell>
          <cell r="I622" t="e">
            <v>#N/A</v>
          </cell>
          <cell r="J622" t="e">
            <v>#N/A</v>
          </cell>
          <cell r="K622" t="e">
            <v>#N/A</v>
          </cell>
          <cell r="L622" t="e">
            <v>#N/A</v>
          </cell>
          <cell r="M622" t="e">
            <v>#N/A</v>
          </cell>
          <cell r="N622" t="e">
            <v>#N/A</v>
          </cell>
          <cell r="O622" t="e">
            <v>#N/A</v>
          </cell>
          <cell r="P622">
            <v>34.65</v>
          </cell>
          <cell r="Q622" t="str">
            <v/>
          </cell>
          <cell r="R622" t="e">
            <v>#N/A</v>
          </cell>
        </row>
        <row r="623">
          <cell r="A623">
            <v>40053</v>
          </cell>
          <cell r="B623">
            <v>40053</v>
          </cell>
          <cell r="C623" t="str">
            <v>Future</v>
          </cell>
          <cell r="D623" t="e">
            <v>#N/A</v>
          </cell>
          <cell r="E623">
            <v>25.825019762845841</v>
          </cell>
          <cell r="F623">
            <v>36.449525691699655</v>
          </cell>
          <cell r="G623">
            <v>33.919881422924682</v>
          </cell>
          <cell r="H623">
            <v>33.919881422924682</v>
          </cell>
          <cell r="I623" t="e">
            <v>#N/A</v>
          </cell>
          <cell r="J623" t="e">
            <v>#N/A</v>
          </cell>
          <cell r="K623" t="e">
            <v>#N/A</v>
          </cell>
          <cell r="L623" t="e">
            <v>#N/A</v>
          </cell>
          <cell r="M623" t="e">
            <v>#N/A</v>
          </cell>
          <cell r="N623" t="e">
            <v>#N/A</v>
          </cell>
          <cell r="O623" t="e">
            <v>#N/A</v>
          </cell>
          <cell r="P623">
            <v>34.65</v>
          </cell>
          <cell r="Q623" t="str">
            <v/>
          </cell>
          <cell r="R623" t="e">
            <v>#N/A</v>
          </cell>
        </row>
        <row r="624">
          <cell r="A624">
            <v>40056</v>
          </cell>
          <cell r="B624">
            <v>40056</v>
          </cell>
          <cell r="C624" t="str">
            <v>Future</v>
          </cell>
          <cell r="D624" t="e">
            <v>#N/A</v>
          </cell>
          <cell r="E624">
            <v>25.688379446640308</v>
          </cell>
          <cell r="F624">
            <v>36.478893280632462</v>
          </cell>
          <cell r="G624">
            <v>33.90972332015788</v>
          </cell>
          <cell r="H624">
            <v>33.90972332015788</v>
          </cell>
          <cell r="I624" t="e">
            <v>#N/A</v>
          </cell>
          <cell r="J624" t="e">
            <v>#N/A</v>
          </cell>
          <cell r="K624" t="e">
            <v>#N/A</v>
          </cell>
          <cell r="L624" t="e">
            <v>#N/A</v>
          </cell>
          <cell r="M624" t="e">
            <v>#N/A</v>
          </cell>
          <cell r="N624" t="e">
            <v>#N/A</v>
          </cell>
          <cell r="O624" t="e">
            <v>#N/A</v>
          </cell>
          <cell r="P624">
            <v>34.65</v>
          </cell>
          <cell r="Q624" t="str">
            <v/>
          </cell>
          <cell r="R624" t="e">
            <v>#N/A</v>
          </cell>
        </row>
        <row r="625">
          <cell r="A625">
            <v>40057</v>
          </cell>
          <cell r="B625">
            <v>40057</v>
          </cell>
          <cell r="C625" t="str">
            <v>Future</v>
          </cell>
          <cell r="D625" t="e">
            <v>#N/A</v>
          </cell>
          <cell r="E625">
            <v>25.551739130434775</v>
          </cell>
          <cell r="F625">
            <v>36.50826086956527</v>
          </cell>
          <cell r="G625">
            <v>33.899565217391078</v>
          </cell>
          <cell r="H625">
            <v>33.899565217391078</v>
          </cell>
          <cell r="I625" t="e">
            <v>#N/A</v>
          </cell>
          <cell r="J625" t="e">
            <v>#N/A</v>
          </cell>
          <cell r="K625" t="e">
            <v>#N/A</v>
          </cell>
          <cell r="L625" t="e">
            <v>#N/A</v>
          </cell>
          <cell r="M625" t="e">
            <v>#N/A</v>
          </cell>
          <cell r="N625" t="e">
            <v>#N/A</v>
          </cell>
          <cell r="O625" t="e">
            <v>#N/A</v>
          </cell>
          <cell r="P625">
            <v>34.65</v>
          </cell>
          <cell r="Q625" t="str">
            <v/>
          </cell>
          <cell r="R625" t="e">
            <v>#N/A</v>
          </cell>
        </row>
        <row r="626">
          <cell r="A626">
            <v>40058</v>
          </cell>
          <cell r="B626">
            <v>40058</v>
          </cell>
          <cell r="C626" t="str">
            <v>Future</v>
          </cell>
          <cell r="D626" t="e">
            <v>#N/A</v>
          </cell>
          <cell r="E626">
            <v>25.415098814229243</v>
          </cell>
          <cell r="F626">
            <v>36.537628458498077</v>
          </cell>
          <cell r="G626">
            <v>33.889407114624277</v>
          </cell>
          <cell r="H626">
            <v>33.889407114624277</v>
          </cell>
          <cell r="I626" t="e">
            <v>#N/A</v>
          </cell>
          <cell r="J626" t="e">
            <v>#N/A</v>
          </cell>
          <cell r="K626" t="e">
            <v>#N/A</v>
          </cell>
          <cell r="L626" t="e">
            <v>#N/A</v>
          </cell>
          <cell r="M626" t="e">
            <v>#N/A</v>
          </cell>
          <cell r="N626" t="e">
            <v>#N/A</v>
          </cell>
          <cell r="O626" t="e">
            <v>#N/A</v>
          </cell>
          <cell r="P626">
            <v>34.65</v>
          </cell>
          <cell r="Q626" t="str">
            <v/>
          </cell>
          <cell r="R626" t="e">
            <v>#N/A</v>
          </cell>
        </row>
        <row r="627">
          <cell r="A627">
            <v>40059</v>
          </cell>
          <cell r="B627">
            <v>40059</v>
          </cell>
          <cell r="C627" t="str">
            <v>Future</v>
          </cell>
          <cell r="D627" t="e">
            <v>#N/A</v>
          </cell>
          <cell r="E627">
            <v>25.27845849802371</v>
          </cell>
          <cell r="F627">
            <v>36.566996047430884</v>
          </cell>
          <cell r="G627">
            <v>33.879249011857475</v>
          </cell>
          <cell r="H627">
            <v>33.879249011857475</v>
          </cell>
          <cell r="I627" t="e">
            <v>#N/A</v>
          </cell>
          <cell r="J627" t="e">
            <v>#N/A</v>
          </cell>
          <cell r="K627" t="e">
            <v>#N/A</v>
          </cell>
          <cell r="L627" t="e">
            <v>#N/A</v>
          </cell>
          <cell r="M627" t="e">
            <v>#N/A</v>
          </cell>
          <cell r="N627" t="e">
            <v>#N/A</v>
          </cell>
          <cell r="O627" t="e">
            <v>#N/A</v>
          </cell>
          <cell r="P627">
            <v>34.65</v>
          </cell>
          <cell r="Q627" t="str">
            <v/>
          </cell>
          <cell r="R627" t="e">
            <v>#N/A</v>
          </cell>
        </row>
        <row r="628">
          <cell r="A628">
            <v>40060</v>
          </cell>
          <cell r="B628">
            <v>40060</v>
          </cell>
          <cell r="C628" t="str">
            <v>Future</v>
          </cell>
          <cell r="D628" t="e">
            <v>#N/A</v>
          </cell>
          <cell r="E628">
            <v>25.141818181818177</v>
          </cell>
          <cell r="F628">
            <v>36.596363636363691</v>
          </cell>
          <cell r="G628">
            <v>33.869090909090673</v>
          </cell>
          <cell r="H628">
            <v>33.869090909090673</v>
          </cell>
          <cell r="I628" t="e">
            <v>#N/A</v>
          </cell>
          <cell r="J628" t="e">
            <v>#N/A</v>
          </cell>
          <cell r="K628" t="e">
            <v>#N/A</v>
          </cell>
          <cell r="L628" t="e">
            <v>#N/A</v>
          </cell>
          <cell r="M628" t="e">
            <v>#N/A</v>
          </cell>
          <cell r="N628" t="e">
            <v>#N/A</v>
          </cell>
          <cell r="O628" t="e">
            <v>#N/A</v>
          </cell>
          <cell r="P628">
            <v>34.65</v>
          </cell>
          <cell r="Q628" t="str">
            <v/>
          </cell>
          <cell r="R628" t="e">
            <v>#N/A</v>
          </cell>
        </row>
        <row r="629">
          <cell r="A629">
            <v>40064</v>
          </cell>
          <cell r="B629">
            <v>40064</v>
          </cell>
          <cell r="C629" t="str">
            <v>Future</v>
          </cell>
          <cell r="D629" t="e">
            <v>#N/A</v>
          </cell>
          <cell r="E629">
            <v>25.005177865612644</v>
          </cell>
          <cell r="F629">
            <v>36.625731225296498</v>
          </cell>
          <cell r="G629">
            <v>33.858932806323871</v>
          </cell>
          <cell r="H629">
            <v>33.858932806323871</v>
          </cell>
          <cell r="I629" t="e">
            <v>#N/A</v>
          </cell>
          <cell r="J629" t="e">
            <v>#N/A</v>
          </cell>
          <cell r="K629" t="e">
            <v>#N/A</v>
          </cell>
          <cell r="L629" t="e">
            <v>#N/A</v>
          </cell>
          <cell r="M629" t="e">
            <v>#N/A</v>
          </cell>
          <cell r="N629" t="e">
            <v>#N/A</v>
          </cell>
          <cell r="O629" t="e">
            <v>#N/A</v>
          </cell>
          <cell r="P629">
            <v>34.65</v>
          </cell>
          <cell r="Q629" t="str">
            <v/>
          </cell>
          <cell r="R629" t="e">
            <v>#N/A</v>
          </cell>
        </row>
        <row r="630">
          <cell r="A630">
            <v>40065</v>
          </cell>
          <cell r="B630">
            <v>40065</v>
          </cell>
          <cell r="C630" t="str">
            <v>Future</v>
          </cell>
          <cell r="D630" t="e">
            <v>#N/A</v>
          </cell>
          <cell r="E630">
            <v>24.868537549407112</v>
          </cell>
          <cell r="F630">
            <v>36.655098814229305</v>
          </cell>
          <cell r="G630">
            <v>33.848774703557069</v>
          </cell>
          <cell r="H630">
            <v>33.848774703557069</v>
          </cell>
          <cell r="I630" t="e">
            <v>#N/A</v>
          </cell>
          <cell r="J630" t="e">
            <v>#N/A</v>
          </cell>
          <cell r="K630" t="e">
            <v>#N/A</v>
          </cell>
          <cell r="L630" t="e">
            <v>#N/A</v>
          </cell>
          <cell r="M630" t="e">
            <v>#N/A</v>
          </cell>
          <cell r="N630" t="e">
            <v>#N/A</v>
          </cell>
          <cell r="O630" t="e">
            <v>#N/A</v>
          </cell>
          <cell r="P630">
            <v>34.65</v>
          </cell>
          <cell r="Q630" t="str">
            <v/>
          </cell>
          <cell r="R630" t="e">
            <v>#N/A</v>
          </cell>
        </row>
        <row r="631">
          <cell r="A631">
            <v>40066</v>
          </cell>
          <cell r="B631">
            <v>40066</v>
          </cell>
          <cell r="C631" t="str">
            <v>Future</v>
          </cell>
          <cell r="D631" t="e">
            <v>#N/A</v>
          </cell>
          <cell r="E631">
            <v>24.731897233201579</v>
          </cell>
          <cell r="F631">
            <v>36.684466403162112</v>
          </cell>
          <cell r="G631">
            <v>33.838616600790267</v>
          </cell>
          <cell r="H631">
            <v>33.838616600790267</v>
          </cell>
          <cell r="I631" t="e">
            <v>#N/A</v>
          </cell>
          <cell r="J631" t="e">
            <v>#N/A</v>
          </cell>
          <cell r="K631" t="e">
            <v>#N/A</v>
          </cell>
          <cell r="L631" t="e">
            <v>#N/A</v>
          </cell>
          <cell r="M631" t="e">
            <v>#N/A</v>
          </cell>
          <cell r="N631" t="e">
            <v>#N/A</v>
          </cell>
          <cell r="O631" t="e">
            <v>#N/A</v>
          </cell>
          <cell r="P631">
            <v>34.65</v>
          </cell>
          <cell r="Q631" t="str">
            <v/>
          </cell>
          <cell r="R631" t="e">
            <v>#N/A</v>
          </cell>
        </row>
        <row r="632">
          <cell r="A632">
            <v>40067</v>
          </cell>
          <cell r="B632">
            <v>40067</v>
          </cell>
          <cell r="C632" t="str">
            <v>Future</v>
          </cell>
          <cell r="D632" t="e">
            <v>#N/A</v>
          </cell>
          <cell r="E632">
            <v>24.595256916996046</v>
          </cell>
          <cell r="F632">
            <v>36.713833992094919</v>
          </cell>
          <cell r="G632">
            <v>33.828458498023465</v>
          </cell>
          <cell r="H632">
            <v>33.828458498023465</v>
          </cell>
          <cell r="I632" t="e">
            <v>#N/A</v>
          </cell>
          <cell r="J632" t="e">
            <v>#N/A</v>
          </cell>
          <cell r="K632" t="e">
            <v>#N/A</v>
          </cell>
          <cell r="L632" t="e">
            <v>#N/A</v>
          </cell>
          <cell r="M632" t="e">
            <v>#N/A</v>
          </cell>
          <cell r="N632" t="e">
            <v>#N/A</v>
          </cell>
          <cell r="O632" t="e">
            <v>#N/A</v>
          </cell>
          <cell r="P632">
            <v>34.65</v>
          </cell>
          <cell r="Q632" t="str">
            <v/>
          </cell>
          <cell r="R632" t="e">
            <v>#N/A</v>
          </cell>
        </row>
        <row r="633">
          <cell r="A633">
            <v>40070</v>
          </cell>
          <cell r="B633">
            <v>40070</v>
          </cell>
          <cell r="C633" t="str">
            <v>Future</v>
          </cell>
          <cell r="D633" t="e">
            <v>#N/A</v>
          </cell>
          <cell r="E633">
            <v>24.458616600790513</v>
          </cell>
          <cell r="F633">
            <v>36.743201581027726</v>
          </cell>
          <cell r="G633">
            <v>33.818300395256664</v>
          </cell>
          <cell r="H633">
            <v>33.818300395256664</v>
          </cell>
          <cell r="I633" t="e">
            <v>#N/A</v>
          </cell>
          <cell r="J633" t="e">
            <v>#N/A</v>
          </cell>
          <cell r="K633" t="e">
            <v>#N/A</v>
          </cell>
          <cell r="L633" t="e">
            <v>#N/A</v>
          </cell>
          <cell r="M633" t="e">
            <v>#N/A</v>
          </cell>
          <cell r="N633" t="e">
            <v>#N/A</v>
          </cell>
          <cell r="O633" t="e">
            <v>#N/A</v>
          </cell>
          <cell r="P633">
            <v>34.65</v>
          </cell>
          <cell r="Q633" t="str">
            <v/>
          </cell>
          <cell r="R633" t="e">
            <v>#N/A</v>
          </cell>
        </row>
        <row r="634">
          <cell r="A634">
            <v>40071</v>
          </cell>
          <cell r="B634">
            <v>40071</v>
          </cell>
          <cell r="C634" t="str">
            <v>Future</v>
          </cell>
          <cell r="D634" t="e">
            <v>#N/A</v>
          </cell>
          <cell r="E634">
            <v>24.321976284584981</v>
          </cell>
          <cell r="F634">
            <v>36.772569169960533</v>
          </cell>
          <cell r="G634">
            <v>33.808142292489862</v>
          </cell>
          <cell r="H634">
            <v>33.808142292489862</v>
          </cell>
          <cell r="I634" t="e">
            <v>#N/A</v>
          </cell>
          <cell r="J634" t="e">
            <v>#N/A</v>
          </cell>
          <cell r="K634" t="e">
            <v>#N/A</v>
          </cell>
          <cell r="L634" t="e">
            <v>#N/A</v>
          </cell>
          <cell r="M634" t="e">
            <v>#N/A</v>
          </cell>
          <cell r="N634" t="e">
            <v>#N/A</v>
          </cell>
          <cell r="O634" t="e">
            <v>#N/A</v>
          </cell>
          <cell r="P634">
            <v>34.65</v>
          </cell>
          <cell r="Q634" t="str">
            <v/>
          </cell>
          <cell r="R634" t="e">
            <v>#N/A</v>
          </cell>
        </row>
        <row r="635">
          <cell r="A635">
            <v>40072</v>
          </cell>
          <cell r="B635">
            <v>40072</v>
          </cell>
          <cell r="C635" t="str">
            <v>Future</v>
          </cell>
          <cell r="D635" t="e">
            <v>#N/A</v>
          </cell>
          <cell r="E635">
            <v>24.185335968379448</v>
          </cell>
          <cell r="F635">
            <v>36.801936758893341</v>
          </cell>
          <cell r="G635">
            <v>33.79798418972306</v>
          </cell>
          <cell r="H635">
            <v>33.79798418972306</v>
          </cell>
          <cell r="I635" t="e">
            <v>#N/A</v>
          </cell>
          <cell r="J635" t="e">
            <v>#N/A</v>
          </cell>
          <cell r="K635" t="e">
            <v>#N/A</v>
          </cell>
          <cell r="L635" t="e">
            <v>#N/A</v>
          </cell>
          <cell r="M635" t="e">
            <v>#N/A</v>
          </cell>
          <cell r="N635" t="e">
            <v>#N/A</v>
          </cell>
          <cell r="O635" t="e">
            <v>#N/A</v>
          </cell>
          <cell r="P635">
            <v>34.65</v>
          </cell>
          <cell r="Q635" t="str">
            <v/>
          </cell>
          <cell r="R635" t="e">
            <v>#N/A</v>
          </cell>
        </row>
        <row r="636">
          <cell r="A636">
            <v>40073</v>
          </cell>
          <cell r="B636">
            <v>40073</v>
          </cell>
          <cell r="C636" t="str">
            <v>Future</v>
          </cell>
          <cell r="D636" t="e">
            <v>#N/A</v>
          </cell>
          <cell r="E636">
            <v>24.048695652173915</v>
          </cell>
          <cell r="F636">
            <v>36.831304347826148</v>
          </cell>
          <cell r="G636">
            <v>33.787826086956258</v>
          </cell>
          <cell r="H636">
            <v>33.787826086956258</v>
          </cell>
          <cell r="I636" t="e">
            <v>#N/A</v>
          </cell>
          <cell r="J636" t="e">
            <v>#N/A</v>
          </cell>
          <cell r="K636" t="e">
            <v>#N/A</v>
          </cell>
          <cell r="L636" t="e">
            <v>#N/A</v>
          </cell>
          <cell r="M636" t="e">
            <v>#N/A</v>
          </cell>
          <cell r="N636" t="e">
            <v>#N/A</v>
          </cell>
          <cell r="O636" t="e">
            <v>#N/A</v>
          </cell>
          <cell r="P636">
            <v>34.65</v>
          </cell>
          <cell r="Q636" t="str">
            <v/>
          </cell>
          <cell r="R636" t="e">
            <v>#N/A</v>
          </cell>
        </row>
        <row r="637">
          <cell r="A637">
            <v>40074</v>
          </cell>
          <cell r="B637">
            <v>40074</v>
          </cell>
          <cell r="C637" t="str">
            <v>Future</v>
          </cell>
          <cell r="D637" t="e">
            <v>#N/A</v>
          </cell>
          <cell r="E637">
            <v>23.912055335968383</v>
          </cell>
          <cell r="F637">
            <v>36.860671936758955</v>
          </cell>
          <cell r="G637">
            <v>33.777667984189456</v>
          </cell>
          <cell r="H637">
            <v>33.777667984189456</v>
          </cell>
          <cell r="I637" t="e">
            <v>#N/A</v>
          </cell>
          <cell r="J637" t="e">
            <v>#N/A</v>
          </cell>
          <cell r="K637" t="e">
            <v>#N/A</v>
          </cell>
          <cell r="L637" t="e">
            <v>#N/A</v>
          </cell>
          <cell r="M637" t="e">
            <v>#N/A</v>
          </cell>
          <cell r="N637" t="e">
            <v>#N/A</v>
          </cell>
          <cell r="O637" t="e">
            <v>#N/A</v>
          </cell>
          <cell r="P637">
            <v>34.65</v>
          </cell>
          <cell r="Q637" t="str">
            <v/>
          </cell>
          <cell r="R637" t="e">
            <v>#N/A</v>
          </cell>
        </row>
        <row r="638">
          <cell r="A638">
            <v>40077</v>
          </cell>
          <cell r="B638">
            <v>40077</v>
          </cell>
          <cell r="C638" t="str">
            <v>Future</v>
          </cell>
          <cell r="D638" t="e">
            <v>#N/A</v>
          </cell>
          <cell r="E638">
            <v>23.77541501976285</v>
          </cell>
          <cell r="F638">
            <v>36.890039525691762</v>
          </cell>
          <cell r="G638">
            <v>33.767509881422654</v>
          </cell>
          <cell r="H638">
            <v>33.767509881422654</v>
          </cell>
          <cell r="I638" t="e">
            <v>#N/A</v>
          </cell>
          <cell r="J638" t="e">
            <v>#N/A</v>
          </cell>
          <cell r="K638" t="e">
            <v>#N/A</v>
          </cell>
          <cell r="L638" t="e">
            <v>#N/A</v>
          </cell>
          <cell r="M638" t="e">
            <v>#N/A</v>
          </cell>
          <cell r="N638" t="e">
            <v>#N/A</v>
          </cell>
          <cell r="O638" t="e">
            <v>#N/A</v>
          </cell>
          <cell r="P638">
            <v>34.65</v>
          </cell>
          <cell r="Q638" t="str">
            <v/>
          </cell>
          <cell r="R638" t="e">
            <v>#N/A</v>
          </cell>
        </row>
        <row r="639">
          <cell r="A639">
            <v>40078</v>
          </cell>
          <cell r="B639">
            <v>40078</v>
          </cell>
          <cell r="C639" t="str">
            <v>Future</v>
          </cell>
          <cell r="D639" t="e">
            <v>#N/A</v>
          </cell>
          <cell r="E639">
            <v>23.638774703557317</v>
          </cell>
          <cell r="F639">
            <v>36.919407114624569</v>
          </cell>
          <cell r="G639">
            <v>33.757351778655853</v>
          </cell>
          <cell r="H639">
            <v>33.757351778655853</v>
          </cell>
          <cell r="I639" t="e">
            <v>#N/A</v>
          </cell>
          <cell r="J639" t="e">
            <v>#N/A</v>
          </cell>
          <cell r="K639" t="e">
            <v>#N/A</v>
          </cell>
          <cell r="L639" t="e">
            <v>#N/A</v>
          </cell>
          <cell r="M639" t="e">
            <v>#N/A</v>
          </cell>
          <cell r="N639" t="e">
            <v>#N/A</v>
          </cell>
          <cell r="O639" t="e">
            <v>#N/A</v>
          </cell>
          <cell r="P639">
            <v>34.65</v>
          </cell>
          <cell r="Q639" t="str">
            <v/>
          </cell>
          <cell r="R639" t="e">
            <v>#N/A</v>
          </cell>
        </row>
        <row r="640">
          <cell r="A640">
            <v>40079</v>
          </cell>
          <cell r="B640">
            <v>40079</v>
          </cell>
          <cell r="C640" t="str">
            <v>Future</v>
          </cell>
          <cell r="D640" t="e">
            <v>#N/A</v>
          </cell>
          <cell r="E640">
            <v>23.502134387351784</v>
          </cell>
          <cell r="F640">
            <v>36.948774703557376</v>
          </cell>
          <cell r="G640">
            <v>33.747193675889051</v>
          </cell>
          <cell r="H640">
            <v>33.747193675889051</v>
          </cell>
          <cell r="I640" t="e">
            <v>#N/A</v>
          </cell>
          <cell r="J640" t="e">
            <v>#N/A</v>
          </cell>
          <cell r="K640" t="e">
            <v>#N/A</v>
          </cell>
          <cell r="L640" t="e">
            <v>#N/A</v>
          </cell>
          <cell r="M640" t="e">
            <v>#N/A</v>
          </cell>
          <cell r="N640" t="e">
            <v>#N/A</v>
          </cell>
          <cell r="O640" t="e">
            <v>#N/A</v>
          </cell>
          <cell r="P640">
            <v>34.65</v>
          </cell>
          <cell r="Q640" t="str">
            <v/>
          </cell>
          <cell r="R640" t="e">
            <v>#N/A</v>
          </cell>
        </row>
        <row r="641">
          <cell r="A641">
            <v>40080</v>
          </cell>
          <cell r="B641">
            <v>40080</v>
          </cell>
          <cell r="C641" t="str">
            <v>Future</v>
          </cell>
          <cell r="D641" t="e">
            <v>#N/A</v>
          </cell>
          <cell r="E641">
            <v>23.365494071146252</v>
          </cell>
          <cell r="F641">
            <v>36.978142292490183</v>
          </cell>
          <cell r="G641">
            <v>33.737035573122249</v>
          </cell>
          <cell r="H641">
            <v>33.737035573122249</v>
          </cell>
          <cell r="I641" t="e">
            <v>#N/A</v>
          </cell>
          <cell r="J641" t="e">
            <v>#N/A</v>
          </cell>
          <cell r="K641" t="e">
            <v>#N/A</v>
          </cell>
          <cell r="L641" t="e">
            <v>#N/A</v>
          </cell>
          <cell r="M641" t="e">
            <v>#N/A</v>
          </cell>
          <cell r="N641" t="e">
            <v>#N/A</v>
          </cell>
          <cell r="O641" t="e">
            <v>#N/A</v>
          </cell>
          <cell r="P641">
            <v>34.65</v>
          </cell>
          <cell r="Q641" t="str">
            <v/>
          </cell>
          <cell r="R641" t="e">
            <v>#N/A</v>
          </cell>
        </row>
        <row r="642">
          <cell r="A642">
            <v>40081</v>
          </cell>
          <cell r="B642">
            <v>40081</v>
          </cell>
          <cell r="C642" t="str">
            <v>Future</v>
          </cell>
          <cell r="D642" t="e">
            <v>#N/A</v>
          </cell>
          <cell r="E642">
            <v>23.228853754940719</v>
          </cell>
          <cell r="F642">
            <v>37.00750988142299</v>
          </cell>
          <cell r="G642">
            <v>33.726877470355447</v>
          </cell>
          <cell r="H642">
            <v>33.726877470355447</v>
          </cell>
          <cell r="I642" t="e">
            <v>#N/A</v>
          </cell>
          <cell r="J642" t="e">
            <v>#N/A</v>
          </cell>
          <cell r="K642" t="e">
            <v>#N/A</v>
          </cell>
          <cell r="L642" t="e">
            <v>#N/A</v>
          </cell>
          <cell r="M642" t="e">
            <v>#N/A</v>
          </cell>
          <cell r="N642" t="e">
            <v>#N/A</v>
          </cell>
          <cell r="O642" t="e">
            <v>#N/A</v>
          </cell>
          <cell r="P642">
            <v>34.65</v>
          </cell>
          <cell r="Q642" t="str">
            <v/>
          </cell>
          <cell r="R642" t="e">
            <v>#N/A</v>
          </cell>
        </row>
        <row r="643">
          <cell r="A643">
            <v>40084</v>
          </cell>
          <cell r="B643">
            <v>40084</v>
          </cell>
          <cell r="C643" t="str">
            <v>Future</v>
          </cell>
          <cell r="D643" t="e">
            <v>#N/A</v>
          </cell>
          <cell r="E643">
            <v>23.092213438735186</v>
          </cell>
          <cell r="F643">
            <v>37.036877470355797</v>
          </cell>
          <cell r="G643">
            <v>33.716719367588645</v>
          </cell>
          <cell r="H643">
            <v>33.716719367588645</v>
          </cell>
          <cell r="I643" t="e">
            <v>#N/A</v>
          </cell>
          <cell r="J643" t="e">
            <v>#N/A</v>
          </cell>
          <cell r="K643" t="e">
            <v>#N/A</v>
          </cell>
          <cell r="L643" t="e">
            <v>#N/A</v>
          </cell>
          <cell r="M643" t="e">
            <v>#N/A</v>
          </cell>
          <cell r="N643" t="e">
            <v>#N/A</v>
          </cell>
          <cell r="O643" t="e">
            <v>#N/A</v>
          </cell>
          <cell r="P643">
            <v>34.65</v>
          </cell>
          <cell r="Q643" t="str">
            <v/>
          </cell>
          <cell r="R643" t="e">
            <v>#N/A</v>
          </cell>
        </row>
        <row r="644">
          <cell r="A644">
            <v>40085</v>
          </cell>
          <cell r="B644">
            <v>40085</v>
          </cell>
          <cell r="C644" t="str">
            <v>Future</v>
          </cell>
          <cell r="D644" t="e">
            <v>#N/A</v>
          </cell>
          <cell r="E644">
            <v>22.955573122529653</v>
          </cell>
          <cell r="F644">
            <v>37.066245059288605</v>
          </cell>
          <cell r="G644">
            <v>33.706561264821843</v>
          </cell>
          <cell r="H644">
            <v>33.706561264821843</v>
          </cell>
          <cell r="I644" t="e">
            <v>#N/A</v>
          </cell>
          <cell r="J644" t="e">
            <v>#N/A</v>
          </cell>
          <cell r="K644" t="e">
            <v>#N/A</v>
          </cell>
          <cell r="L644" t="e">
            <v>#N/A</v>
          </cell>
          <cell r="M644" t="e">
            <v>#N/A</v>
          </cell>
          <cell r="N644" t="e">
            <v>#N/A</v>
          </cell>
          <cell r="O644" t="e">
            <v>#N/A</v>
          </cell>
          <cell r="P644">
            <v>34.65</v>
          </cell>
          <cell r="Q644" t="str">
            <v/>
          </cell>
          <cell r="R644" t="e">
            <v>#N/A</v>
          </cell>
        </row>
        <row r="645">
          <cell r="A645">
            <v>40086</v>
          </cell>
          <cell r="B645">
            <v>40086</v>
          </cell>
          <cell r="C645" t="str">
            <v>Future</v>
          </cell>
          <cell r="D645" t="e">
            <v>#N/A</v>
          </cell>
          <cell r="E645">
            <v>22.818932806324121</v>
          </cell>
          <cell r="F645">
            <v>37.095612648221412</v>
          </cell>
          <cell r="G645">
            <v>33.696403162055041</v>
          </cell>
          <cell r="H645">
            <v>33.696403162055041</v>
          </cell>
          <cell r="I645" t="e">
            <v>#N/A</v>
          </cell>
          <cell r="J645" t="e">
            <v>#N/A</v>
          </cell>
          <cell r="K645" t="e">
            <v>#N/A</v>
          </cell>
          <cell r="L645" t="e">
            <v>#N/A</v>
          </cell>
          <cell r="M645" t="e">
            <v>#N/A</v>
          </cell>
          <cell r="N645" t="e">
            <v>#N/A</v>
          </cell>
          <cell r="O645" t="e">
            <v>#N/A</v>
          </cell>
          <cell r="P645">
            <v>34.65</v>
          </cell>
          <cell r="Q645" t="str">
            <v/>
          </cell>
          <cell r="R645" t="e">
            <v>#N/A</v>
          </cell>
        </row>
        <row r="646">
          <cell r="A646">
            <v>40087</v>
          </cell>
          <cell r="B646">
            <v>40087</v>
          </cell>
          <cell r="C646" t="str">
            <v>Future</v>
          </cell>
          <cell r="D646" t="e">
            <v>#N/A</v>
          </cell>
          <cell r="E646">
            <v>22.682292490118588</v>
          </cell>
          <cell r="F646">
            <v>37.124980237154219</v>
          </cell>
          <cell r="G646">
            <v>33.68624505928824</v>
          </cell>
          <cell r="H646">
            <v>33.68624505928824</v>
          </cell>
          <cell r="I646" t="e">
            <v>#N/A</v>
          </cell>
          <cell r="J646" t="e">
            <v>#N/A</v>
          </cell>
          <cell r="K646" t="e">
            <v>#N/A</v>
          </cell>
          <cell r="L646" t="e">
            <v>#N/A</v>
          </cell>
          <cell r="M646" t="e">
            <v>#N/A</v>
          </cell>
          <cell r="N646" t="e">
            <v>#N/A</v>
          </cell>
          <cell r="O646" t="e">
            <v>#N/A</v>
          </cell>
          <cell r="P646">
            <v>34.65</v>
          </cell>
          <cell r="Q646" t="str">
            <v/>
          </cell>
          <cell r="R646" t="e">
            <v>#N/A</v>
          </cell>
        </row>
        <row r="647">
          <cell r="A647">
            <v>40088</v>
          </cell>
          <cell r="B647">
            <v>40088</v>
          </cell>
          <cell r="C647" t="str">
            <v>Future</v>
          </cell>
          <cell r="D647" t="e">
            <v>#N/A</v>
          </cell>
          <cell r="E647">
            <v>22.545652173913055</v>
          </cell>
          <cell r="F647">
            <v>37.154347826087026</v>
          </cell>
          <cell r="G647">
            <v>33.676086956521438</v>
          </cell>
          <cell r="H647">
            <v>33.676086956521438</v>
          </cell>
          <cell r="I647" t="e">
            <v>#N/A</v>
          </cell>
          <cell r="J647" t="e">
            <v>#N/A</v>
          </cell>
          <cell r="K647" t="e">
            <v>#N/A</v>
          </cell>
          <cell r="L647" t="e">
            <v>#N/A</v>
          </cell>
          <cell r="M647" t="e">
            <v>#N/A</v>
          </cell>
          <cell r="N647" t="e">
            <v>#N/A</v>
          </cell>
          <cell r="O647" t="e">
            <v>#N/A</v>
          </cell>
          <cell r="P647">
            <v>34.65</v>
          </cell>
          <cell r="Q647" t="str">
            <v/>
          </cell>
          <cell r="R647" t="e">
            <v>#N/A</v>
          </cell>
        </row>
        <row r="648">
          <cell r="A648">
            <v>40091</v>
          </cell>
          <cell r="B648">
            <v>40091</v>
          </cell>
          <cell r="C648" t="str">
            <v>Future</v>
          </cell>
          <cell r="D648" t="e">
            <v>#N/A</v>
          </cell>
          <cell r="E648">
            <v>22.409011857707522</v>
          </cell>
          <cell r="F648">
            <v>37.183715415019833</v>
          </cell>
          <cell r="G648">
            <v>33.665928853754636</v>
          </cell>
          <cell r="H648">
            <v>33.665928853754636</v>
          </cell>
          <cell r="I648" t="e">
            <v>#N/A</v>
          </cell>
          <cell r="J648" t="e">
            <v>#N/A</v>
          </cell>
          <cell r="K648" t="e">
            <v>#N/A</v>
          </cell>
          <cell r="L648" t="e">
            <v>#N/A</v>
          </cell>
          <cell r="M648" t="e">
            <v>#N/A</v>
          </cell>
          <cell r="N648" t="e">
            <v>#N/A</v>
          </cell>
          <cell r="O648" t="e">
            <v>#N/A</v>
          </cell>
          <cell r="P648">
            <v>34.65</v>
          </cell>
          <cell r="Q648" t="str">
            <v/>
          </cell>
          <cell r="R648" t="e">
            <v>#N/A</v>
          </cell>
        </row>
        <row r="649">
          <cell r="A649">
            <v>40092</v>
          </cell>
          <cell r="B649">
            <v>40092</v>
          </cell>
          <cell r="C649" t="str">
            <v>Future</v>
          </cell>
          <cell r="D649" t="e">
            <v>#N/A</v>
          </cell>
          <cell r="E649">
            <v>22.27237154150199</v>
          </cell>
          <cell r="F649">
            <v>37.21308300395264</v>
          </cell>
          <cell r="G649">
            <v>33.655770750987834</v>
          </cell>
          <cell r="H649">
            <v>33.655770750987834</v>
          </cell>
          <cell r="I649" t="e">
            <v>#N/A</v>
          </cell>
          <cell r="J649" t="e">
            <v>#N/A</v>
          </cell>
          <cell r="K649" t="e">
            <v>#N/A</v>
          </cell>
          <cell r="L649" t="e">
            <v>#N/A</v>
          </cell>
          <cell r="M649" t="e">
            <v>#N/A</v>
          </cell>
          <cell r="N649" t="e">
            <v>#N/A</v>
          </cell>
          <cell r="O649" t="e">
            <v>#N/A</v>
          </cell>
          <cell r="P649">
            <v>34.65</v>
          </cell>
          <cell r="Q649" t="str">
            <v/>
          </cell>
          <cell r="R649" t="e">
            <v>#N/A</v>
          </cell>
        </row>
        <row r="650">
          <cell r="A650">
            <v>40093</v>
          </cell>
          <cell r="B650">
            <v>40093</v>
          </cell>
          <cell r="C650" t="str">
            <v>Future</v>
          </cell>
          <cell r="D650" t="e">
            <v>#N/A</v>
          </cell>
          <cell r="E650">
            <v>22.135731225296457</v>
          </cell>
          <cell r="F650">
            <v>37.242450592885447</v>
          </cell>
          <cell r="G650">
            <v>33.645612648221032</v>
          </cell>
          <cell r="H650">
            <v>33.645612648221032</v>
          </cell>
          <cell r="I650" t="e">
            <v>#N/A</v>
          </cell>
          <cell r="J650" t="e">
            <v>#N/A</v>
          </cell>
          <cell r="K650" t="e">
            <v>#N/A</v>
          </cell>
          <cell r="L650" t="e">
            <v>#N/A</v>
          </cell>
          <cell r="M650" t="e">
            <v>#N/A</v>
          </cell>
          <cell r="N650" t="e">
            <v>#N/A</v>
          </cell>
          <cell r="O650" t="e">
            <v>#N/A</v>
          </cell>
          <cell r="P650">
            <v>34.65</v>
          </cell>
          <cell r="Q650" t="str">
            <v/>
          </cell>
          <cell r="R650" t="e">
            <v>#N/A</v>
          </cell>
        </row>
        <row r="651">
          <cell r="A651">
            <v>40094</v>
          </cell>
          <cell r="B651">
            <v>40094</v>
          </cell>
          <cell r="C651" t="str">
            <v>Future</v>
          </cell>
          <cell r="D651" t="e">
            <v>#N/A</v>
          </cell>
          <cell r="E651">
            <v>21.999090909090924</v>
          </cell>
          <cell r="F651">
            <v>37.271818181818254</v>
          </cell>
          <cell r="G651">
            <v>33.63545454545423</v>
          </cell>
          <cell r="H651">
            <v>33.63545454545423</v>
          </cell>
          <cell r="I651" t="e">
            <v>#N/A</v>
          </cell>
          <cell r="J651" t="e">
            <v>#N/A</v>
          </cell>
          <cell r="K651" t="e">
            <v>#N/A</v>
          </cell>
          <cell r="L651" t="e">
            <v>#N/A</v>
          </cell>
          <cell r="M651" t="e">
            <v>#N/A</v>
          </cell>
          <cell r="N651" t="e">
            <v>#N/A</v>
          </cell>
          <cell r="O651" t="e">
            <v>#N/A</v>
          </cell>
          <cell r="P651">
            <v>34.65</v>
          </cell>
          <cell r="Q651" t="str">
            <v/>
          </cell>
          <cell r="R651" t="e">
            <v>#N/A</v>
          </cell>
        </row>
        <row r="652">
          <cell r="A652">
            <v>40095</v>
          </cell>
          <cell r="B652">
            <v>40095</v>
          </cell>
          <cell r="C652" t="str">
            <v>Future</v>
          </cell>
          <cell r="D652" t="e">
            <v>#N/A</v>
          </cell>
          <cell r="E652">
            <v>21.862450592885391</v>
          </cell>
          <cell r="F652">
            <v>37.301185770751061</v>
          </cell>
          <cell r="G652">
            <v>33.625296442687429</v>
          </cell>
          <cell r="H652">
            <v>33.625296442687429</v>
          </cell>
          <cell r="I652" t="e">
            <v>#N/A</v>
          </cell>
          <cell r="J652" t="e">
            <v>#N/A</v>
          </cell>
          <cell r="K652" t="e">
            <v>#N/A</v>
          </cell>
          <cell r="L652" t="e">
            <v>#N/A</v>
          </cell>
          <cell r="M652" t="e">
            <v>#N/A</v>
          </cell>
          <cell r="N652" t="e">
            <v>#N/A</v>
          </cell>
          <cell r="O652" t="e">
            <v>#N/A</v>
          </cell>
          <cell r="P652">
            <v>34.65</v>
          </cell>
          <cell r="Q652" t="str">
            <v/>
          </cell>
          <cell r="R652" t="e">
            <v>#N/A</v>
          </cell>
        </row>
        <row r="653">
          <cell r="A653">
            <v>40098</v>
          </cell>
          <cell r="B653">
            <v>40098</v>
          </cell>
          <cell r="C653" t="str">
            <v>Future</v>
          </cell>
          <cell r="D653" t="e">
            <v>#N/A</v>
          </cell>
          <cell r="E653">
            <v>21.725810276679859</v>
          </cell>
          <cell r="F653">
            <v>37.330553359683869</v>
          </cell>
          <cell r="G653">
            <v>33.615138339920627</v>
          </cell>
          <cell r="H653">
            <v>33.615138339920627</v>
          </cell>
          <cell r="I653" t="e">
            <v>#N/A</v>
          </cell>
          <cell r="J653" t="e">
            <v>#N/A</v>
          </cell>
          <cell r="K653" t="e">
            <v>#N/A</v>
          </cell>
          <cell r="L653" t="e">
            <v>#N/A</v>
          </cell>
          <cell r="M653" t="e">
            <v>#N/A</v>
          </cell>
          <cell r="N653" t="e">
            <v>#N/A</v>
          </cell>
          <cell r="O653" t="e">
            <v>#N/A</v>
          </cell>
          <cell r="P653">
            <v>34.65</v>
          </cell>
          <cell r="Q653" t="str">
            <v/>
          </cell>
          <cell r="R653" t="e">
            <v>#N/A</v>
          </cell>
        </row>
        <row r="654">
          <cell r="A654">
            <v>40099</v>
          </cell>
          <cell r="B654">
            <v>40099</v>
          </cell>
          <cell r="C654" t="str">
            <v>Future</v>
          </cell>
          <cell r="D654" t="e">
            <v>#N/A</v>
          </cell>
          <cell r="E654">
            <v>21.589169960474326</v>
          </cell>
          <cell r="F654">
            <v>37.359920948616676</v>
          </cell>
          <cell r="G654">
            <v>33.604980237153825</v>
          </cell>
          <cell r="H654">
            <v>33.604980237153825</v>
          </cell>
          <cell r="I654" t="e">
            <v>#N/A</v>
          </cell>
          <cell r="J654" t="e">
            <v>#N/A</v>
          </cell>
          <cell r="K654" t="e">
            <v>#N/A</v>
          </cell>
          <cell r="L654" t="e">
            <v>#N/A</v>
          </cell>
          <cell r="M654" t="e">
            <v>#N/A</v>
          </cell>
          <cell r="N654" t="e">
            <v>#N/A</v>
          </cell>
          <cell r="O654" t="e">
            <v>#N/A</v>
          </cell>
          <cell r="P654">
            <v>34.65</v>
          </cell>
          <cell r="Q654" t="str">
            <v/>
          </cell>
          <cell r="R654" t="e">
            <v>#N/A</v>
          </cell>
        </row>
        <row r="655">
          <cell r="A655">
            <v>40100</v>
          </cell>
          <cell r="B655">
            <v>40100</v>
          </cell>
          <cell r="C655" t="str">
            <v>Future</v>
          </cell>
          <cell r="D655" t="e">
            <v>#N/A</v>
          </cell>
          <cell r="E655">
            <v>21.452529644268793</v>
          </cell>
          <cell r="F655">
            <v>37.389288537549483</v>
          </cell>
          <cell r="G655">
            <v>33.594822134387023</v>
          </cell>
          <cell r="H655">
            <v>33.594822134387023</v>
          </cell>
          <cell r="I655" t="e">
            <v>#N/A</v>
          </cell>
          <cell r="J655" t="e">
            <v>#N/A</v>
          </cell>
          <cell r="K655" t="e">
            <v>#N/A</v>
          </cell>
          <cell r="L655" t="e">
            <v>#N/A</v>
          </cell>
          <cell r="M655" t="e">
            <v>#N/A</v>
          </cell>
          <cell r="N655" t="e">
            <v>#N/A</v>
          </cell>
          <cell r="O655" t="e">
            <v>#N/A</v>
          </cell>
          <cell r="P655">
            <v>34.65</v>
          </cell>
          <cell r="Q655" t="str">
            <v/>
          </cell>
          <cell r="R655" t="e">
            <v>#N/A</v>
          </cell>
        </row>
        <row r="656">
          <cell r="A656">
            <v>40101</v>
          </cell>
          <cell r="B656">
            <v>40101</v>
          </cell>
          <cell r="C656" t="str">
            <v>Future</v>
          </cell>
          <cell r="D656" t="e">
            <v>#N/A</v>
          </cell>
          <cell r="E656">
            <v>21.31588932806326</v>
          </cell>
          <cell r="F656">
            <v>37.41865612648229</v>
          </cell>
          <cell r="G656">
            <v>33.584664031620221</v>
          </cell>
          <cell r="H656">
            <v>33.584664031620221</v>
          </cell>
          <cell r="I656" t="e">
            <v>#N/A</v>
          </cell>
          <cell r="J656" t="e">
            <v>#N/A</v>
          </cell>
          <cell r="K656" t="e">
            <v>#N/A</v>
          </cell>
          <cell r="L656" t="e">
            <v>#N/A</v>
          </cell>
          <cell r="M656" t="e">
            <v>#N/A</v>
          </cell>
          <cell r="N656" t="e">
            <v>#N/A</v>
          </cell>
          <cell r="O656" t="e">
            <v>#N/A</v>
          </cell>
          <cell r="P656">
            <v>34.65</v>
          </cell>
          <cell r="Q656" t="str">
            <v/>
          </cell>
          <cell r="R656" t="e">
            <v>#N/A</v>
          </cell>
        </row>
        <row r="657">
          <cell r="A657">
            <v>40102</v>
          </cell>
          <cell r="B657">
            <v>40102</v>
          </cell>
          <cell r="C657" t="str">
            <v>Future</v>
          </cell>
          <cell r="D657" t="e">
            <v>#N/A</v>
          </cell>
          <cell r="E657">
            <v>21.179249011857728</v>
          </cell>
          <cell r="F657">
            <v>37.448023715415097</v>
          </cell>
          <cell r="G657">
            <v>33.574505928853419</v>
          </cell>
          <cell r="H657">
            <v>33.574505928853419</v>
          </cell>
          <cell r="I657" t="e">
            <v>#N/A</v>
          </cell>
          <cell r="J657" t="e">
            <v>#N/A</v>
          </cell>
          <cell r="K657" t="e">
            <v>#N/A</v>
          </cell>
          <cell r="L657" t="e">
            <v>#N/A</v>
          </cell>
          <cell r="M657" t="e">
            <v>#N/A</v>
          </cell>
          <cell r="N657" t="e">
            <v>#N/A</v>
          </cell>
          <cell r="O657" t="e">
            <v>#N/A</v>
          </cell>
          <cell r="P657">
            <v>34.65</v>
          </cell>
          <cell r="Q657" t="str">
            <v/>
          </cell>
          <cell r="R657" t="e">
            <v>#N/A</v>
          </cell>
        </row>
        <row r="658">
          <cell r="A658">
            <v>40105</v>
          </cell>
          <cell r="B658">
            <v>40105</v>
          </cell>
          <cell r="C658" t="str">
            <v>Future</v>
          </cell>
          <cell r="D658" t="e">
            <v>#N/A</v>
          </cell>
          <cell r="E658">
            <v>21.042608695652195</v>
          </cell>
          <cell r="F658">
            <v>37.477391304347904</v>
          </cell>
          <cell r="G658">
            <v>33.564347826086617</v>
          </cell>
          <cell r="H658">
            <v>33.564347826086617</v>
          </cell>
          <cell r="I658" t="e">
            <v>#N/A</v>
          </cell>
          <cell r="J658" t="e">
            <v>#N/A</v>
          </cell>
          <cell r="K658" t="e">
            <v>#N/A</v>
          </cell>
          <cell r="L658" t="e">
            <v>#N/A</v>
          </cell>
          <cell r="M658" t="e">
            <v>#N/A</v>
          </cell>
          <cell r="N658" t="e">
            <v>#N/A</v>
          </cell>
          <cell r="O658" t="e">
            <v>#N/A</v>
          </cell>
          <cell r="P658">
            <v>34.65</v>
          </cell>
          <cell r="Q658" t="str">
            <v/>
          </cell>
          <cell r="R658" t="e">
            <v>#N/A</v>
          </cell>
        </row>
        <row r="659">
          <cell r="A659">
            <v>40106</v>
          </cell>
          <cell r="B659">
            <v>40106</v>
          </cell>
          <cell r="C659" t="str">
            <v>Future</v>
          </cell>
          <cell r="D659" t="e">
            <v>#N/A</v>
          </cell>
          <cell r="E659">
            <v>20.905968379446662</v>
          </cell>
          <cell r="F659">
            <v>37.506758893280711</v>
          </cell>
          <cell r="G659">
            <v>33.554189723319816</v>
          </cell>
          <cell r="H659">
            <v>33.554189723319816</v>
          </cell>
          <cell r="I659" t="e">
            <v>#N/A</v>
          </cell>
          <cell r="J659" t="e">
            <v>#N/A</v>
          </cell>
          <cell r="K659" t="e">
            <v>#N/A</v>
          </cell>
          <cell r="L659" t="e">
            <v>#N/A</v>
          </cell>
          <cell r="M659" t="e">
            <v>#N/A</v>
          </cell>
          <cell r="N659" t="e">
            <v>#N/A</v>
          </cell>
          <cell r="O659" t="e">
            <v>#N/A</v>
          </cell>
          <cell r="P659">
            <v>34.65</v>
          </cell>
          <cell r="Q659" t="str">
            <v/>
          </cell>
          <cell r="R659" t="e">
            <v>#N/A</v>
          </cell>
        </row>
        <row r="660">
          <cell r="A660">
            <v>40107</v>
          </cell>
          <cell r="B660">
            <v>40107</v>
          </cell>
          <cell r="C660" t="str">
            <v>Future</v>
          </cell>
          <cell r="D660" t="e">
            <v>#N/A</v>
          </cell>
          <cell r="E660">
            <v>20.769328063241129</v>
          </cell>
          <cell r="F660">
            <v>37.536126482213518</v>
          </cell>
          <cell r="G660">
            <v>33.544031620553014</v>
          </cell>
          <cell r="H660">
            <v>33.544031620553014</v>
          </cell>
          <cell r="I660" t="e">
            <v>#N/A</v>
          </cell>
          <cell r="J660" t="e">
            <v>#N/A</v>
          </cell>
          <cell r="K660" t="e">
            <v>#N/A</v>
          </cell>
          <cell r="L660" t="e">
            <v>#N/A</v>
          </cell>
          <cell r="M660" t="e">
            <v>#N/A</v>
          </cell>
          <cell r="N660" t="e">
            <v>#N/A</v>
          </cell>
          <cell r="O660" t="e">
            <v>#N/A</v>
          </cell>
          <cell r="P660">
            <v>34.65</v>
          </cell>
          <cell r="Q660" t="str">
            <v/>
          </cell>
          <cell r="R660" t="e">
            <v>#N/A</v>
          </cell>
        </row>
        <row r="661">
          <cell r="A661">
            <v>40108</v>
          </cell>
          <cell r="B661">
            <v>40108</v>
          </cell>
          <cell r="C661" t="str">
            <v>Future</v>
          </cell>
          <cell r="D661" t="e">
            <v>#N/A</v>
          </cell>
          <cell r="E661">
            <v>20.632687747035597</v>
          </cell>
          <cell r="F661">
            <v>37.565494071146325</v>
          </cell>
          <cell r="G661">
            <v>33.533873517786212</v>
          </cell>
          <cell r="H661">
            <v>33.533873517786212</v>
          </cell>
          <cell r="I661" t="e">
            <v>#N/A</v>
          </cell>
          <cell r="J661" t="e">
            <v>#N/A</v>
          </cell>
          <cell r="K661" t="e">
            <v>#N/A</v>
          </cell>
          <cell r="L661" t="e">
            <v>#N/A</v>
          </cell>
          <cell r="M661" t="e">
            <v>#N/A</v>
          </cell>
          <cell r="N661" t="e">
            <v>#N/A</v>
          </cell>
          <cell r="O661" t="e">
            <v>#N/A</v>
          </cell>
          <cell r="P661">
            <v>34.65</v>
          </cell>
          <cell r="Q661" t="str">
            <v/>
          </cell>
          <cell r="R661" t="e">
            <v>#N/A</v>
          </cell>
        </row>
        <row r="662">
          <cell r="A662">
            <v>40109</v>
          </cell>
          <cell r="B662">
            <v>40109</v>
          </cell>
          <cell r="C662" t="str">
            <v>Future</v>
          </cell>
          <cell r="D662" t="e">
            <v>#N/A</v>
          </cell>
          <cell r="E662">
            <v>20.496047430830064</v>
          </cell>
          <cell r="F662">
            <v>37.594861660079133</v>
          </cell>
          <cell r="G662">
            <v>33.52371541501941</v>
          </cell>
          <cell r="H662">
            <v>33.52371541501941</v>
          </cell>
          <cell r="I662" t="e">
            <v>#N/A</v>
          </cell>
          <cell r="J662" t="e">
            <v>#N/A</v>
          </cell>
          <cell r="K662" t="e">
            <v>#N/A</v>
          </cell>
          <cell r="L662" t="e">
            <v>#N/A</v>
          </cell>
          <cell r="M662" t="e">
            <v>#N/A</v>
          </cell>
          <cell r="N662" t="e">
            <v>#N/A</v>
          </cell>
          <cell r="O662" t="e">
            <v>#N/A</v>
          </cell>
          <cell r="P662">
            <v>34.65</v>
          </cell>
          <cell r="Q662" t="str">
            <v/>
          </cell>
          <cell r="R662" t="e">
            <v>#N/A</v>
          </cell>
        </row>
        <row r="663">
          <cell r="A663">
            <v>40112</v>
          </cell>
          <cell r="B663">
            <v>40112</v>
          </cell>
          <cell r="C663" t="str">
            <v>Future</v>
          </cell>
          <cell r="D663" t="e">
            <v>#N/A</v>
          </cell>
          <cell r="E663">
            <v>20.359407114624531</v>
          </cell>
          <cell r="F663">
            <v>37.62422924901194</v>
          </cell>
          <cell r="G663">
            <v>33.513557312252608</v>
          </cell>
          <cell r="H663">
            <v>33.513557312252608</v>
          </cell>
          <cell r="I663" t="e">
            <v>#N/A</v>
          </cell>
          <cell r="J663" t="e">
            <v>#N/A</v>
          </cell>
          <cell r="K663" t="e">
            <v>#N/A</v>
          </cell>
          <cell r="L663" t="e">
            <v>#N/A</v>
          </cell>
          <cell r="M663" t="e">
            <v>#N/A</v>
          </cell>
          <cell r="N663" t="e">
            <v>#N/A</v>
          </cell>
          <cell r="O663" t="e">
            <v>#N/A</v>
          </cell>
          <cell r="P663">
            <v>34.65</v>
          </cell>
          <cell r="Q663" t="str">
            <v/>
          </cell>
          <cell r="R663" t="e">
            <v>#N/A</v>
          </cell>
        </row>
        <row r="664">
          <cell r="A664">
            <v>40113</v>
          </cell>
          <cell r="B664">
            <v>40113</v>
          </cell>
          <cell r="C664" t="str">
            <v>Future</v>
          </cell>
          <cell r="D664" t="e">
            <v>#N/A</v>
          </cell>
          <cell r="E664">
            <v>20.222766798418998</v>
          </cell>
          <cell r="F664">
            <v>37.653596837944747</v>
          </cell>
          <cell r="G664">
            <v>33.503399209485806</v>
          </cell>
          <cell r="H664">
            <v>33.503399209485806</v>
          </cell>
          <cell r="I664" t="e">
            <v>#N/A</v>
          </cell>
          <cell r="J664" t="e">
            <v>#N/A</v>
          </cell>
          <cell r="K664" t="e">
            <v>#N/A</v>
          </cell>
          <cell r="L664" t="e">
            <v>#N/A</v>
          </cell>
          <cell r="M664" t="e">
            <v>#N/A</v>
          </cell>
          <cell r="N664" t="e">
            <v>#N/A</v>
          </cell>
          <cell r="O664" t="e">
            <v>#N/A</v>
          </cell>
          <cell r="P664">
            <v>34.65</v>
          </cell>
          <cell r="Q664" t="str">
            <v/>
          </cell>
          <cell r="R664" t="e">
            <v>#N/A</v>
          </cell>
        </row>
        <row r="665">
          <cell r="A665">
            <v>40114</v>
          </cell>
          <cell r="B665">
            <v>40114</v>
          </cell>
          <cell r="C665" t="str">
            <v>Future</v>
          </cell>
          <cell r="D665" t="e">
            <v>#N/A</v>
          </cell>
          <cell r="E665">
            <v>20.086126482213466</v>
          </cell>
          <cell r="F665">
            <v>37.682964426877554</v>
          </cell>
          <cell r="G665">
            <v>33.493241106719005</v>
          </cell>
          <cell r="H665">
            <v>33.493241106719005</v>
          </cell>
          <cell r="I665" t="e">
            <v>#N/A</v>
          </cell>
          <cell r="J665" t="e">
            <v>#N/A</v>
          </cell>
          <cell r="K665" t="e">
            <v>#N/A</v>
          </cell>
          <cell r="L665" t="e">
            <v>#N/A</v>
          </cell>
          <cell r="M665" t="e">
            <v>#N/A</v>
          </cell>
          <cell r="N665" t="e">
            <v>#N/A</v>
          </cell>
          <cell r="O665" t="e">
            <v>#N/A</v>
          </cell>
          <cell r="P665">
            <v>34.65</v>
          </cell>
          <cell r="Q665" t="str">
            <v/>
          </cell>
          <cell r="R665" t="e">
            <v>#N/A</v>
          </cell>
        </row>
        <row r="666">
          <cell r="A666">
            <v>40115</v>
          </cell>
          <cell r="B666">
            <v>40115</v>
          </cell>
          <cell r="C666" t="str">
            <v>Future</v>
          </cell>
          <cell r="D666" t="e">
            <v>#N/A</v>
          </cell>
          <cell r="E666">
            <v>19.949486166007933</v>
          </cell>
          <cell r="F666">
            <v>37.712332015810361</v>
          </cell>
          <cell r="G666">
            <v>33.483083003952203</v>
          </cell>
          <cell r="H666">
            <v>33.483083003952203</v>
          </cell>
          <cell r="I666" t="e">
            <v>#N/A</v>
          </cell>
          <cell r="J666" t="e">
            <v>#N/A</v>
          </cell>
          <cell r="K666" t="e">
            <v>#N/A</v>
          </cell>
          <cell r="L666" t="e">
            <v>#N/A</v>
          </cell>
          <cell r="M666" t="e">
            <v>#N/A</v>
          </cell>
          <cell r="N666" t="e">
            <v>#N/A</v>
          </cell>
          <cell r="O666" t="e">
            <v>#N/A</v>
          </cell>
          <cell r="P666">
            <v>34.65</v>
          </cell>
          <cell r="Q666" t="str">
            <v/>
          </cell>
          <cell r="R666" t="e">
            <v>#N/A</v>
          </cell>
        </row>
        <row r="667">
          <cell r="A667">
            <v>40116</v>
          </cell>
          <cell r="B667">
            <v>40116</v>
          </cell>
          <cell r="C667" t="str">
            <v>Future</v>
          </cell>
          <cell r="D667" t="e">
            <v>#N/A</v>
          </cell>
          <cell r="E667">
            <v>19.8128458498024</v>
          </cell>
          <cell r="F667">
            <v>37.741699604743168</v>
          </cell>
          <cell r="G667">
            <v>33.472924901185401</v>
          </cell>
          <cell r="H667">
            <v>33.472924901185401</v>
          </cell>
          <cell r="I667" t="e">
            <v>#N/A</v>
          </cell>
          <cell r="J667" t="e">
            <v>#N/A</v>
          </cell>
          <cell r="K667" t="e">
            <v>#N/A</v>
          </cell>
          <cell r="L667" t="e">
            <v>#N/A</v>
          </cell>
          <cell r="M667" t="e">
            <v>#N/A</v>
          </cell>
          <cell r="N667" t="e">
            <v>#N/A</v>
          </cell>
          <cell r="O667" t="e">
            <v>#N/A</v>
          </cell>
          <cell r="P667">
            <v>34.65</v>
          </cell>
          <cell r="Q667" t="str">
            <v/>
          </cell>
          <cell r="R667" t="e">
            <v>#N/A</v>
          </cell>
        </row>
        <row r="668">
          <cell r="A668">
            <v>40119</v>
          </cell>
          <cell r="B668">
            <v>40119</v>
          </cell>
          <cell r="C668" t="str">
            <v>Future</v>
          </cell>
          <cell r="D668" t="e">
            <v>#N/A</v>
          </cell>
          <cell r="E668">
            <v>19.676205533596868</v>
          </cell>
          <cell r="F668">
            <v>37.771067193675975</v>
          </cell>
          <cell r="G668">
            <v>33.462766798418599</v>
          </cell>
          <cell r="H668">
            <v>33.462766798418599</v>
          </cell>
          <cell r="I668" t="e">
            <v>#N/A</v>
          </cell>
          <cell r="J668" t="e">
            <v>#N/A</v>
          </cell>
          <cell r="K668" t="e">
            <v>#N/A</v>
          </cell>
          <cell r="L668" t="e">
            <v>#N/A</v>
          </cell>
          <cell r="M668" t="e">
            <v>#N/A</v>
          </cell>
          <cell r="N668" t="e">
            <v>#N/A</v>
          </cell>
          <cell r="O668" t="e">
            <v>#N/A</v>
          </cell>
          <cell r="P668">
            <v>34.65</v>
          </cell>
          <cell r="Q668" t="str">
            <v/>
          </cell>
          <cell r="R668" t="e">
            <v>#N/A</v>
          </cell>
        </row>
        <row r="669">
          <cell r="A669">
            <v>40120</v>
          </cell>
          <cell r="B669">
            <v>40120</v>
          </cell>
          <cell r="C669" t="str">
            <v>Future</v>
          </cell>
          <cell r="D669" t="e">
            <v>#N/A</v>
          </cell>
          <cell r="E669">
            <v>19.539565217391335</v>
          </cell>
          <cell r="F669">
            <v>37.800434782608782</v>
          </cell>
          <cell r="G669">
            <v>33.452608695651797</v>
          </cell>
          <cell r="H669">
            <v>33.452608695651797</v>
          </cell>
          <cell r="I669" t="e">
            <v>#N/A</v>
          </cell>
          <cell r="J669" t="e">
            <v>#N/A</v>
          </cell>
          <cell r="K669" t="e">
            <v>#N/A</v>
          </cell>
          <cell r="L669" t="e">
            <v>#N/A</v>
          </cell>
          <cell r="M669" t="e">
            <v>#N/A</v>
          </cell>
          <cell r="N669" t="e">
            <v>#N/A</v>
          </cell>
          <cell r="O669" t="e">
            <v>#N/A</v>
          </cell>
          <cell r="P669">
            <v>34.65</v>
          </cell>
          <cell r="Q669" t="str">
            <v/>
          </cell>
          <cell r="R669" t="e">
            <v>#N/A</v>
          </cell>
        </row>
        <row r="670">
          <cell r="A670">
            <v>40121</v>
          </cell>
          <cell r="B670">
            <v>40121</v>
          </cell>
          <cell r="C670" t="str">
            <v>Future</v>
          </cell>
          <cell r="D670" t="e">
            <v>#N/A</v>
          </cell>
          <cell r="E670">
            <v>19.402924901185802</v>
          </cell>
          <cell r="F670">
            <v>37.829802371541589</v>
          </cell>
          <cell r="G670">
            <v>33.442450592884995</v>
          </cell>
          <cell r="H670">
            <v>33.442450592884995</v>
          </cell>
          <cell r="I670" t="e">
            <v>#N/A</v>
          </cell>
          <cell r="J670" t="e">
            <v>#N/A</v>
          </cell>
          <cell r="K670" t="e">
            <v>#N/A</v>
          </cell>
          <cell r="L670" t="e">
            <v>#N/A</v>
          </cell>
          <cell r="M670" t="e">
            <v>#N/A</v>
          </cell>
          <cell r="N670" t="e">
            <v>#N/A</v>
          </cell>
          <cell r="O670" t="e">
            <v>#N/A</v>
          </cell>
          <cell r="P670">
            <v>34.65</v>
          </cell>
          <cell r="Q670" t="str">
            <v/>
          </cell>
          <cell r="R670" t="e">
            <v>#N/A</v>
          </cell>
        </row>
        <row r="671">
          <cell r="A671">
            <v>40122</v>
          </cell>
          <cell r="B671">
            <v>40122</v>
          </cell>
          <cell r="C671" t="str">
            <v>Future</v>
          </cell>
          <cell r="D671" t="e">
            <v>#N/A</v>
          </cell>
          <cell r="E671">
            <v>19.266284584980269</v>
          </cell>
          <cell r="F671">
            <v>37.859169960474397</v>
          </cell>
          <cell r="G671">
            <v>33.432292490118193</v>
          </cell>
          <cell r="H671">
            <v>33.432292490118193</v>
          </cell>
          <cell r="I671" t="e">
            <v>#N/A</v>
          </cell>
          <cell r="J671" t="e">
            <v>#N/A</v>
          </cell>
          <cell r="K671" t="e">
            <v>#N/A</v>
          </cell>
          <cell r="L671" t="e">
            <v>#N/A</v>
          </cell>
          <cell r="M671" t="e">
            <v>#N/A</v>
          </cell>
          <cell r="N671" t="e">
            <v>#N/A</v>
          </cell>
          <cell r="O671" t="e">
            <v>#N/A</v>
          </cell>
          <cell r="P671">
            <v>34.65</v>
          </cell>
          <cell r="Q671" t="str">
            <v/>
          </cell>
          <cell r="R671" t="e">
            <v>#N/A</v>
          </cell>
        </row>
        <row r="672">
          <cell r="A672">
            <v>40123</v>
          </cell>
          <cell r="B672">
            <v>40123</v>
          </cell>
          <cell r="C672" t="str">
            <v>Future</v>
          </cell>
          <cell r="D672" t="e">
            <v>#N/A</v>
          </cell>
          <cell r="E672">
            <v>19.129644268774737</v>
          </cell>
          <cell r="F672">
            <v>37.888537549407204</v>
          </cell>
          <cell r="G672">
            <v>33.422134387351392</v>
          </cell>
          <cell r="H672">
            <v>33.422134387351392</v>
          </cell>
          <cell r="I672" t="e">
            <v>#N/A</v>
          </cell>
          <cell r="J672" t="e">
            <v>#N/A</v>
          </cell>
          <cell r="K672" t="e">
            <v>#N/A</v>
          </cell>
          <cell r="L672" t="e">
            <v>#N/A</v>
          </cell>
          <cell r="M672" t="e">
            <v>#N/A</v>
          </cell>
          <cell r="N672" t="e">
            <v>#N/A</v>
          </cell>
          <cell r="O672" t="e">
            <v>#N/A</v>
          </cell>
          <cell r="P672">
            <v>34.65</v>
          </cell>
          <cell r="Q672" t="str">
            <v/>
          </cell>
          <cell r="R672" t="e">
            <v>#N/A</v>
          </cell>
        </row>
        <row r="673">
          <cell r="A673">
            <v>40126</v>
          </cell>
          <cell r="B673">
            <v>40126</v>
          </cell>
          <cell r="C673" t="str">
            <v>Future</v>
          </cell>
          <cell r="D673" t="e">
            <v>#N/A</v>
          </cell>
          <cell r="E673">
            <v>18.993003952569204</v>
          </cell>
          <cell r="F673">
            <v>37.917905138340011</v>
          </cell>
          <cell r="G673">
            <v>33.41197628458459</v>
          </cell>
          <cell r="H673">
            <v>33.41197628458459</v>
          </cell>
          <cell r="I673" t="e">
            <v>#N/A</v>
          </cell>
          <cell r="J673" t="e">
            <v>#N/A</v>
          </cell>
          <cell r="K673" t="e">
            <v>#N/A</v>
          </cell>
          <cell r="L673" t="e">
            <v>#N/A</v>
          </cell>
          <cell r="M673" t="e">
            <v>#N/A</v>
          </cell>
          <cell r="N673" t="e">
            <v>#N/A</v>
          </cell>
          <cell r="O673" t="e">
            <v>#N/A</v>
          </cell>
          <cell r="P673">
            <v>34.65</v>
          </cell>
          <cell r="Q673" t="str">
            <v/>
          </cell>
          <cell r="R673" t="e">
            <v>#N/A</v>
          </cell>
        </row>
        <row r="674">
          <cell r="A674">
            <v>40127</v>
          </cell>
          <cell r="B674">
            <v>40127</v>
          </cell>
          <cell r="C674" t="str">
            <v>Future</v>
          </cell>
          <cell r="D674" t="e">
            <v>#N/A</v>
          </cell>
          <cell r="E674">
            <v>18.856363636363671</v>
          </cell>
          <cell r="F674">
            <v>37.947272727272818</v>
          </cell>
          <cell r="G674">
            <v>33.401818181817788</v>
          </cell>
          <cell r="H674">
            <v>33.401818181817788</v>
          </cell>
          <cell r="I674" t="e">
            <v>#N/A</v>
          </cell>
          <cell r="J674" t="e">
            <v>#N/A</v>
          </cell>
          <cell r="K674" t="e">
            <v>#N/A</v>
          </cell>
          <cell r="L674" t="e">
            <v>#N/A</v>
          </cell>
          <cell r="M674" t="e">
            <v>#N/A</v>
          </cell>
          <cell r="N674" t="e">
            <v>#N/A</v>
          </cell>
          <cell r="O674" t="e">
            <v>#N/A</v>
          </cell>
          <cell r="P674">
            <v>34.65</v>
          </cell>
          <cell r="Q674" t="str">
            <v/>
          </cell>
          <cell r="R674" t="e">
            <v>#N/A</v>
          </cell>
        </row>
        <row r="675">
          <cell r="A675">
            <v>40128</v>
          </cell>
          <cell r="B675">
            <v>40128</v>
          </cell>
          <cell r="C675" t="str">
            <v>Future</v>
          </cell>
          <cell r="D675" t="e">
            <v>#N/A</v>
          </cell>
          <cell r="E675">
            <v>18.719723320158138</v>
          </cell>
          <cell r="F675">
            <v>37.976640316205625</v>
          </cell>
          <cell r="G675">
            <v>33.391660079050986</v>
          </cell>
          <cell r="H675">
            <v>33.391660079050986</v>
          </cell>
          <cell r="I675" t="e">
            <v>#N/A</v>
          </cell>
          <cell r="J675" t="e">
            <v>#N/A</v>
          </cell>
          <cell r="K675" t="e">
            <v>#N/A</v>
          </cell>
          <cell r="L675" t="e">
            <v>#N/A</v>
          </cell>
          <cell r="M675" t="e">
            <v>#N/A</v>
          </cell>
          <cell r="N675" t="e">
            <v>#N/A</v>
          </cell>
          <cell r="O675" t="e">
            <v>#N/A</v>
          </cell>
          <cell r="P675">
            <v>34.65</v>
          </cell>
          <cell r="Q675" t="str">
            <v/>
          </cell>
          <cell r="R675" t="e">
            <v>#N/A</v>
          </cell>
        </row>
        <row r="676">
          <cell r="A676">
            <v>40129</v>
          </cell>
          <cell r="B676">
            <v>40129</v>
          </cell>
          <cell r="C676" t="str">
            <v>Future</v>
          </cell>
          <cell r="D676" t="e">
            <v>#N/A</v>
          </cell>
          <cell r="E676">
            <v>18.583083003952606</v>
          </cell>
          <cell r="F676">
            <v>38.006007905138432</v>
          </cell>
          <cell r="G676">
            <v>33.381501976284184</v>
          </cell>
          <cell r="H676">
            <v>33.381501976284184</v>
          </cell>
          <cell r="I676" t="e">
            <v>#N/A</v>
          </cell>
          <cell r="J676" t="e">
            <v>#N/A</v>
          </cell>
          <cell r="K676" t="e">
            <v>#N/A</v>
          </cell>
          <cell r="L676" t="e">
            <v>#N/A</v>
          </cell>
          <cell r="M676" t="e">
            <v>#N/A</v>
          </cell>
          <cell r="N676" t="e">
            <v>#N/A</v>
          </cell>
          <cell r="O676" t="e">
            <v>#N/A</v>
          </cell>
          <cell r="P676">
            <v>34.65</v>
          </cell>
          <cell r="Q676" t="str">
            <v/>
          </cell>
          <cell r="R676" t="e">
            <v>#N/A</v>
          </cell>
        </row>
        <row r="677">
          <cell r="A677">
            <v>40130</v>
          </cell>
          <cell r="B677">
            <v>40130</v>
          </cell>
          <cell r="C677" t="str">
            <v>Future</v>
          </cell>
          <cell r="D677" t="e">
            <v>#N/A</v>
          </cell>
          <cell r="E677">
            <v>18.446442687747073</v>
          </cell>
          <cell r="F677">
            <v>38.035375494071239</v>
          </cell>
          <cell r="G677">
            <v>33.371343873517382</v>
          </cell>
          <cell r="H677">
            <v>33.371343873517382</v>
          </cell>
          <cell r="I677" t="e">
            <v>#N/A</v>
          </cell>
          <cell r="J677" t="e">
            <v>#N/A</v>
          </cell>
          <cell r="K677" t="e">
            <v>#N/A</v>
          </cell>
          <cell r="L677" t="e">
            <v>#N/A</v>
          </cell>
          <cell r="M677" t="e">
            <v>#N/A</v>
          </cell>
          <cell r="N677" t="e">
            <v>#N/A</v>
          </cell>
          <cell r="O677" t="e">
            <v>#N/A</v>
          </cell>
          <cell r="P677">
            <v>34.65</v>
          </cell>
          <cell r="Q677" t="str">
            <v/>
          </cell>
          <cell r="R677" t="e">
            <v>#N/A</v>
          </cell>
        </row>
        <row r="678">
          <cell r="A678">
            <v>40133</v>
          </cell>
          <cell r="B678">
            <v>40133</v>
          </cell>
          <cell r="C678" t="str">
            <v>Future</v>
          </cell>
          <cell r="D678" t="e">
            <v>#N/A</v>
          </cell>
          <cell r="E678">
            <v>18.30980237154154</v>
          </cell>
          <cell r="F678">
            <v>38.064743083004046</v>
          </cell>
          <cell r="G678">
            <v>33.361185770750581</v>
          </cell>
          <cell r="H678">
            <v>33.361185770750581</v>
          </cell>
          <cell r="I678" t="e">
            <v>#N/A</v>
          </cell>
          <cell r="J678" t="e">
            <v>#N/A</v>
          </cell>
          <cell r="K678" t="e">
            <v>#N/A</v>
          </cell>
          <cell r="L678" t="e">
            <v>#N/A</v>
          </cell>
          <cell r="M678" t="e">
            <v>#N/A</v>
          </cell>
          <cell r="N678" t="e">
            <v>#N/A</v>
          </cell>
          <cell r="O678" t="e">
            <v>#N/A</v>
          </cell>
          <cell r="P678">
            <v>34.65</v>
          </cell>
          <cell r="Q678" t="str">
            <v/>
          </cell>
          <cell r="R678" t="e">
            <v>#N/A</v>
          </cell>
        </row>
        <row r="679">
          <cell r="A679">
            <v>40134</v>
          </cell>
          <cell r="B679">
            <v>40134</v>
          </cell>
          <cell r="C679" t="str">
            <v>Future</v>
          </cell>
          <cell r="D679" t="e">
            <v>#N/A</v>
          </cell>
          <cell r="E679">
            <v>18.173162055336007</v>
          </cell>
          <cell r="F679">
            <v>38.094110671936853</v>
          </cell>
          <cell r="G679">
            <v>33.351027667983779</v>
          </cell>
          <cell r="H679">
            <v>33.351027667983779</v>
          </cell>
          <cell r="I679" t="e">
            <v>#N/A</v>
          </cell>
          <cell r="J679" t="e">
            <v>#N/A</v>
          </cell>
          <cell r="K679" t="e">
            <v>#N/A</v>
          </cell>
          <cell r="L679" t="e">
            <v>#N/A</v>
          </cell>
          <cell r="M679" t="e">
            <v>#N/A</v>
          </cell>
          <cell r="N679" t="e">
            <v>#N/A</v>
          </cell>
          <cell r="O679" t="e">
            <v>#N/A</v>
          </cell>
          <cell r="P679">
            <v>34.65</v>
          </cell>
          <cell r="Q679" t="str">
            <v/>
          </cell>
          <cell r="R679" t="e">
            <v>#N/A</v>
          </cell>
        </row>
        <row r="680">
          <cell r="A680">
            <v>40135</v>
          </cell>
          <cell r="B680">
            <v>40135</v>
          </cell>
          <cell r="C680" t="str">
            <v>Future</v>
          </cell>
          <cell r="D680" t="e">
            <v>#N/A</v>
          </cell>
          <cell r="E680">
            <v>18.036521739130475</v>
          </cell>
          <cell r="F680">
            <v>38.123478260869661</v>
          </cell>
          <cell r="G680">
            <v>33.340869565216977</v>
          </cell>
          <cell r="H680">
            <v>33.340869565216977</v>
          </cell>
          <cell r="I680" t="e">
            <v>#N/A</v>
          </cell>
          <cell r="J680" t="e">
            <v>#N/A</v>
          </cell>
          <cell r="K680" t="e">
            <v>#N/A</v>
          </cell>
          <cell r="L680" t="e">
            <v>#N/A</v>
          </cell>
          <cell r="M680" t="e">
            <v>#N/A</v>
          </cell>
          <cell r="N680" t="e">
            <v>#N/A</v>
          </cell>
          <cell r="O680" t="e">
            <v>#N/A</v>
          </cell>
          <cell r="P680">
            <v>34.65</v>
          </cell>
          <cell r="Q680" t="str">
            <v/>
          </cell>
          <cell r="R680" t="e">
            <v>#N/A</v>
          </cell>
        </row>
        <row r="681">
          <cell r="A681">
            <v>40136</v>
          </cell>
          <cell r="B681">
            <v>40136</v>
          </cell>
          <cell r="C681" t="str">
            <v>Future</v>
          </cell>
          <cell r="D681" t="e">
            <v>#N/A</v>
          </cell>
          <cell r="E681">
            <v>17.899881422924942</v>
          </cell>
          <cell r="F681">
            <v>38.152845849802468</v>
          </cell>
          <cell r="G681">
            <v>33.330711462450175</v>
          </cell>
          <cell r="H681">
            <v>33.330711462450175</v>
          </cell>
          <cell r="I681" t="e">
            <v>#N/A</v>
          </cell>
          <cell r="J681" t="e">
            <v>#N/A</v>
          </cell>
          <cell r="K681" t="e">
            <v>#N/A</v>
          </cell>
          <cell r="L681" t="e">
            <v>#N/A</v>
          </cell>
          <cell r="M681" t="e">
            <v>#N/A</v>
          </cell>
          <cell r="N681" t="e">
            <v>#N/A</v>
          </cell>
          <cell r="O681" t="e">
            <v>#N/A</v>
          </cell>
          <cell r="P681">
            <v>34.65</v>
          </cell>
          <cell r="Q681" t="str">
            <v/>
          </cell>
          <cell r="R681" t="e">
            <v>#N/A</v>
          </cell>
        </row>
        <row r="682">
          <cell r="A682">
            <v>40137</v>
          </cell>
          <cell r="B682">
            <v>40137</v>
          </cell>
          <cell r="C682" t="str">
            <v>Future</v>
          </cell>
          <cell r="D682" t="e">
            <v>#N/A</v>
          </cell>
          <cell r="E682">
            <v>17.763241106719409</v>
          </cell>
          <cell r="F682">
            <v>38.182213438735275</v>
          </cell>
          <cell r="G682">
            <v>33.320553359683373</v>
          </cell>
          <cell r="H682">
            <v>33.320553359683373</v>
          </cell>
          <cell r="I682" t="e">
            <v>#N/A</v>
          </cell>
          <cell r="J682" t="e">
            <v>#N/A</v>
          </cell>
          <cell r="K682" t="e">
            <v>#N/A</v>
          </cell>
          <cell r="L682" t="e">
            <v>#N/A</v>
          </cell>
          <cell r="M682" t="e">
            <v>#N/A</v>
          </cell>
          <cell r="N682" t="e">
            <v>#N/A</v>
          </cell>
          <cell r="O682" t="e">
            <v>#N/A</v>
          </cell>
          <cell r="P682">
            <v>34.65</v>
          </cell>
          <cell r="Q682" t="str">
            <v/>
          </cell>
          <cell r="R682" t="e">
            <v>#N/A</v>
          </cell>
        </row>
        <row r="683">
          <cell r="A683">
            <v>40140</v>
          </cell>
          <cell r="B683">
            <v>40140</v>
          </cell>
          <cell r="C683" t="str">
            <v>Future</v>
          </cell>
          <cell r="D683" t="e">
            <v>#N/A</v>
          </cell>
          <cell r="E683">
            <v>17.626600790513876</v>
          </cell>
          <cell r="F683">
            <v>38.211581027668082</v>
          </cell>
          <cell r="G683">
            <v>33.310395256916571</v>
          </cell>
          <cell r="H683">
            <v>33.310395256916571</v>
          </cell>
          <cell r="I683" t="e">
            <v>#N/A</v>
          </cell>
          <cell r="J683" t="e">
            <v>#N/A</v>
          </cell>
          <cell r="K683" t="e">
            <v>#N/A</v>
          </cell>
          <cell r="L683" t="e">
            <v>#N/A</v>
          </cell>
          <cell r="M683" t="e">
            <v>#N/A</v>
          </cell>
          <cell r="N683" t="e">
            <v>#N/A</v>
          </cell>
          <cell r="O683" t="e">
            <v>#N/A</v>
          </cell>
          <cell r="P683">
            <v>34.65</v>
          </cell>
          <cell r="Q683" t="str">
            <v/>
          </cell>
          <cell r="R683" t="e">
            <v>#N/A</v>
          </cell>
        </row>
        <row r="684">
          <cell r="A684">
            <v>40141</v>
          </cell>
          <cell r="B684">
            <v>40141</v>
          </cell>
          <cell r="C684" t="str">
            <v>Future</v>
          </cell>
          <cell r="D684" t="e">
            <v>#N/A</v>
          </cell>
          <cell r="E684">
            <v>17.489960474308344</v>
          </cell>
          <cell r="F684">
            <v>38.240948616600889</v>
          </cell>
          <cell r="G684">
            <v>33.300237154149769</v>
          </cell>
          <cell r="H684">
            <v>33.300237154149769</v>
          </cell>
          <cell r="I684" t="e">
            <v>#N/A</v>
          </cell>
          <cell r="J684" t="e">
            <v>#N/A</v>
          </cell>
          <cell r="K684" t="e">
            <v>#N/A</v>
          </cell>
          <cell r="L684" t="e">
            <v>#N/A</v>
          </cell>
          <cell r="M684" t="e">
            <v>#N/A</v>
          </cell>
          <cell r="N684" t="e">
            <v>#N/A</v>
          </cell>
          <cell r="O684" t="e">
            <v>#N/A</v>
          </cell>
          <cell r="P684">
            <v>34.65</v>
          </cell>
          <cell r="Q684" t="str">
            <v/>
          </cell>
          <cell r="R684" t="e">
            <v>#N/A</v>
          </cell>
        </row>
        <row r="685">
          <cell r="A685">
            <v>40142</v>
          </cell>
          <cell r="B685">
            <v>40142</v>
          </cell>
          <cell r="C685" t="str">
            <v>Future</v>
          </cell>
          <cell r="D685" t="e">
            <v>#N/A</v>
          </cell>
          <cell r="E685">
            <v>17.353320158102811</v>
          </cell>
          <cell r="F685">
            <v>38.270316205533696</v>
          </cell>
          <cell r="G685">
            <v>33.290079051382968</v>
          </cell>
          <cell r="H685">
            <v>33.290079051382968</v>
          </cell>
          <cell r="I685" t="e">
            <v>#N/A</v>
          </cell>
          <cell r="J685" t="e">
            <v>#N/A</v>
          </cell>
          <cell r="K685" t="e">
            <v>#N/A</v>
          </cell>
          <cell r="L685" t="e">
            <v>#N/A</v>
          </cell>
          <cell r="M685" t="e">
            <v>#N/A</v>
          </cell>
          <cell r="N685" t="e">
            <v>#N/A</v>
          </cell>
          <cell r="O685" t="e">
            <v>#N/A</v>
          </cell>
          <cell r="P685">
            <v>34.65</v>
          </cell>
          <cell r="Q685" t="str">
            <v/>
          </cell>
          <cell r="R685" t="e">
            <v>#N/A</v>
          </cell>
        </row>
        <row r="686">
          <cell r="A686">
            <v>40144</v>
          </cell>
          <cell r="B686">
            <v>40144</v>
          </cell>
          <cell r="C686" t="str">
            <v>Future</v>
          </cell>
          <cell r="D686" t="e">
            <v>#N/A</v>
          </cell>
          <cell r="E686">
            <v>17.216679841897278</v>
          </cell>
          <cell r="F686">
            <v>38.299683794466503</v>
          </cell>
          <cell r="G686">
            <v>33.279920948616166</v>
          </cell>
          <cell r="H686">
            <v>33.279920948616166</v>
          </cell>
          <cell r="I686" t="e">
            <v>#N/A</v>
          </cell>
          <cell r="J686" t="e">
            <v>#N/A</v>
          </cell>
          <cell r="K686" t="e">
            <v>#N/A</v>
          </cell>
          <cell r="L686" t="e">
            <v>#N/A</v>
          </cell>
          <cell r="M686" t="e">
            <v>#N/A</v>
          </cell>
          <cell r="N686" t="e">
            <v>#N/A</v>
          </cell>
          <cell r="O686" t="e">
            <v>#N/A</v>
          </cell>
          <cell r="P686">
            <v>34.65</v>
          </cell>
          <cell r="Q686" t="str">
            <v/>
          </cell>
          <cell r="R686" t="e">
            <v>#N/A</v>
          </cell>
        </row>
        <row r="687">
          <cell r="A687">
            <v>40147</v>
          </cell>
          <cell r="B687">
            <v>40147</v>
          </cell>
          <cell r="C687" t="str">
            <v>Future</v>
          </cell>
          <cell r="D687" t="e">
            <v>#N/A</v>
          </cell>
          <cell r="E687">
            <v>17.080039525691745</v>
          </cell>
          <cell r="F687">
            <v>38.32905138339931</v>
          </cell>
          <cell r="G687">
            <v>33.269762845849364</v>
          </cell>
          <cell r="H687">
            <v>33.269762845849364</v>
          </cell>
          <cell r="I687" t="e">
            <v>#N/A</v>
          </cell>
          <cell r="J687" t="e">
            <v>#N/A</v>
          </cell>
          <cell r="K687" t="e">
            <v>#N/A</v>
          </cell>
          <cell r="L687" t="e">
            <v>#N/A</v>
          </cell>
          <cell r="M687" t="e">
            <v>#N/A</v>
          </cell>
          <cell r="N687" t="e">
            <v>#N/A</v>
          </cell>
          <cell r="O687" t="e">
            <v>#N/A</v>
          </cell>
          <cell r="P687">
            <v>34.65</v>
          </cell>
          <cell r="Q687" t="str">
            <v/>
          </cell>
          <cell r="R687" t="e">
            <v>#N/A</v>
          </cell>
        </row>
        <row r="688">
          <cell r="A688">
            <v>40148</v>
          </cell>
          <cell r="B688">
            <v>40148</v>
          </cell>
          <cell r="C688" t="str">
            <v>Future</v>
          </cell>
          <cell r="D688" t="e">
            <v>#N/A</v>
          </cell>
          <cell r="E688">
            <v>16.943399209486213</v>
          </cell>
          <cell r="F688">
            <v>38.358418972332117</v>
          </cell>
          <cell r="G688">
            <v>33.259604743082562</v>
          </cell>
          <cell r="H688">
            <v>33.259604743082562</v>
          </cell>
          <cell r="I688" t="e">
            <v>#N/A</v>
          </cell>
          <cell r="J688" t="e">
            <v>#N/A</v>
          </cell>
          <cell r="K688" t="e">
            <v>#N/A</v>
          </cell>
          <cell r="L688" t="e">
            <v>#N/A</v>
          </cell>
          <cell r="M688" t="e">
            <v>#N/A</v>
          </cell>
          <cell r="N688" t="e">
            <v>#N/A</v>
          </cell>
          <cell r="O688" t="e">
            <v>#N/A</v>
          </cell>
          <cell r="P688">
            <v>34.65</v>
          </cell>
          <cell r="Q688" t="str">
            <v/>
          </cell>
          <cell r="R688" t="e">
            <v>#N/A</v>
          </cell>
        </row>
        <row r="689">
          <cell r="A689">
            <v>40149</v>
          </cell>
          <cell r="B689">
            <v>40149</v>
          </cell>
          <cell r="C689" t="str">
            <v>Future</v>
          </cell>
          <cell r="D689" t="e">
            <v>#N/A</v>
          </cell>
          <cell r="E689">
            <v>16.80675889328068</v>
          </cell>
          <cell r="F689">
            <v>38.387786561264925</v>
          </cell>
          <cell r="G689">
            <v>33.24944664031576</v>
          </cell>
          <cell r="H689">
            <v>33.24944664031576</v>
          </cell>
          <cell r="I689" t="e">
            <v>#N/A</v>
          </cell>
          <cell r="J689" t="e">
            <v>#N/A</v>
          </cell>
          <cell r="K689" t="e">
            <v>#N/A</v>
          </cell>
          <cell r="L689" t="e">
            <v>#N/A</v>
          </cell>
          <cell r="M689" t="e">
            <v>#N/A</v>
          </cell>
          <cell r="N689" t="e">
            <v>#N/A</v>
          </cell>
          <cell r="O689" t="e">
            <v>#N/A</v>
          </cell>
          <cell r="P689">
            <v>34.65</v>
          </cell>
          <cell r="Q689" t="str">
            <v/>
          </cell>
          <cell r="R689" t="e">
            <v>#N/A</v>
          </cell>
        </row>
        <row r="690">
          <cell r="A690">
            <v>40150</v>
          </cell>
          <cell r="B690">
            <v>40150</v>
          </cell>
          <cell r="C690" t="str">
            <v>Future</v>
          </cell>
          <cell r="D690" t="e">
            <v>#N/A</v>
          </cell>
          <cell r="E690">
            <v>16.670118577075147</v>
          </cell>
          <cell r="F690">
            <v>38.417154150197732</v>
          </cell>
          <cell r="G690">
            <v>33.239288537548958</v>
          </cell>
          <cell r="H690">
            <v>33.239288537548958</v>
          </cell>
          <cell r="I690" t="e">
            <v>#N/A</v>
          </cell>
          <cell r="J690" t="e">
            <v>#N/A</v>
          </cell>
          <cell r="K690" t="e">
            <v>#N/A</v>
          </cell>
          <cell r="L690" t="e">
            <v>#N/A</v>
          </cell>
          <cell r="M690" t="e">
            <v>#N/A</v>
          </cell>
          <cell r="N690" t="e">
            <v>#N/A</v>
          </cell>
          <cell r="O690" t="e">
            <v>#N/A</v>
          </cell>
          <cell r="P690">
            <v>34.65</v>
          </cell>
          <cell r="Q690" t="str">
            <v/>
          </cell>
          <cell r="R690" t="e">
            <v>#N/A</v>
          </cell>
        </row>
        <row r="691">
          <cell r="A691">
            <v>40151</v>
          </cell>
          <cell r="B691">
            <v>40151</v>
          </cell>
          <cell r="C691" t="str">
            <v>Future</v>
          </cell>
          <cell r="D691" t="e">
            <v>#N/A</v>
          </cell>
          <cell r="E691">
            <v>16.533478260869614</v>
          </cell>
          <cell r="F691">
            <v>38.446521739130539</v>
          </cell>
          <cell r="G691">
            <v>33.229130434782157</v>
          </cell>
          <cell r="H691">
            <v>33.229130434782157</v>
          </cell>
          <cell r="I691" t="e">
            <v>#N/A</v>
          </cell>
          <cell r="J691" t="e">
            <v>#N/A</v>
          </cell>
          <cell r="K691" t="e">
            <v>#N/A</v>
          </cell>
          <cell r="L691" t="e">
            <v>#N/A</v>
          </cell>
          <cell r="M691" t="e">
            <v>#N/A</v>
          </cell>
          <cell r="N691" t="e">
            <v>#N/A</v>
          </cell>
          <cell r="O691" t="e">
            <v>#N/A</v>
          </cell>
          <cell r="P691">
            <v>34.65</v>
          </cell>
          <cell r="Q691" t="str">
            <v/>
          </cell>
          <cell r="R691" t="e">
            <v>#N/A</v>
          </cell>
        </row>
        <row r="692">
          <cell r="A692">
            <v>40154</v>
          </cell>
          <cell r="B692">
            <v>40154</v>
          </cell>
          <cell r="C692" t="str">
            <v>Future</v>
          </cell>
          <cell r="D692" t="e">
            <v>#N/A</v>
          </cell>
          <cell r="E692">
            <v>16.396837944664082</v>
          </cell>
          <cell r="F692">
            <v>38.475889328063346</v>
          </cell>
          <cell r="G692">
            <v>33.218972332015355</v>
          </cell>
          <cell r="H692">
            <v>33.218972332015355</v>
          </cell>
          <cell r="I692" t="e">
            <v>#N/A</v>
          </cell>
          <cell r="J692" t="e">
            <v>#N/A</v>
          </cell>
          <cell r="K692" t="e">
            <v>#N/A</v>
          </cell>
          <cell r="L692" t="e">
            <v>#N/A</v>
          </cell>
          <cell r="M692" t="e">
            <v>#N/A</v>
          </cell>
          <cell r="N692" t="e">
            <v>#N/A</v>
          </cell>
          <cell r="O692" t="e">
            <v>#N/A</v>
          </cell>
          <cell r="P692">
            <v>34.65</v>
          </cell>
          <cell r="Q692" t="str">
            <v/>
          </cell>
          <cell r="R692" t="e">
            <v>#N/A</v>
          </cell>
        </row>
        <row r="693">
          <cell r="A693">
            <v>40155</v>
          </cell>
          <cell r="B693">
            <v>40155</v>
          </cell>
          <cell r="C693" t="str">
            <v>Future</v>
          </cell>
          <cell r="D693" t="e">
            <v>#N/A</v>
          </cell>
          <cell r="E693">
            <v>16.260197628458549</v>
          </cell>
          <cell r="F693">
            <v>38.505256916996153</v>
          </cell>
          <cell r="G693">
            <v>33.208814229248553</v>
          </cell>
          <cell r="H693">
            <v>33.208814229248553</v>
          </cell>
          <cell r="I693" t="e">
            <v>#N/A</v>
          </cell>
          <cell r="J693" t="e">
            <v>#N/A</v>
          </cell>
          <cell r="K693" t="e">
            <v>#N/A</v>
          </cell>
          <cell r="L693" t="e">
            <v>#N/A</v>
          </cell>
          <cell r="M693" t="e">
            <v>#N/A</v>
          </cell>
          <cell r="N693" t="e">
            <v>#N/A</v>
          </cell>
          <cell r="O693" t="e">
            <v>#N/A</v>
          </cell>
          <cell r="P693">
            <v>34.65</v>
          </cell>
          <cell r="Q693" t="str">
            <v/>
          </cell>
          <cell r="R693" t="e">
            <v>#N/A</v>
          </cell>
        </row>
        <row r="694">
          <cell r="A694">
            <v>40156</v>
          </cell>
          <cell r="B694">
            <v>40156</v>
          </cell>
          <cell r="C694" t="str">
            <v>Future</v>
          </cell>
          <cell r="D694" t="e">
            <v>#N/A</v>
          </cell>
          <cell r="E694">
            <v>16.123557312253016</v>
          </cell>
          <cell r="F694">
            <v>38.53462450592896</v>
          </cell>
          <cell r="G694">
            <v>33.198656126481751</v>
          </cell>
          <cell r="H694">
            <v>33.198656126481751</v>
          </cell>
          <cell r="I694" t="e">
            <v>#N/A</v>
          </cell>
          <cell r="J694" t="e">
            <v>#N/A</v>
          </cell>
          <cell r="K694" t="e">
            <v>#N/A</v>
          </cell>
          <cell r="L694" t="e">
            <v>#N/A</v>
          </cell>
          <cell r="M694" t="e">
            <v>#N/A</v>
          </cell>
          <cell r="N694" t="e">
            <v>#N/A</v>
          </cell>
          <cell r="O694" t="e">
            <v>#N/A</v>
          </cell>
          <cell r="P694">
            <v>34.65</v>
          </cell>
          <cell r="Q694" t="str">
            <v/>
          </cell>
          <cell r="R694" t="e">
            <v>#N/A</v>
          </cell>
        </row>
        <row r="695">
          <cell r="A695">
            <v>40157</v>
          </cell>
          <cell r="B695">
            <v>40157</v>
          </cell>
          <cell r="C695" t="str">
            <v>Future</v>
          </cell>
          <cell r="D695" t="e">
            <v>#N/A</v>
          </cell>
          <cell r="E695">
            <v>15.986916996047484</v>
          </cell>
          <cell r="F695">
            <v>38.563992094861767</v>
          </cell>
          <cell r="G695">
            <v>33.188498023714949</v>
          </cell>
          <cell r="H695">
            <v>33.188498023714949</v>
          </cell>
          <cell r="I695" t="e">
            <v>#N/A</v>
          </cell>
          <cell r="J695" t="e">
            <v>#N/A</v>
          </cell>
          <cell r="K695" t="e">
            <v>#N/A</v>
          </cell>
          <cell r="L695" t="e">
            <v>#N/A</v>
          </cell>
          <cell r="M695" t="e">
            <v>#N/A</v>
          </cell>
          <cell r="N695" t="e">
            <v>#N/A</v>
          </cell>
          <cell r="O695" t="e">
            <v>#N/A</v>
          </cell>
          <cell r="P695">
            <v>34.65</v>
          </cell>
          <cell r="Q695" t="str">
            <v/>
          </cell>
          <cell r="R695" t="e">
            <v>#N/A</v>
          </cell>
        </row>
        <row r="696">
          <cell r="A696">
            <v>40158</v>
          </cell>
          <cell r="B696">
            <v>40158</v>
          </cell>
          <cell r="C696" t="str">
            <v>Future</v>
          </cell>
          <cell r="D696" t="e">
            <v>#N/A</v>
          </cell>
          <cell r="E696">
            <v>15.850276679841951</v>
          </cell>
          <cell r="F696">
            <v>38.593359683794574</v>
          </cell>
          <cell r="G696">
            <v>33.178339920948147</v>
          </cell>
          <cell r="H696">
            <v>33.178339920948147</v>
          </cell>
          <cell r="I696" t="e">
            <v>#N/A</v>
          </cell>
          <cell r="J696" t="e">
            <v>#N/A</v>
          </cell>
          <cell r="K696" t="e">
            <v>#N/A</v>
          </cell>
          <cell r="L696" t="e">
            <v>#N/A</v>
          </cell>
          <cell r="M696" t="e">
            <v>#N/A</v>
          </cell>
          <cell r="N696" t="e">
            <v>#N/A</v>
          </cell>
          <cell r="O696" t="e">
            <v>#N/A</v>
          </cell>
          <cell r="P696">
            <v>34.65</v>
          </cell>
          <cell r="Q696" t="str">
            <v/>
          </cell>
          <cell r="R696" t="e">
            <v>#N/A</v>
          </cell>
        </row>
        <row r="697">
          <cell r="A697">
            <v>40161</v>
          </cell>
          <cell r="B697">
            <v>40161</v>
          </cell>
          <cell r="C697" t="str">
            <v>Future</v>
          </cell>
          <cell r="D697" t="e">
            <v>#N/A</v>
          </cell>
          <cell r="E697">
            <v>15.713636363636418</v>
          </cell>
          <cell r="F697">
            <v>38.622727272727381</v>
          </cell>
          <cell r="G697">
            <v>33.168181818181345</v>
          </cell>
          <cell r="H697">
            <v>33.168181818181345</v>
          </cell>
          <cell r="I697" t="e">
            <v>#N/A</v>
          </cell>
          <cell r="J697" t="e">
            <v>#N/A</v>
          </cell>
          <cell r="K697" t="e">
            <v>#N/A</v>
          </cell>
          <cell r="L697" t="e">
            <v>#N/A</v>
          </cell>
          <cell r="M697" t="e">
            <v>#N/A</v>
          </cell>
          <cell r="N697" t="e">
            <v>#N/A</v>
          </cell>
          <cell r="O697" t="e">
            <v>#N/A</v>
          </cell>
          <cell r="P697">
            <v>34.65</v>
          </cell>
          <cell r="Q697" t="str">
            <v/>
          </cell>
          <cell r="R697" t="e">
            <v>#N/A</v>
          </cell>
        </row>
        <row r="698">
          <cell r="A698">
            <v>40162</v>
          </cell>
          <cell r="B698">
            <v>40162</v>
          </cell>
          <cell r="C698" t="str">
            <v>Future</v>
          </cell>
          <cell r="D698" t="e">
            <v>#N/A</v>
          </cell>
          <cell r="E698">
            <v>15.576996047430885</v>
          </cell>
          <cell r="F698">
            <v>38.652094861660188</v>
          </cell>
          <cell r="G698">
            <v>33.158023715414544</v>
          </cell>
          <cell r="H698">
            <v>33.158023715414544</v>
          </cell>
          <cell r="I698" t="e">
            <v>#N/A</v>
          </cell>
          <cell r="J698" t="e">
            <v>#N/A</v>
          </cell>
          <cell r="K698" t="e">
            <v>#N/A</v>
          </cell>
          <cell r="L698" t="e">
            <v>#N/A</v>
          </cell>
          <cell r="M698" t="e">
            <v>#N/A</v>
          </cell>
          <cell r="N698" t="e">
            <v>#N/A</v>
          </cell>
          <cell r="O698" t="e">
            <v>#N/A</v>
          </cell>
          <cell r="P698">
            <v>34.65</v>
          </cell>
          <cell r="Q698" t="str">
            <v/>
          </cell>
          <cell r="R698" t="e">
            <v>#N/A</v>
          </cell>
        </row>
        <row r="699">
          <cell r="A699">
            <v>40163</v>
          </cell>
          <cell r="B699">
            <v>40163</v>
          </cell>
          <cell r="C699" t="str">
            <v>Future</v>
          </cell>
          <cell r="D699" t="e">
            <v>#N/A</v>
          </cell>
          <cell r="E699">
            <v>15.440355731225353</v>
          </cell>
          <cell r="F699">
            <v>38.681462450592996</v>
          </cell>
          <cell r="G699">
            <v>33.147865612647742</v>
          </cell>
          <cell r="H699">
            <v>33.147865612647742</v>
          </cell>
          <cell r="I699" t="e">
            <v>#N/A</v>
          </cell>
          <cell r="J699" t="e">
            <v>#N/A</v>
          </cell>
          <cell r="K699" t="e">
            <v>#N/A</v>
          </cell>
          <cell r="L699" t="e">
            <v>#N/A</v>
          </cell>
          <cell r="M699" t="e">
            <v>#N/A</v>
          </cell>
          <cell r="N699" t="e">
            <v>#N/A</v>
          </cell>
          <cell r="O699" t="e">
            <v>#N/A</v>
          </cell>
          <cell r="P699">
            <v>34.65</v>
          </cell>
          <cell r="Q699" t="str">
            <v/>
          </cell>
          <cell r="R699" t="e">
            <v>#N/A</v>
          </cell>
        </row>
        <row r="700">
          <cell r="A700">
            <v>40164</v>
          </cell>
          <cell r="B700">
            <v>40164</v>
          </cell>
          <cell r="C700" t="str">
            <v>Future</v>
          </cell>
          <cell r="D700" t="e">
            <v>#N/A</v>
          </cell>
          <cell r="E700">
            <v>15.30371541501982</v>
          </cell>
          <cell r="F700">
            <v>38.710830039525803</v>
          </cell>
          <cell r="G700">
            <v>33.13770750988094</v>
          </cell>
          <cell r="H700">
            <v>33.13770750988094</v>
          </cell>
          <cell r="I700" t="e">
            <v>#N/A</v>
          </cell>
          <cell r="J700" t="e">
            <v>#N/A</v>
          </cell>
          <cell r="K700" t="e">
            <v>#N/A</v>
          </cell>
          <cell r="L700" t="e">
            <v>#N/A</v>
          </cell>
          <cell r="M700" t="e">
            <v>#N/A</v>
          </cell>
          <cell r="N700" t="e">
            <v>#N/A</v>
          </cell>
          <cell r="O700" t="e">
            <v>#N/A</v>
          </cell>
          <cell r="P700">
            <v>34.65</v>
          </cell>
          <cell r="Q700" t="str">
            <v/>
          </cell>
          <cell r="R700" t="e">
            <v>#N/A</v>
          </cell>
        </row>
        <row r="701">
          <cell r="A701">
            <v>40165</v>
          </cell>
          <cell r="B701">
            <v>40165</v>
          </cell>
          <cell r="C701" t="str">
            <v>Future</v>
          </cell>
          <cell r="D701" t="e">
            <v>#N/A</v>
          </cell>
          <cell r="E701">
            <v>15.167075098814287</v>
          </cell>
          <cell r="F701">
            <v>38.74019762845861</v>
          </cell>
          <cell r="G701">
            <v>33.127549407114138</v>
          </cell>
          <cell r="H701">
            <v>33.127549407114138</v>
          </cell>
          <cell r="I701" t="e">
            <v>#N/A</v>
          </cell>
          <cell r="J701" t="e">
            <v>#N/A</v>
          </cell>
          <cell r="K701" t="e">
            <v>#N/A</v>
          </cell>
          <cell r="L701" t="e">
            <v>#N/A</v>
          </cell>
          <cell r="M701" t="e">
            <v>#N/A</v>
          </cell>
          <cell r="N701" t="e">
            <v>#N/A</v>
          </cell>
          <cell r="O701" t="e">
            <v>#N/A</v>
          </cell>
          <cell r="P701">
            <v>34.65</v>
          </cell>
          <cell r="Q701" t="str">
            <v/>
          </cell>
          <cell r="R701" t="e">
            <v>#N/A</v>
          </cell>
        </row>
        <row r="702">
          <cell r="A702">
            <v>40168</v>
          </cell>
          <cell r="B702">
            <v>40168</v>
          </cell>
          <cell r="C702" t="str">
            <v>Future</v>
          </cell>
          <cell r="D702" t="e">
            <v>#N/A</v>
          </cell>
          <cell r="E702">
            <v>15.030434782608754</v>
          </cell>
          <cell r="F702">
            <v>38.769565217391417</v>
          </cell>
          <cell r="G702">
            <v>33.117391304347336</v>
          </cell>
          <cell r="H702">
            <v>33.117391304347336</v>
          </cell>
          <cell r="I702" t="e">
            <v>#N/A</v>
          </cell>
          <cell r="J702" t="e">
            <v>#N/A</v>
          </cell>
          <cell r="K702" t="e">
            <v>#N/A</v>
          </cell>
          <cell r="L702" t="e">
            <v>#N/A</v>
          </cell>
          <cell r="M702" t="e">
            <v>#N/A</v>
          </cell>
          <cell r="N702" t="e">
            <v>#N/A</v>
          </cell>
          <cell r="O702" t="e">
            <v>#N/A</v>
          </cell>
          <cell r="P702">
            <v>34.65</v>
          </cell>
          <cell r="Q702" t="str">
            <v/>
          </cell>
          <cell r="R702" t="e">
            <v>#N/A</v>
          </cell>
        </row>
        <row r="703">
          <cell r="A703">
            <v>40169</v>
          </cell>
          <cell r="B703">
            <v>40169</v>
          </cell>
          <cell r="C703" t="str">
            <v>Future</v>
          </cell>
          <cell r="D703" t="e">
            <v>#N/A</v>
          </cell>
          <cell r="E703">
            <v>14.893794466403222</v>
          </cell>
          <cell r="F703">
            <v>38.798932806324224</v>
          </cell>
          <cell r="G703">
            <v>33.107233201580534</v>
          </cell>
          <cell r="H703">
            <v>33.107233201580534</v>
          </cell>
          <cell r="I703" t="e">
            <v>#N/A</v>
          </cell>
          <cell r="J703" t="e">
            <v>#N/A</v>
          </cell>
          <cell r="K703" t="e">
            <v>#N/A</v>
          </cell>
          <cell r="L703" t="e">
            <v>#N/A</v>
          </cell>
          <cell r="M703" t="e">
            <v>#N/A</v>
          </cell>
          <cell r="N703" t="e">
            <v>#N/A</v>
          </cell>
          <cell r="O703" t="e">
            <v>#N/A</v>
          </cell>
          <cell r="P703">
            <v>34.65</v>
          </cell>
          <cell r="Q703" t="str">
            <v/>
          </cell>
          <cell r="R703" t="e">
            <v>#N/A</v>
          </cell>
        </row>
        <row r="704">
          <cell r="A704">
            <v>40170</v>
          </cell>
          <cell r="B704">
            <v>40170</v>
          </cell>
          <cell r="C704" t="str">
            <v>Future</v>
          </cell>
          <cell r="D704" t="e">
            <v>#N/A</v>
          </cell>
          <cell r="E704">
            <v>14.757154150197689</v>
          </cell>
          <cell r="F704">
            <v>38.828300395257031</v>
          </cell>
          <cell r="G704">
            <v>33.097075098813733</v>
          </cell>
          <cell r="H704">
            <v>33.097075098813733</v>
          </cell>
          <cell r="I704" t="e">
            <v>#N/A</v>
          </cell>
          <cell r="J704" t="e">
            <v>#N/A</v>
          </cell>
          <cell r="K704" t="e">
            <v>#N/A</v>
          </cell>
          <cell r="L704" t="e">
            <v>#N/A</v>
          </cell>
          <cell r="M704" t="e">
            <v>#N/A</v>
          </cell>
          <cell r="N704" t="e">
            <v>#N/A</v>
          </cell>
          <cell r="O704" t="e">
            <v>#N/A</v>
          </cell>
          <cell r="P704">
            <v>34.65</v>
          </cell>
          <cell r="Q704" t="str">
            <v/>
          </cell>
          <cell r="R704" t="e">
            <v>#N/A</v>
          </cell>
        </row>
        <row r="705">
          <cell r="A705">
            <v>40171</v>
          </cell>
          <cell r="B705">
            <v>40171</v>
          </cell>
          <cell r="C705" t="str">
            <v>Future</v>
          </cell>
          <cell r="D705" t="e">
            <v>#N/A</v>
          </cell>
          <cell r="E705">
            <v>14.620513833992156</v>
          </cell>
          <cell r="F705">
            <v>38.857667984189838</v>
          </cell>
          <cell r="G705">
            <v>33.086916996046931</v>
          </cell>
          <cell r="H705">
            <v>33.086916996046931</v>
          </cell>
          <cell r="I705" t="e">
            <v>#N/A</v>
          </cell>
          <cell r="J705" t="e">
            <v>#N/A</v>
          </cell>
          <cell r="K705" t="e">
            <v>#N/A</v>
          </cell>
          <cell r="L705" t="e">
            <v>#N/A</v>
          </cell>
          <cell r="M705" t="e">
            <v>#N/A</v>
          </cell>
          <cell r="N705" t="e">
            <v>#N/A</v>
          </cell>
          <cell r="O705" t="e">
            <v>#N/A</v>
          </cell>
          <cell r="P705">
            <v>34.65</v>
          </cell>
          <cell r="Q705" t="str">
            <v/>
          </cell>
          <cell r="R705" t="e">
            <v>#N/A</v>
          </cell>
        </row>
        <row r="706">
          <cell r="A706">
            <v>40175</v>
          </cell>
          <cell r="B706">
            <v>40175</v>
          </cell>
          <cell r="C706" t="str">
            <v>Future</v>
          </cell>
          <cell r="D706" t="e">
            <v>#N/A</v>
          </cell>
          <cell r="E706">
            <v>14.483873517786623</v>
          </cell>
          <cell r="F706">
            <v>38.887035573122645</v>
          </cell>
          <cell r="G706">
            <v>33.076758893280129</v>
          </cell>
          <cell r="H706">
            <v>33.076758893280129</v>
          </cell>
          <cell r="I706" t="e">
            <v>#N/A</v>
          </cell>
          <cell r="J706" t="e">
            <v>#N/A</v>
          </cell>
          <cell r="K706" t="e">
            <v>#N/A</v>
          </cell>
          <cell r="L706" t="e">
            <v>#N/A</v>
          </cell>
          <cell r="M706" t="e">
            <v>#N/A</v>
          </cell>
          <cell r="N706" t="e">
            <v>#N/A</v>
          </cell>
          <cell r="O706" t="e">
            <v>#N/A</v>
          </cell>
          <cell r="P706">
            <v>34.65</v>
          </cell>
          <cell r="Q706" t="str">
            <v/>
          </cell>
          <cell r="R706" t="e">
            <v>#N/A</v>
          </cell>
        </row>
        <row r="707">
          <cell r="A707">
            <v>40176</v>
          </cell>
          <cell r="B707">
            <v>40176</v>
          </cell>
          <cell r="C707" t="str">
            <v>Future</v>
          </cell>
          <cell r="D707" t="e">
            <v>#N/A</v>
          </cell>
          <cell r="E707">
            <v>14.347233201581091</v>
          </cell>
          <cell r="F707">
            <v>38.916403162055452</v>
          </cell>
          <cell r="G707">
            <v>33.066600790513327</v>
          </cell>
          <cell r="H707">
            <v>33.066600790513327</v>
          </cell>
          <cell r="I707" t="e">
            <v>#N/A</v>
          </cell>
          <cell r="J707" t="e">
            <v>#N/A</v>
          </cell>
          <cell r="K707" t="e">
            <v>#N/A</v>
          </cell>
          <cell r="L707" t="e">
            <v>#N/A</v>
          </cell>
          <cell r="M707" t="e">
            <v>#N/A</v>
          </cell>
          <cell r="N707" t="e">
            <v>#N/A</v>
          </cell>
          <cell r="O707" t="e">
            <v>#N/A</v>
          </cell>
          <cell r="P707">
            <v>34.65</v>
          </cell>
          <cell r="Q707" t="str">
            <v/>
          </cell>
          <cell r="R707" t="e">
            <v>#N/A</v>
          </cell>
        </row>
        <row r="708">
          <cell r="A708">
            <v>40177</v>
          </cell>
          <cell r="B708">
            <v>40177</v>
          </cell>
          <cell r="C708" t="str">
            <v>Future</v>
          </cell>
          <cell r="D708" t="e">
            <v>#N/A</v>
          </cell>
          <cell r="E708">
            <v>14.210592885375558</v>
          </cell>
          <cell r="F708">
            <v>38.94577075098826</v>
          </cell>
          <cell r="G708">
            <v>33.056442687746525</v>
          </cell>
          <cell r="H708">
            <v>33.056442687746525</v>
          </cell>
          <cell r="I708" t="e">
            <v>#N/A</v>
          </cell>
          <cell r="J708" t="e">
            <v>#N/A</v>
          </cell>
          <cell r="K708" t="e">
            <v>#N/A</v>
          </cell>
          <cell r="L708" t="e">
            <v>#N/A</v>
          </cell>
          <cell r="M708" t="e">
            <v>#N/A</v>
          </cell>
          <cell r="N708" t="e">
            <v>#N/A</v>
          </cell>
          <cell r="O708" t="e">
            <v>#N/A</v>
          </cell>
          <cell r="P708">
            <v>34.65</v>
          </cell>
          <cell r="Q708" t="str">
            <v/>
          </cell>
          <cell r="R708" t="e">
            <v>#N/A</v>
          </cell>
        </row>
        <row r="709">
          <cell r="A709">
            <v>40178</v>
          </cell>
          <cell r="B709">
            <v>40178</v>
          </cell>
          <cell r="C709" t="str">
            <v>Future</v>
          </cell>
          <cell r="D709" t="e">
            <v>#N/A</v>
          </cell>
          <cell r="E709">
            <v>14.073952569170025</v>
          </cell>
          <cell r="F709">
            <v>38.975138339921067</v>
          </cell>
          <cell r="G709">
            <v>33.046284584979723</v>
          </cell>
          <cell r="H709">
            <v>33.046284584979723</v>
          </cell>
          <cell r="I709" t="e">
            <v>#N/A</v>
          </cell>
          <cell r="J709" t="e">
            <v>#N/A</v>
          </cell>
          <cell r="K709" t="e">
            <v>#N/A</v>
          </cell>
          <cell r="L709" t="e">
            <v>#N/A</v>
          </cell>
          <cell r="M709" t="e">
            <v>#N/A</v>
          </cell>
          <cell r="N709" t="e">
            <v>#N/A</v>
          </cell>
          <cell r="O709" t="e">
            <v>#N/A</v>
          </cell>
          <cell r="P709">
            <v>34.65</v>
          </cell>
          <cell r="Q709" t="str">
            <v/>
          </cell>
          <cell r="R709" t="e">
            <v>#N/A</v>
          </cell>
        </row>
        <row r="710">
          <cell r="A710">
            <v>40182</v>
          </cell>
          <cell r="B710">
            <v>40182</v>
          </cell>
          <cell r="C710" t="str">
            <v>Future</v>
          </cell>
          <cell r="D710" t="e">
            <v>#N/A</v>
          </cell>
          <cell r="E710">
            <v>13.937312252964492</v>
          </cell>
          <cell r="F710">
            <v>39.004505928853874</v>
          </cell>
          <cell r="G710">
            <v>33.036126482212921</v>
          </cell>
          <cell r="H710">
            <v>33.036126482212921</v>
          </cell>
          <cell r="I710" t="e">
            <v>#N/A</v>
          </cell>
          <cell r="J710" t="e">
            <v>#N/A</v>
          </cell>
          <cell r="K710" t="e">
            <v>#N/A</v>
          </cell>
          <cell r="L710" t="e">
            <v>#N/A</v>
          </cell>
          <cell r="M710" t="e">
            <v>#N/A</v>
          </cell>
          <cell r="N710" t="e">
            <v>#N/A</v>
          </cell>
          <cell r="O710" t="e">
            <v>#N/A</v>
          </cell>
          <cell r="P710">
            <v>34.65</v>
          </cell>
          <cell r="Q710" t="str">
            <v/>
          </cell>
          <cell r="R710" t="e">
            <v>#N/A</v>
          </cell>
        </row>
        <row r="711">
          <cell r="A711">
            <v>40183</v>
          </cell>
          <cell r="B711">
            <v>40183</v>
          </cell>
          <cell r="C711" t="str">
            <v>Future</v>
          </cell>
          <cell r="D711" t="e">
            <v>#N/A</v>
          </cell>
          <cell r="E711">
            <v>13.80067193675896</v>
          </cell>
          <cell r="F711">
            <v>39.033873517786681</v>
          </cell>
          <cell r="G711">
            <v>33.02596837944612</v>
          </cell>
          <cell r="H711">
            <v>33.02596837944612</v>
          </cell>
          <cell r="I711" t="e">
            <v>#N/A</v>
          </cell>
          <cell r="J711" t="e">
            <v>#N/A</v>
          </cell>
          <cell r="K711" t="e">
            <v>#N/A</v>
          </cell>
          <cell r="L711" t="e">
            <v>#N/A</v>
          </cell>
          <cell r="M711" t="e">
            <v>#N/A</v>
          </cell>
          <cell r="N711" t="e">
            <v>#N/A</v>
          </cell>
          <cell r="O711" t="e">
            <v>#N/A</v>
          </cell>
          <cell r="P711">
            <v>34.65</v>
          </cell>
          <cell r="Q711" t="str">
            <v/>
          </cell>
          <cell r="R711" t="e">
            <v>#N/A</v>
          </cell>
        </row>
        <row r="712">
          <cell r="A712">
            <v>40184</v>
          </cell>
          <cell r="B712">
            <v>40184</v>
          </cell>
          <cell r="C712" t="str">
            <v>Future</v>
          </cell>
          <cell r="D712" t="e">
            <v>#N/A</v>
          </cell>
          <cell r="E712">
            <v>13.664031620553427</v>
          </cell>
          <cell r="F712">
            <v>39.063241106719488</v>
          </cell>
          <cell r="G712">
            <v>33.015810276679318</v>
          </cell>
          <cell r="H712">
            <v>33.015810276679318</v>
          </cell>
          <cell r="I712" t="e">
            <v>#N/A</v>
          </cell>
          <cell r="J712" t="e">
            <v>#N/A</v>
          </cell>
          <cell r="K712" t="e">
            <v>#N/A</v>
          </cell>
          <cell r="L712" t="e">
            <v>#N/A</v>
          </cell>
          <cell r="M712" t="e">
            <v>#N/A</v>
          </cell>
          <cell r="N712" t="e">
            <v>#N/A</v>
          </cell>
          <cell r="O712" t="e">
            <v>#N/A</v>
          </cell>
          <cell r="P712">
            <v>34.65</v>
          </cell>
          <cell r="Q712" t="str">
            <v/>
          </cell>
          <cell r="R712" t="e">
            <v>#N/A</v>
          </cell>
        </row>
        <row r="713">
          <cell r="A713">
            <v>40185</v>
          </cell>
          <cell r="B713">
            <v>40185</v>
          </cell>
          <cell r="C713" t="str">
            <v>Future</v>
          </cell>
          <cell r="D713" t="e">
            <v>#N/A</v>
          </cell>
          <cell r="E713">
            <v>13.527391304347894</v>
          </cell>
          <cell r="F713">
            <v>39.092608695652295</v>
          </cell>
          <cell r="G713">
            <v>33.005652173912516</v>
          </cell>
          <cell r="H713">
            <v>33.005652173912516</v>
          </cell>
          <cell r="I713" t="e">
            <v>#N/A</v>
          </cell>
          <cell r="J713" t="e">
            <v>#N/A</v>
          </cell>
          <cell r="K713" t="e">
            <v>#N/A</v>
          </cell>
          <cell r="L713" t="e">
            <v>#N/A</v>
          </cell>
          <cell r="M713" t="e">
            <v>#N/A</v>
          </cell>
          <cell r="N713" t="e">
            <v>#N/A</v>
          </cell>
          <cell r="O713" t="e">
            <v>#N/A</v>
          </cell>
          <cell r="P713">
            <v>34.65</v>
          </cell>
          <cell r="Q713" t="str">
            <v/>
          </cell>
          <cell r="R713" t="e">
            <v>#N/A</v>
          </cell>
        </row>
        <row r="714">
          <cell r="A714">
            <v>40186</v>
          </cell>
          <cell r="B714">
            <v>40186</v>
          </cell>
          <cell r="C714" t="str">
            <v>Future</v>
          </cell>
          <cell r="D714" t="e">
            <v>#N/A</v>
          </cell>
          <cell r="E714">
            <v>13.390750988142361</v>
          </cell>
          <cell r="F714">
            <v>39.121976284585102</v>
          </cell>
          <cell r="G714">
            <v>32.995494071145714</v>
          </cell>
          <cell r="H714">
            <v>32.995494071145714</v>
          </cell>
          <cell r="I714" t="e">
            <v>#N/A</v>
          </cell>
          <cell r="J714" t="e">
            <v>#N/A</v>
          </cell>
          <cell r="K714" t="e">
            <v>#N/A</v>
          </cell>
          <cell r="L714" t="e">
            <v>#N/A</v>
          </cell>
          <cell r="M714" t="e">
            <v>#N/A</v>
          </cell>
          <cell r="N714" t="e">
            <v>#N/A</v>
          </cell>
          <cell r="O714" t="e">
            <v>#N/A</v>
          </cell>
          <cell r="P714">
            <v>34.65</v>
          </cell>
          <cell r="Q714" t="str">
            <v/>
          </cell>
          <cell r="R714" t="e">
            <v>#N/A</v>
          </cell>
        </row>
        <row r="715">
          <cell r="A715">
            <v>40189</v>
          </cell>
          <cell r="B715">
            <v>40189</v>
          </cell>
          <cell r="C715" t="str">
            <v>Future</v>
          </cell>
          <cell r="D715" t="e">
            <v>#N/A</v>
          </cell>
          <cell r="E715">
            <v>13.254110671936829</v>
          </cell>
          <cell r="F715">
            <v>39.151343873517909</v>
          </cell>
          <cell r="G715">
            <v>32.985335968378912</v>
          </cell>
          <cell r="H715">
            <v>32.985335968378912</v>
          </cell>
          <cell r="I715" t="e">
            <v>#N/A</v>
          </cell>
          <cell r="J715" t="e">
            <v>#N/A</v>
          </cell>
          <cell r="K715" t="e">
            <v>#N/A</v>
          </cell>
          <cell r="L715" t="e">
            <v>#N/A</v>
          </cell>
          <cell r="M715" t="e">
            <v>#N/A</v>
          </cell>
          <cell r="N715" t="e">
            <v>#N/A</v>
          </cell>
          <cell r="O715" t="e">
            <v>#N/A</v>
          </cell>
          <cell r="P715">
            <v>34.65</v>
          </cell>
          <cell r="Q715" t="str">
            <v/>
          </cell>
          <cell r="R715" t="e">
            <v>#N/A</v>
          </cell>
        </row>
        <row r="716">
          <cell r="A716">
            <v>40190</v>
          </cell>
          <cell r="B716">
            <v>40190</v>
          </cell>
          <cell r="C716" t="str">
            <v>Future</v>
          </cell>
          <cell r="D716" t="e">
            <v>#N/A</v>
          </cell>
          <cell r="E716">
            <v>13.117470355731296</v>
          </cell>
          <cell r="F716">
            <v>39.180711462450716</v>
          </cell>
          <cell r="G716">
            <v>32.97517786561211</v>
          </cell>
          <cell r="H716">
            <v>32.97517786561211</v>
          </cell>
          <cell r="I716" t="e">
            <v>#N/A</v>
          </cell>
          <cell r="J716" t="e">
            <v>#N/A</v>
          </cell>
          <cell r="K716" t="e">
            <v>#N/A</v>
          </cell>
          <cell r="L716" t="e">
            <v>#N/A</v>
          </cell>
          <cell r="M716" t="e">
            <v>#N/A</v>
          </cell>
          <cell r="N716" t="e">
            <v>#N/A</v>
          </cell>
          <cell r="O716" t="e">
            <v>#N/A</v>
          </cell>
          <cell r="P716">
            <v>34.65</v>
          </cell>
          <cell r="Q716" t="str">
            <v/>
          </cell>
          <cell r="R716" t="e">
            <v>#N/A</v>
          </cell>
        </row>
        <row r="717">
          <cell r="A717">
            <v>40191</v>
          </cell>
          <cell r="B717">
            <v>40191</v>
          </cell>
          <cell r="C717" t="str">
            <v>Future</v>
          </cell>
          <cell r="D717" t="e">
            <v>#N/A</v>
          </cell>
          <cell r="E717">
            <v>12.980830039525763</v>
          </cell>
          <cell r="F717">
            <v>39.210079051383524</v>
          </cell>
          <cell r="G717">
            <v>32.965019762845309</v>
          </cell>
          <cell r="H717">
            <v>32.965019762845309</v>
          </cell>
          <cell r="I717" t="e">
            <v>#N/A</v>
          </cell>
          <cell r="J717" t="e">
            <v>#N/A</v>
          </cell>
          <cell r="K717" t="e">
            <v>#N/A</v>
          </cell>
          <cell r="L717" t="e">
            <v>#N/A</v>
          </cell>
          <cell r="M717" t="e">
            <v>#N/A</v>
          </cell>
          <cell r="N717" t="e">
            <v>#N/A</v>
          </cell>
          <cell r="O717" t="e">
            <v>#N/A</v>
          </cell>
          <cell r="P717">
            <v>34.65</v>
          </cell>
          <cell r="Q717" t="str">
            <v/>
          </cell>
          <cell r="R717" t="e">
            <v>#N/A</v>
          </cell>
        </row>
        <row r="718">
          <cell r="A718">
            <v>40192</v>
          </cell>
          <cell r="B718">
            <v>40192</v>
          </cell>
          <cell r="C718" t="str">
            <v>Future</v>
          </cell>
          <cell r="D718" t="e">
            <v>#N/A</v>
          </cell>
          <cell r="E718">
            <v>12.84418972332023</v>
          </cell>
          <cell r="F718">
            <v>39.239446640316331</v>
          </cell>
          <cell r="G718">
            <v>32.954861660078507</v>
          </cell>
          <cell r="H718">
            <v>32.954861660078507</v>
          </cell>
          <cell r="I718" t="e">
            <v>#N/A</v>
          </cell>
          <cell r="J718" t="e">
            <v>#N/A</v>
          </cell>
          <cell r="K718" t="e">
            <v>#N/A</v>
          </cell>
          <cell r="L718" t="e">
            <v>#N/A</v>
          </cell>
          <cell r="M718" t="e">
            <v>#N/A</v>
          </cell>
          <cell r="N718" t="e">
            <v>#N/A</v>
          </cell>
          <cell r="O718" t="e">
            <v>#N/A</v>
          </cell>
          <cell r="P718">
            <v>34.65</v>
          </cell>
          <cell r="Q718" t="str">
            <v/>
          </cell>
          <cell r="R718" t="e">
            <v>#N/A</v>
          </cell>
        </row>
        <row r="719">
          <cell r="A719">
            <v>40193</v>
          </cell>
          <cell r="B719">
            <v>40193</v>
          </cell>
          <cell r="C719" t="str">
            <v>Future</v>
          </cell>
          <cell r="D719" t="e">
            <v>#N/A</v>
          </cell>
          <cell r="E719">
            <v>12.707549407114698</v>
          </cell>
          <cell r="F719">
            <v>39.268814229249138</v>
          </cell>
          <cell r="G719">
            <v>32.944703557311705</v>
          </cell>
          <cell r="H719">
            <v>32.944703557311705</v>
          </cell>
          <cell r="I719" t="e">
            <v>#N/A</v>
          </cell>
          <cell r="J719" t="e">
            <v>#N/A</v>
          </cell>
          <cell r="K719" t="e">
            <v>#N/A</v>
          </cell>
          <cell r="L719" t="e">
            <v>#N/A</v>
          </cell>
          <cell r="M719" t="e">
            <v>#N/A</v>
          </cell>
          <cell r="N719" t="e">
            <v>#N/A</v>
          </cell>
          <cell r="O719" t="e">
            <v>#N/A</v>
          </cell>
          <cell r="P719">
            <v>34.65</v>
          </cell>
          <cell r="Q719" t="str">
            <v/>
          </cell>
          <cell r="R719" t="e">
            <v>#N/A</v>
          </cell>
        </row>
        <row r="720">
          <cell r="A720">
            <v>40197</v>
          </cell>
          <cell r="B720">
            <v>40197</v>
          </cell>
          <cell r="C720" t="str">
            <v>Future</v>
          </cell>
          <cell r="D720" t="e">
            <v>#N/A</v>
          </cell>
          <cell r="E720">
            <v>12.570909090909165</v>
          </cell>
          <cell r="F720">
            <v>39.298181818181945</v>
          </cell>
          <cell r="G720">
            <v>32.934545454544903</v>
          </cell>
          <cell r="H720">
            <v>32.934545454544903</v>
          </cell>
          <cell r="I720" t="e">
            <v>#N/A</v>
          </cell>
          <cell r="J720" t="e">
            <v>#N/A</v>
          </cell>
          <cell r="K720" t="e">
            <v>#N/A</v>
          </cell>
          <cell r="L720" t="e">
            <v>#N/A</v>
          </cell>
          <cell r="M720" t="e">
            <v>#N/A</v>
          </cell>
          <cell r="N720" t="e">
            <v>#N/A</v>
          </cell>
          <cell r="O720" t="e">
            <v>#N/A</v>
          </cell>
          <cell r="P720">
            <v>34.65</v>
          </cell>
          <cell r="Q720" t="str">
            <v/>
          </cell>
          <cell r="R720" t="e">
            <v>#N/A</v>
          </cell>
        </row>
        <row r="721">
          <cell r="A721">
            <v>40198</v>
          </cell>
          <cell r="B721">
            <v>40198</v>
          </cell>
          <cell r="C721" t="str">
            <v>Future</v>
          </cell>
          <cell r="D721" t="e">
            <v>#N/A</v>
          </cell>
          <cell r="E721">
            <v>12.434268774703632</v>
          </cell>
          <cell r="F721">
            <v>39.327549407114752</v>
          </cell>
          <cell r="G721">
            <v>32.924387351778101</v>
          </cell>
          <cell r="H721">
            <v>32.924387351778101</v>
          </cell>
          <cell r="I721" t="e">
            <v>#N/A</v>
          </cell>
          <cell r="J721" t="e">
            <v>#N/A</v>
          </cell>
          <cell r="K721" t="e">
            <v>#N/A</v>
          </cell>
          <cell r="L721" t="e">
            <v>#N/A</v>
          </cell>
          <cell r="M721" t="e">
            <v>#N/A</v>
          </cell>
          <cell r="N721" t="e">
            <v>#N/A</v>
          </cell>
          <cell r="O721" t="e">
            <v>#N/A</v>
          </cell>
          <cell r="P721">
            <v>34.65</v>
          </cell>
          <cell r="Q721" t="str">
            <v/>
          </cell>
          <cell r="R721" t="e">
            <v>#N/A</v>
          </cell>
        </row>
        <row r="722">
          <cell r="A722">
            <v>40199</v>
          </cell>
          <cell r="B722">
            <v>40199</v>
          </cell>
          <cell r="C722" t="str">
            <v>Future</v>
          </cell>
          <cell r="D722" t="e">
            <v>#N/A</v>
          </cell>
          <cell r="E722">
            <v>12.297628458498099</v>
          </cell>
          <cell r="F722">
            <v>39.356916996047559</v>
          </cell>
          <cell r="G722">
            <v>32.914229249011299</v>
          </cell>
          <cell r="H722">
            <v>32.914229249011299</v>
          </cell>
          <cell r="I722" t="e">
            <v>#N/A</v>
          </cell>
          <cell r="J722" t="e">
            <v>#N/A</v>
          </cell>
          <cell r="K722" t="e">
            <v>#N/A</v>
          </cell>
          <cell r="L722" t="e">
            <v>#N/A</v>
          </cell>
          <cell r="M722" t="e">
            <v>#N/A</v>
          </cell>
          <cell r="N722" t="e">
            <v>#N/A</v>
          </cell>
          <cell r="O722" t="e">
            <v>#N/A</v>
          </cell>
          <cell r="P722">
            <v>34.65</v>
          </cell>
          <cell r="Q722" t="str">
            <v/>
          </cell>
          <cell r="R722" t="e">
            <v>#N/A</v>
          </cell>
        </row>
        <row r="723">
          <cell r="A723">
            <v>40200</v>
          </cell>
          <cell r="B723">
            <v>40200</v>
          </cell>
          <cell r="C723" t="str">
            <v>Future</v>
          </cell>
          <cell r="D723" t="e">
            <v>#N/A</v>
          </cell>
          <cell r="E723">
            <v>12.160988142292567</v>
          </cell>
          <cell r="F723">
            <v>39.386284584980366</v>
          </cell>
          <cell r="G723">
            <v>32.904071146244497</v>
          </cell>
          <cell r="H723">
            <v>32.904071146244497</v>
          </cell>
          <cell r="I723" t="e">
            <v>#N/A</v>
          </cell>
          <cell r="J723" t="e">
            <v>#N/A</v>
          </cell>
          <cell r="K723" t="e">
            <v>#N/A</v>
          </cell>
          <cell r="L723" t="e">
            <v>#N/A</v>
          </cell>
          <cell r="M723" t="e">
            <v>#N/A</v>
          </cell>
          <cell r="N723" t="e">
            <v>#N/A</v>
          </cell>
          <cell r="O723" t="e">
            <v>#N/A</v>
          </cell>
          <cell r="P723">
            <v>34.65</v>
          </cell>
          <cell r="Q723" t="str">
            <v/>
          </cell>
          <cell r="R723" t="e">
            <v>#N/A</v>
          </cell>
        </row>
        <row r="724">
          <cell r="A724">
            <v>40203</v>
          </cell>
          <cell r="B724">
            <v>40203</v>
          </cell>
          <cell r="C724" t="str">
            <v>Future</v>
          </cell>
          <cell r="D724" t="e">
            <v>#N/A</v>
          </cell>
          <cell r="E724">
            <v>12.024347826087034</v>
          </cell>
          <cell r="F724">
            <v>39.415652173913173</v>
          </cell>
          <cell r="G724">
            <v>32.893913043477696</v>
          </cell>
          <cell r="H724">
            <v>32.893913043477696</v>
          </cell>
          <cell r="I724" t="e">
            <v>#N/A</v>
          </cell>
          <cell r="J724" t="e">
            <v>#N/A</v>
          </cell>
          <cell r="K724" t="e">
            <v>#N/A</v>
          </cell>
          <cell r="L724" t="e">
            <v>#N/A</v>
          </cell>
          <cell r="M724" t="e">
            <v>#N/A</v>
          </cell>
          <cell r="N724" t="e">
            <v>#N/A</v>
          </cell>
          <cell r="O724" t="e">
            <v>#N/A</v>
          </cell>
          <cell r="P724">
            <v>34.65</v>
          </cell>
          <cell r="Q724" t="str">
            <v/>
          </cell>
          <cell r="R724" t="e">
            <v>#N/A</v>
          </cell>
        </row>
        <row r="725">
          <cell r="A725">
            <v>40204</v>
          </cell>
          <cell r="B725">
            <v>40204</v>
          </cell>
          <cell r="C725" t="str">
            <v>Future</v>
          </cell>
          <cell r="D725" t="e">
            <v>#N/A</v>
          </cell>
          <cell r="E725">
            <v>11.887707509881501</v>
          </cell>
          <cell r="F725">
            <v>39.44501976284598</v>
          </cell>
          <cell r="G725">
            <v>32.883754940710894</v>
          </cell>
          <cell r="H725">
            <v>32.883754940710894</v>
          </cell>
          <cell r="I725" t="e">
            <v>#N/A</v>
          </cell>
          <cell r="J725" t="e">
            <v>#N/A</v>
          </cell>
          <cell r="K725" t="e">
            <v>#N/A</v>
          </cell>
          <cell r="L725" t="e">
            <v>#N/A</v>
          </cell>
          <cell r="M725" t="e">
            <v>#N/A</v>
          </cell>
          <cell r="N725" t="e">
            <v>#N/A</v>
          </cell>
          <cell r="O725" t="e">
            <v>#N/A</v>
          </cell>
          <cell r="P725">
            <v>34.65</v>
          </cell>
          <cell r="Q725" t="str">
            <v/>
          </cell>
          <cell r="R725" t="e">
            <v>#N/A</v>
          </cell>
        </row>
        <row r="726">
          <cell r="A726">
            <v>40205</v>
          </cell>
          <cell r="B726">
            <v>40205</v>
          </cell>
          <cell r="C726" t="str">
            <v>Future</v>
          </cell>
          <cell r="D726" t="e">
            <v>#N/A</v>
          </cell>
          <cell r="E726">
            <v>11.751067193675969</v>
          </cell>
          <cell r="F726">
            <v>39.474387351778788</v>
          </cell>
          <cell r="G726">
            <v>32.873596837944092</v>
          </cell>
          <cell r="H726">
            <v>32.873596837944092</v>
          </cell>
          <cell r="I726" t="e">
            <v>#N/A</v>
          </cell>
          <cell r="J726" t="e">
            <v>#N/A</v>
          </cell>
          <cell r="K726" t="e">
            <v>#N/A</v>
          </cell>
          <cell r="L726" t="e">
            <v>#N/A</v>
          </cell>
          <cell r="M726" t="e">
            <v>#N/A</v>
          </cell>
          <cell r="N726" t="e">
            <v>#N/A</v>
          </cell>
          <cell r="O726" t="e">
            <v>#N/A</v>
          </cell>
          <cell r="P726">
            <v>34.65</v>
          </cell>
          <cell r="Q726" t="str">
            <v/>
          </cell>
          <cell r="R726" t="e">
            <v>#N/A</v>
          </cell>
        </row>
        <row r="727">
          <cell r="A727">
            <v>40206</v>
          </cell>
          <cell r="B727">
            <v>40206</v>
          </cell>
          <cell r="C727" t="str">
            <v>Future</v>
          </cell>
          <cell r="D727" t="e">
            <v>#N/A</v>
          </cell>
          <cell r="E727">
            <v>11.614426877470436</v>
          </cell>
          <cell r="F727">
            <v>39.503754940711595</v>
          </cell>
          <cell r="G727">
            <v>32.86343873517729</v>
          </cell>
          <cell r="H727">
            <v>32.86343873517729</v>
          </cell>
          <cell r="I727" t="e">
            <v>#N/A</v>
          </cell>
          <cell r="J727" t="e">
            <v>#N/A</v>
          </cell>
          <cell r="K727" t="e">
            <v>#N/A</v>
          </cell>
          <cell r="L727" t="e">
            <v>#N/A</v>
          </cell>
          <cell r="M727" t="e">
            <v>#N/A</v>
          </cell>
          <cell r="N727" t="e">
            <v>#N/A</v>
          </cell>
          <cell r="O727" t="e">
            <v>#N/A</v>
          </cell>
          <cell r="P727">
            <v>34.65</v>
          </cell>
          <cell r="Q727" t="str">
            <v/>
          </cell>
          <cell r="R727" t="e">
            <v>#N/A</v>
          </cell>
        </row>
        <row r="728">
          <cell r="A728">
            <v>40207</v>
          </cell>
          <cell r="B728">
            <v>40207</v>
          </cell>
          <cell r="C728" t="str">
            <v>Future</v>
          </cell>
          <cell r="D728" t="e">
            <v>#N/A</v>
          </cell>
          <cell r="E728">
            <v>11.477786561264903</v>
          </cell>
          <cell r="F728">
            <v>39.533122529644402</v>
          </cell>
          <cell r="G728">
            <v>32.853280632410488</v>
          </cell>
          <cell r="H728">
            <v>32.853280632410488</v>
          </cell>
          <cell r="I728" t="e">
            <v>#N/A</v>
          </cell>
          <cell r="J728" t="e">
            <v>#N/A</v>
          </cell>
          <cell r="K728" t="e">
            <v>#N/A</v>
          </cell>
          <cell r="L728" t="e">
            <v>#N/A</v>
          </cell>
          <cell r="M728" t="e">
            <v>#N/A</v>
          </cell>
          <cell r="N728" t="e">
            <v>#N/A</v>
          </cell>
          <cell r="O728" t="e">
            <v>#N/A</v>
          </cell>
          <cell r="P728">
            <v>34.65</v>
          </cell>
          <cell r="Q728" t="str">
            <v/>
          </cell>
          <cell r="R728" t="e">
            <v>#N/A</v>
          </cell>
        </row>
        <row r="729">
          <cell r="A729">
            <v>40210</v>
          </cell>
          <cell r="B729">
            <v>40210</v>
          </cell>
          <cell r="C729" t="str">
            <v>Future</v>
          </cell>
          <cell r="D729" t="e">
            <v>#N/A</v>
          </cell>
          <cell r="E729">
            <v>11.34114624505937</v>
          </cell>
          <cell r="F729">
            <v>39.562490118577209</v>
          </cell>
          <cell r="G729">
            <v>32.843122529643686</v>
          </cell>
          <cell r="H729">
            <v>32.843122529643686</v>
          </cell>
          <cell r="I729" t="e">
            <v>#N/A</v>
          </cell>
          <cell r="J729" t="e">
            <v>#N/A</v>
          </cell>
          <cell r="K729" t="e">
            <v>#N/A</v>
          </cell>
          <cell r="L729" t="e">
            <v>#N/A</v>
          </cell>
          <cell r="M729" t="e">
            <v>#N/A</v>
          </cell>
          <cell r="N729" t="e">
            <v>#N/A</v>
          </cell>
          <cell r="O729" t="e">
            <v>#N/A</v>
          </cell>
          <cell r="P729">
            <v>34.65</v>
          </cell>
          <cell r="Q729" t="str">
            <v/>
          </cell>
          <cell r="R729" t="e">
            <v>#N/A</v>
          </cell>
        </row>
        <row r="730">
          <cell r="A730">
            <v>40211</v>
          </cell>
          <cell r="B730">
            <v>40211</v>
          </cell>
          <cell r="C730" t="str">
            <v>Future</v>
          </cell>
          <cell r="D730" t="e">
            <v>#N/A</v>
          </cell>
          <cell r="E730">
            <v>11.204505928853838</v>
          </cell>
          <cell r="F730">
            <v>39.591857707510016</v>
          </cell>
          <cell r="G730">
            <v>32.832964426876885</v>
          </cell>
          <cell r="H730">
            <v>32.832964426876885</v>
          </cell>
          <cell r="I730" t="e">
            <v>#N/A</v>
          </cell>
          <cell r="J730" t="e">
            <v>#N/A</v>
          </cell>
          <cell r="K730" t="e">
            <v>#N/A</v>
          </cell>
          <cell r="L730" t="e">
            <v>#N/A</v>
          </cell>
          <cell r="M730" t="e">
            <v>#N/A</v>
          </cell>
          <cell r="N730" t="e">
            <v>#N/A</v>
          </cell>
          <cell r="O730" t="e">
            <v>#N/A</v>
          </cell>
          <cell r="P730">
            <v>34.65</v>
          </cell>
          <cell r="Q730" t="str">
            <v/>
          </cell>
          <cell r="R730" t="e">
            <v>#N/A</v>
          </cell>
        </row>
        <row r="731">
          <cell r="A731">
            <v>40212</v>
          </cell>
          <cell r="B731">
            <v>40212</v>
          </cell>
          <cell r="C731" t="str">
            <v>Future</v>
          </cell>
          <cell r="D731" t="e">
            <v>#N/A</v>
          </cell>
          <cell r="E731">
            <v>11.067865612648305</v>
          </cell>
          <cell r="F731">
            <v>39.621225296442823</v>
          </cell>
          <cell r="G731">
            <v>32.822806324110083</v>
          </cell>
          <cell r="H731">
            <v>32.822806324110083</v>
          </cell>
          <cell r="I731" t="e">
            <v>#N/A</v>
          </cell>
          <cell r="J731" t="e">
            <v>#N/A</v>
          </cell>
          <cell r="K731" t="e">
            <v>#N/A</v>
          </cell>
          <cell r="L731" t="e">
            <v>#N/A</v>
          </cell>
          <cell r="M731" t="e">
            <v>#N/A</v>
          </cell>
          <cell r="N731" t="e">
            <v>#N/A</v>
          </cell>
          <cell r="O731" t="e">
            <v>#N/A</v>
          </cell>
          <cell r="P731">
            <v>34.65</v>
          </cell>
          <cell r="Q731" t="str">
            <v/>
          </cell>
          <cell r="R731" t="e">
            <v>#N/A</v>
          </cell>
        </row>
        <row r="732">
          <cell r="A732">
            <v>40213</v>
          </cell>
          <cell r="B732">
            <v>40213</v>
          </cell>
          <cell r="C732" t="str">
            <v>Future</v>
          </cell>
          <cell r="D732" t="e">
            <v>#N/A</v>
          </cell>
          <cell r="E732">
            <v>10.931225296442772</v>
          </cell>
          <cell r="F732">
            <v>39.65059288537563</v>
          </cell>
          <cell r="G732">
            <v>32.812648221343281</v>
          </cell>
          <cell r="H732">
            <v>32.812648221343281</v>
          </cell>
          <cell r="I732" t="e">
            <v>#N/A</v>
          </cell>
          <cell r="J732" t="e">
            <v>#N/A</v>
          </cell>
          <cell r="K732" t="e">
            <v>#N/A</v>
          </cell>
          <cell r="L732" t="e">
            <v>#N/A</v>
          </cell>
          <cell r="M732" t="e">
            <v>#N/A</v>
          </cell>
          <cell r="N732" t="e">
            <v>#N/A</v>
          </cell>
          <cell r="O732" t="e">
            <v>#N/A</v>
          </cell>
          <cell r="P732">
            <v>34.65</v>
          </cell>
          <cell r="Q732" t="str">
            <v/>
          </cell>
          <cell r="R732" t="e">
            <v>#N/A</v>
          </cell>
        </row>
        <row r="733">
          <cell r="A733">
            <v>40214</v>
          </cell>
          <cell r="B733">
            <v>40214</v>
          </cell>
          <cell r="C733" t="str">
            <v>Future</v>
          </cell>
          <cell r="D733" t="e">
            <v>#N/A</v>
          </cell>
          <cell r="E733">
            <v>10.794584980237239</v>
          </cell>
          <cell r="F733">
            <v>39.679960474308437</v>
          </cell>
          <cell r="G733">
            <v>32.802490118576479</v>
          </cell>
          <cell r="H733">
            <v>32.802490118576479</v>
          </cell>
          <cell r="I733" t="e">
            <v>#N/A</v>
          </cell>
          <cell r="J733" t="e">
            <v>#N/A</v>
          </cell>
          <cell r="K733" t="e">
            <v>#N/A</v>
          </cell>
          <cell r="L733" t="e">
            <v>#N/A</v>
          </cell>
          <cell r="M733" t="e">
            <v>#N/A</v>
          </cell>
          <cell r="N733" t="e">
            <v>#N/A</v>
          </cell>
          <cell r="O733" t="e">
            <v>#N/A</v>
          </cell>
          <cell r="P733">
            <v>34.65</v>
          </cell>
          <cell r="Q733" t="str">
            <v/>
          </cell>
          <cell r="R733" t="e">
            <v>#N/A</v>
          </cell>
        </row>
        <row r="734">
          <cell r="A734">
            <v>40217</v>
          </cell>
          <cell r="B734">
            <v>40217</v>
          </cell>
          <cell r="C734" t="str">
            <v>Future</v>
          </cell>
          <cell r="D734" t="e">
            <v>#N/A</v>
          </cell>
          <cell r="E734">
            <v>10.657944664031707</v>
          </cell>
          <cell r="F734">
            <v>39.709328063241244</v>
          </cell>
          <cell r="G734">
            <v>32.792332015809677</v>
          </cell>
          <cell r="H734">
            <v>32.792332015809677</v>
          </cell>
          <cell r="I734" t="e">
            <v>#N/A</v>
          </cell>
          <cell r="J734" t="e">
            <v>#N/A</v>
          </cell>
          <cell r="K734" t="e">
            <v>#N/A</v>
          </cell>
          <cell r="L734" t="e">
            <v>#N/A</v>
          </cell>
          <cell r="M734" t="e">
            <v>#N/A</v>
          </cell>
          <cell r="N734" t="e">
            <v>#N/A</v>
          </cell>
          <cell r="O734" t="e">
            <v>#N/A</v>
          </cell>
          <cell r="P734">
            <v>34.65</v>
          </cell>
          <cell r="Q734" t="str">
            <v/>
          </cell>
          <cell r="R734" t="e">
            <v>#N/A</v>
          </cell>
        </row>
        <row r="735">
          <cell r="A735">
            <v>40218</v>
          </cell>
          <cell r="B735">
            <v>40218</v>
          </cell>
          <cell r="C735" t="str">
            <v>Future</v>
          </cell>
          <cell r="D735" t="e">
            <v>#N/A</v>
          </cell>
          <cell r="E735">
            <v>10.521304347826174</v>
          </cell>
          <cell r="F735">
            <v>39.738695652174052</v>
          </cell>
          <cell r="G735">
            <v>32.782173913042875</v>
          </cell>
          <cell r="H735">
            <v>32.782173913042875</v>
          </cell>
          <cell r="I735" t="e">
            <v>#N/A</v>
          </cell>
          <cell r="J735" t="e">
            <v>#N/A</v>
          </cell>
          <cell r="K735" t="e">
            <v>#N/A</v>
          </cell>
          <cell r="L735" t="e">
            <v>#N/A</v>
          </cell>
          <cell r="M735" t="e">
            <v>#N/A</v>
          </cell>
          <cell r="N735" t="e">
            <v>#N/A</v>
          </cell>
          <cell r="O735" t="e">
            <v>#N/A</v>
          </cell>
          <cell r="P735">
            <v>34.65</v>
          </cell>
          <cell r="Q735" t="str">
            <v/>
          </cell>
          <cell r="R735" t="e">
            <v>#N/A</v>
          </cell>
        </row>
        <row r="736">
          <cell r="A736">
            <v>40219</v>
          </cell>
          <cell r="B736">
            <v>40219</v>
          </cell>
          <cell r="C736" t="str">
            <v>Future</v>
          </cell>
          <cell r="D736" t="e">
            <v>#N/A</v>
          </cell>
          <cell r="E736">
            <v>10.384664031620641</v>
          </cell>
          <cell r="F736">
            <v>39.768063241106859</v>
          </cell>
          <cell r="G736">
            <v>32.772015810276073</v>
          </cell>
          <cell r="H736">
            <v>32.772015810276073</v>
          </cell>
          <cell r="I736" t="e">
            <v>#N/A</v>
          </cell>
          <cell r="J736" t="e">
            <v>#N/A</v>
          </cell>
          <cell r="K736" t="e">
            <v>#N/A</v>
          </cell>
          <cell r="L736" t="e">
            <v>#N/A</v>
          </cell>
          <cell r="M736" t="e">
            <v>#N/A</v>
          </cell>
          <cell r="N736" t="e">
            <v>#N/A</v>
          </cell>
          <cell r="O736" t="e">
            <v>#N/A</v>
          </cell>
          <cell r="P736">
            <v>34.65</v>
          </cell>
          <cell r="Q736" t="str">
            <v/>
          </cell>
          <cell r="R736" t="e">
            <v>#N/A</v>
          </cell>
        </row>
        <row r="737">
          <cell r="A737">
            <v>40220</v>
          </cell>
          <cell r="B737">
            <v>40220</v>
          </cell>
          <cell r="C737" t="str">
            <v>Future</v>
          </cell>
          <cell r="D737" t="e">
            <v>#N/A</v>
          </cell>
          <cell r="E737">
            <v>10.248023715415108</v>
          </cell>
          <cell r="F737">
            <v>39.797430830039666</v>
          </cell>
          <cell r="G737">
            <v>32.761857707509272</v>
          </cell>
          <cell r="H737">
            <v>32.761857707509272</v>
          </cell>
          <cell r="I737" t="e">
            <v>#N/A</v>
          </cell>
          <cell r="J737" t="e">
            <v>#N/A</v>
          </cell>
          <cell r="K737" t="e">
            <v>#N/A</v>
          </cell>
          <cell r="L737" t="e">
            <v>#N/A</v>
          </cell>
          <cell r="M737" t="e">
            <v>#N/A</v>
          </cell>
          <cell r="N737" t="e">
            <v>#N/A</v>
          </cell>
          <cell r="O737" t="e">
            <v>#N/A</v>
          </cell>
          <cell r="P737">
            <v>34.65</v>
          </cell>
          <cell r="Q737" t="str">
            <v/>
          </cell>
          <cell r="R737" t="e">
            <v>#N/A</v>
          </cell>
        </row>
        <row r="738">
          <cell r="A738">
            <v>40221</v>
          </cell>
          <cell r="B738">
            <v>40221</v>
          </cell>
          <cell r="C738" t="str">
            <v>Future</v>
          </cell>
          <cell r="D738" t="e">
            <v>#N/A</v>
          </cell>
          <cell r="E738">
            <v>10.111383399209576</v>
          </cell>
          <cell r="F738">
            <v>39.826798418972473</v>
          </cell>
          <cell r="G738">
            <v>32.75169960474247</v>
          </cell>
          <cell r="H738">
            <v>32.75169960474247</v>
          </cell>
          <cell r="I738" t="e">
            <v>#N/A</v>
          </cell>
          <cell r="J738" t="e">
            <v>#N/A</v>
          </cell>
          <cell r="K738" t="e">
            <v>#N/A</v>
          </cell>
          <cell r="L738" t="e">
            <v>#N/A</v>
          </cell>
          <cell r="M738" t="e">
            <v>#N/A</v>
          </cell>
          <cell r="N738" t="e">
            <v>#N/A</v>
          </cell>
          <cell r="O738" t="e">
            <v>#N/A</v>
          </cell>
          <cell r="P738">
            <v>34.65</v>
          </cell>
          <cell r="Q738" t="str">
            <v/>
          </cell>
          <cell r="R738" t="e">
            <v>#N/A</v>
          </cell>
        </row>
        <row r="739">
          <cell r="A739">
            <v>40225</v>
          </cell>
          <cell r="B739">
            <v>40225</v>
          </cell>
          <cell r="C739" t="str">
            <v>Future</v>
          </cell>
          <cell r="D739" t="e">
            <v>#N/A</v>
          </cell>
          <cell r="E739">
            <v>9.9747430830040429</v>
          </cell>
          <cell r="F739">
            <v>39.85616600790528</v>
          </cell>
          <cell r="G739">
            <v>32.741541501975668</v>
          </cell>
          <cell r="H739">
            <v>32.741541501975668</v>
          </cell>
          <cell r="I739" t="e">
            <v>#N/A</v>
          </cell>
          <cell r="J739" t="e">
            <v>#N/A</v>
          </cell>
          <cell r="K739" t="e">
            <v>#N/A</v>
          </cell>
          <cell r="L739" t="e">
            <v>#N/A</v>
          </cell>
          <cell r="M739" t="e">
            <v>#N/A</v>
          </cell>
          <cell r="N739" t="e">
            <v>#N/A</v>
          </cell>
          <cell r="O739" t="e">
            <v>#N/A</v>
          </cell>
          <cell r="P739">
            <v>34.65</v>
          </cell>
          <cell r="Q739" t="str">
            <v/>
          </cell>
          <cell r="R739" t="e">
            <v>#N/A</v>
          </cell>
        </row>
        <row r="740">
          <cell r="A740">
            <v>40226</v>
          </cell>
          <cell r="B740">
            <v>40226</v>
          </cell>
          <cell r="C740" t="str">
            <v>Future</v>
          </cell>
          <cell r="D740" t="e">
            <v>#N/A</v>
          </cell>
          <cell r="E740">
            <v>9.8381027667985101</v>
          </cell>
          <cell r="F740">
            <v>39.885533596838087</v>
          </cell>
          <cell r="G740">
            <v>32.731383399208866</v>
          </cell>
          <cell r="H740">
            <v>32.731383399208866</v>
          </cell>
          <cell r="I740" t="e">
            <v>#N/A</v>
          </cell>
          <cell r="J740" t="e">
            <v>#N/A</v>
          </cell>
          <cell r="K740" t="e">
            <v>#N/A</v>
          </cell>
          <cell r="L740" t="e">
            <v>#N/A</v>
          </cell>
          <cell r="M740" t="e">
            <v>#N/A</v>
          </cell>
          <cell r="N740" t="e">
            <v>#N/A</v>
          </cell>
          <cell r="O740" t="e">
            <v>#N/A</v>
          </cell>
          <cell r="P740">
            <v>34.65</v>
          </cell>
          <cell r="Q740" t="str">
            <v/>
          </cell>
          <cell r="R740" t="e">
            <v>#N/A</v>
          </cell>
        </row>
        <row r="741">
          <cell r="A741">
            <v>40227</v>
          </cell>
          <cell r="B741">
            <v>40227</v>
          </cell>
          <cell r="C741" t="str">
            <v>Future</v>
          </cell>
          <cell r="D741" t="e">
            <v>#N/A</v>
          </cell>
          <cell r="E741">
            <v>9.7014624505929774</v>
          </cell>
          <cell r="F741">
            <v>39.914901185770894</v>
          </cell>
          <cell r="G741">
            <v>32.721225296442064</v>
          </cell>
          <cell r="H741">
            <v>32.721225296442064</v>
          </cell>
          <cell r="I741" t="e">
            <v>#N/A</v>
          </cell>
          <cell r="J741" t="e">
            <v>#N/A</v>
          </cell>
          <cell r="K741" t="e">
            <v>#N/A</v>
          </cell>
          <cell r="L741" t="e">
            <v>#N/A</v>
          </cell>
          <cell r="M741" t="e">
            <v>#N/A</v>
          </cell>
          <cell r="N741" t="e">
            <v>#N/A</v>
          </cell>
          <cell r="O741" t="e">
            <v>#N/A</v>
          </cell>
          <cell r="P741">
            <v>34.65</v>
          </cell>
          <cell r="Q741" t="str">
            <v/>
          </cell>
          <cell r="R741" t="e">
            <v>#N/A</v>
          </cell>
        </row>
        <row r="742">
          <cell r="A742">
            <v>40228</v>
          </cell>
          <cell r="B742">
            <v>40228</v>
          </cell>
          <cell r="C742" t="str">
            <v>Future</v>
          </cell>
          <cell r="D742" t="e">
            <v>#N/A</v>
          </cell>
          <cell r="E742">
            <v>9.5648221343874447</v>
          </cell>
          <cell r="F742">
            <v>39.944268774703701</v>
          </cell>
          <cell r="G742">
            <v>32.711067193675262</v>
          </cell>
          <cell r="H742">
            <v>32.711067193675262</v>
          </cell>
          <cell r="I742" t="e">
            <v>#N/A</v>
          </cell>
          <cell r="J742" t="e">
            <v>#N/A</v>
          </cell>
          <cell r="K742" t="e">
            <v>#N/A</v>
          </cell>
          <cell r="L742" t="e">
            <v>#N/A</v>
          </cell>
          <cell r="M742" t="e">
            <v>#N/A</v>
          </cell>
          <cell r="N742" t="e">
            <v>#N/A</v>
          </cell>
          <cell r="O742" t="e">
            <v>#N/A</v>
          </cell>
          <cell r="P742">
            <v>34.65</v>
          </cell>
          <cell r="Q742" t="str">
            <v/>
          </cell>
          <cell r="R742" t="e">
            <v>#N/A</v>
          </cell>
        </row>
        <row r="743">
          <cell r="A743">
            <v>40231</v>
          </cell>
          <cell r="B743">
            <v>40231</v>
          </cell>
          <cell r="C743" t="str">
            <v>Future</v>
          </cell>
          <cell r="D743" t="e">
            <v>#N/A</v>
          </cell>
          <cell r="E743">
            <v>9.4281818181819119</v>
          </cell>
          <cell r="F743">
            <v>39.973636363636508</v>
          </cell>
          <cell r="G743">
            <v>32.700909090908461</v>
          </cell>
          <cell r="H743">
            <v>32.700909090908461</v>
          </cell>
          <cell r="I743" t="e">
            <v>#N/A</v>
          </cell>
          <cell r="J743" t="e">
            <v>#N/A</v>
          </cell>
          <cell r="K743" t="e">
            <v>#N/A</v>
          </cell>
          <cell r="L743" t="e">
            <v>#N/A</v>
          </cell>
          <cell r="M743" t="e">
            <v>#N/A</v>
          </cell>
          <cell r="N743" t="e">
            <v>#N/A</v>
          </cell>
          <cell r="O743" t="e">
            <v>#N/A</v>
          </cell>
          <cell r="P743">
            <v>34.65</v>
          </cell>
          <cell r="Q743" t="str">
            <v/>
          </cell>
          <cell r="R743" t="e">
            <v>#N/A</v>
          </cell>
        </row>
        <row r="744">
          <cell r="A744">
            <v>40232</v>
          </cell>
          <cell r="B744">
            <v>40232</v>
          </cell>
          <cell r="C744" t="str">
            <v>Future</v>
          </cell>
          <cell r="D744" t="e">
            <v>#N/A</v>
          </cell>
          <cell r="E744">
            <v>9.2915415019763792</v>
          </cell>
          <cell r="F744">
            <v>40.003003952569316</v>
          </cell>
          <cell r="G744">
            <v>32.690750988141659</v>
          </cell>
          <cell r="H744">
            <v>32.690750988141659</v>
          </cell>
          <cell r="I744" t="e">
            <v>#N/A</v>
          </cell>
          <cell r="J744" t="e">
            <v>#N/A</v>
          </cell>
          <cell r="K744" t="e">
            <v>#N/A</v>
          </cell>
          <cell r="L744" t="e">
            <v>#N/A</v>
          </cell>
          <cell r="M744" t="e">
            <v>#N/A</v>
          </cell>
          <cell r="N744" t="e">
            <v>#N/A</v>
          </cell>
          <cell r="O744" t="e">
            <v>#N/A</v>
          </cell>
          <cell r="P744">
            <v>34.65</v>
          </cell>
          <cell r="Q744" t="str">
            <v/>
          </cell>
          <cell r="R744" t="e">
            <v>#N/A</v>
          </cell>
        </row>
        <row r="745">
          <cell r="A745">
            <v>40233</v>
          </cell>
          <cell r="B745">
            <v>40233</v>
          </cell>
          <cell r="C745" t="str">
            <v>Future</v>
          </cell>
          <cell r="D745" t="e">
            <v>#N/A</v>
          </cell>
          <cell r="E745">
            <v>9.1549011857708464</v>
          </cell>
          <cell r="F745">
            <v>40.032371541502123</v>
          </cell>
          <cell r="G745">
            <v>32.680592885374857</v>
          </cell>
          <cell r="H745">
            <v>32.680592885374857</v>
          </cell>
          <cell r="I745" t="e">
            <v>#N/A</v>
          </cell>
          <cell r="J745" t="e">
            <v>#N/A</v>
          </cell>
          <cell r="K745" t="e">
            <v>#N/A</v>
          </cell>
          <cell r="L745" t="e">
            <v>#N/A</v>
          </cell>
          <cell r="M745" t="e">
            <v>#N/A</v>
          </cell>
          <cell r="N745" t="e">
            <v>#N/A</v>
          </cell>
          <cell r="O745" t="e">
            <v>#N/A</v>
          </cell>
          <cell r="P745">
            <v>34.65</v>
          </cell>
          <cell r="Q745" t="str">
            <v/>
          </cell>
          <cell r="R745" t="e">
            <v>#N/A</v>
          </cell>
        </row>
        <row r="746">
          <cell r="A746">
            <v>40234</v>
          </cell>
          <cell r="B746">
            <v>40234</v>
          </cell>
          <cell r="C746" t="str">
            <v>Future</v>
          </cell>
          <cell r="D746" t="e">
            <v>#N/A</v>
          </cell>
          <cell r="E746">
            <v>9.0182608695653137</v>
          </cell>
          <cell r="F746">
            <v>40.06173913043493</v>
          </cell>
          <cell r="G746">
            <v>32.670434782608055</v>
          </cell>
          <cell r="H746">
            <v>32.670434782608055</v>
          </cell>
          <cell r="I746" t="e">
            <v>#N/A</v>
          </cell>
          <cell r="J746" t="e">
            <v>#N/A</v>
          </cell>
          <cell r="K746" t="e">
            <v>#N/A</v>
          </cell>
          <cell r="L746" t="e">
            <v>#N/A</v>
          </cell>
          <cell r="M746" t="e">
            <v>#N/A</v>
          </cell>
          <cell r="N746" t="e">
            <v>#N/A</v>
          </cell>
          <cell r="O746" t="e">
            <v>#N/A</v>
          </cell>
          <cell r="P746">
            <v>34.65</v>
          </cell>
          <cell r="Q746" t="str">
            <v/>
          </cell>
          <cell r="R746" t="e">
            <v>#N/A</v>
          </cell>
        </row>
        <row r="747">
          <cell r="A747">
            <v>40235</v>
          </cell>
          <cell r="B747">
            <v>40235</v>
          </cell>
          <cell r="C747" t="str">
            <v>Future</v>
          </cell>
          <cell r="D747" t="e">
            <v>#N/A</v>
          </cell>
          <cell r="E747">
            <v>8.881620553359781</v>
          </cell>
          <cell r="F747">
            <v>40.091106719367737</v>
          </cell>
          <cell r="G747">
            <v>32.660276679841253</v>
          </cell>
          <cell r="H747">
            <v>32.660276679841253</v>
          </cell>
          <cell r="I747" t="e">
            <v>#N/A</v>
          </cell>
          <cell r="J747" t="e">
            <v>#N/A</v>
          </cell>
          <cell r="K747" t="e">
            <v>#N/A</v>
          </cell>
          <cell r="L747" t="e">
            <v>#N/A</v>
          </cell>
          <cell r="M747" t="e">
            <v>#N/A</v>
          </cell>
          <cell r="N747" t="e">
            <v>#N/A</v>
          </cell>
          <cell r="O747" t="e">
            <v>#N/A</v>
          </cell>
          <cell r="P747">
            <v>34.65</v>
          </cell>
          <cell r="Q747" t="str">
            <v/>
          </cell>
          <cell r="R747" t="e">
            <v>#N/A</v>
          </cell>
        </row>
        <row r="748">
          <cell r="A748">
            <v>40238</v>
          </cell>
          <cell r="B748">
            <v>40238</v>
          </cell>
          <cell r="C748" t="str">
            <v>Future</v>
          </cell>
          <cell r="D748" t="e">
            <v>#N/A</v>
          </cell>
          <cell r="E748">
            <v>8.7449802371542482</v>
          </cell>
          <cell r="F748">
            <v>40.120474308300544</v>
          </cell>
          <cell r="G748">
            <v>32.650118577074451</v>
          </cell>
          <cell r="H748">
            <v>32.650118577074451</v>
          </cell>
          <cell r="I748" t="e">
            <v>#N/A</v>
          </cell>
          <cell r="J748" t="e">
            <v>#N/A</v>
          </cell>
          <cell r="K748" t="e">
            <v>#N/A</v>
          </cell>
          <cell r="L748" t="e">
            <v>#N/A</v>
          </cell>
          <cell r="M748" t="e">
            <v>#N/A</v>
          </cell>
          <cell r="N748" t="e">
            <v>#N/A</v>
          </cell>
          <cell r="O748" t="e">
            <v>#N/A</v>
          </cell>
          <cell r="P748">
            <v>34.65</v>
          </cell>
          <cell r="Q748" t="str">
            <v/>
          </cell>
          <cell r="R748" t="e">
            <v>#N/A</v>
          </cell>
        </row>
        <row r="749">
          <cell r="A749">
            <v>40239</v>
          </cell>
          <cell r="B749">
            <v>40239</v>
          </cell>
          <cell r="C749" t="str">
            <v>Future</v>
          </cell>
          <cell r="D749" t="e">
            <v>#N/A</v>
          </cell>
          <cell r="E749">
            <v>8.6083399209487155</v>
          </cell>
          <cell r="F749">
            <v>40.149841897233351</v>
          </cell>
          <cell r="G749">
            <v>32.639960474307649</v>
          </cell>
          <cell r="H749">
            <v>32.639960474307649</v>
          </cell>
          <cell r="I749" t="e">
            <v>#N/A</v>
          </cell>
          <cell r="J749" t="e">
            <v>#N/A</v>
          </cell>
          <cell r="K749" t="e">
            <v>#N/A</v>
          </cell>
          <cell r="L749" t="e">
            <v>#N/A</v>
          </cell>
          <cell r="M749" t="e">
            <v>#N/A</v>
          </cell>
          <cell r="N749" t="e">
            <v>#N/A</v>
          </cell>
          <cell r="O749" t="e">
            <v>#N/A</v>
          </cell>
          <cell r="P749">
            <v>34.65</v>
          </cell>
          <cell r="Q749" t="str">
            <v/>
          </cell>
          <cell r="R749" t="e">
            <v>#N/A</v>
          </cell>
        </row>
        <row r="750">
          <cell r="A750">
            <v>40240</v>
          </cell>
          <cell r="B750">
            <v>40240</v>
          </cell>
          <cell r="C750" t="str">
            <v>Future</v>
          </cell>
          <cell r="D750" t="e">
            <v>#N/A</v>
          </cell>
          <cell r="E750">
            <v>8.4716996047431827</v>
          </cell>
          <cell r="F750">
            <v>40.179209486166158</v>
          </cell>
          <cell r="G750">
            <v>32.629802371540848</v>
          </cell>
          <cell r="H750">
            <v>32.629802371540848</v>
          </cell>
          <cell r="I750" t="e">
            <v>#N/A</v>
          </cell>
          <cell r="J750" t="e">
            <v>#N/A</v>
          </cell>
          <cell r="K750" t="e">
            <v>#N/A</v>
          </cell>
          <cell r="L750" t="e">
            <v>#N/A</v>
          </cell>
          <cell r="M750" t="e">
            <v>#N/A</v>
          </cell>
          <cell r="N750" t="e">
            <v>#N/A</v>
          </cell>
          <cell r="O750" t="e">
            <v>#N/A</v>
          </cell>
          <cell r="P750">
            <v>34.65</v>
          </cell>
          <cell r="Q750" t="str">
            <v/>
          </cell>
          <cell r="R750" t="e">
            <v>#N/A</v>
          </cell>
        </row>
        <row r="751">
          <cell r="A751">
            <v>40241</v>
          </cell>
          <cell r="B751">
            <v>40241</v>
          </cell>
          <cell r="C751" t="str">
            <v>Future</v>
          </cell>
          <cell r="D751" t="e">
            <v>#N/A</v>
          </cell>
          <cell r="E751">
            <v>8.33505928853765</v>
          </cell>
          <cell r="F751">
            <v>40.208577075098965</v>
          </cell>
          <cell r="G751">
            <v>32.619644268774046</v>
          </cell>
          <cell r="H751">
            <v>32.619644268774046</v>
          </cell>
          <cell r="I751" t="e">
            <v>#N/A</v>
          </cell>
          <cell r="J751" t="e">
            <v>#N/A</v>
          </cell>
          <cell r="K751" t="e">
            <v>#N/A</v>
          </cell>
          <cell r="L751" t="e">
            <v>#N/A</v>
          </cell>
          <cell r="M751" t="e">
            <v>#N/A</v>
          </cell>
          <cell r="N751" t="e">
            <v>#N/A</v>
          </cell>
          <cell r="O751" t="e">
            <v>#N/A</v>
          </cell>
          <cell r="P751">
            <v>34.65</v>
          </cell>
          <cell r="Q751" t="str">
            <v/>
          </cell>
          <cell r="R751" t="e">
            <v>#N/A</v>
          </cell>
        </row>
        <row r="752">
          <cell r="A752">
            <v>40242</v>
          </cell>
          <cell r="B752">
            <v>40242</v>
          </cell>
          <cell r="C752" t="str">
            <v>Future</v>
          </cell>
          <cell r="D752" t="e">
            <v>#N/A</v>
          </cell>
          <cell r="E752">
            <v>8.1984189723321172</v>
          </cell>
          <cell r="F752">
            <v>40.237944664031772</v>
          </cell>
          <cell r="G752">
            <v>32.609486166007244</v>
          </cell>
          <cell r="H752">
            <v>32.609486166007244</v>
          </cell>
          <cell r="I752" t="e">
            <v>#N/A</v>
          </cell>
          <cell r="J752" t="e">
            <v>#N/A</v>
          </cell>
          <cell r="K752" t="e">
            <v>#N/A</v>
          </cell>
          <cell r="L752" t="e">
            <v>#N/A</v>
          </cell>
          <cell r="M752" t="e">
            <v>#N/A</v>
          </cell>
          <cell r="N752" t="e">
            <v>#N/A</v>
          </cell>
          <cell r="O752" t="e">
            <v>#N/A</v>
          </cell>
          <cell r="P752">
            <v>34.65</v>
          </cell>
          <cell r="Q752" t="str">
            <v/>
          </cell>
          <cell r="R752" t="e">
            <v>#N/A</v>
          </cell>
        </row>
        <row r="753">
          <cell r="A753">
            <v>40245</v>
          </cell>
          <cell r="B753">
            <v>40245</v>
          </cell>
          <cell r="C753" t="str">
            <v>Future</v>
          </cell>
          <cell r="D753" t="e">
            <v>#N/A</v>
          </cell>
          <cell r="E753">
            <v>8.0617786561265845</v>
          </cell>
          <cell r="F753">
            <v>40.267312252964579</v>
          </cell>
          <cell r="G753">
            <v>32.599328063240442</v>
          </cell>
          <cell r="H753">
            <v>32.599328063240442</v>
          </cell>
          <cell r="I753" t="e">
            <v>#N/A</v>
          </cell>
          <cell r="J753" t="e">
            <v>#N/A</v>
          </cell>
          <cell r="K753" t="e">
            <v>#N/A</v>
          </cell>
          <cell r="L753" t="e">
            <v>#N/A</v>
          </cell>
          <cell r="M753" t="e">
            <v>#N/A</v>
          </cell>
          <cell r="N753" t="e">
            <v>#N/A</v>
          </cell>
          <cell r="O753" t="e">
            <v>#N/A</v>
          </cell>
          <cell r="P753">
            <v>34.65</v>
          </cell>
          <cell r="Q753" t="str">
            <v/>
          </cell>
          <cell r="R753" t="e">
            <v>#N/A</v>
          </cell>
        </row>
        <row r="754">
          <cell r="A754">
            <v>40246</v>
          </cell>
          <cell r="B754">
            <v>40246</v>
          </cell>
          <cell r="C754" t="str">
            <v>Future</v>
          </cell>
          <cell r="D754" t="e">
            <v>#N/A</v>
          </cell>
          <cell r="E754">
            <v>7.9251383399210509</v>
          </cell>
          <cell r="F754">
            <v>40.296679841897387</v>
          </cell>
          <cell r="G754">
            <v>32.58916996047364</v>
          </cell>
          <cell r="H754">
            <v>32.58916996047364</v>
          </cell>
          <cell r="I754" t="e">
            <v>#N/A</v>
          </cell>
          <cell r="J754" t="e">
            <v>#N/A</v>
          </cell>
          <cell r="K754" t="e">
            <v>#N/A</v>
          </cell>
          <cell r="L754" t="e">
            <v>#N/A</v>
          </cell>
          <cell r="M754" t="e">
            <v>#N/A</v>
          </cell>
          <cell r="N754" t="e">
            <v>#N/A</v>
          </cell>
          <cell r="O754" t="e">
            <v>#N/A</v>
          </cell>
          <cell r="P754">
            <v>34.65</v>
          </cell>
          <cell r="Q754" t="str">
            <v/>
          </cell>
          <cell r="R754" t="e">
            <v>#N/A</v>
          </cell>
        </row>
        <row r="755">
          <cell r="A755">
            <v>40247</v>
          </cell>
          <cell r="B755">
            <v>40247</v>
          </cell>
          <cell r="C755" t="str">
            <v>Future</v>
          </cell>
          <cell r="D755" t="e">
            <v>#N/A</v>
          </cell>
          <cell r="E755">
            <v>7.7884980237155172</v>
          </cell>
          <cell r="F755">
            <v>40.326047430830194</v>
          </cell>
          <cell r="G755">
            <v>32.579011857706838</v>
          </cell>
          <cell r="H755">
            <v>32.579011857706838</v>
          </cell>
          <cell r="I755" t="e">
            <v>#N/A</v>
          </cell>
          <cell r="J755" t="e">
            <v>#N/A</v>
          </cell>
          <cell r="K755" t="e">
            <v>#N/A</v>
          </cell>
          <cell r="L755" t="e">
            <v>#N/A</v>
          </cell>
          <cell r="M755" t="e">
            <v>#N/A</v>
          </cell>
          <cell r="N755" t="e">
            <v>#N/A</v>
          </cell>
          <cell r="O755" t="e">
            <v>#N/A</v>
          </cell>
          <cell r="P755">
            <v>34.65</v>
          </cell>
          <cell r="Q755" t="str">
            <v/>
          </cell>
          <cell r="R755" t="e">
            <v>#N/A</v>
          </cell>
        </row>
        <row r="756">
          <cell r="A756">
            <v>40248</v>
          </cell>
          <cell r="B756">
            <v>40248</v>
          </cell>
          <cell r="C756" t="str">
            <v>Future</v>
          </cell>
          <cell r="D756" t="e">
            <v>#N/A</v>
          </cell>
          <cell r="E756">
            <v>7.6518577075099836</v>
          </cell>
          <cell r="F756">
            <v>40.355415019763001</v>
          </cell>
          <cell r="G756">
            <v>32.568853754940037</v>
          </cell>
          <cell r="H756">
            <v>32.568853754940037</v>
          </cell>
          <cell r="I756" t="e">
            <v>#N/A</v>
          </cell>
          <cell r="J756" t="e">
            <v>#N/A</v>
          </cell>
          <cell r="K756" t="e">
            <v>#N/A</v>
          </cell>
          <cell r="L756" t="e">
            <v>#N/A</v>
          </cell>
          <cell r="M756" t="e">
            <v>#N/A</v>
          </cell>
          <cell r="N756" t="e">
            <v>#N/A</v>
          </cell>
          <cell r="O756" t="e">
            <v>#N/A</v>
          </cell>
          <cell r="P756">
            <v>34.65</v>
          </cell>
          <cell r="Q756" t="str">
            <v/>
          </cell>
          <cell r="R756" t="e">
            <v>#N/A</v>
          </cell>
        </row>
        <row r="757">
          <cell r="A757">
            <v>40249</v>
          </cell>
          <cell r="B757">
            <v>40249</v>
          </cell>
          <cell r="C757" t="str">
            <v>Future</v>
          </cell>
          <cell r="D757" t="e">
            <v>#N/A</v>
          </cell>
          <cell r="E757">
            <v>7.51521739130445</v>
          </cell>
          <cell r="F757">
            <v>40.384782608695808</v>
          </cell>
          <cell r="G757">
            <v>32.558695652173235</v>
          </cell>
          <cell r="H757">
            <v>32.558695652173235</v>
          </cell>
          <cell r="I757" t="e">
            <v>#N/A</v>
          </cell>
          <cell r="J757" t="e">
            <v>#N/A</v>
          </cell>
          <cell r="K757" t="e">
            <v>#N/A</v>
          </cell>
          <cell r="L757" t="e">
            <v>#N/A</v>
          </cell>
          <cell r="M757" t="e">
            <v>#N/A</v>
          </cell>
          <cell r="N757" t="e">
            <v>#N/A</v>
          </cell>
          <cell r="O757" t="e">
            <v>#N/A</v>
          </cell>
          <cell r="P757">
            <v>34.65</v>
          </cell>
          <cell r="Q757" t="str">
            <v/>
          </cell>
          <cell r="R757" t="e">
            <v>#N/A</v>
          </cell>
        </row>
        <row r="758">
          <cell r="A758">
            <v>40252</v>
          </cell>
          <cell r="B758">
            <v>40252</v>
          </cell>
          <cell r="C758" t="str">
            <v>Future</v>
          </cell>
          <cell r="D758" t="e">
            <v>#N/A</v>
          </cell>
          <cell r="E758">
            <v>7.3785770750989164</v>
          </cell>
          <cell r="F758">
            <v>40.414150197628615</v>
          </cell>
          <cell r="G758">
            <v>32.548537549406433</v>
          </cell>
          <cell r="H758">
            <v>32.548537549406433</v>
          </cell>
          <cell r="I758" t="e">
            <v>#N/A</v>
          </cell>
          <cell r="J758" t="e">
            <v>#N/A</v>
          </cell>
          <cell r="K758" t="e">
            <v>#N/A</v>
          </cell>
          <cell r="L758" t="e">
            <v>#N/A</v>
          </cell>
          <cell r="M758" t="e">
            <v>#N/A</v>
          </cell>
          <cell r="N758" t="e">
            <v>#N/A</v>
          </cell>
          <cell r="O758" t="e">
            <v>#N/A</v>
          </cell>
          <cell r="P758">
            <v>34.65</v>
          </cell>
          <cell r="Q758" t="str">
            <v/>
          </cell>
          <cell r="R758" t="e">
            <v>#N/A</v>
          </cell>
        </row>
        <row r="759">
          <cell r="A759">
            <v>40253</v>
          </cell>
          <cell r="B759">
            <v>40253</v>
          </cell>
          <cell r="C759" t="str">
            <v>Future</v>
          </cell>
          <cell r="D759" t="e">
            <v>#N/A</v>
          </cell>
          <cell r="E759">
            <v>7.2419367588933827</v>
          </cell>
          <cell r="F759">
            <v>40.443517786561422</v>
          </cell>
          <cell r="G759">
            <v>32.538379446639631</v>
          </cell>
          <cell r="H759">
            <v>32.538379446639631</v>
          </cell>
          <cell r="I759" t="e">
            <v>#N/A</v>
          </cell>
          <cell r="J759" t="e">
            <v>#N/A</v>
          </cell>
          <cell r="K759" t="e">
            <v>#N/A</v>
          </cell>
          <cell r="L759" t="e">
            <v>#N/A</v>
          </cell>
          <cell r="M759" t="e">
            <v>#N/A</v>
          </cell>
          <cell r="N759" t="e">
            <v>#N/A</v>
          </cell>
          <cell r="O759" t="e">
            <v>#N/A</v>
          </cell>
          <cell r="P759">
            <v>34.65</v>
          </cell>
          <cell r="Q759" t="str">
            <v/>
          </cell>
          <cell r="R759" t="e">
            <v>#N/A</v>
          </cell>
        </row>
        <row r="760">
          <cell r="A760">
            <v>40254</v>
          </cell>
          <cell r="B760">
            <v>40254</v>
          </cell>
          <cell r="C760" t="str">
            <v>Future</v>
          </cell>
          <cell r="D760" t="e">
            <v>#N/A</v>
          </cell>
          <cell r="E760">
            <v>7.1052964426878491</v>
          </cell>
          <cell r="F760">
            <v>40.472885375494229</v>
          </cell>
          <cell r="G760">
            <v>32.528221343872829</v>
          </cell>
          <cell r="H760">
            <v>32.528221343872829</v>
          </cell>
          <cell r="I760" t="e">
            <v>#N/A</v>
          </cell>
          <cell r="J760" t="e">
            <v>#N/A</v>
          </cell>
          <cell r="K760" t="e">
            <v>#N/A</v>
          </cell>
          <cell r="L760" t="e">
            <v>#N/A</v>
          </cell>
          <cell r="M760" t="e">
            <v>#N/A</v>
          </cell>
          <cell r="N760" t="e">
            <v>#N/A</v>
          </cell>
          <cell r="O760" t="e">
            <v>#N/A</v>
          </cell>
          <cell r="P760">
            <v>34.65</v>
          </cell>
          <cell r="Q760" t="str">
            <v/>
          </cell>
          <cell r="R760" t="e">
            <v>#N/A</v>
          </cell>
        </row>
        <row r="761">
          <cell r="A761">
            <v>40255</v>
          </cell>
          <cell r="B761">
            <v>40255</v>
          </cell>
          <cell r="C761" t="str">
            <v>Future</v>
          </cell>
          <cell r="D761" t="e">
            <v>#N/A</v>
          </cell>
          <cell r="E761">
            <v>6.9686561264823155</v>
          </cell>
          <cell r="F761">
            <v>40.502252964427036</v>
          </cell>
          <cell r="G761">
            <v>32.518063241106027</v>
          </cell>
          <cell r="H761">
            <v>32.518063241106027</v>
          </cell>
          <cell r="I761" t="e">
            <v>#N/A</v>
          </cell>
          <cell r="J761" t="e">
            <v>#N/A</v>
          </cell>
          <cell r="K761" t="e">
            <v>#N/A</v>
          </cell>
          <cell r="L761" t="e">
            <v>#N/A</v>
          </cell>
          <cell r="M761" t="e">
            <v>#N/A</v>
          </cell>
          <cell r="N761" t="e">
            <v>#N/A</v>
          </cell>
          <cell r="O761" t="e">
            <v>#N/A</v>
          </cell>
          <cell r="P761">
            <v>34.65</v>
          </cell>
          <cell r="Q761" t="str">
            <v/>
          </cell>
          <cell r="R761" t="e">
            <v>#N/A</v>
          </cell>
        </row>
        <row r="762">
          <cell r="A762">
            <v>40256</v>
          </cell>
          <cell r="B762">
            <v>40256</v>
          </cell>
          <cell r="C762" t="str">
            <v>Future</v>
          </cell>
          <cell r="D762" t="e">
            <v>#N/A</v>
          </cell>
          <cell r="E762">
            <v>6.8320158102767818</v>
          </cell>
          <cell r="F762">
            <v>40.531620553359843</v>
          </cell>
          <cell r="G762">
            <v>32.507905138339225</v>
          </cell>
          <cell r="H762">
            <v>32.507905138339225</v>
          </cell>
          <cell r="I762" t="e">
            <v>#N/A</v>
          </cell>
          <cell r="J762" t="e">
            <v>#N/A</v>
          </cell>
          <cell r="K762" t="e">
            <v>#N/A</v>
          </cell>
          <cell r="L762" t="e">
            <v>#N/A</v>
          </cell>
          <cell r="M762" t="e">
            <v>#N/A</v>
          </cell>
          <cell r="N762" t="e">
            <v>#N/A</v>
          </cell>
          <cell r="O762" t="e">
            <v>#N/A</v>
          </cell>
          <cell r="P762">
            <v>34.65</v>
          </cell>
          <cell r="Q762" t="str">
            <v/>
          </cell>
          <cell r="R762" t="e">
            <v>#N/A</v>
          </cell>
        </row>
        <row r="763">
          <cell r="A763">
            <v>40259</v>
          </cell>
          <cell r="B763">
            <v>40259</v>
          </cell>
          <cell r="C763" t="str">
            <v>Future</v>
          </cell>
          <cell r="D763" t="e">
            <v>#N/A</v>
          </cell>
          <cell r="E763">
            <v>6.6953754940712482</v>
          </cell>
          <cell r="F763">
            <v>40.560988142292651</v>
          </cell>
          <cell r="G763">
            <v>32.497747035572424</v>
          </cell>
          <cell r="H763">
            <v>32.497747035572424</v>
          </cell>
          <cell r="I763" t="e">
            <v>#N/A</v>
          </cell>
          <cell r="J763" t="e">
            <v>#N/A</v>
          </cell>
          <cell r="K763" t="e">
            <v>#N/A</v>
          </cell>
          <cell r="L763" t="e">
            <v>#N/A</v>
          </cell>
          <cell r="M763" t="e">
            <v>#N/A</v>
          </cell>
          <cell r="N763" t="e">
            <v>#N/A</v>
          </cell>
          <cell r="O763" t="e">
            <v>#N/A</v>
          </cell>
          <cell r="P763">
            <v>34.65</v>
          </cell>
          <cell r="Q763" t="str">
            <v/>
          </cell>
          <cell r="R763" t="e">
            <v>#N/A</v>
          </cell>
        </row>
        <row r="764">
          <cell r="A764">
            <v>40260</v>
          </cell>
          <cell r="B764">
            <v>40260</v>
          </cell>
          <cell r="C764" t="str">
            <v>Future</v>
          </cell>
          <cell r="D764" t="e">
            <v>#N/A</v>
          </cell>
          <cell r="E764">
            <v>6.5587351778657146</v>
          </cell>
          <cell r="F764">
            <v>40.590355731225458</v>
          </cell>
          <cell r="G764">
            <v>32.487588932805622</v>
          </cell>
          <cell r="H764">
            <v>32.487588932805622</v>
          </cell>
          <cell r="I764" t="e">
            <v>#N/A</v>
          </cell>
          <cell r="J764" t="e">
            <v>#N/A</v>
          </cell>
          <cell r="K764" t="e">
            <v>#N/A</v>
          </cell>
          <cell r="L764" t="e">
            <v>#N/A</v>
          </cell>
          <cell r="M764" t="e">
            <v>#N/A</v>
          </cell>
          <cell r="N764" t="e">
            <v>#N/A</v>
          </cell>
          <cell r="O764" t="e">
            <v>#N/A</v>
          </cell>
          <cell r="P764">
            <v>34.65</v>
          </cell>
          <cell r="Q764" t="str">
            <v/>
          </cell>
          <cell r="R764" t="e">
            <v>#N/A</v>
          </cell>
        </row>
        <row r="765">
          <cell r="A765">
            <v>40261</v>
          </cell>
          <cell r="B765">
            <v>40261</v>
          </cell>
          <cell r="C765" t="str">
            <v>Future</v>
          </cell>
          <cell r="D765" t="e">
            <v>#N/A</v>
          </cell>
          <cell r="E765">
            <v>6.422094861660181</v>
          </cell>
          <cell r="F765">
            <v>40.619723320158265</v>
          </cell>
          <cell r="G765">
            <v>32.47743083003882</v>
          </cell>
          <cell r="H765">
            <v>32.47743083003882</v>
          </cell>
          <cell r="I765" t="e">
            <v>#N/A</v>
          </cell>
          <cell r="J765" t="e">
            <v>#N/A</v>
          </cell>
          <cell r="K765" t="e">
            <v>#N/A</v>
          </cell>
          <cell r="L765" t="e">
            <v>#N/A</v>
          </cell>
          <cell r="M765" t="e">
            <v>#N/A</v>
          </cell>
          <cell r="N765" t="e">
            <v>#N/A</v>
          </cell>
          <cell r="O765" t="e">
            <v>#N/A</v>
          </cell>
          <cell r="P765">
            <v>34.65</v>
          </cell>
          <cell r="Q765" t="str">
            <v/>
          </cell>
          <cell r="R765" t="e">
            <v>#N/A</v>
          </cell>
        </row>
        <row r="766">
          <cell r="A766">
            <v>40262</v>
          </cell>
          <cell r="B766">
            <v>40262</v>
          </cell>
          <cell r="C766" t="str">
            <v>Future</v>
          </cell>
          <cell r="D766" t="e">
            <v>#N/A</v>
          </cell>
          <cell r="E766">
            <v>6.2854545454546473</v>
          </cell>
          <cell r="F766">
            <v>40.649090909091072</v>
          </cell>
          <cell r="G766">
            <v>32.467272727272018</v>
          </cell>
          <cell r="H766">
            <v>32.467272727272018</v>
          </cell>
          <cell r="I766" t="e">
            <v>#N/A</v>
          </cell>
          <cell r="J766" t="e">
            <v>#N/A</v>
          </cell>
          <cell r="K766" t="e">
            <v>#N/A</v>
          </cell>
          <cell r="L766" t="e">
            <v>#N/A</v>
          </cell>
          <cell r="M766" t="e">
            <v>#N/A</v>
          </cell>
          <cell r="N766" t="e">
            <v>#N/A</v>
          </cell>
          <cell r="O766" t="e">
            <v>#N/A</v>
          </cell>
          <cell r="P766">
            <v>34.65</v>
          </cell>
          <cell r="Q766" t="str">
            <v/>
          </cell>
          <cell r="R766" t="e">
            <v>#N/A</v>
          </cell>
        </row>
        <row r="767">
          <cell r="A767">
            <v>40263</v>
          </cell>
          <cell r="B767">
            <v>40263</v>
          </cell>
          <cell r="C767" t="str">
            <v>Future</v>
          </cell>
          <cell r="D767" t="e">
            <v>#N/A</v>
          </cell>
          <cell r="E767">
            <v>6.1488142292491137</v>
          </cell>
          <cell r="F767">
            <v>40.678458498023879</v>
          </cell>
          <cell r="G767">
            <v>32.457114624505216</v>
          </cell>
          <cell r="H767">
            <v>32.457114624505216</v>
          </cell>
          <cell r="I767" t="e">
            <v>#N/A</v>
          </cell>
          <cell r="J767" t="e">
            <v>#N/A</v>
          </cell>
          <cell r="K767" t="e">
            <v>#N/A</v>
          </cell>
          <cell r="L767" t="e">
            <v>#N/A</v>
          </cell>
          <cell r="M767" t="e">
            <v>#N/A</v>
          </cell>
          <cell r="N767" t="e">
            <v>#N/A</v>
          </cell>
          <cell r="O767" t="e">
            <v>#N/A</v>
          </cell>
          <cell r="P767">
            <v>34.65</v>
          </cell>
          <cell r="Q767" t="str">
            <v/>
          </cell>
          <cell r="R767" t="e">
            <v>#N/A</v>
          </cell>
        </row>
        <row r="768">
          <cell r="A768">
            <v>40266</v>
          </cell>
          <cell r="B768">
            <v>40266</v>
          </cell>
          <cell r="C768" t="str">
            <v>Future</v>
          </cell>
          <cell r="D768" t="e">
            <v>#N/A</v>
          </cell>
          <cell r="E768">
            <v>6.0121739130435801</v>
          </cell>
          <cell r="F768">
            <v>40.707826086956686</v>
          </cell>
          <cell r="G768">
            <v>32.446956521738414</v>
          </cell>
          <cell r="H768">
            <v>32.446956521738414</v>
          </cell>
          <cell r="I768" t="e">
            <v>#N/A</v>
          </cell>
          <cell r="J768" t="e">
            <v>#N/A</v>
          </cell>
          <cell r="K768" t="e">
            <v>#N/A</v>
          </cell>
          <cell r="L768" t="e">
            <v>#N/A</v>
          </cell>
          <cell r="M768" t="e">
            <v>#N/A</v>
          </cell>
          <cell r="N768" t="e">
            <v>#N/A</v>
          </cell>
          <cell r="O768" t="e">
            <v>#N/A</v>
          </cell>
          <cell r="P768">
            <v>34.65</v>
          </cell>
          <cell r="Q768" t="str">
            <v/>
          </cell>
          <cell r="R768" t="e">
            <v>#N/A</v>
          </cell>
        </row>
        <row r="769">
          <cell r="A769">
            <v>40267</v>
          </cell>
          <cell r="B769">
            <v>40267</v>
          </cell>
          <cell r="C769" t="str">
            <v>Future</v>
          </cell>
          <cell r="D769" t="e">
            <v>#N/A</v>
          </cell>
          <cell r="E769">
            <v>5.8755335968380464</v>
          </cell>
          <cell r="F769">
            <v>40.737193675889493</v>
          </cell>
          <cell r="G769">
            <v>32.436798418971613</v>
          </cell>
          <cell r="H769">
            <v>32.436798418971613</v>
          </cell>
          <cell r="I769" t="e">
            <v>#N/A</v>
          </cell>
          <cell r="J769" t="e">
            <v>#N/A</v>
          </cell>
          <cell r="K769" t="e">
            <v>#N/A</v>
          </cell>
          <cell r="L769" t="e">
            <v>#N/A</v>
          </cell>
          <cell r="M769" t="e">
            <v>#N/A</v>
          </cell>
          <cell r="N769" t="e">
            <v>#N/A</v>
          </cell>
          <cell r="O769" t="e">
            <v>#N/A</v>
          </cell>
          <cell r="P769">
            <v>34.65</v>
          </cell>
          <cell r="Q769" t="str">
            <v/>
          </cell>
          <cell r="R769" t="e">
            <v>#N/A</v>
          </cell>
        </row>
        <row r="770">
          <cell r="A770">
            <v>40268</v>
          </cell>
          <cell r="B770">
            <v>40268</v>
          </cell>
          <cell r="C770" t="str">
            <v>Future</v>
          </cell>
          <cell r="D770" t="e">
            <v>#N/A</v>
          </cell>
          <cell r="E770">
            <v>5.7388932806325128</v>
          </cell>
          <cell r="F770">
            <v>40.7665612648223</v>
          </cell>
          <cell r="G770">
            <v>32.426640316204811</v>
          </cell>
          <cell r="H770">
            <v>32.426640316204811</v>
          </cell>
          <cell r="I770" t="e">
            <v>#N/A</v>
          </cell>
          <cell r="J770" t="e">
            <v>#N/A</v>
          </cell>
          <cell r="K770" t="e">
            <v>#N/A</v>
          </cell>
          <cell r="L770" t="e">
            <v>#N/A</v>
          </cell>
          <cell r="M770" t="e">
            <v>#N/A</v>
          </cell>
          <cell r="N770" t="e">
            <v>#N/A</v>
          </cell>
          <cell r="O770" t="e">
            <v>#N/A</v>
          </cell>
          <cell r="P770">
            <v>34.65</v>
          </cell>
          <cell r="Q770" t="str">
            <v/>
          </cell>
          <cell r="R770" t="e">
            <v>#N/A</v>
          </cell>
        </row>
        <row r="771">
          <cell r="A771">
            <v>40269</v>
          </cell>
          <cell r="B771">
            <v>40269</v>
          </cell>
          <cell r="C771" t="str">
            <v>Future</v>
          </cell>
          <cell r="D771" t="e">
            <v>#N/A</v>
          </cell>
          <cell r="E771">
            <v>5.6022529644269792</v>
          </cell>
          <cell r="F771">
            <v>40.795928853755107</v>
          </cell>
          <cell r="G771">
            <v>32.416482213438009</v>
          </cell>
          <cell r="H771">
            <v>32.416482213438009</v>
          </cell>
          <cell r="I771" t="e">
            <v>#N/A</v>
          </cell>
          <cell r="J771" t="e">
            <v>#N/A</v>
          </cell>
          <cell r="K771" t="e">
            <v>#N/A</v>
          </cell>
          <cell r="L771" t="e">
            <v>#N/A</v>
          </cell>
          <cell r="M771" t="e">
            <v>#N/A</v>
          </cell>
          <cell r="N771" t="e">
            <v>#N/A</v>
          </cell>
          <cell r="O771" t="e">
            <v>#N/A</v>
          </cell>
          <cell r="P771">
            <v>34.65</v>
          </cell>
          <cell r="Q771" t="str">
            <v/>
          </cell>
          <cell r="R771" t="e">
            <v>#N/A</v>
          </cell>
        </row>
        <row r="772">
          <cell r="A772">
            <v>40273</v>
          </cell>
          <cell r="B772">
            <v>40273</v>
          </cell>
          <cell r="C772" t="str">
            <v>Future</v>
          </cell>
          <cell r="D772" t="e">
            <v>#N/A</v>
          </cell>
          <cell r="E772">
            <v>5.4656126482214455</v>
          </cell>
          <cell r="F772">
            <v>40.825296442687915</v>
          </cell>
          <cell r="G772">
            <v>32.406324110671207</v>
          </cell>
          <cell r="H772">
            <v>32.406324110671207</v>
          </cell>
          <cell r="I772" t="e">
            <v>#N/A</v>
          </cell>
          <cell r="J772" t="e">
            <v>#N/A</v>
          </cell>
          <cell r="K772" t="e">
            <v>#N/A</v>
          </cell>
          <cell r="L772" t="e">
            <v>#N/A</v>
          </cell>
          <cell r="M772" t="e">
            <v>#N/A</v>
          </cell>
          <cell r="N772" t="e">
            <v>#N/A</v>
          </cell>
          <cell r="O772" t="e">
            <v>#N/A</v>
          </cell>
          <cell r="P772">
            <v>34.65</v>
          </cell>
          <cell r="Q772" t="str">
            <v/>
          </cell>
          <cell r="R772" t="e">
            <v>#N/A</v>
          </cell>
        </row>
        <row r="773">
          <cell r="A773">
            <v>40274</v>
          </cell>
          <cell r="B773">
            <v>40274</v>
          </cell>
          <cell r="C773" t="str">
            <v>Future</v>
          </cell>
          <cell r="D773" t="e">
            <v>#N/A</v>
          </cell>
          <cell r="E773">
            <v>5.3289723320159119</v>
          </cell>
          <cell r="F773">
            <v>40.854664031620722</v>
          </cell>
          <cell r="G773">
            <v>32.396166007904405</v>
          </cell>
          <cell r="H773">
            <v>32.396166007904405</v>
          </cell>
          <cell r="I773" t="e">
            <v>#N/A</v>
          </cell>
          <cell r="J773" t="e">
            <v>#N/A</v>
          </cell>
          <cell r="K773" t="e">
            <v>#N/A</v>
          </cell>
          <cell r="L773" t="e">
            <v>#N/A</v>
          </cell>
          <cell r="M773" t="e">
            <v>#N/A</v>
          </cell>
          <cell r="N773" t="e">
            <v>#N/A</v>
          </cell>
          <cell r="O773" t="e">
            <v>#N/A</v>
          </cell>
          <cell r="P773">
            <v>34.65</v>
          </cell>
          <cell r="Q773" t="str">
            <v/>
          </cell>
          <cell r="R773" t="e">
            <v>#N/A</v>
          </cell>
        </row>
        <row r="774">
          <cell r="A774">
            <v>40275</v>
          </cell>
          <cell r="B774">
            <v>40275</v>
          </cell>
          <cell r="C774" t="str">
            <v>Future</v>
          </cell>
          <cell r="D774" t="e">
            <v>#N/A</v>
          </cell>
          <cell r="E774">
            <v>5.1923320158103783</v>
          </cell>
          <cell r="F774">
            <v>40.884031620553529</v>
          </cell>
          <cell r="G774">
            <v>32.386007905137603</v>
          </cell>
          <cell r="H774">
            <v>32.386007905137603</v>
          </cell>
          <cell r="I774" t="e">
            <v>#N/A</v>
          </cell>
          <cell r="J774" t="e">
            <v>#N/A</v>
          </cell>
          <cell r="K774" t="e">
            <v>#N/A</v>
          </cell>
          <cell r="L774" t="e">
            <v>#N/A</v>
          </cell>
          <cell r="M774" t="e">
            <v>#N/A</v>
          </cell>
          <cell r="N774" t="e">
            <v>#N/A</v>
          </cell>
          <cell r="O774" t="e">
            <v>#N/A</v>
          </cell>
          <cell r="P774">
            <v>34.65</v>
          </cell>
          <cell r="Q774" t="str">
            <v/>
          </cell>
          <cell r="R774" t="e">
            <v>#N/A</v>
          </cell>
        </row>
        <row r="775">
          <cell r="A775">
            <v>40276</v>
          </cell>
          <cell r="B775">
            <v>40276</v>
          </cell>
          <cell r="C775" t="str">
            <v>Future</v>
          </cell>
          <cell r="D775" t="e">
            <v>#N/A</v>
          </cell>
          <cell r="E775">
            <v>5.0556916996048447</v>
          </cell>
          <cell r="F775">
            <v>40.913399209486336</v>
          </cell>
          <cell r="G775">
            <v>32.375849802370801</v>
          </cell>
          <cell r="H775">
            <v>32.375849802370801</v>
          </cell>
          <cell r="I775" t="e">
            <v>#N/A</v>
          </cell>
          <cell r="J775" t="e">
            <v>#N/A</v>
          </cell>
          <cell r="K775" t="e">
            <v>#N/A</v>
          </cell>
          <cell r="L775" t="e">
            <v>#N/A</v>
          </cell>
          <cell r="M775" t="e">
            <v>#N/A</v>
          </cell>
          <cell r="N775" t="e">
            <v>#N/A</v>
          </cell>
          <cell r="O775" t="e">
            <v>#N/A</v>
          </cell>
          <cell r="P775">
            <v>34.65</v>
          </cell>
          <cell r="Q775" t="str">
            <v/>
          </cell>
          <cell r="R775" t="e">
            <v>#N/A</v>
          </cell>
        </row>
        <row r="776">
          <cell r="A776">
            <v>40277</v>
          </cell>
          <cell r="B776">
            <v>40277</v>
          </cell>
          <cell r="C776" t="str">
            <v>Future</v>
          </cell>
          <cell r="D776" t="e">
            <v>#N/A</v>
          </cell>
          <cell r="E776">
            <v>4.919051383399311</v>
          </cell>
          <cell r="F776">
            <v>40.942766798419143</v>
          </cell>
          <cell r="G776">
            <v>32.365691699604</v>
          </cell>
          <cell r="H776">
            <v>32.365691699604</v>
          </cell>
          <cell r="I776" t="e">
            <v>#N/A</v>
          </cell>
          <cell r="J776" t="e">
            <v>#N/A</v>
          </cell>
          <cell r="K776" t="e">
            <v>#N/A</v>
          </cell>
          <cell r="L776" t="e">
            <v>#N/A</v>
          </cell>
          <cell r="M776" t="e">
            <v>#N/A</v>
          </cell>
          <cell r="N776" t="e">
            <v>#N/A</v>
          </cell>
          <cell r="O776" t="e">
            <v>#N/A</v>
          </cell>
          <cell r="P776">
            <v>34.65</v>
          </cell>
          <cell r="Q776" t="str">
            <v/>
          </cell>
          <cell r="R776" t="e">
            <v>#N/A</v>
          </cell>
        </row>
        <row r="777">
          <cell r="A777">
            <v>40280</v>
          </cell>
          <cell r="B777">
            <v>40280</v>
          </cell>
          <cell r="C777" t="str">
            <v>Future</v>
          </cell>
          <cell r="D777" t="e">
            <v>#N/A</v>
          </cell>
          <cell r="E777">
            <v>4.7824110671937774</v>
          </cell>
          <cell r="F777">
            <v>40.97213438735195</v>
          </cell>
          <cell r="G777">
            <v>32.355533596837198</v>
          </cell>
          <cell r="H777">
            <v>32.355533596837198</v>
          </cell>
          <cell r="I777" t="e">
            <v>#N/A</v>
          </cell>
          <cell r="J777" t="e">
            <v>#N/A</v>
          </cell>
          <cell r="K777" t="e">
            <v>#N/A</v>
          </cell>
          <cell r="L777" t="e">
            <v>#N/A</v>
          </cell>
          <cell r="M777" t="e">
            <v>#N/A</v>
          </cell>
          <cell r="N777" t="e">
            <v>#N/A</v>
          </cell>
          <cell r="O777" t="e">
            <v>#N/A</v>
          </cell>
          <cell r="P777">
            <v>34.65</v>
          </cell>
          <cell r="Q777" t="str">
            <v/>
          </cell>
          <cell r="R777" t="e">
            <v>#N/A</v>
          </cell>
        </row>
        <row r="778">
          <cell r="A778">
            <v>40281</v>
          </cell>
          <cell r="B778">
            <v>40281</v>
          </cell>
          <cell r="C778" t="str">
            <v>Future</v>
          </cell>
          <cell r="D778" t="e">
            <v>#N/A</v>
          </cell>
          <cell r="E778">
            <v>4.6457707509882438</v>
          </cell>
          <cell r="F778">
            <v>41.001501976284757</v>
          </cell>
          <cell r="G778">
            <v>32.345375494070396</v>
          </cell>
          <cell r="H778">
            <v>32.345375494070396</v>
          </cell>
          <cell r="I778" t="e">
            <v>#N/A</v>
          </cell>
          <cell r="J778" t="e">
            <v>#N/A</v>
          </cell>
          <cell r="K778" t="e">
            <v>#N/A</v>
          </cell>
          <cell r="L778" t="e">
            <v>#N/A</v>
          </cell>
          <cell r="M778" t="e">
            <v>#N/A</v>
          </cell>
          <cell r="N778" t="e">
            <v>#N/A</v>
          </cell>
          <cell r="O778" t="e">
            <v>#N/A</v>
          </cell>
          <cell r="P778">
            <v>34.65</v>
          </cell>
          <cell r="Q778" t="str">
            <v/>
          </cell>
          <cell r="R778" t="e">
            <v>#N/A</v>
          </cell>
        </row>
        <row r="779">
          <cell r="A779">
            <v>40282</v>
          </cell>
          <cell r="B779">
            <v>40282</v>
          </cell>
          <cell r="C779" t="str">
            <v>Future</v>
          </cell>
          <cell r="D779" t="e">
            <v>#N/A</v>
          </cell>
          <cell r="E779">
            <v>4.5091304347827101</v>
          </cell>
          <cell r="F779">
            <v>41.030869565217564</v>
          </cell>
          <cell r="G779">
            <v>32.335217391303594</v>
          </cell>
          <cell r="H779">
            <v>32.335217391303594</v>
          </cell>
          <cell r="I779" t="e">
            <v>#N/A</v>
          </cell>
          <cell r="J779" t="e">
            <v>#N/A</v>
          </cell>
          <cell r="K779" t="e">
            <v>#N/A</v>
          </cell>
          <cell r="L779" t="e">
            <v>#N/A</v>
          </cell>
          <cell r="M779" t="e">
            <v>#N/A</v>
          </cell>
          <cell r="N779" t="e">
            <v>#N/A</v>
          </cell>
          <cell r="O779" t="e">
            <v>#N/A</v>
          </cell>
          <cell r="P779">
            <v>34.65</v>
          </cell>
          <cell r="Q779" t="str">
            <v/>
          </cell>
          <cell r="R779" t="e">
            <v>#N/A</v>
          </cell>
        </row>
        <row r="780">
          <cell r="A780">
            <v>40283</v>
          </cell>
          <cell r="B780">
            <v>40283</v>
          </cell>
          <cell r="C780" t="str">
            <v>Future</v>
          </cell>
          <cell r="D780" t="e">
            <v>#N/A</v>
          </cell>
          <cell r="E780">
            <v>4.3724901185771765</v>
          </cell>
          <cell r="F780">
            <v>41.060237154150371</v>
          </cell>
          <cell r="G780">
            <v>32.325059288536792</v>
          </cell>
          <cell r="H780">
            <v>32.325059288536792</v>
          </cell>
          <cell r="I780" t="e">
            <v>#N/A</v>
          </cell>
          <cell r="J780" t="e">
            <v>#N/A</v>
          </cell>
          <cell r="K780" t="e">
            <v>#N/A</v>
          </cell>
          <cell r="L780" t="e">
            <v>#N/A</v>
          </cell>
          <cell r="M780" t="e">
            <v>#N/A</v>
          </cell>
          <cell r="N780" t="e">
            <v>#N/A</v>
          </cell>
          <cell r="O780" t="e">
            <v>#N/A</v>
          </cell>
          <cell r="P780">
            <v>34.65</v>
          </cell>
          <cell r="Q780" t="str">
            <v/>
          </cell>
          <cell r="R780" t="e">
            <v>#N/A</v>
          </cell>
        </row>
        <row r="781">
          <cell r="A781">
            <v>40284</v>
          </cell>
          <cell r="B781">
            <v>40284</v>
          </cell>
          <cell r="C781" t="str">
            <v>Future</v>
          </cell>
          <cell r="D781" t="e">
            <v>#N/A</v>
          </cell>
          <cell r="E781">
            <v>4.2358498023716429</v>
          </cell>
          <cell r="F781">
            <v>41.089604743083179</v>
          </cell>
          <cell r="G781">
            <v>32.31490118576999</v>
          </cell>
          <cell r="H781">
            <v>32.31490118576999</v>
          </cell>
          <cell r="I781" t="e">
            <v>#N/A</v>
          </cell>
          <cell r="J781" t="e">
            <v>#N/A</v>
          </cell>
          <cell r="K781" t="e">
            <v>#N/A</v>
          </cell>
          <cell r="L781" t="e">
            <v>#N/A</v>
          </cell>
          <cell r="M781" t="e">
            <v>#N/A</v>
          </cell>
          <cell r="N781" t="e">
            <v>#N/A</v>
          </cell>
          <cell r="O781" t="e">
            <v>#N/A</v>
          </cell>
          <cell r="P781">
            <v>34.65</v>
          </cell>
          <cell r="Q781" t="str">
            <v/>
          </cell>
          <cell r="R781" t="e">
            <v>#N/A</v>
          </cell>
        </row>
        <row r="782">
          <cell r="A782">
            <v>40287</v>
          </cell>
          <cell r="B782">
            <v>40287</v>
          </cell>
          <cell r="C782" t="str">
            <v>Future</v>
          </cell>
          <cell r="D782" t="e">
            <v>#N/A</v>
          </cell>
          <cell r="E782">
            <v>4.0992094861661093</v>
          </cell>
          <cell r="F782">
            <v>41.118972332015986</v>
          </cell>
          <cell r="G782">
            <v>32.304743083003189</v>
          </cell>
          <cell r="H782">
            <v>32.304743083003189</v>
          </cell>
          <cell r="I782" t="e">
            <v>#N/A</v>
          </cell>
          <cell r="J782" t="e">
            <v>#N/A</v>
          </cell>
          <cell r="K782" t="e">
            <v>#N/A</v>
          </cell>
          <cell r="L782" t="e">
            <v>#N/A</v>
          </cell>
          <cell r="M782" t="e">
            <v>#N/A</v>
          </cell>
          <cell r="N782" t="e">
            <v>#N/A</v>
          </cell>
          <cell r="O782" t="e">
            <v>#N/A</v>
          </cell>
          <cell r="P782">
            <v>34.65</v>
          </cell>
          <cell r="Q782" t="str">
            <v/>
          </cell>
          <cell r="R782" t="e">
            <v>#N/A</v>
          </cell>
        </row>
        <row r="783">
          <cell r="A783">
            <v>40288</v>
          </cell>
          <cell r="B783">
            <v>40288</v>
          </cell>
          <cell r="C783" t="str">
            <v>Future</v>
          </cell>
          <cell r="D783" t="e">
            <v>#N/A</v>
          </cell>
          <cell r="E783">
            <v>3.9625691699605756</v>
          </cell>
          <cell r="F783">
            <v>41.148339920948793</v>
          </cell>
          <cell r="G783">
            <v>32.294584980236387</v>
          </cell>
          <cell r="H783">
            <v>32.294584980236387</v>
          </cell>
          <cell r="I783" t="e">
            <v>#N/A</v>
          </cell>
          <cell r="J783" t="e">
            <v>#N/A</v>
          </cell>
          <cell r="K783" t="e">
            <v>#N/A</v>
          </cell>
          <cell r="L783" t="e">
            <v>#N/A</v>
          </cell>
          <cell r="M783" t="e">
            <v>#N/A</v>
          </cell>
          <cell r="N783" t="e">
            <v>#N/A</v>
          </cell>
          <cell r="O783" t="e">
            <v>#N/A</v>
          </cell>
          <cell r="P783">
            <v>34.65</v>
          </cell>
          <cell r="Q783" t="str">
            <v/>
          </cell>
          <cell r="R783" t="e">
            <v>#N/A</v>
          </cell>
        </row>
        <row r="784">
          <cell r="A784">
            <v>40289</v>
          </cell>
          <cell r="B784">
            <v>40289</v>
          </cell>
          <cell r="C784" t="str">
            <v>Future</v>
          </cell>
          <cell r="D784" t="e">
            <v>#N/A</v>
          </cell>
          <cell r="E784">
            <v>3.825928853755042</v>
          </cell>
          <cell r="F784">
            <v>41.1777075098816</v>
          </cell>
          <cell r="G784">
            <v>32.284426877469585</v>
          </cell>
          <cell r="H784">
            <v>32.284426877469585</v>
          </cell>
          <cell r="I784" t="e">
            <v>#N/A</v>
          </cell>
          <cell r="J784" t="e">
            <v>#N/A</v>
          </cell>
          <cell r="K784" t="e">
            <v>#N/A</v>
          </cell>
          <cell r="L784" t="e">
            <v>#N/A</v>
          </cell>
          <cell r="M784" t="e">
            <v>#N/A</v>
          </cell>
          <cell r="N784" t="e">
            <v>#N/A</v>
          </cell>
          <cell r="O784" t="e">
            <v>#N/A</v>
          </cell>
          <cell r="P784">
            <v>34.65</v>
          </cell>
          <cell r="Q784" t="str">
            <v/>
          </cell>
          <cell r="R784" t="e">
            <v>#N/A</v>
          </cell>
        </row>
        <row r="785">
          <cell r="A785">
            <v>40290</v>
          </cell>
          <cell r="B785">
            <v>40290</v>
          </cell>
          <cell r="C785" t="str">
            <v>Future</v>
          </cell>
          <cell r="D785" t="e">
            <v>#N/A</v>
          </cell>
          <cell r="E785">
            <v>3.6892885375495084</v>
          </cell>
          <cell r="F785">
            <v>41.207075098814407</v>
          </cell>
          <cell r="G785">
            <v>32.274268774702783</v>
          </cell>
          <cell r="H785">
            <v>32.274268774702783</v>
          </cell>
          <cell r="I785" t="e">
            <v>#N/A</v>
          </cell>
          <cell r="J785" t="e">
            <v>#N/A</v>
          </cell>
          <cell r="K785" t="e">
            <v>#N/A</v>
          </cell>
          <cell r="L785" t="e">
            <v>#N/A</v>
          </cell>
          <cell r="M785" t="e">
            <v>#N/A</v>
          </cell>
          <cell r="N785" t="e">
            <v>#N/A</v>
          </cell>
          <cell r="O785" t="e">
            <v>#N/A</v>
          </cell>
          <cell r="P785">
            <v>34.65</v>
          </cell>
          <cell r="Q785" t="str">
            <v/>
          </cell>
          <cell r="R785" t="e">
            <v>#N/A</v>
          </cell>
        </row>
        <row r="786">
          <cell r="A786">
            <v>40291</v>
          </cell>
          <cell r="B786">
            <v>40291</v>
          </cell>
          <cell r="C786" t="str">
            <v>Future</v>
          </cell>
          <cell r="D786" t="e">
            <v>#N/A</v>
          </cell>
          <cell r="E786">
            <v>3.5526482213439747</v>
          </cell>
          <cell r="F786">
            <v>41.236442687747214</v>
          </cell>
          <cell r="G786">
            <v>32.264110671935981</v>
          </cell>
          <cell r="H786">
            <v>32.264110671935981</v>
          </cell>
          <cell r="I786" t="e">
            <v>#N/A</v>
          </cell>
          <cell r="J786" t="e">
            <v>#N/A</v>
          </cell>
          <cell r="K786" t="e">
            <v>#N/A</v>
          </cell>
          <cell r="L786" t="e">
            <v>#N/A</v>
          </cell>
          <cell r="M786" t="e">
            <v>#N/A</v>
          </cell>
          <cell r="N786" t="e">
            <v>#N/A</v>
          </cell>
          <cell r="O786" t="e">
            <v>#N/A</v>
          </cell>
          <cell r="P786">
            <v>34.65</v>
          </cell>
          <cell r="Q786" t="str">
            <v/>
          </cell>
          <cell r="R786" t="e">
            <v>#N/A</v>
          </cell>
        </row>
        <row r="787">
          <cell r="A787">
            <v>40294</v>
          </cell>
          <cell r="B787">
            <v>40294</v>
          </cell>
          <cell r="C787" t="str">
            <v>Future</v>
          </cell>
          <cell r="D787" t="e">
            <v>#N/A</v>
          </cell>
          <cell r="E787">
            <v>3.4160079051384411</v>
          </cell>
          <cell r="F787">
            <v>41.265810276680021</v>
          </cell>
          <cell r="G787">
            <v>32.253952569169179</v>
          </cell>
          <cell r="H787">
            <v>32.253952569169179</v>
          </cell>
          <cell r="I787" t="e">
            <v>#N/A</v>
          </cell>
          <cell r="J787" t="e">
            <v>#N/A</v>
          </cell>
          <cell r="K787" t="e">
            <v>#N/A</v>
          </cell>
          <cell r="L787" t="e">
            <v>#N/A</v>
          </cell>
          <cell r="M787" t="e">
            <v>#N/A</v>
          </cell>
          <cell r="N787" t="e">
            <v>#N/A</v>
          </cell>
          <cell r="O787" t="e">
            <v>#N/A</v>
          </cell>
          <cell r="P787">
            <v>34.65</v>
          </cell>
          <cell r="Q787" t="str">
            <v/>
          </cell>
          <cell r="R787" t="e">
            <v>#N/A</v>
          </cell>
        </row>
        <row r="788">
          <cell r="A788">
            <v>40295</v>
          </cell>
          <cell r="B788">
            <v>40295</v>
          </cell>
          <cell r="C788" t="str">
            <v>Future</v>
          </cell>
          <cell r="D788" t="e">
            <v>#N/A</v>
          </cell>
          <cell r="E788">
            <v>3.2793675889329075</v>
          </cell>
          <cell r="F788">
            <v>41.295177865612828</v>
          </cell>
          <cell r="G788">
            <v>32.243794466402377</v>
          </cell>
          <cell r="H788">
            <v>32.243794466402377</v>
          </cell>
          <cell r="I788" t="e">
            <v>#N/A</v>
          </cell>
          <cell r="J788" t="e">
            <v>#N/A</v>
          </cell>
          <cell r="K788" t="e">
            <v>#N/A</v>
          </cell>
          <cell r="L788" t="e">
            <v>#N/A</v>
          </cell>
          <cell r="M788" t="e">
            <v>#N/A</v>
          </cell>
          <cell r="N788" t="e">
            <v>#N/A</v>
          </cell>
          <cell r="O788" t="e">
            <v>#N/A</v>
          </cell>
          <cell r="P788">
            <v>34.65</v>
          </cell>
          <cell r="Q788" t="str">
            <v/>
          </cell>
          <cell r="R788" t="e">
            <v>#N/A</v>
          </cell>
        </row>
        <row r="789">
          <cell r="A789">
            <v>40296</v>
          </cell>
          <cell r="B789">
            <v>40296</v>
          </cell>
          <cell r="C789" t="str">
            <v>Future</v>
          </cell>
          <cell r="D789" t="e">
            <v>#N/A</v>
          </cell>
          <cell r="E789">
            <v>3.1427272727273738</v>
          </cell>
          <cell r="F789">
            <v>41.324545454545635</v>
          </cell>
          <cell r="G789">
            <v>32.233636363635576</v>
          </cell>
          <cell r="H789">
            <v>32.233636363635576</v>
          </cell>
          <cell r="I789" t="e">
            <v>#N/A</v>
          </cell>
          <cell r="J789" t="e">
            <v>#N/A</v>
          </cell>
          <cell r="K789" t="e">
            <v>#N/A</v>
          </cell>
          <cell r="L789" t="e">
            <v>#N/A</v>
          </cell>
          <cell r="M789" t="e">
            <v>#N/A</v>
          </cell>
          <cell r="N789" t="e">
            <v>#N/A</v>
          </cell>
          <cell r="O789" t="e">
            <v>#N/A</v>
          </cell>
          <cell r="P789">
            <v>34.65</v>
          </cell>
          <cell r="Q789" t="str">
            <v/>
          </cell>
          <cell r="R789" t="e">
            <v>#N/A</v>
          </cell>
        </row>
        <row r="790">
          <cell r="A790">
            <v>40297</v>
          </cell>
          <cell r="B790">
            <v>40297</v>
          </cell>
          <cell r="C790" t="str">
            <v>Future</v>
          </cell>
          <cell r="D790" t="e">
            <v>#N/A</v>
          </cell>
          <cell r="E790">
            <v>3.0060869565218402</v>
          </cell>
          <cell r="F790">
            <v>41.353913043478443</v>
          </cell>
          <cell r="G790">
            <v>32.223478260868774</v>
          </cell>
          <cell r="H790">
            <v>32.223478260868774</v>
          </cell>
          <cell r="I790" t="e">
            <v>#N/A</v>
          </cell>
          <cell r="J790" t="e">
            <v>#N/A</v>
          </cell>
          <cell r="K790" t="e">
            <v>#N/A</v>
          </cell>
          <cell r="L790" t="e">
            <v>#N/A</v>
          </cell>
          <cell r="M790" t="e">
            <v>#N/A</v>
          </cell>
          <cell r="N790" t="e">
            <v>#N/A</v>
          </cell>
          <cell r="O790" t="e">
            <v>#N/A</v>
          </cell>
          <cell r="P790">
            <v>34.65</v>
          </cell>
          <cell r="Q790" t="str">
            <v/>
          </cell>
          <cell r="R790" t="e">
            <v>#N/A</v>
          </cell>
        </row>
        <row r="791">
          <cell r="A791">
            <v>40298</v>
          </cell>
          <cell r="B791">
            <v>40298</v>
          </cell>
          <cell r="C791" t="str">
            <v>Future</v>
          </cell>
          <cell r="D791" t="e">
            <v>#N/A</v>
          </cell>
          <cell r="E791">
            <v>2.8694466403163066</v>
          </cell>
          <cell r="F791">
            <v>41.38328063241125</v>
          </cell>
          <cell r="G791">
            <v>32.213320158101972</v>
          </cell>
          <cell r="H791">
            <v>32.213320158101972</v>
          </cell>
          <cell r="I791" t="e">
            <v>#N/A</v>
          </cell>
          <cell r="J791" t="e">
            <v>#N/A</v>
          </cell>
          <cell r="K791" t="e">
            <v>#N/A</v>
          </cell>
          <cell r="L791" t="e">
            <v>#N/A</v>
          </cell>
          <cell r="M791" t="e">
            <v>#N/A</v>
          </cell>
          <cell r="N791" t="e">
            <v>#N/A</v>
          </cell>
          <cell r="O791" t="e">
            <v>#N/A</v>
          </cell>
          <cell r="P791">
            <v>34.65</v>
          </cell>
          <cell r="Q791" t="str">
            <v/>
          </cell>
          <cell r="R791" t="e">
            <v>#N/A</v>
          </cell>
        </row>
        <row r="792">
          <cell r="A792">
            <v>40301</v>
          </cell>
          <cell r="B792">
            <v>40301</v>
          </cell>
          <cell r="C792" t="str">
            <v>Future</v>
          </cell>
          <cell r="D792" t="e">
            <v>#N/A</v>
          </cell>
          <cell r="E792">
            <v>2.732806324110773</v>
          </cell>
          <cell r="F792">
            <v>41.412648221344057</v>
          </cell>
          <cell r="G792">
            <v>32.20316205533517</v>
          </cell>
          <cell r="H792">
            <v>32.20316205533517</v>
          </cell>
          <cell r="I792" t="e">
            <v>#N/A</v>
          </cell>
          <cell r="J792" t="e">
            <v>#N/A</v>
          </cell>
          <cell r="K792" t="e">
            <v>#N/A</v>
          </cell>
          <cell r="L792" t="e">
            <v>#N/A</v>
          </cell>
          <cell r="M792" t="e">
            <v>#N/A</v>
          </cell>
          <cell r="N792" t="e">
            <v>#N/A</v>
          </cell>
          <cell r="O792" t="e">
            <v>#N/A</v>
          </cell>
          <cell r="P792">
            <v>34.65</v>
          </cell>
          <cell r="Q792" t="str">
            <v/>
          </cell>
          <cell r="R792" t="e">
            <v>#N/A</v>
          </cell>
        </row>
        <row r="793">
          <cell r="A793">
            <v>40302</v>
          </cell>
          <cell r="B793">
            <v>40302</v>
          </cell>
          <cell r="C793" t="str">
            <v>Future</v>
          </cell>
          <cell r="D793" t="e">
            <v>#N/A</v>
          </cell>
          <cell r="E793">
            <v>2.5961660079052393</v>
          </cell>
          <cell r="F793">
            <v>41.442015810276864</v>
          </cell>
          <cell r="G793">
            <v>32.193003952568368</v>
          </cell>
          <cell r="H793">
            <v>32.193003952568368</v>
          </cell>
          <cell r="I793" t="e">
            <v>#N/A</v>
          </cell>
          <cell r="J793" t="e">
            <v>#N/A</v>
          </cell>
          <cell r="K793" t="e">
            <v>#N/A</v>
          </cell>
          <cell r="L793" t="e">
            <v>#N/A</v>
          </cell>
          <cell r="M793" t="e">
            <v>#N/A</v>
          </cell>
          <cell r="N793" t="e">
            <v>#N/A</v>
          </cell>
          <cell r="O793" t="e">
            <v>#N/A</v>
          </cell>
          <cell r="P793">
            <v>34.65</v>
          </cell>
          <cell r="Q793" t="str">
            <v/>
          </cell>
          <cell r="R793" t="e">
            <v>#N/A</v>
          </cell>
        </row>
        <row r="794">
          <cell r="A794">
            <v>40303</v>
          </cell>
          <cell r="B794">
            <v>40303</v>
          </cell>
          <cell r="C794" t="str">
            <v>Future</v>
          </cell>
          <cell r="D794" t="e">
            <v>#N/A</v>
          </cell>
          <cell r="E794">
            <v>2.4595256916997057</v>
          </cell>
          <cell r="F794">
            <v>41.471383399209671</v>
          </cell>
          <cell r="G794">
            <v>32.182845849801566</v>
          </cell>
          <cell r="H794">
            <v>32.182845849801566</v>
          </cell>
          <cell r="I794" t="e">
            <v>#N/A</v>
          </cell>
          <cell r="J794" t="e">
            <v>#N/A</v>
          </cell>
          <cell r="K794" t="e">
            <v>#N/A</v>
          </cell>
          <cell r="L794" t="e">
            <v>#N/A</v>
          </cell>
          <cell r="M794" t="e">
            <v>#N/A</v>
          </cell>
          <cell r="N794" t="e">
            <v>#N/A</v>
          </cell>
          <cell r="O794" t="e">
            <v>#N/A</v>
          </cell>
          <cell r="P794">
            <v>34.65</v>
          </cell>
          <cell r="Q794" t="str">
            <v/>
          </cell>
          <cell r="R794" t="e">
            <v>#N/A</v>
          </cell>
        </row>
        <row r="795">
          <cell r="A795">
            <v>40304</v>
          </cell>
          <cell r="B795">
            <v>40304</v>
          </cell>
          <cell r="C795" t="str">
            <v>Future</v>
          </cell>
          <cell r="D795" t="e">
            <v>#N/A</v>
          </cell>
          <cell r="E795">
            <v>2.3228853754941721</v>
          </cell>
          <cell r="F795">
            <v>41.500750988142478</v>
          </cell>
          <cell r="G795">
            <v>32.172687747034765</v>
          </cell>
          <cell r="H795">
            <v>32.172687747034765</v>
          </cell>
          <cell r="I795" t="e">
            <v>#N/A</v>
          </cell>
          <cell r="J795" t="e">
            <v>#N/A</v>
          </cell>
          <cell r="K795" t="e">
            <v>#N/A</v>
          </cell>
          <cell r="L795" t="e">
            <v>#N/A</v>
          </cell>
          <cell r="M795" t="e">
            <v>#N/A</v>
          </cell>
          <cell r="N795" t="e">
            <v>#N/A</v>
          </cell>
          <cell r="O795" t="e">
            <v>#N/A</v>
          </cell>
          <cell r="P795">
            <v>34.65</v>
          </cell>
          <cell r="Q795" t="str">
            <v/>
          </cell>
          <cell r="R795" t="e">
            <v>#N/A</v>
          </cell>
        </row>
        <row r="796">
          <cell r="A796">
            <v>40305</v>
          </cell>
          <cell r="B796">
            <v>40305</v>
          </cell>
          <cell r="C796" t="str">
            <v>Future</v>
          </cell>
          <cell r="D796" t="e">
            <v>#N/A</v>
          </cell>
          <cell r="E796">
            <v>2.1862450592886384</v>
          </cell>
          <cell r="F796">
            <v>41.530118577075285</v>
          </cell>
          <cell r="G796">
            <v>32.162529644267963</v>
          </cell>
          <cell r="H796">
            <v>32.162529644267963</v>
          </cell>
          <cell r="I796" t="e">
            <v>#N/A</v>
          </cell>
          <cell r="J796" t="e">
            <v>#N/A</v>
          </cell>
          <cell r="K796" t="e">
            <v>#N/A</v>
          </cell>
          <cell r="L796" t="e">
            <v>#N/A</v>
          </cell>
          <cell r="M796" t="e">
            <v>#N/A</v>
          </cell>
          <cell r="N796" t="e">
            <v>#N/A</v>
          </cell>
          <cell r="O796" t="e">
            <v>#N/A</v>
          </cell>
          <cell r="P796">
            <v>34.65</v>
          </cell>
          <cell r="Q796" t="str">
            <v/>
          </cell>
          <cell r="R796" t="e">
            <v>#N/A</v>
          </cell>
        </row>
        <row r="797">
          <cell r="A797">
            <v>40308</v>
          </cell>
          <cell r="B797">
            <v>40308</v>
          </cell>
          <cell r="C797" t="str">
            <v>Future</v>
          </cell>
          <cell r="D797" t="e">
            <v>#N/A</v>
          </cell>
          <cell r="E797">
            <v>2.0496047430831048</v>
          </cell>
          <cell r="F797">
            <v>41.559486166008092</v>
          </cell>
          <cell r="G797">
            <v>32.152371541501161</v>
          </cell>
          <cell r="H797">
            <v>32.152371541501161</v>
          </cell>
          <cell r="I797" t="e">
            <v>#N/A</v>
          </cell>
          <cell r="J797" t="e">
            <v>#N/A</v>
          </cell>
          <cell r="K797" t="e">
            <v>#N/A</v>
          </cell>
          <cell r="L797" t="e">
            <v>#N/A</v>
          </cell>
          <cell r="M797" t="e">
            <v>#N/A</v>
          </cell>
          <cell r="N797" t="e">
            <v>#N/A</v>
          </cell>
          <cell r="O797" t="e">
            <v>#N/A</v>
          </cell>
          <cell r="P797">
            <v>34.65</v>
          </cell>
          <cell r="Q797" t="str">
            <v/>
          </cell>
          <cell r="R797" t="e">
            <v>#N/A</v>
          </cell>
        </row>
        <row r="798">
          <cell r="A798">
            <v>40309</v>
          </cell>
          <cell r="B798">
            <v>40309</v>
          </cell>
          <cell r="C798" t="str">
            <v>Future</v>
          </cell>
          <cell r="D798" t="e">
            <v>#N/A</v>
          </cell>
          <cell r="E798">
            <v>1.9129644268775712</v>
          </cell>
          <cell r="F798">
            <v>41.588853754940899</v>
          </cell>
          <cell r="G798">
            <v>32.142213438734359</v>
          </cell>
          <cell r="H798">
            <v>32.142213438734359</v>
          </cell>
          <cell r="I798" t="e">
            <v>#N/A</v>
          </cell>
          <cell r="J798" t="e">
            <v>#N/A</v>
          </cell>
          <cell r="K798" t="e">
            <v>#N/A</v>
          </cell>
          <cell r="L798" t="e">
            <v>#N/A</v>
          </cell>
          <cell r="M798" t="e">
            <v>#N/A</v>
          </cell>
          <cell r="N798" t="e">
            <v>#N/A</v>
          </cell>
          <cell r="O798" t="e">
            <v>#N/A</v>
          </cell>
          <cell r="P798">
            <v>34.65</v>
          </cell>
          <cell r="Q798" t="str">
            <v/>
          </cell>
          <cell r="R798" t="e">
            <v>#N/A</v>
          </cell>
        </row>
        <row r="799">
          <cell r="A799">
            <v>40310</v>
          </cell>
          <cell r="B799">
            <v>40310</v>
          </cell>
          <cell r="C799" t="str">
            <v>Future</v>
          </cell>
          <cell r="D799" t="e">
            <v>#N/A</v>
          </cell>
          <cell r="E799">
            <v>1.7763241106720375</v>
          </cell>
          <cell r="F799">
            <v>41.618221343873707</v>
          </cell>
          <cell r="G799">
            <v>32.132055335967557</v>
          </cell>
          <cell r="H799">
            <v>32.132055335967557</v>
          </cell>
          <cell r="I799" t="e">
            <v>#N/A</v>
          </cell>
          <cell r="J799" t="e">
            <v>#N/A</v>
          </cell>
          <cell r="K799" t="e">
            <v>#N/A</v>
          </cell>
          <cell r="L799" t="e">
            <v>#N/A</v>
          </cell>
          <cell r="M799" t="e">
            <v>#N/A</v>
          </cell>
          <cell r="N799" t="e">
            <v>#N/A</v>
          </cell>
          <cell r="O799" t="e">
            <v>#N/A</v>
          </cell>
          <cell r="P799">
            <v>34.65</v>
          </cell>
          <cell r="Q799" t="str">
            <v/>
          </cell>
          <cell r="R799" t="e">
            <v>#N/A</v>
          </cell>
        </row>
        <row r="800">
          <cell r="A800">
            <v>40311</v>
          </cell>
          <cell r="B800">
            <v>40311</v>
          </cell>
          <cell r="C800" t="str">
            <v>Future</v>
          </cell>
          <cell r="D800" t="e">
            <v>#N/A</v>
          </cell>
          <cell r="E800">
            <v>1.6396837944665039</v>
          </cell>
          <cell r="F800">
            <v>41.647588932806514</v>
          </cell>
          <cell r="G800">
            <v>32.121897233200755</v>
          </cell>
          <cell r="H800">
            <v>32.121897233200755</v>
          </cell>
          <cell r="I800" t="e">
            <v>#N/A</v>
          </cell>
          <cell r="J800" t="e">
            <v>#N/A</v>
          </cell>
          <cell r="K800" t="e">
            <v>#N/A</v>
          </cell>
          <cell r="L800" t="e">
            <v>#N/A</v>
          </cell>
          <cell r="M800" t="e">
            <v>#N/A</v>
          </cell>
          <cell r="N800" t="e">
            <v>#N/A</v>
          </cell>
          <cell r="O800" t="e">
            <v>#N/A</v>
          </cell>
          <cell r="P800">
            <v>34.65</v>
          </cell>
          <cell r="Q800" t="str">
            <v/>
          </cell>
          <cell r="R800" t="e">
            <v>#N/A</v>
          </cell>
        </row>
        <row r="801">
          <cell r="A801">
            <v>40312</v>
          </cell>
          <cell r="B801">
            <v>40312</v>
          </cell>
          <cell r="C801" t="str">
            <v>Future</v>
          </cell>
          <cell r="D801" t="e">
            <v>#N/A</v>
          </cell>
          <cell r="E801">
            <v>1.5030434782609703</v>
          </cell>
          <cell r="F801">
            <v>41.676956521739321</v>
          </cell>
          <cell r="G801">
            <v>32.111739130433953</v>
          </cell>
          <cell r="H801">
            <v>32.111739130433953</v>
          </cell>
          <cell r="I801" t="e">
            <v>#N/A</v>
          </cell>
          <cell r="J801" t="e">
            <v>#N/A</v>
          </cell>
          <cell r="K801" t="e">
            <v>#N/A</v>
          </cell>
          <cell r="L801" t="e">
            <v>#N/A</v>
          </cell>
          <cell r="M801" t="e">
            <v>#N/A</v>
          </cell>
          <cell r="N801" t="e">
            <v>#N/A</v>
          </cell>
          <cell r="O801" t="e">
            <v>#N/A</v>
          </cell>
          <cell r="P801">
            <v>34.65</v>
          </cell>
          <cell r="Q801" t="str">
            <v/>
          </cell>
          <cell r="R801" t="e">
            <v>#N/A</v>
          </cell>
        </row>
        <row r="802">
          <cell r="A802">
            <v>40315</v>
          </cell>
          <cell r="B802">
            <v>40315</v>
          </cell>
          <cell r="C802" t="str">
            <v>Future</v>
          </cell>
          <cell r="D802" t="e">
            <v>#N/A</v>
          </cell>
          <cell r="E802">
            <v>1.3664031620554367</v>
          </cell>
          <cell r="F802">
            <v>41.706324110672128</v>
          </cell>
          <cell r="G802">
            <v>32.101581027667152</v>
          </cell>
          <cell r="H802">
            <v>32.101581027667152</v>
          </cell>
          <cell r="I802" t="e">
            <v>#N/A</v>
          </cell>
          <cell r="J802" t="e">
            <v>#N/A</v>
          </cell>
          <cell r="K802" t="e">
            <v>#N/A</v>
          </cell>
          <cell r="L802" t="e">
            <v>#N/A</v>
          </cell>
          <cell r="M802" t="e">
            <v>#N/A</v>
          </cell>
          <cell r="N802" t="e">
            <v>#N/A</v>
          </cell>
          <cell r="O802" t="e">
            <v>#N/A</v>
          </cell>
          <cell r="P802">
            <v>34.65</v>
          </cell>
          <cell r="Q802" t="str">
            <v/>
          </cell>
          <cell r="R802" t="e">
            <v>#N/A</v>
          </cell>
        </row>
        <row r="803">
          <cell r="A803">
            <v>40316</v>
          </cell>
          <cell r="B803">
            <v>40316</v>
          </cell>
          <cell r="C803" t="str">
            <v>Future</v>
          </cell>
          <cell r="D803" t="e">
            <v>#N/A</v>
          </cell>
          <cell r="E803">
            <v>1.229762845849903</v>
          </cell>
          <cell r="F803">
            <v>41.735691699604935</v>
          </cell>
          <cell r="G803">
            <v>32.09142292490035</v>
          </cell>
          <cell r="H803">
            <v>32.09142292490035</v>
          </cell>
          <cell r="I803" t="e">
            <v>#N/A</v>
          </cell>
          <cell r="J803" t="e">
            <v>#N/A</v>
          </cell>
          <cell r="K803" t="e">
            <v>#N/A</v>
          </cell>
          <cell r="L803" t="e">
            <v>#N/A</v>
          </cell>
          <cell r="M803" t="e">
            <v>#N/A</v>
          </cell>
          <cell r="N803" t="e">
            <v>#N/A</v>
          </cell>
          <cell r="O803" t="e">
            <v>#N/A</v>
          </cell>
          <cell r="P803">
            <v>34.65</v>
          </cell>
          <cell r="Q803" t="str">
            <v/>
          </cell>
          <cell r="R803" t="e">
            <v>#N/A</v>
          </cell>
        </row>
        <row r="804">
          <cell r="A804">
            <v>40317</v>
          </cell>
          <cell r="B804">
            <v>40317</v>
          </cell>
          <cell r="C804" t="str">
            <v>Future</v>
          </cell>
          <cell r="D804" t="e">
            <v>#N/A</v>
          </cell>
          <cell r="E804">
            <v>1.0931225296443694</v>
          </cell>
          <cell r="F804">
            <v>41.765059288537742</v>
          </cell>
          <cell r="G804">
            <v>32.081264822133548</v>
          </cell>
          <cell r="H804">
            <v>32.081264822133548</v>
          </cell>
          <cell r="I804" t="e">
            <v>#N/A</v>
          </cell>
          <cell r="J804" t="e">
            <v>#N/A</v>
          </cell>
          <cell r="K804" t="e">
            <v>#N/A</v>
          </cell>
          <cell r="L804" t="e">
            <v>#N/A</v>
          </cell>
          <cell r="M804" t="e">
            <v>#N/A</v>
          </cell>
          <cell r="N804" t="e">
            <v>#N/A</v>
          </cell>
          <cell r="O804" t="e">
            <v>#N/A</v>
          </cell>
          <cell r="P804">
            <v>34.65</v>
          </cell>
          <cell r="Q804" t="str">
            <v/>
          </cell>
          <cell r="R804" t="e">
            <v>#N/A</v>
          </cell>
        </row>
        <row r="805">
          <cell r="A805">
            <v>40318</v>
          </cell>
          <cell r="B805">
            <v>40318</v>
          </cell>
          <cell r="C805" t="str">
            <v>Future</v>
          </cell>
          <cell r="D805" t="e">
            <v>#N/A</v>
          </cell>
          <cell r="E805">
            <v>0.95648221343883577</v>
          </cell>
          <cell r="F805">
            <v>41.794426877470549</v>
          </cell>
          <cell r="G805">
            <v>32.071106719366746</v>
          </cell>
          <cell r="H805">
            <v>32.071106719366746</v>
          </cell>
          <cell r="I805" t="e">
            <v>#N/A</v>
          </cell>
          <cell r="J805" t="e">
            <v>#N/A</v>
          </cell>
          <cell r="K805" t="e">
            <v>#N/A</v>
          </cell>
          <cell r="L805" t="e">
            <v>#N/A</v>
          </cell>
          <cell r="M805" t="e">
            <v>#N/A</v>
          </cell>
          <cell r="N805" t="e">
            <v>#N/A</v>
          </cell>
          <cell r="O805" t="e">
            <v>#N/A</v>
          </cell>
          <cell r="P805">
            <v>34.65</v>
          </cell>
          <cell r="Q805" t="str">
            <v/>
          </cell>
          <cell r="R805" t="e">
            <v>#N/A</v>
          </cell>
        </row>
        <row r="806">
          <cell r="A806">
            <v>40319</v>
          </cell>
          <cell r="B806">
            <v>40319</v>
          </cell>
          <cell r="C806" t="str">
            <v>Future</v>
          </cell>
          <cell r="D806" t="e">
            <v>#N/A</v>
          </cell>
          <cell r="E806">
            <v>0.81984189723330214</v>
          </cell>
          <cell r="F806">
            <v>41.823794466403356</v>
          </cell>
          <cell r="G806">
            <v>32.060948616599944</v>
          </cell>
          <cell r="H806">
            <v>32.060948616599944</v>
          </cell>
          <cell r="I806" t="e">
            <v>#N/A</v>
          </cell>
          <cell r="J806" t="e">
            <v>#N/A</v>
          </cell>
          <cell r="K806" t="e">
            <v>#N/A</v>
          </cell>
          <cell r="L806" t="e">
            <v>#N/A</v>
          </cell>
          <cell r="M806" t="e">
            <v>#N/A</v>
          </cell>
          <cell r="N806" t="e">
            <v>#N/A</v>
          </cell>
          <cell r="O806" t="e">
            <v>#N/A</v>
          </cell>
          <cell r="P806">
            <v>34.65</v>
          </cell>
          <cell r="Q806" t="str">
            <v/>
          </cell>
          <cell r="R806" t="e">
            <v>#N/A</v>
          </cell>
        </row>
        <row r="807">
          <cell r="A807">
            <v>40322</v>
          </cell>
          <cell r="B807">
            <v>40322</v>
          </cell>
          <cell r="C807" t="str">
            <v>Future</v>
          </cell>
          <cell r="D807" t="e">
            <v>#N/A</v>
          </cell>
          <cell r="E807">
            <v>0.68320158102776851</v>
          </cell>
          <cell r="F807">
            <v>41.853162055336163</v>
          </cell>
          <cell r="G807">
            <v>32.050790513833142</v>
          </cell>
          <cell r="H807">
            <v>32.050790513833142</v>
          </cell>
          <cell r="I807" t="e">
            <v>#N/A</v>
          </cell>
          <cell r="J807" t="e">
            <v>#N/A</v>
          </cell>
          <cell r="K807" t="e">
            <v>#N/A</v>
          </cell>
          <cell r="L807" t="e">
            <v>#N/A</v>
          </cell>
          <cell r="M807" t="e">
            <v>#N/A</v>
          </cell>
          <cell r="N807" t="e">
            <v>#N/A</v>
          </cell>
          <cell r="O807" t="e">
            <v>#N/A</v>
          </cell>
          <cell r="P807">
            <v>34.65</v>
          </cell>
          <cell r="Q807" t="str">
            <v/>
          </cell>
          <cell r="R807" t="e">
            <v>#N/A</v>
          </cell>
        </row>
        <row r="808">
          <cell r="A808">
            <v>40323</v>
          </cell>
          <cell r="B808">
            <v>40323</v>
          </cell>
          <cell r="C808" t="str">
            <v>Future</v>
          </cell>
          <cell r="D808" t="e">
            <v>#N/A</v>
          </cell>
          <cell r="E808">
            <v>0.54656126482223488</v>
          </cell>
          <cell r="F808">
            <v>41.882529644268971</v>
          </cell>
          <cell r="G808">
            <v>32.040632411066341</v>
          </cell>
          <cell r="H808">
            <v>32.040632411066341</v>
          </cell>
          <cell r="I808" t="e">
            <v>#N/A</v>
          </cell>
          <cell r="J808" t="e">
            <v>#N/A</v>
          </cell>
          <cell r="K808" t="e">
            <v>#N/A</v>
          </cell>
          <cell r="L808" t="e">
            <v>#N/A</v>
          </cell>
          <cell r="M808" t="e">
            <v>#N/A</v>
          </cell>
          <cell r="N808" t="e">
            <v>#N/A</v>
          </cell>
          <cell r="O808" t="e">
            <v>#N/A</v>
          </cell>
          <cell r="P808">
            <v>34.65</v>
          </cell>
          <cell r="Q808" t="str">
            <v/>
          </cell>
          <cell r="R808" t="e">
            <v>#N/A</v>
          </cell>
        </row>
        <row r="809">
          <cell r="A809">
            <v>40324</v>
          </cell>
          <cell r="B809">
            <v>40324</v>
          </cell>
          <cell r="C809" t="str">
            <v>Future</v>
          </cell>
          <cell r="D809" t="e">
            <v>#N/A</v>
          </cell>
          <cell r="E809">
            <v>0.40992094861670125</v>
          </cell>
          <cell r="F809">
            <v>41.911897233201778</v>
          </cell>
          <cell r="G809">
            <v>32.030474308299539</v>
          </cell>
          <cell r="H809">
            <v>32.030474308299539</v>
          </cell>
          <cell r="I809" t="e">
            <v>#N/A</v>
          </cell>
          <cell r="J809" t="e">
            <v>#N/A</v>
          </cell>
          <cell r="K809" t="e">
            <v>#N/A</v>
          </cell>
          <cell r="L809" t="e">
            <v>#N/A</v>
          </cell>
          <cell r="M809" t="e">
            <v>#N/A</v>
          </cell>
          <cell r="N809" t="e">
            <v>#N/A</v>
          </cell>
          <cell r="O809" t="e">
            <v>#N/A</v>
          </cell>
          <cell r="P809">
            <v>34.65</v>
          </cell>
          <cell r="Q809" t="str">
            <v/>
          </cell>
          <cell r="R809" t="e">
            <v>#N/A</v>
          </cell>
        </row>
        <row r="810">
          <cell r="A810">
            <v>40325</v>
          </cell>
          <cell r="B810">
            <v>40325</v>
          </cell>
          <cell r="C810" t="str">
            <v>Future</v>
          </cell>
          <cell r="D810" t="e">
            <v>#N/A</v>
          </cell>
          <cell r="E810">
            <v>0.27328063241116762</v>
          </cell>
          <cell r="F810">
            <v>41.941264822134585</v>
          </cell>
          <cell r="G810">
            <v>32.020316205532737</v>
          </cell>
          <cell r="H810">
            <v>32.020316205532737</v>
          </cell>
          <cell r="I810" t="e">
            <v>#N/A</v>
          </cell>
          <cell r="J810" t="e">
            <v>#N/A</v>
          </cell>
          <cell r="K810" t="e">
            <v>#N/A</v>
          </cell>
          <cell r="L810" t="e">
            <v>#N/A</v>
          </cell>
          <cell r="M810" t="e">
            <v>#N/A</v>
          </cell>
          <cell r="N810" t="e">
            <v>#N/A</v>
          </cell>
          <cell r="O810" t="e">
            <v>#N/A</v>
          </cell>
          <cell r="P810">
            <v>34.65</v>
          </cell>
          <cell r="Q810" t="str">
            <v/>
          </cell>
          <cell r="R810" t="e">
            <v>#N/A</v>
          </cell>
        </row>
        <row r="811">
          <cell r="A811">
            <v>40326</v>
          </cell>
          <cell r="B811">
            <v>40326</v>
          </cell>
          <cell r="C811" t="str">
            <v>Future</v>
          </cell>
          <cell r="D811" t="e">
            <v>#N/A</v>
          </cell>
          <cell r="E811">
            <v>0.13664031620563402</v>
          </cell>
          <cell r="F811">
            <v>41.970632411067392</v>
          </cell>
          <cell r="G811">
            <v>32.010158102765935</v>
          </cell>
          <cell r="H811">
            <v>32.010158102765935</v>
          </cell>
          <cell r="I811" t="e">
            <v>#N/A</v>
          </cell>
          <cell r="J811" t="e">
            <v>#N/A</v>
          </cell>
          <cell r="K811">
            <v>42</v>
          </cell>
          <cell r="L811">
            <v>32</v>
          </cell>
          <cell r="M811" t="e">
            <v>#N/A</v>
          </cell>
          <cell r="N811">
            <v>37</v>
          </cell>
          <cell r="O811" t="e">
            <v>#N/A</v>
          </cell>
          <cell r="P811">
            <v>34.65</v>
          </cell>
          <cell r="Q811" t="str">
            <v/>
          </cell>
          <cell r="R811" t="e">
            <v>#N/A</v>
          </cell>
        </row>
        <row r="812">
          <cell r="A812" t="str">
            <v/>
          </cell>
          <cell r="B812" t="str">
            <v/>
          </cell>
          <cell r="C812" t="str">
            <v>Future</v>
          </cell>
          <cell r="D812" t="e">
            <v>#N/A</v>
          </cell>
          <cell r="E812">
            <v>1.0041967257734541E-13</v>
          </cell>
          <cell r="F812">
            <v>42.000000000000199</v>
          </cell>
          <cell r="G812">
            <v>31.999999999999137</v>
          </cell>
          <cell r="H812">
            <v>31.999999999999137</v>
          </cell>
          <cell r="I812" t="e">
            <v>#N/A</v>
          </cell>
          <cell r="J812" t="e">
            <v>#N/A</v>
          </cell>
          <cell r="K812">
            <v>42</v>
          </cell>
          <cell r="L812">
            <v>32</v>
          </cell>
          <cell r="M812" t="e">
            <v>#N/A</v>
          </cell>
          <cell r="N812">
            <v>37</v>
          </cell>
          <cell r="O812" t="e">
            <v>#N/A</v>
          </cell>
          <cell r="P812" t="str">
            <v/>
          </cell>
          <cell r="Q812" t="str">
            <v/>
          </cell>
          <cell r="R812" t="e">
            <v>#N/A</v>
          </cell>
        </row>
        <row r="813">
          <cell r="A813" t="str">
            <v/>
          </cell>
          <cell r="B813" t="str">
            <v/>
          </cell>
          <cell r="C813" t="str">
            <v>Future</v>
          </cell>
          <cell r="D813" t="e">
            <v>#N/A</v>
          </cell>
          <cell r="E813">
            <v>-0.13664031620543318</v>
          </cell>
          <cell r="F813">
            <v>42.029367588933006</v>
          </cell>
          <cell r="G813">
            <v>31.989841897232338</v>
          </cell>
          <cell r="H813">
            <v>31.989841897232338</v>
          </cell>
          <cell r="I813" t="e">
            <v>#N/A</v>
          </cell>
          <cell r="J813" t="e">
            <v>#N/A</v>
          </cell>
          <cell r="K813">
            <v>42</v>
          </cell>
          <cell r="L813">
            <v>32</v>
          </cell>
          <cell r="M813" t="e">
            <v>#N/A</v>
          </cell>
          <cell r="N813">
            <v>37</v>
          </cell>
          <cell r="O813" t="e">
            <v>#N/A</v>
          </cell>
          <cell r="P813" t="str">
            <v/>
          </cell>
          <cell r="Q813" t="str">
            <v/>
          </cell>
          <cell r="R813" t="e">
            <v>#N/A</v>
          </cell>
        </row>
        <row r="814">
          <cell r="A814" t="str">
            <v/>
          </cell>
          <cell r="B814" t="str">
            <v/>
          </cell>
          <cell r="C814" t="str">
            <v>Future</v>
          </cell>
          <cell r="D814" t="e">
            <v>#N/A</v>
          </cell>
          <cell r="E814">
            <v>-0.27328063241096678</v>
          </cell>
          <cell r="F814">
            <v>42.058735177865813</v>
          </cell>
          <cell r="G814">
            <v>31.97968379446554</v>
          </cell>
          <cell r="H814">
            <v>31.97968379446554</v>
          </cell>
          <cell r="I814" t="e">
            <v>#N/A</v>
          </cell>
          <cell r="J814" t="e">
            <v>#N/A</v>
          </cell>
          <cell r="K814">
            <v>42</v>
          </cell>
          <cell r="L814">
            <v>32</v>
          </cell>
          <cell r="M814" t="e">
            <v>#N/A</v>
          </cell>
          <cell r="N814">
            <v>37</v>
          </cell>
          <cell r="O814" t="e">
            <v>#N/A</v>
          </cell>
          <cell r="P814" t="str">
            <v/>
          </cell>
          <cell r="Q814" t="str">
            <v/>
          </cell>
          <cell r="R814" t="e">
            <v>#N/A</v>
          </cell>
        </row>
        <row r="815">
          <cell r="A815" t="str">
            <v/>
          </cell>
          <cell r="B815" t="str">
            <v/>
          </cell>
          <cell r="C815" t="str">
            <v>Future</v>
          </cell>
          <cell r="D815" t="e">
            <v>#N/A</v>
          </cell>
          <cell r="E815">
            <v>-0.40992094861650041</v>
          </cell>
          <cell r="F815">
            <v>42.08810276679862</v>
          </cell>
          <cell r="G815">
            <v>31.969525691698742</v>
          </cell>
          <cell r="H815">
            <v>31.969525691698742</v>
          </cell>
          <cell r="I815" t="e">
            <v>#N/A</v>
          </cell>
          <cell r="J815" t="e">
            <v>#N/A</v>
          </cell>
          <cell r="K815">
            <v>42</v>
          </cell>
          <cell r="L815">
            <v>32</v>
          </cell>
          <cell r="M815" t="e">
            <v>#N/A</v>
          </cell>
          <cell r="N815">
            <v>37</v>
          </cell>
          <cell r="O815" t="e">
            <v>#N/A</v>
          </cell>
          <cell r="P815" t="str">
            <v/>
          </cell>
          <cell r="Q815" t="str">
            <v/>
          </cell>
          <cell r="R815" t="e">
            <v>#N/A</v>
          </cell>
        </row>
        <row r="816">
          <cell r="A816" t="str">
            <v/>
          </cell>
          <cell r="B816" t="str">
            <v/>
          </cell>
          <cell r="C816" t="str">
            <v>Future</v>
          </cell>
          <cell r="D816" t="e">
            <v>#N/A</v>
          </cell>
          <cell r="E816">
            <v>-0.54656126482203404</v>
          </cell>
          <cell r="F816">
            <v>42.117470355731427</v>
          </cell>
          <cell r="G816">
            <v>31.959367588931944</v>
          </cell>
          <cell r="H816">
            <v>31.959367588931944</v>
          </cell>
          <cell r="I816" t="e">
            <v>#N/A</v>
          </cell>
          <cell r="J816" t="e">
            <v>#N/A</v>
          </cell>
          <cell r="K816">
            <v>42</v>
          </cell>
          <cell r="L816">
            <v>32</v>
          </cell>
          <cell r="M816" t="e">
            <v>#N/A</v>
          </cell>
          <cell r="N816">
            <v>37</v>
          </cell>
          <cell r="O816" t="e">
            <v>#N/A</v>
          </cell>
          <cell r="P816" t="str">
            <v/>
          </cell>
          <cell r="Q816" t="str">
            <v/>
          </cell>
          <cell r="R816" t="e">
            <v>#N/A</v>
          </cell>
        </row>
        <row r="817">
          <cell r="A817" t="str">
            <v/>
          </cell>
          <cell r="B817" t="str">
            <v/>
          </cell>
          <cell r="C817" t="str">
            <v>Future</v>
          </cell>
          <cell r="D817" t="e">
            <v>#N/A</v>
          </cell>
          <cell r="E817">
            <v>-0.68320158102756767</v>
          </cell>
          <cell r="F817">
            <v>42.146837944664234</v>
          </cell>
          <cell r="G817">
            <v>31.949209486165145</v>
          </cell>
          <cell r="H817">
            <v>31.949209486165145</v>
          </cell>
          <cell r="I817" t="e">
            <v>#N/A</v>
          </cell>
          <cell r="J817" t="e">
            <v>#N/A</v>
          </cell>
          <cell r="K817">
            <v>42</v>
          </cell>
          <cell r="L817">
            <v>32</v>
          </cell>
          <cell r="M817" t="e">
            <v>#N/A</v>
          </cell>
          <cell r="N817">
            <v>37</v>
          </cell>
          <cell r="O817" t="e">
            <v>#N/A</v>
          </cell>
          <cell r="P817" t="str">
            <v/>
          </cell>
          <cell r="Q817" t="str">
            <v/>
          </cell>
          <cell r="R817" t="e">
            <v>#N/A</v>
          </cell>
        </row>
        <row r="818">
          <cell r="A818" t="str">
            <v/>
          </cell>
          <cell r="B818" t="str">
            <v/>
          </cell>
          <cell r="C818" t="str">
            <v>Future</v>
          </cell>
          <cell r="D818" t="e">
            <v>#N/A</v>
          </cell>
          <cell r="E818">
            <v>-0.8198418972331013</v>
          </cell>
          <cell r="F818">
            <v>42.176205533597042</v>
          </cell>
          <cell r="G818">
            <v>31.939051383398347</v>
          </cell>
          <cell r="H818">
            <v>31.939051383398347</v>
          </cell>
          <cell r="I818" t="e">
            <v>#N/A</v>
          </cell>
          <cell r="J818" t="e">
            <v>#N/A</v>
          </cell>
          <cell r="K818">
            <v>42</v>
          </cell>
          <cell r="L818">
            <v>32</v>
          </cell>
          <cell r="M818" t="e">
            <v>#N/A</v>
          </cell>
          <cell r="N818">
            <v>37</v>
          </cell>
          <cell r="O818" t="e">
            <v>#N/A</v>
          </cell>
          <cell r="P818" t="str">
            <v/>
          </cell>
          <cell r="Q818" t="str">
            <v/>
          </cell>
          <cell r="R818" t="e">
            <v>#N/A</v>
          </cell>
        </row>
        <row r="819">
          <cell r="A819" t="str">
            <v/>
          </cell>
          <cell r="B819" t="str">
            <v/>
          </cell>
          <cell r="C819" t="str">
            <v>Future</v>
          </cell>
          <cell r="D819" t="e">
            <v>#N/A</v>
          </cell>
          <cell r="E819">
            <v>-0.95648221343863493</v>
          </cell>
          <cell r="F819">
            <v>42.205573122529849</v>
          </cell>
          <cell r="G819">
            <v>31.928893280631549</v>
          </cell>
          <cell r="H819">
            <v>31.928893280631549</v>
          </cell>
          <cell r="I819" t="e">
            <v>#N/A</v>
          </cell>
          <cell r="J819" t="e">
            <v>#N/A</v>
          </cell>
          <cell r="K819">
            <v>42</v>
          </cell>
          <cell r="L819">
            <v>32</v>
          </cell>
          <cell r="M819" t="e">
            <v>#N/A</v>
          </cell>
          <cell r="N819">
            <v>37</v>
          </cell>
          <cell r="O819" t="e">
            <v>#N/A</v>
          </cell>
          <cell r="P819" t="str">
            <v/>
          </cell>
          <cell r="Q819" t="str">
            <v/>
          </cell>
          <cell r="R819" t="e">
            <v>#N/A</v>
          </cell>
        </row>
        <row r="820">
          <cell r="A820" t="str">
            <v/>
          </cell>
          <cell r="B820" t="str">
            <v/>
          </cell>
          <cell r="C820" t="str">
            <v>Future</v>
          </cell>
          <cell r="D820" t="e">
            <v>#N/A</v>
          </cell>
          <cell r="E820">
            <v>-1.0931225296441685</v>
          </cell>
          <cell r="F820">
            <v>42.234940711462656</v>
          </cell>
          <cell r="G820">
            <v>31.91873517786475</v>
          </cell>
          <cell r="H820">
            <v>31.91873517786475</v>
          </cell>
          <cell r="I820" t="e">
            <v>#N/A</v>
          </cell>
          <cell r="J820" t="e">
            <v>#N/A</v>
          </cell>
          <cell r="K820">
            <v>42</v>
          </cell>
          <cell r="L820">
            <v>32</v>
          </cell>
          <cell r="M820" t="e">
            <v>#N/A</v>
          </cell>
          <cell r="N820">
            <v>37</v>
          </cell>
          <cell r="O820" t="e">
            <v>#N/A</v>
          </cell>
          <cell r="P820" t="str">
            <v/>
          </cell>
          <cell r="Q820" t="str">
            <v/>
          </cell>
          <cell r="R820" t="e">
            <v>#N/A</v>
          </cell>
        </row>
        <row r="821">
          <cell r="A821" t="str">
            <v/>
          </cell>
          <cell r="B821" t="str">
            <v/>
          </cell>
          <cell r="C821" t="str">
            <v>Future</v>
          </cell>
          <cell r="D821" t="e">
            <v>#N/A</v>
          </cell>
          <cell r="E821">
            <v>-1.2297628458497021</v>
          </cell>
          <cell r="F821">
            <v>42.264308300395463</v>
          </cell>
          <cell r="G821">
            <v>31.908577075097952</v>
          </cell>
          <cell r="H821">
            <v>31.908577075097952</v>
          </cell>
          <cell r="I821" t="e">
            <v>#N/A</v>
          </cell>
          <cell r="J821" t="e">
            <v>#N/A</v>
          </cell>
          <cell r="K821">
            <v>42</v>
          </cell>
          <cell r="L821">
            <v>32</v>
          </cell>
          <cell r="M821" t="e">
            <v>#N/A</v>
          </cell>
          <cell r="N821">
            <v>37</v>
          </cell>
          <cell r="O821" t="e">
            <v>#N/A</v>
          </cell>
          <cell r="P821" t="str">
            <v/>
          </cell>
          <cell r="Q821" t="str">
            <v/>
          </cell>
          <cell r="R821" t="e">
            <v>#N/A</v>
          </cell>
        </row>
        <row r="822">
          <cell r="A822" t="str">
            <v/>
          </cell>
          <cell r="B822" t="str">
            <v/>
          </cell>
          <cell r="C822" t="str">
            <v>Future</v>
          </cell>
          <cell r="D822" t="e">
            <v>#N/A</v>
          </cell>
          <cell r="E822">
            <v>-1.3664031620552357</v>
          </cell>
          <cell r="F822">
            <v>42.29367588932827</v>
          </cell>
          <cell r="G822">
            <v>31.898418972331154</v>
          </cell>
          <cell r="H822">
            <v>31.898418972331154</v>
          </cell>
          <cell r="I822" t="e">
            <v>#N/A</v>
          </cell>
          <cell r="J822" t="e">
            <v>#N/A</v>
          </cell>
          <cell r="K822">
            <v>42</v>
          </cell>
          <cell r="L822">
            <v>32</v>
          </cell>
          <cell r="M822" t="e">
            <v>#N/A</v>
          </cell>
          <cell r="N822">
            <v>37</v>
          </cell>
          <cell r="O822" t="e">
            <v>#N/A</v>
          </cell>
          <cell r="P822" t="str">
            <v/>
          </cell>
          <cell r="Q822" t="str">
            <v/>
          </cell>
          <cell r="R822" t="e">
            <v>#N/A</v>
          </cell>
        </row>
        <row r="823">
          <cell r="A823" t="str">
            <v/>
          </cell>
          <cell r="B823" t="str">
            <v/>
          </cell>
          <cell r="C823" t="str">
            <v>Future</v>
          </cell>
          <cell r="D823" t="e">
            <v>#N/A</v>
          </cell>
          <cell r="E823">
            <v>-1.5030434782607693</v>
          </cell>
          <cell r="F823">
            <v>42.323043478261077</v>
          </cell>
          <cell r="G823">
            <v>31.888260869564355</v>
          </cell>
          <cell r="H823">
            <v>31.888260869564355</v>
          </cell>
          <cell r="I823" t="e">
            <v>#N/A</v>
          </cell>
          <cell r="J823" t="e">
            <v>#N/A</v>
          </cell>
          <cell r="K823">
            <v>42</v>
          </cell>
          <cell r="L823">
            <v>32</v>
          </cell>
          <cell r="M823" t="e">
            <v>#N/A</v>
          </cell>
          <cell r="N823">
            <v>37</v>
          </cell>
          <cell r="O823" t="e">
            <v>#N/A</v>
          </cell>
          <cell r="P823" t="str">
            <v/>
          </cell>
          <cell r="Q823" t="str">
            <v/>
          </cell>
          <cell r="R823" t="e">
            <v>#N/A</v>
          </cell>
        </row>
        <row r="824">
          <cell r="A824" t="str">
            <v/>
          </cell>
          <cell r="B824" t="str">
            <v/>
          </cell>
          <cell r="C824" t="str">
            <v>Future</v>
          </cell>
          <cell r="D824" t="e">
            <v>#N/A</v>
          </cell>
          <cell r="E824">
            <v>-1.639683794466303</v>
          </cell>
          <cell r="F824">
            <v>42.352411067193884</v>
          </cell>
          <cell r="G824">
            <v>31.878102766797557</v>
          </cell>
          <cell r="H824">
            <v>31.878102766797557</v>
          </cell>
          <cell r="I824" t="e">
            <v>#N/A</v>
          </cell>
          <cell r="J824" t="e">
            <v>#N/A</v>
          </cell>
          <cell r="K824">
            <v>42</v>
          </cell>
          <cell r="L824">
            <v>32</v>
          </cell>
          <cell r="M824" t="e">
            <v>#N/A</v>
          </cell>
          <cell r="N824">
            <v>37</v>
          </cell>
          <cell r="O824" t="e">
            <v>#N/A</v>
          </cell>
          <cell r="P824" t="str">
            <v/>
          </cell>
          <cell r="Q824" t="str">
            <v/>
          </cell>
          <cell r="R824" t="e">
            <v>#N/A</v>
          </cell>
        </row>
        <row r="825">
          <cell r="A825" t="str">
            <v/>
          </cell>
          <cell r="B825" t="str">
            <v/>
          </cell>
          <cell r="C825" t="str">
            <v>Future</v>
          </cell>
          <cell r="D825" t="e">
            <v>#N/A</v>
          </cell>
          <cell r="E825">
            <v>-1.7763241106718366</v>
          </cell>
          <cell r="F825">
            <v>42.381778656126691</v>
          </cell>
          <cell r="G825">
            <v>31.867944664030759</v>
          </cell>
          <cell r="H825">
            <v>31.867944664030759</v>
          </cell>
          <cell r="I825" t="e">
            <v>#N/A</v>
          </cell>
          <cell r="J825" t="e">
            <v>#N/A</v>
          </cell>
          <cell r="K825">
            <v>42</v>
          </cell>
          <cell r="L825">
            <v>32</v>
          </cell>
          <cell r="M825" t="e">
            <v>#N/A</v>
          </cell>
          <cell r="N825">
            <v>37</v>
          </cell>
          <cell r="O825" t="e">
            <v>#N/A</v>
          </cell>
          <cell r="P825" t="str">
            <v/>
          </cell>
          <cell r="Q825" t="str">
            <v/>
          </cell>
          <cell r="R825" t="e">
            <v>#N/A</v>
          </cell>
        </row>
        <row r="826">
          <cell r="A826" t="str">
            <v/>
          </cell>
          <cell r="B826" t="str">
            <v/>
          </cell>
          <cell r="C826" t="str">
            <v>Future</v>
          </cell>
          <cell r="D826" t="e">
            <v>#N/A</v>
          </cell>
          <cell r="E826">
            <v>-1.9129644268773702</v>
          </cell>
          <cell r="F826">
            <v>42.411146245059498</v>
          </cell>
          <cell r="G826">
            <v>31.857786561263961</v>
          </cell>
          <cell r="H826">
            <v>31.857786561263961</v>
          </cell>
          <cell r="I826" t="e">
            <v>#N/A</v>
          </cell>
          <cell r="J826" t="e">
            <v>#N/A</v>
          </cell>
          <cell r="K826">
            <v>42</v>
          </cell>
          <cell r="L826">
            <v>32</v>
          </cell>
          <cell r="M826" t="e">
            <v>#N/A</v>
          </cell>
          <cell r="N826">
            <v>37</v>
          </cell>
          <cell r="O826" t="e">
            <v>#N/A</v>
          </cell>
          <cell r="P826" t="str">
            <v/>
          </cell>
          <cell r="Q826" t="str">
            <v/>
          </cell>
          <cell r="R826" t="e">
            <v>#N/A</v>
          </cell>
        </row>
        <row r="827">
          <cell r="A827" t="str">
            <v/>
          </cell>
          <cell r="B827" t="str">
            <v/>
          </cell>
          <cell r="C827" t="str">
            <v>Future</v>
          </cell>
          <cell r="D827" t="e">
            <v>#N/A</v>
          </cell>
          <cell r="E827">
            <v>-2.0496047430829036</v>
          </cell>
          <cell r="F827">
            <v>42.440513833992306</v>
          </cell>
          <cell r="G827">
            <v>31.847628458497162</v>
          </cell>
          <cell r="H827">
            <v>31.847628458497162</v>
          </cell>
          <cell r="I827" t="e">
            <v>#N/A</v>
          </cell>
          <cell r="J827" t="e">
            <v>#N/A</v>
          </cell>
          <cell r="K827">
            <v>42</v>
          </cell>
          <cell r="L827">
            <v>32</v>
          </cell>
          <cell r="M827" t="e">
            <v>#N/A</v>
          </cell>
          <cell r="N827">
            <v>37</v>
          </cell>
          <cell r="O827" t="e">
            <v>#N/A</v>
          </cell>
          <cell r="P827" t="str">
            <v/>
          </cell>
          <cell r="Q827" t="str">
            <v/>
          </cell>
          <cell r="R827" t="e">
            <v>#N/A</v>
          </cell>
        </row>
        <row r="828">
          <cell r="A828" t="str">
            <v/>
          </cell>
          <cell r="B828" t="str">
            <v/>
          </cell>
          <cell r="C828" t="str">
            <v>Future</v>
          </cell>
          <cell r="D828" t="e">
            <v>#N/A</v>
          </cell>
          <cell r="E828">
            <v>-2.1862450592884373</v>
          </cell>
          <cell r="F828">
            <v>42.469881422925113</v>
          </cell>
          <cell r="G828">
            <v>31.837470355730364</v>
          </cell>
          <cell r="H828">
            <v>31.837470355730364</v>
          </cell>
          <cell r="I828" t="e">
            <v>#N/A</v>
          </cell>
          <cell r="J828" t="e">
            <v>#N/A</v>
          </cell>
          <cell r="K828">
            <v>42</v>
          </cell>
          <cell r="L828">
            <v>32</v>
          </cell>
          <cell r="M828" t="e">
            <v>#N/A</v>
          </cell>
          <cell r="N828">
            <v>37</v>
          </cell>
          <cell r="O828" t="e">
            <v>#N/A</v>
          </cell>
          <cell r="P828" t="str">
            <v/>
          </cell>
          <cell r="Q828" t="str">
            <v/>
          </cell>
          <cell r="R828" t="e">
            <v>#N/A</v>
          </cell>
        </row>
        <row r="829">
          <cell r="A829" t="str">
            <v/>
          </cell>
          <cell r="B829" t="str">
            <v/>
          </cell>
          <cell r="C829" t="str">
            <v>Future</v>
          </cell>
          <cell r="D829" t="e">
            <v>#N/A</v>
          </cell>
          <cell r="E829">
            <v>-2.3228853754939709</v>
          </cell>
          <cell r="F829">
            <v>42.49924901185792</v>
          </cell>
          <cell r="G829">
            <v>31.827312252963566</v>
          </cell>
          <cell r="H829">
            <v>31.827312252963566</v>
          </cell>
          <cell r="I829" t="e">
            <v>#N/A</v>
          </cell>
          <cell r="J829" t="e">
            <v>#N/A</v>
          </cell>
          <cell r="K829">
            <v>42</v>
          </cell>
          <cell r="L829">
            <v>32</v>
          </cell>
          <cell r="M829" t="e">
            <v>#N/A</v>
          </cell>
          <cell r="N829">
            <v>37</v>
          </cell>
          <cell r="O829" t="e">
            <v>#N/A</v>
          </cell>
          <cell r="P829" t="str">
            <v/>
          </cell>
          <cell r="Q829" t="str">
            <v/>
          </cell>
          <cell r="R829" t="e">
            <v>#N/A</v>
          </cell>
        </row>
        <row r="830">
          <cell r="A830" t="str">
            <v/>
          </cell>
          <cell r="B830" t="str">
            <v/>
          </cell>
          <cell r="C830" t="str">
            <v>Future</v>
          </cell>
          <cell r="D830" t="e">
            <v>#N/A</v>
          </cell>
          <cell r="E830">
            <v>-2.4595256916995045</v>
          </cell>
          <cell r="F830">
            <v>42.528616600790727</v>
          </cell>
          <cell r="G830">
            <v>31.817154150196767</v>
          </cell>
          <cell r="H830">
            <v>31.817154150196767</v>
          </cell>
          <cell r="I830" t="e">
            <v>#N/A</v>
          </cell>
          <cell r="J830" t="e">
            <v>#N/A</v>
          </cell>
          <cell r="K830">
            <v>42</v>
          </cell>
          <cell r="L830">
            <v>32</v>
          </cell>
          <cell r="M830" t="e">
            <v>#N/A</v>
          </cell>
          <cell r="N830">
            <v>37</v>
          </cell>
          <cell r="O830" t="e">
            <v>#N/A</v>
          </cell>
          <cell r="P830" t="str">
            <v/>
          </cell>
          <cell r="Q830" t="str">
            <v/>
          </cell>
          <cell r="R830" t="e">
            <v>#N/A</v>
          </cell>
        </row>
        <row r="831">
          <cell r="A831" t="str">
            <v/>
          </cell>
          <cell r="B831" t="str">
            <v/>
          </cell>
          <cell r="C831" t="str">
            <v>Future</v>
          </cell>
          <cell r="D831" t="e">
            <v>#N/A</v>
          </cell>
          <cell r="E831">
            <v>-2.5961660079050382</v>
          </cell>
          <cell r="F831">
            <v>42.557984189723534</v>
          </cell>
          <cell r="G831">
            <v>31.806996047429969</v>
          </cell>
          <cell r="H831">
            <v>31.806996047429969</v>
          </cell>
          <cell r="I831" t="e">
            <v>#N/A</v>
          </cell>
          <cell r="J831" t="e">
            <v>#N/A</v>
          </cell>
          <cell r="K831">
            <v>42</v>
          </cell>
          <cell r="L831">
            <v>32</v>
          </cell>
          <cell r="M831" t="e">
            <v>#N/A</v>
          </cell>
          <cell r="N831">
            <v>37</v>
          </cell>
          <cell r="O831" t="e">
            <v>#N/A</v>
          </cell>
          <cell r="P831" t="str">
            <v/>
          </cell>
          <cell r="Q831" t="str">
            <v/>
          </cell>
          <cell r="R831" t="e">
            <v>#N/A</v>
          </cell>
        </row>
        <row r="832">
          <cell r="A832" t="str">
            <v/>
          </cell>
          <cell r="B832" t="str">
            <v/>
          </cell>
          <cell r="C832" t="str">
            <v>Future</v>
          </cell>
          <cell r="D832" t="e">
            <v>#N/A</v>
          </cell>
          <cell r="E832">
            <v>-2.7328063241105718</v>
          </cell>
          <cell r="F832">
            <v>42.587351778656341</v>
          </cell>
          <cell r="G832">
            <v>31.796837944663171</v>
          </cell>
          <cell r="H832">
            <v>31.796837944663171</v>
          </cell>
          <cell r="I832" t="e">
            <v>#N/A</v>
          </cell>
          <cell r="J832" t="e">
            <v>#N/A</v>
          </cell>
          <cell r="K832">
            <v>42</v>
          </cell>
          <cell r="L832">
            <v>32</v>
          </cell>
          <cell r="M832" t="e">
            <v>#N/A</v>
          </cell>
          <cell r="N832">
            <v>37</v>
          </cell>
          <cell r="O832" t="e">
            <v>#N/A</v>
          </cell>
          <cell r="P832" t="str">
            <v/>
          </cell>
          <cell r="Q832" t="str">
            <v/>
          </cell>
          <cell r="R832" t="e">
            <v>#N/A</v>
          </cell>
        </row>
        <row r="833">
          <cell r="A833" t="str">
            <v/>
          </cell>
          <cell r="B833" t="str">
            <v/>
          </cell>
          <cell r="C833" t="str">
            <v>Future</v>
          </cell>
          <cell r="D833" t="e">
            <v>#N/A</v>
          </cell>
          <cell r="E833">
            <v>-2.8694466403161054</v>
          </cell>
          <cell r="F833">
            <v>42.616719367589148</v>
          </cell>
          <cell r="G833">
            <v>31.786679841896373</v>
          </cell>
          <cell r="H833">
            <v>31.786679841896373</v>
          </cell>
          <cell r="I833" t="e">
            <v>#N/A</v>
          </cell>
          <cell r="J833" t="e">
            <v>#N/A</v>
          </cell>
          <cell r="K833">
            <v>42</v>
          </cell>
          <cell r="L833">
            <v>32</v>
          </cell>
          <cell r="M833" t="e">
            <v>#N/A</v>
          </cell>
          <cell r="N833">
            <v>37</v>
          </cell>
          <cell r="O833" t="e">
            <v>#N/A</v>
          </cell>
          <cell r="P833" t="str">
            <v/>
          </cell>
          <cell r="Q833" t="str">
            <v/>
          </cell>
          <cell r="R833" t="e">
            <v>#N/A</v>
          </cell>
        </row>
        <row r="834">
          <cell r="A834" t="str">
            <v/>
          </cell>
          <cell r="B834" t="str">
            <v/>
          </cell>
          <cell r="C834" t="str">
            <v>Future</v>
          </cell>
          <cell r="D834" t="e">
            <v>#N/A</v>
          </cell>
          <cell r="E834">
            <v>-3.006086956521639</v>
          </cell>
          <cell r="F834">
            <v>42.646086956521955</v>
          </cell>
          <cell r="G834">
            <v>31.776521739129574</v>
          </cell>
          <cell r="H834">
            <v>31.776521739129574</v>
          </cell>
          <cell r="I834" t="e">
            <v>#N/A</v>
          </cell>
          <cell r="J834" t="e">
            <v>#N/A</v>
          </cell>
          <cell r="K834">
            <v>42</v>
          </cell>
          <cell r="L834">
            <v>32</v>
          </cell>
          <cell r="M834" t="e">
            <v>#N/A</v>
          </cell>
          <cell r="N834">
            <v>37</v>
          </cell>
          <cell r="O834" t="e">
            <v>#N/A</v>
          </cell>
          <cell r="P834" t="str">
            <v/>
          </cell>
          <cell r="Q834" t="str">
            <v/>
          </cell>
          <cell r="R834" t="e">
            <v>#N/A</v>
          </cell>
        </row>
        <row r="835">
          <cell r="A835" t="str">
            <v/>
          </cell>
          <cell r="B835" t="str">
            <v/>
          </cell>
          <cell r="C835" t="str">
            <v>Future</v>
          </cell>
          <cell r="D835" t="e">
            <v>#N/A</v>
          </cell>
          <cell r="E835">
            <v>-3.1427272727271727</v>
          </cell>
          <cell r="F835">
            <v>42.675454545454762</v>
          </cell>
          <cell r="G835">
            <v>31.766363636362776</v>
          </cell>
          <cell r="H835">
            <v>31.766363636362776</v>
          </cell>
          <cell r="I835" t="e">
            <v>#N/A</v>
          </cell>
          <cell r="J835" t="e">
            <v>#N/A</v>
          </cell>
          <cell r="K835">
            <v>42</v>
          </cell>
          <cell r="L835">
            <v>32</v>
          </cell>
          <cell r="M835" t="e">
            <v>#N/A</v>
          </cell>
          <cell r="N835">
            <v>37</v>
          </cell>
          <cell r="O835" t="e">
            <v>#N/A</v>
          </cell>
          <cell r="P835" t="str">
            <v/>
          </cell>
          <cell r="Q835" t="str">
            <v/>
          </cell>
          <cell r="R835" t="e">
            <v>#N/A</v>
          </cell>
        </row>
        <row r="836">
          <cell r="A836" t="str">
            <v/>
          </cell>
          <cell r="B836" t="str">
            <v/>
          </cell>
          <cell r="C836" t="str">
            <v>Future</v>
          </cell>
          <cell r="D836" t="e">
            <v>#N/A</v>
          </cell>
          <cell r="E836">
            <v>-3.2793675889327063</v>
          </cell>
          <cell r="F836">
            <v>42.70482213438757</v>
          </cell>
          <cell r="G836">
            <v>31.756205533595978</v>
          </cell>
          <cell r="H836">
            <v>31.756205533595978</v>
          </cell>
          <cell r="I836" t="e">
            <v>#N/A</v>
          </cell>
          <cell r="J836" t="e">
            <v>#N/A</v>
          </cell>
          <cell r="K836">
            <v>42</v>
          </cell>
          <cell r="L836">
            <v>32</v>
          </cell>
          <cell r="M836" t="e">
            <v>#N/A</v>
          </cell>
          <cell r="N836">
            <v>37</v>
          </cell>
          <cell r="O836" t="e">
            <v>#N/A</v>
          </cell>
          <cell r="P836" t="str">
            <v/>
          </cell>
          <cell r="Q836" t="str">
            <v/>
          </cell>
          <cell r="R836" t="e">
            <v>#N/A</v>
          </cell>
        </row>
        <row r="837">
          <cell r="A837" t="str">
            <v/>
          </cell>
          <cell r="B837" t="str">
            <v/>
          </cell>
          <cell r="C837" t="str">
            <v>Future</v>
          </cell>
          <cell r="D837" t="e">
            <v>#N/A</v>
          </cell>
          <cell r="E837">
            <v>-3.4160079051382399</v>
          </cell>
          <cell r="F837">
            <v>42.734189723320377</v>
          </cell>
          <cell r="G837">
            <v>31.746047430829179</v>
          </cell>
          <cell r="H837">
            <v>31.746047430829179</v>
          </cell>
          <cell r="I837" t="e">
            <v>#N/A</v>
          </cell>
          <cell r="J837" t="e">
            <v>#N/A</v>
          </cell>
          <cell r="K837">
            <v>42</v>
          </cell>
          <cell r="L837">
            <v>32</v>
          </cell>
          <cell r="M837" t="e">
            <v>#N/A</v>
          </cell>
          <cell r="N837">
            <v>37</v>
          </cell>
          <cell r="O837" t="e">
            <v>#N/A</v>
          </cell>
          <cell r="P837" t="str">
            <v/>
          </cell>
          <cell r="Q837" t="str">
            <v/>
          </cell>
          <cell r="R837" t="e">
            <v>#N/A</v>
          </cell>
        </row>
        <row r="838">
          <cell r="A838" t="str">
            <v/>
          </cell>
          <cell r="B838" t="str">
            <v/>
          </cell>
          <cell r="C838" t="str">
            <v>Future</v>
          </cell>
          <cell r="D838" t="e">
            <v>#N/A</v>
          </cell>
          <cell r="E838">
            <v>-3.5526482213437736</v>
          </cell>
          <cell r="F838">
            <v>42.763557312253184</v>
          </cell>
          <cell r="G838">
            <v>31.735889328062381</v>
          </cell>
          <cell r="H838">
            <v>31.735889328062381</v>
          </cell>
          <cell r="I838" t="e">
            <v>#N/A</v>
          </cell>
          <cell r="J838" t="e">
            <v>#N/A</v>
          </cell>
          <cell r="K838">
            <v>42</v>
          </cell>
          <cell r="L838">
            <v>32</v>
          </cell>
          <cell r="M838" t="e">
            <v>#N/A</v>
          </cell>
          <cell r="N838">
            <v>37</v>
          </cell>
          <cell r="O838" t="e">
            <v>#N/A</v>
          </cell>
          <cell r="P838" t="str">
            <v/>
          </cell>
          <cell r="Q838" t="str">
            <v/>
          </cell>
          <cell r="R838" t="e">
            <v>#N/A</v>
          </cell>
        </row>
        <row r="839">
          <cell r="A839" t="str">
            <v/>
          </cell>
          <cell r="B839" t="str">
            <v/>
          </cell>
          <cell r="C839" t="str">
            <v>Future</v>
          </cell>
          <cell r="D839" t="e">
            <v>#N/A</v>
          </cell>
          <cell r="E839">
            <v>-3.6892885375493072</v>
          </cell>
          <cell r="F839">
            <v>42.792924901185991</v>
          </cell>
          <cell r="G839">
            <v>31.725731225295583</v>
          </cell>
          <cell r="H839">
            <v>31.725731225295583</v>
          </cell>
          <cell r="I839" t="e">
            <v>#N/A</v>
          </cell>
          <cell r="J839" t="e">
            <v>#N/A</v>
          </cell>
          <cell r="K839">
            <v>42</v>
          </cell>
          <cell r="L839">
            <v>32</v>
          </cell>
          <cell r="M839" t="e">
            <v>#N/A</v>
          </cell>
          <cell r="N839">
            <v>37</v>
          </cell>
          <cell r="O839" t="e">
            <v>#N/A</v>
          </cell>
          <cell r="P839" t="str">
            <v/>
          </cell>
          <cell r="Q839" t="str">
            <v/>
          </cell>
          <cell r="R839" t="e">
            <v>#N/A</v>
          </cell>
        </row>
        <row r="840">
          <cell r="A840" t="str">
            <v/>
          </cell>
          <cell r="B840" t="str">
            <v/>
          </cell>
          <cell r="C840" t="str">
            <v>Future</v>
          </cell>
          <cell r="D840" t="e">
            <v>#N/A</v>
          </cell>
          <cell r="E840">
            <v>-3.8259288537548408</v>
          </cell>
          <cell r="F840">
            <v>42.822292490118798</v>
          </cell>
          <cell r="G840">
            <v>31.715573122528784</v>
          </cell>
          <cell r="H840">
            <v>31.715573122528784</v>
          </cell>
          <cell r="I840" t="e">
            <v>#N/A</v>
          </cell>
          <cell r="J840" t="e">
            <v>#N/A</v>
          </cell>
          <cell r="K840">
            <v>42</v>
          </cell>
          <cell r="L840">
            <v>32</v>
          </cell>
          <cell r="M840" t="e">
            <v>#N/A</v>
          </cell>
          <cell r="N840">
            <v>37</v>
          </cell>
          <cell r="O840" t="e">
            <v>#N/A</v>
          </cell>
          <cell r="P840" t="str">
            <v/>
          </cell>
          <cell r="Q840" t="str">
            <v/>
          </cell>
          <cell r="R840" t="e">
            <v>#N/A</v>
          </cell>
        </row>
        <row r="841">
          <cell r="A841" t="str">
            <v/>
          </cell>
          <cell r="B841" t="str">
            <v/>
          </cell>
          <cell r="C841" t="str">
            <v>Future</v>
          </cell>
          <cell r="D841" t="e">
            <v>#N/A</v>
          </cell>
          <cell r="E841">
            <v>-3.9625691699603744</v>
          </cell>
          <cell r="F841">
            <v>42.851660079051605</v>
          </cell>
          <cell r="G841">
            <v>31.705415019761986</v>
          </cell>
          <cell r="H841">
            <v>31.705415019761986</v>
          </cell>
          <cell r="I841" t="e">
            <v>#N/A</v>
          </cell>
          <cell r="J841" t="e">
            <v>#N/A</v>
          </cell>
          <cell r="K841">
            <v>42</v>
          </cell>
          <cell r="L841">
            <v>32</v>
          </cell>
          <cell r="M841" t="e">
            <v>#N/A</v>
          </cell>
          <cell r="N841">
            <v>37</v>
          </cell>
          <cell r="O841" t="e">
            <v>#N/A</v>
          </cell>
          <cell r="P841" t="str">
            <v/>
          </cell>
          <cell r="Q841" t="str">
            <v/>
          </cell>
          <cell r="R841" t="e">
            <v>#N/A</v>
          </cell>
        </row>
        <row r="842">
          <cell r="A842" t="str">
            <v/>
          </cell>
          <cell r="B842" t="str">
            <v/>
          </cell>
          <cell r="C842" t="str">
            <v>Future</v>
          </cell>
          <cell r="D842" t="e">
            <v>#N/A</v>
          </cell>
          <cell r="E842">
            <v>-4.0992094861659076</v>
          </cell>
          <cell r="F842">
            <v>42.881027667984412</v>
          </cell>
          <cell r="G842">
            <v>31.695256916995188</v>
          </cell>
          <cell r="H842">
            <v>31.695256916995188</v>
          </cell>
          <cell r="I842" t="e">
            <v>#N/A</v>
          </cell>
          <cell r="J842" t="e">
            <v>#N/A</v>
          </cell>
          <cell r="K842">
            <v>42</v>
          </cell>
          <cell r="L842">
            <v>32</v>
          </cell>
          <cell r="M842" t="e">
            <v>#N/A</v>
          </cell>
          <cell r="N842">
            <v>37</v>
          </cell>
          <cell r="O842" t="e">
            <v>#N/A</v>
          </cell>
          <cell r="P842" t="str">
            <v/>
          </cell>
          <cell r="Q842" t="str">
            <v/>
          </cell>
          <cell r="R842" t="e">
            <v>#N/A</v>
          </cell>
        </row>
        <row r="843">
          <cell r="A843" t="str">
            <v/>
          </cell>
          <cell r="B843" t="str">
            <v/>
          </cell>
          <cell r="C843" t="str">
            <v>Future</v>
          </cell>
          <cell r="D843" t="e">
            <v>#N/A</v>
          </cell>
          <cell r="E843">
            <v>-4.2358498023714413</v>
          </cell>
          <cell r="F843">
            <v>42.910395256917219</v>
          </cell>
          <cell r="G843">
            <v>31.68509881422839</v>
          </cell>
          <cell r="H843">
            <v>31.68509881422839</v>
          </cell>
          <cell r="I843" t="e">
            <v>#N/A</v>
          </cell>
          <cell r="J843" t="e">
            <v>#N/A</v>
          </cell>
          <cell r="K843">
            <v>42</v>
          </cell>
          <cell r="L843">
            <v>32</v>
          </cell>
          <cell r="M843" t="e">
            <v>#N/A</v>
          </cell>
          <cell r="N843">
            <v>37</v>
          </cell>
          <cell r="O843" t="e">
            <v>#N/A</v>
          </cell>
          <cell r="P843" t="str">
            <v/>
          </cell>
          <cell r="Q843" t="str">
            <v/>
          </cell>
          <cell r="R843" t="e">
            <v>#N/A</v>
          </cell>
        </row>
        <row r="844">
          <cell r="A844" t="str">
            <v/>
          </cell>
          <cell r="B844" t="str">
            <v/>
          </cell>
          <cell r="C844" t="str">
            <v>Future</v>
          </cell>
          <cell r="D844" t="e">
            <v>#N/A</v>
          </cell>
          <cell r="E844">
            <v>-4.3724901185769749</v>
          </cell>
          <cell r="F844">
            <v>42.939762845850026</v>
          </cell>
          <cell r="G844">
            <v>31.674940711461591</v>
          </cell>
          <cell r="H844">
            <v>31.674940711461591</v>
          </cell>
          <cell r="I844" t="e">
            <v>#N/A</v>
          </cell>
          <cell r="J844" t="e">
            <v>#N/A</v>
          </cell>
          <cell r="K844">
            <v>42</v>
          </cell>
          <cell r="L844">
            <v>32</v>
          </cell>
          <cell r="M844" t="e">
            <v>#N/A</v>
          </cell>
          <cell r="N844">
            <v>37</v>
          </cell>
          <cell r="O844" t="e">
            <v>#N/A</v>
          </cell>
          <cell r="P844" t="str">
            <v/>
          </cell>
          <cell r="Q844" t="str">
            <v/>
          </cell>
          <cell r="R844" t="e">
            <v>#N/A</v>
          </cell>
        </row>
        <row r="845">
          <cell r="A845" t="str">
            <v/>
          </cell>
          <cell r="B845" t="str">
            <v/>
          </cell>
          <cell r="C845" t="str">
            <v>Future</v>
          </cell>
          <cell r="D845" t="e">
            <v>#N/A</v>
          </cell>
          <cell r="E845">
            <v>-4.5091304347825085</v>
          </cell>
          <cell r="F845">
            <v>42.969130434782834</v>
          </cell>
          <cell r="G845">
            <v>31.664782608694793</v>
          </cell>
          <cell r="H845">
            <v>31.664782608694793</v>
          </cell>
          <cell r="I845" t="e">
            <v>#N/A</v>
          </cell>
          <cell r="J845" t="e">
            <v>#N/A</v>
          </cell>
          <cell r="K845">
            <v>42</v>
          </cell>
          <cell r="L845">
            <v>32</v>
          </cell>
          <cell r="M845" t="e">
            <v>#N/A</v>
          </cell>
          <cell r="N845">
            <v>37</v>
          </cell>
          <cell r="O845" t="e">
            <v>#N/A</v>
          </cell>
          <cell r="P845" t="str">
            <v/>
          </cell>
          <cell r="Q845" t="str">
            <v/>
          </cell>
          <cell r="R845" t="e">
            <v>#N/A</v>
          </cell>
        </row>
        <row r="846">
          <cell r="A846" t="str">
            <v/>
          </cell>
          <cell r="B846" t="str">
            <v/>
          </cell>
          <cell r="C846" t="str">
            <v>Future</v>
          </cell>
          <cell r="D846" t="e">
            <v>#N/A</v>
          </cell>
          <cell r="E846">
            <v>-4.6457707509880422</v>
          </cell>
          <cell r="F846">
            <v>42.998498023715641</v>
          </cell>
          <cell r="G846">
            <v>31.654624505927995</v>
          </cell>
          <cell r="H846">
            <v>31.654624505927995</v>
          </cell>
          <cell r="I846" t="e">
            <v>#N/A</v>
          </cell>
          <cell r="J846" t="e">
            <v>#N/A</v>
          </cell>
          <cell r="K846">
            <v>42</v>
          </cell>
          <cell r="L846">
            <v>32</v>
          </cell>
          <cell r="M846" t="e">
            <v>#N/A</v>
          </cell>
          <cell r="N846">
            <v>37</v>
          </cell>
          <cell r="O846" t="e">
            <v>#N/A</v>
          </cell>
          <cell r="P846" t="str">
            <v/>
          </cell>
          <cell r="Q846" t="str">
            <v/>
          </cell>
          <cell r="R846" t="e">
            <v>#N/A</v>
          </cell>
        </row>
        <row r="847">
          <cell r="A847" t="str">
            <v/>
          </cell>
          <cell r="B847" t="str">
            <v/>
          </cell>
          <cell r="C847" t="str">
            <v>Future</v>
          </cell>
          <cell r="D847" t="e">
            <v>#N/A</v>
          </cell>
          <cell r="E847">
            <v>-4.7824110671935758</v>
          </cell>
          <cell r="F847">
            <v>43.027865612648448</v>
          </cell>
          <cell r="G847">
            <v>31.644466403161196</v>
          </cell>
          <cell r="H847">
            <v>31.644466403161196</v>
          </cell>
          <cell r="I847" t="e">
            <v>#N/A</v>
          </cell>
          <cell r="J847" t="e">
            <v>#N/A</v>
          </cell>
          <cell r="K847">
            <v>42</v>
          </cell>
          <cell r="L847">
            <v>32</v>
          </cell>
          <cell r="M847" t="e">
            <v>#N/A</v>
          </cell>
          <cell r="N847">
            <v>37</v>
          </cell>
          <cell r="O847" t="e">
            <v>#N/A</v>
          </cell>
          <cell r="P847" t="str">
            <v/>
          </cell>
          <cell r="Q847" t="str">
            <v/>
          </cell>
          <cell r="R847" t="e">
            <v>#N/A</v>
          </cell>
        </row>
        <row r="848">
          <cell r="A848" t="str">
            <v/>
          </cell>
          <cell r="B848" t="str">
            <v/>
          </cell>
          <cell r="C848" t="str">
            <v>Future</v>
          </cell>
          <cell r="D848" t="e">
            <v>#N/A</v>
          </cell>
          <cell r="E848">
            <v>-4.9190513833991094</v>
          </cell>
          <cell r="F848">
            <v>43.057233201581255</v>
          </cell>
          <cell r="G848">
            <v>31.634308300394398</v>
          </cell>
          <cell r="H848">
            <v>31.634308300394398</v>
          </cell>
          <cell r="I848" t="e">
            <v>#N/A</v>
          </cell>
          <cell r="J848" t="e">
            <v>#N/A</v>
          </cell>
          <cell r="K848">
            <v>42</v>
          </cell>
          <cell r="L848">
            <v>32</v>
          </cell>
          <cell r="M848" t="e">
            <v>#N/A</v>
          </cell>
          <cell r="N848">
            <v>37</v>
          </cell>
          <cell r="O848" t="e">
            <v>#N/A</v>
          </cell>
          <cell r="P848" t="str">
            <v/>
          </cell>
          <cell r="Q848" t="str">
            <v/>
          </cell>
          <cell r="R848" t="e">
            <v>#N/A</v>
          </cell>
        </row>
        <row r="849">
          <cell r="A849" t="str">
            <v/>
          </cell>
          <cell r="B849" t="str">
            <v/>
          </cell>
          <cell r="C849" t="str">
            <v>Future</v>
          </cell>
          <cell r="D849" t="e">
            <v>#N/A</v>
          </cell>
          <cell r="E849">
            <v>-5.055691699604643</v>
          </cell>
          <cell r="F849">
            <v>43.086600790514062</v>
          </cell>
          <cell r="G849">
            <v>31.6241501976276</v>
          </cell>
          <cell r="H849">
            <v>31.6241501976276</v>
          </cell>
          <cell r="I849" t="e">
            <v>#N/A</v>
          </cell>
          <cell r="J849" t="e">
            <v>#N/A</v>
          </cell>
          <cell r="K849">
            <v>42</v>
          </cell>
          <cell r="L849">
            <v>32</v>
          </cell>
          <cell r="M849" t="e">
            <v>#N/A</v>
          </cell>
          <cell r="N849">
            <v>37</v>
          </cell>
          <cell r="O849" t="e">
            <v>#N/A</v>
          </cell>
          <cell r="P849" t="str">
            <v/>
          </cell>
          <cell r="Q849" t="str">
            <v/>
          </cell>
          <cell r="R849" t="e">
            <v>#N/A</v>
          </cell>
        </row>
        <row r="850">
          <cell r="A850" t="str">
            <v/>
          </cell>
          <cell r="B850" t="str">
            <v/>
          </cell>
          <cell r="C850" t="str">
            <v>Future</v>
          </cell>
          <cell r="D850" t="e">
            <v>#N/A</v>
          </cell>
          <cell r="E850">
            <v>-5.1923320158101767</v>
          </cell>
          <cell r="F850">
            <v>43.115968379446869</v>
          </cell>
          <cell r="G850">
            <v>31.613992094860802</v>
          </cell>
          <cell r="H850">
            <v>31.613992094860802</v>
          </cell>
          <cell r="I850" t="e">
            <v>#N/A</v>
          </cell>
          <cell r="J850" t="e">
            <v>#N/A</v>
          </cell>
          <cell r="K850">
            <v>42</v>
          </cell>
          <cell r="L850">
            <v>32</v>
          </cell>
          <cell r="M850" t="e">
            <v>#N/A</v>
          </cell>
          <cell r="N850">
            <v>37</v>
          </cell>
          <cell r="O850" t="e">
            <v>#N/A</v>
          </cell>
          <cell r="P850" t="str">
            <v/>
          </cell>
          <cell r="Q850" t="str">
            <v/>
          </cell>
          <cell r="R850" t="e">
            <v>#N/A</v>
          </cell>
        </row>
        <row r="851">
          <cell r="A851" t="str">
            <v/>
          </cell>
          <cell r="B851" t="str">
            <v/>
          </cell>
          <cell r="C851" t="str">
            <v>Future</v>
          </cell>
          <cell r="D851" t="e">
            <v>#N/A</v>
          </cell>
          <cell r="E851">
            <v>-5.3289723320157103</v>
          </cell>
          <cell r="F851">
            <v>43.145335968379676</v>
          </cell>
          <cell r="G851">
            <v>31.603833992094003</v>
          </cell>
          <cell r="H851">
            <v>31.603833992094003</v>
          </cell>
          <cell r="I851" t="e">
            <v>#N/A</v>
          </cell>
          <cell r="J851" t="e">
            <v>#N/A</v>
          </cell>
          <cell r="K851">
            <v>42</v>
          </cell>
          <cell r="L851">
            <v>32</v>
          </cell>
          <cell r="M851" t="e">
            <v>#N/A</v>
          </cell>
          <cell r="N851">
            <v>37</v>
          </cell>
          <cell r="O851" t="e">
            <v>#N/A</v>
          </cell>
          <cell r="P851" t="str">
            <v/>
          </cell>
          <cell r="Q851" t="str">
            <v/>
          </cell>
          <cell r="R851" t="e">
            <v>#N/A</v>
          </cell>
        </row>
        <row r="852">
          <cell r="A852" t="str">
            <v/>
          </cell>
          <cell r="B852" t="str">
            <v/>
          </cell>
          <cell r="C852" t="str">
            <v>Future</v>
          </cell>
          <cell r="D852" t="e">
            <v>#N/A</v>
          </cell>
          <cell r="E852">
            <v>-5.4656126482212439</v>
          </cell>
          <cell r="F852">
            <v>43.174703557312483</v>
          </cell>
          <cell r="G852">
            <v>31.593675889327205</v>
          </cell>
          <cell r="H852">
            <v>31.593675889327205</v>
          </cell>
          <cell r="I852" t="e">
            <v>#N/A</v>
          </cell>
          <cell r="J852" t="e">
            <v>#N/A</v>
          </cell>
          <cell r="K852">
            <v>42</v>
          </cell>
          <cell r="L852">
            <v>32</v>
          </cell>
          <cell r="M852" t="e">
            <v>#N/A</v>
          </cell>
          <cell r="N852">
            <v>37</v>
          </cell>
          <cell r="O852" t="e">
            <v>#N/A</v>
          </cell>
          <cell r="P852" t="str">
            <v/>
          </cell>
          <cell r="Q852" t="str">
            <v/>
          </cell>
          <cell r="R852" t="e">
            <v>#N/A</v>
          </cell>
        </row>
        <row r="853">
          <cell r="A853" t="str">
            <v/>
          </cell>
          <cell r="B853" t="str">
            <v/>
          </cell>
          <cell r="C853" t="str">
            <v>Future</v>
          </cell>
          <cell r="D853" t="e">
            <v>#N/A</v>
          </cell>
          <cell r="E853">
            <v>-5.6022529644267776</v>
          </cell>
          <cell r="F853">
            <v>43.20407114624529</v>
          </cell>
          <cell r="G853">
            <v>31.583517786560407</v>
          </cell>
          <cell r="H853">
            <v>31.583517786560407</v>
          </cell>
          <cell r="I853" t="e">
            <v>#N/A</v>
          </cell>
          <cell r="J853" t="e">
            <v>#N/A</v>
          </cell>
          <cell r="K853">
            <v>42</v>
          </cell>
          <cell r="L853">
            <v>32</v>
          </cell>
          <cell r="M853" t="e">
            <v>#N/A</v>
          </cell>
          <cell r="N853">
            <v>37</v>
          </cell>
          <cell r="O853" t="e">
            <v>#N/A</v>
          </cell>
          <cell r="P853" t="str">
            <v/>
          </cell>
          <cell r="Q853" t="str">
            <v/>
          </cell>
          <cell r="R853" t="e">
            <v>#N/A</v>
          </cell>
        </row>
        <row r="854">
          <cell r="A854" t="str">
            <v/>
          </cell>
          <cell r="B854" t="str">
            <v/>
          </cell>
          <cell r="C854" t="str">
            <v>Future</v>
          </cell>
          <cell r="D854" t="e">
            <v>#N/A</v>
          </cell>
          <cell r="E854">
            <v>-5.7388932806323112</v>
          </cell>
          <cell r="F854">
            <v>43.233438735178098</v>
          </cell>
          <cell r="G854">
            <v>31.573359683793608</v>
          </cell>
          <cell r="H854">
            <v>31.573359683793608</v>
          </cell>
          <cell r="I854" t="e">
            <v>#N/A</v>
          </cell>
          <cell r="J854" t="e">
            <v>#N/A</v>
          </cell>
          <cell r="K854">
            <v>42</v>
          </cell>
          <cell r="L854">
            <v>32</v>
          </cell>
          <cell r="M854" t="e">
            <v>#N/A</v>
          </cell>
          <cell r="N854">
            <v>37</v>
          </cell>
          <cell r="O854" t="e">
            <v>#N/A</v>
          </cell>
          <cell r="P854" t="str">
            <v/>
          </cell>
          <cell r="Q854" t="str">
            <v/>
          </cell>
          <cell r="R854" t="e">
            <v>#N/A</v>
          </cell>
        </row>
        <row r="855">
          <cell r="A855" t="str">
            <v/>
          </cell>
          <cell r="B855" t="str">
            <v/>
          </cell>
          <cell r="C855" t="str">
            <v>Future</v>
          </cell>
          <cell r="D855" t="e">
            <v>#N/A</v>
          </cell>
          <cell r="E855">
            <v>-5.8755335968378448</v>
          </cell>
          <cell r="F855">
            <v>43.262806324110905</v>
          </cell>
          <cell r="G855">
            <v>31.56320158102681</v>
          </cell>
          <cell r="H855">
            <v>31.56320158102681</v>
          </cell>
          <cell r="I855" t="e">
            <v>#N/A</v>
          </cell>
          <cell r="J855" t="e">
            <v>#N/A</v>
          </cell>
          <cell r="K855">
            <v>42</v>
          </cell>
          <cell r="L855">
            <v>32</v>
          </cell>
          <cell r="M855" t="e">
            <v>#N/A</v>
          </cell>
          <cell r="N855">
            <v>37</v>
          </cell>
          <cell r="O855" t="e">
            <v>#N/A</v>
          </cell>
          <cell r="P855" t="str">
            <v/>
          </cell>
          <cell r="Q855" t="str">
            <v/>
          </cell>
          <cell r="R855" t="e">
            <v>#N/A</v>
          </cell>
        </row>
        <row r="856">
          <cell r="A856" t="str">
            <v/>
          </cell>
          <cell r="B856" t="str">
            <v/>
          </cell>
          <cell r="C856" t="str">
            <v>Future</v>
          </cell>
          <cell r="D856" t="e">
            <v>#N/A</v>
          </cell>
          <cell r="E856">
            <v>-6.0121739130433784</v>
          </cell>
          <cell r="F856">
            <v>43.292173913043712</v>
          </cell>
          <cell r="G856">
            <v>31.553043478260012</v>
          </cell>
          <cell r="H856">
            <v>31.553043478260012</v>
          </cell>
          <cell r="I856" t="e">
            <v>#N/A</v>
          </cell>
          <cell r="J856" t="e">
            <v>#N/A</v>
          </cell>
          <cell r="K856">
            <v>42</v>
          </cell>
          <cell r="L856">
            <v>32</v>
          </cell>
          <cell r="M856" t="e">
            <v>#N/A</v>
          </cell>
          <cell r="N856">
            <v>37</v>
          </cell>
          <cell r="O856" t="e">
            <v>#N/A</v>
          </cell>
          <cell r="P856" t="str">
            <v/>
          </cell>
          <cell r="Q856" t="str">
            <v/>
          </cell>
          <cell r="R856" t="e">
            <v>#N/A</v>
          </cell>
        </row>
        <row r="857">
          <cell r="A857" t="str">
            <v/>
          </cell>
          <cell r="B857" t="str">
            <v/>
          </cell>
          <cell r="C857" t="str">
            <v>Future</v>
          </cell>
          <cell r="D857" t="e">
            <v>#N/A</v>
          </cell>
          <cell r="E857">
            <v>-6.1488142292489121</v>
          </cell>
          <cell r="F857">
            <v>43.321541501976519</v>
          </cell>
          <cell r="G857">
            <v>31.542885375493213</v>
          </cell>
          <cell r="H857">
            <v>31.542885375493213</v>
          </cell>
          <cell r="I857" t="e">
            <v>#N/A</v>
          </cell>
          <cell r="J857" t="e">
            <v>#N/A</v>
          </cell>
          <cell r="K857">
            <v>42</v>
          </cell>
          <cell r="L857">
            <v>32</v>
          </cell>
          <cell r="M857" t="e">
            <v>#N/A</v>
          </cell>
          <cell r="N857">
            <v>37</v>
          </cell>
          <cell r="O857" t="e">
            <v>#N/A</v>
          </cell>
          <cell r="P857" t="str">
            <v/>
          </cell>
          <cell r="Q857" t="str">
            <v/>
          </cell>
          <cell r="R857" t="e">
            <v>#N/A</v>
          </cell>
        </row>
        <row r="858">
          <cell r="A858" t="str">
            <v/>
          </cell>
          <cell r="B858" t="str">
            <v/>
          </cell>
          <cell r="C858" t="str">
            <v>Future</v>
          </cell>
          <cell r="D858" t="e">
            <v>#N/A</v>
          </cell>
          <cell r="E858">
            <v>-6.2854545454544457</v>
          </cell>
          <cell r="F858">
            <v>43.350909090909326</v>
          </cell>
          <cell r="G858">
            <v>31.532727272726415</v>
          </cell>
          <cell r="H858">
            <v>31.532727272726415</v>
          </cell>
          <cell r="I858" t="e">
            <v>#N/A</v>
          </cell>
          <cell r="J858" t="e">
            <v>#N/A</v>
          </cell>
          <cell r="K858">
            <v>42</v>
          </cell>
          <cell r="L858">
            <v>32</v>
          </cell>
          <cell r="M858" t="e">
            <v>#N/A</v>
          </cell>
          <cell r="N858">
            <v>37</v>
          </cell>
          <cell r="O858" t="e">
            <v>#N/A</v>
          </cell>
          <cell r="P858" t="str">
            <v/>
          </cell>
          <cell r="Q858" t="str">
            <v/>
          </cell>
          <cell r="R858" t="e">
            <v>#N/A</v>
          </cell>
        </row>
        <row r="859">
          <cell r="A859" t="str">
            <v/>
          </cell>
          <cell r="B859" t="str">
            <v/>
          </cell>
          <cell r="C859" t="str">
            <v>Future</v>
          </cell>
          <cell r="D859" t="e">
            <v>#N/A</v>
          </cell>
          <cell r="E859">
            <v>-6.4220948616599793</v>
          </cell>
          <cell r="F859">
            <v>43.380276679842133</v>
          </cell>
          <cell r="G859">
            <v>31.522569169959617</v>
          </cell>
          <cell r="H859">
            <v>31.522569169959617</v>
          </cell>
          <cell r="I859" t="e">
            <v>#N/A</v>
          </cell>
          <cell r="J859" t="e">
            <v>#N/A</v>
          </cell>
          <cell r="K859">
            <v>42</v>
          </cell>
          <cell r="L859">
            <v>32</v>
          </cell>
          <cell r="M859" t="e">
            <v>#N/A</v>
          </cell>
          <cell r="N859">
            <v>37</v>
          </cell>
          <cell r="O859" t="e">
            <v>#N/A</v>
          </cell>
          <cell r="P859" t="str">
            <v/>
          </cell>
          <cell r="Q859" t="str">
            <v/>
          </cell>
          <cell r="R859" t="e">
            <v>#N/A</v>
          </cell>
        </row>
        <row r="860">
          <cell r="A860" t="str">
            <v/>
          </cell>
          <cell r="B860" t="str">
            <v/>
          </cell>
          <cell r="C860" t="str">
            <v>Future</v>
          </cell>
          <cell r="D860" t="e">
            <v>#N/A</v>
          </cell>
          <cell r="E860">
            <v>-6.558735177865513</v>
          </cell>
          <cell r="F860">
            <v>43.40964426877494</v>
          </cell>
          <cell r="G860">
            <v>31.512411067192819</v>
          </cell>
          <cell r="H860">
            <v>31.512411067192819</v>
          </cell>
          <cell r="I860" t="e">
            <v>#N/A</v>
          </cell>
          <cell r="J860" t="e">
            <v>#N/A</v>
          </cell>
          <cell r="K860">
            <v>42</v>
          </cell>
          <cell r="L860">
            <v>32</v>
          </cell>
          <cell r="M860" t="e">
            <v>#N/A</v>
          </cell>
          <cell r="N860">
            <v>37</v>
          </cell>
          <cell r="O860" t="e">
            <v>#N/A</v>
          </cell>
          <cell r="P860" t="str">
            <v/>
          </cell>
          <cell r="Q860" t="str">
            <v/>
          </cell>
          <cell r="R860" t="e">
            <v>#N/A</v>
          </cell>
        </row>
        <row r="861">
          <cell r="A861" t="str">
            <v/>
          </cell>
          <cell r="B861" t="str">
            <v/>
          </cell>
          <cell r="C861" t="str">
            <v>Future</v>
          </cell>
          <cell r="D861" t="e">
            <v>#N/A</v>
          </cell>
          <cell r="E861">
            <v>-6.6953754940710466</v>
          </cell>
          <cell r="F861">
            <v>43.439011857707747</v>
          </cell>
          <cell r="G861">
            <v>31.50225296442602</v>
          </cell>
          <cell r="H861">
            <v>31.50225296442602</v>
          </cell>
          <cell r="I861" t="e">
            <v>#N/A</v>
          </cell>
          <cell r="J861" t="e">
            <v>#N/A</v>
          </cell>
          <cell r="K861">
            <v>42</v>
          </cell>
          <cell r="L861">
            <v>32</v>
          </cell>
          <cell r="M861" t="e">
            <v>#N/A</v>
          </cell>
          <cell r="N861">
            <v>37</v>
          </cell>
          <cell r="O861" t="e">
            <v>#N/A</v>
          </cell>
          <cell r="P861" t="str">
            <v/>
          </cell>
          <cell r="Q861" t="str">
            <v/>
          </cell>
          <cell r="R861" t="e">
            <v>#N/A</v>
          </cell>
        </row>
        <row r="862">
          <cell r="A862" t="str">
            <v/>
          </cell>
          <cell r="B862" t="str">
            <v/>
          </cell>
          <cell r="C862" t="str">
            <v>Future</v>
          </cell>
          <cell r="D862" t="e">
            <v>#N/A</v>
          </cell>
          <cell r="E862">
            <v>-6.8320158102765802</v>
          </cell>
          <cell r="F862">
            <v>43.468379446640554</v>
          </cell>
          <cell r="G862">
            <v>31.492094861659222</v>
          </cell>
          <cell r="H862">
            <v>31.492094861659222</v>
          </cell>
          <cell r="I862" t="e">
            <v>#N/A</v>
          </cell>
          <cell r="J862" t="e">
            <v>#N/A</v>
          </cell>
          <cell r="K862">
            <v>42</v>
          </cell>
          <cell r="L862">
            <v>32</v>
          </cell>
          <cell r="M862" t="e">
            <v>#N/A</v>
          </cell>
          <cell r="N862">
            <v>37</v>
          </cell>
          <cell r="O862" t="e">
            <v>#N/A</v>
          </cell>
          <cell r="P862" t="str">
            <v/>
          </cell>
          <cell r="Q862" t="str">
            <v/>
          </cell>
          <cell r="R862" t="e">
            <v>#N/A</v>
          </cell>
        </row>
        <row r="863">
          <cell r="A863" t="str">
            <v/>
          </cell>
          <cell r="B863" t="str">
            <v/>
          </cell>
          <cell r="C863" t="str">
            <v>Future</v>
          </cell>
          <cell r="D863" t="e">
            <v>#N/A</v>
          </cell>
          <cell r="E863">
            <v>-6.9686561264821139</v>
          </cell>
          <cell r="F863">
            <v>43.497747035573362</v>
          </cell>
          <cell r="G863">
            <v>31.481936758892424</v>
          </cell>
          <cell r="H863">
            <v>31.481936758892424</v>
          </cell>
          <cell r="I863" t="e">
            <v>#N/A</v>
          </cell>
          <cell r="J863" t="e">
            <v>#N/A</v>
          </cell>
          <cell r="K863">
            <v>42</v>
          </cell>
          <cell r="L863">
            <v>32</v>
          </cell>
          <cell r="M863" t="e">
            <v>#N/A</v>
          </cell>
          <cell r="N863">
            <v>37</v>
          </cell>
          <cell r="O863" t="e">
            <v>#N/A</v>
          </cell>
          <cell r="P863" t="str">
            <v/>
          </cell>
          <cell r="Q863" t="str">
            <v/>
          </cell>
          <cell r="R863" t="e">
            <v>#N/A</v>
          </cell>
        </row>
        <row r="864">
          <cell r="A864" t="str">
            <v/>
          </cell>
          <cell r="B864" t="str">
            <v/>
          </cell>
          <cell r="C864" t="str">
            <v>Future</v>
          </cell>
          <cell r="D864" t="e">
            <v>#N/A</v>
          </cell>
          <cell r="E864">
            <v>-7.1052964426876475</v>
          </cell>
          <cell r="F864">
            <v>43.527114624506169</v>
          </cell>
          <cell r="G864">
            <v>31.471778656125625</v>
          </cell>
          <cell r="H864">
            <v>31.471778656125625</v>
          </cell>
          <cell r="I864" t="e">
            <v>#N/A</v>
          </cell>
          <cell r="J864" t="e">
            <v>#N/A</v>
          </cell>
          <cell r="K864">
            <v>42</v>
          </cell>
          <cell r="L864">
            <v>32</v>
          </cell>
          <cell r="M864" t="e">
            <v>#N/A</v>
          </cell>
          <cell r="N864">
            <v>37</v>
          </cell>
          <cell r="O864" t="e">
            <v>#N/A</v>
          </cell>
          <cell r="P864" t="str">
            <v/>
          </cell>
          <cell r="Q864" t="str">
            <v/>
          </cell>
          <cell r="R864" t="e">
            <v>#N/A</v>
          </cell>
        </row>
        <row r="865">
          <cell r="A865" t="str">
            <v/>
          </cell>
          <cell r="B865" t="str">
            <v/>
          </cell>
          <cell r="C865" t="str">
            <v>Future</v>
          </cell>
          <cell r="D865" t="e">
            <v>#N/A</v>
          </cell>
          <cell r="E865">
            <v>-7.2419367588931811</v>
          </cell>
          <cell r="F865">
            <v>43.556482213438976</v>
          </cell>
          <cell r="G865">
            <v>31.461620553358827</v>
          </cell>
          <cell r="H865">
            <v>31.461620553358827</v>
          </cell>
          <cell r="I865" t="e">
            <v>#N/A</v>
          </cell>
          <cell r="J865" t="e">
            <v>#N/A</v>
          </cell>
          <cell r="K865">
            <v>42</v>
          </cell>
          <cell r="L865">
            <v>32</v>
          </cell>
          <cell r="M865" t="e">
            <v>#N/A</v>
          </cell>
          <cell r="N865">
            <v>37</v>
          </cell>
          <cell r="O865" t="e">
            <v>#N/A</v>
          </cell>
          <cell r="P865" t="str">
            <v/>
          </cell>
          <cell r="Q865" t="str">
            <v/>
          </cell>
          <cell r="R865" t="e">
            <v>#N/A</v>
          </cell>
        </row>
        <row r="866">
          <cell r="A866" t="str">
            <v/>
          </cell>
          <cell r="B866" t="str">
            <v/>
          </cell>
          <cell r="C866" t="str">
            <v>Future</v>
          </cell>
          <cell r="D866" t="e">
            <v>#N/A</v>
          </cell>
          <cell r="E866">
            <v>-7.3785770750987147</v>
          </cell>
          <cell r="F866">
            <v>43.585849802371783</v>
          </cell>
          <cell r="G866">
            <v>31.451462450592029</v>
          </cell>
          <cell r="H866">
            <v>31.451462450592029</v>
          </cell>
          <cell r="I866" t="e">
            <v>#N/A</v>
          </cell>
          <cell r="J866" t="e">
            <v>#N/A</v>
          </cell>
          <cell r="K866">
            <v>42</v>
          </cell>
          <cell r="L866">
            <v>32</v>
          </cell>
          <cell r="M866" t="e">
            <v>#N/A</v>
          </cell>
          <cell r="N866">
            <v>37</v>
          </cell>
          <cell r="O866" t="e">
            <v>#N/A</v>
          </cell>
          <cell r="P866" t="str">
            <v/>
          </cell>
          <cell r="Q866" t="str">
            <v/>
          </cell>
          <cell r="R866" t="e">
            <v>#N/A</v>
          </cell>
        </row>
        <row r="867">
          <cell r="A867" t="str">
            <v/>
          </cell>
          <cell r="B867" t="str">
            <v/>
          </cell>
          <cell r="C867" t="str">
            <v>Future</v>
          </cell>
          <cell r="D867" t="e">
            <v>#N/A</v>
          </cell>
          <cell r="E867">
            <v>-7.5152173913042484</v>
          </cell>
          <cell r="F867">
            <v>43.61521739130459</v>
          </cell>
          <cell r="G867">
            <v>31.441304347825231</v>
          </cell>
          <cell r="H867">
            <v>31.441304347825231</v>
          </cell>
          <cell r="I867" t="e">
            <v>#N/A</v>
          </cell>
          <cell r="J867" t="e">
            <v>#N/A</v>
          </cell>
          <cell r="K867">
            <v>42</v>
          </cell>
          <cell r="L867">
            <v>32</v>
          </cell>
          <cell r="M867" t="e">
            <v>#N/A</v>
          </cell>
          <cell r="N867">
            <v>37</v>
          </cell>
          <cell r="O867" t="e">
            <v>#N/A</v>
          </cell>
          <cell r="P867" t="str">
            <v/>
          </cell>
          <cell r="Q867" t="str">
            <v/>
          </cell>
          <cell r="R867" t="e">
            <v>#N/A</v>
          </cell>
        </row>
        <row r="868">
          <cell r="A868" t="str">
            <v/>
          </cell>
          <cell r="B868" t="str">
            <v/>
          </cell>
          <cell r="C868" t="str">
            <v>Future</v>
          </cell>
          <cell r="D868" t="e">
            <v>#N/A</v>
          </cell>
          <cell r="E868">
            <v>-7.651857707509782</v>
          </cell>
          <cell r="F868">
            <v>43.644584980237397</v>
          </cell>
          <cell r="G868">
            <v>31.431146245058432</v>
          </cell>
          <cell r="H868">
            <v>31.431146245058432</v>
          </cell>
          <cell r="I868" t="e">
            <v>#N/A</v>
          </cell>
          <cell r="J868" t="e">
            <v>#N/A</v>
          </cell>
          <cell r="K868">
            <v>42</v>
          </cell>
          <cell r="L868">
            <v>32</v>
          </cell>
          <cell r="M868" t="e">
            <v>#N/A</v>
          </cell>
          <cell r="N868">
            <v>37</v>
          </cell>
          <cell r="O868" t="e">
            <v>#N/A</v>
          </cell>
          <cell r="P868" t="str">
            <v/>
          </cell>
          <cell r="Q868" t="str">
            <v/>
          </cell>
          <cell r="R868" t="e">
            <v>#N/A</v>
          </cell>
        </row>
        <row r="869">
          <cell r="A869" t="str">
            <v/>
          </cell>
          <cell r="B869" t="str">
            <v/>
          </cell>
          <cell r="C869" t="str">
            <v>Future</v>
          </cell>
          <cell r="D869" t="e">
            <v>#N/A</v>
          </cell>
          <cell r="E869">
            <v>-7.7884980237153156</v>
          </cell>
          <cell r="F869">
            <v>43.673952569170204</v>
          </cell>
          <cell r="G869">
            <v>31.420988142291634</v>
          </cell>
          <cell r="H869">
            <v>31.420988142291634</v>
          </cell>
          <cell r="I869" t="e">
            <v>#N/A</v>
          </cell>
          <cell r="J869" t="e">
            <v>#N/A</v>
          </cell>
          <cell r="K869">
            <v>42</v>
          </cell>
          <cell r="L869">
            <v>32</v>
          </cell>
          <cell r="M869" t="e">
            <v>#N/A</v>
          </cell>
          <cell r="N869">
            <v>37</v>
          </cell>
          <cell r="O869" t="e">
            <v>#N/A</v>
          </cell>
          <cell r="P869" t="str">
            <v/>
          </cell>
          <cell r="Q869" t="str">
            <v/>
          </cell>
          <cell r="R869" t="e">
            <v>#N/A</v>
          </cell>
        </row>
        <row r="870">
          <cell r="A870" t="str">
            <v/>
          </cell>
          <cell r="B870" t="str">
            <v/>
          </cell>
          <cell r="C870" t="str">
            <v>Future</v>
          </cell>
          <cell r="D870" t="e">
            <v>#N/A</v>
          </cell>
          <cell r="E870">
            <v>-7.9251383399208493</v>
          </cell>
          <cell r="F870">
            <v>43.703320158103011</v>
          </cell>
          <cell r="G870">
            <v>31.410830039524836</v>
          </cell>
          <cell r="H870">
            <v>31.410830039524836</v>
          </cell>
          <cell r="I870" t="e">
            <v>#N/A</v>
          </cell>
          <cell r="J870" t="e">
            <v>#N/A</v>
          </cell>
          <cell r="K870">
            <v>42</v>
          </cell>
          <cell r="L870">
            <v>32</v>
          </cell>
          <cell r="M870" t="e">
            <v>#N/A</v>
          </cell>
          <cell r="N870">
            <v>37</v>
          </cell>
          <cell r="O870" t="e">
            <v>#N/A</v>
          </cell>
          <cell r="P870" t="str">
            <v/>
          </cell>
          <cell r="Q870" t="str">
            <v/>
          </cell>
          <cell r="R870" t="e">
            <v>#N/A</v>
          </cell>
        </row>
        <row r="871">
          <cell r="A871" t="str">
            <v/>
          </cell>
          <cell r="B871" t="str">
            <v/>
          </cell>
          <cell r="C871" t="str">
            <v>Future</v>
          </cell>
          <cell r="D871" t="e">
            <v>#N/A</v>
          </cell>
          <cell r="E871">
            <v>-8.061778656126382</v>
          </cell>
          <cell r="F871">
            <v>43.732687747035818</v>
          </cell>
          <cell r="G871">
            <v>31.400671936758037</v>
          </cell>
          <cell r="H871">
            <v>31.400671936758037</v>
          </cell>
          <cell r="I871" t="e">
            <v>#N/A</v>
          </cell>
          <cell r="J871" t="e">
            <v>#N/A</v>
          </cell>
          <cell r="K871">
            <v>42</v>
          </cell>
          <cell r="L871">
            <v>32</v>
          </cell>
          <cell r="M871" t="e">
            <v>#N/A</v>
          </cell>
          <cell r="N871">
            <v>37</v>
          </cell>
          <cell r="O871" t="e">
            <v>#N/A</v>
          </cell>
          <cell r="P871" t="str">
            <v/>
          </cell>
          <cell r="Q871" t="str">
            <v/>
          </cell>
          <cell r="R871" t="e">
            <v>#N/A</v>
          </cell>
        </row>
        <row r="872">
          <cell r="A872" t="str">
            <v/>
          </cell>
          <cell r="B872" t="str">
            <v/>
          </cell>
          <cell r="C872" t="str">
            <v>Future</v>
          </cell>
          <cell r="D872" t="e">
            <v>#N/A</v>
          </cell>
          <cell r="E872">
            <v>-8.1984189723319147</v>
          </cell>
          <cell r="F872">
            <v>43.762055335968626</v>
          </cell>
          <cell r="G872">
            <v>31.390513833991239</v>
          </cell>
          <cell r="H872">
            <v>31.390513833991239</v>
          </cell>
          <cell r="I872" t="e">
            <v>#N/A</v>
          </cell>
          <cell r="J872" t="e">
            <v>#N/A</v>
          </cell>
          <cell r="K872">
            <v>42</v>
          </cell>
          <cell r="L872">
            <v>32</v>
          </cell>
          <cell r="M872" t="e">
            <v>#N/A</v>
          </cell>
          <cell r="N872">
            <v>37</v>
          </cell>
          <cell r="O872" t="e">
            <v>#N/A</v>
          </cell>
          <cell r="P872" t="str">
            <v/>
          </cell>
          <cell r="Q872" t="str">
            <v/>
          </cell>
          <cell r="R872" t="e">
            <v>#N/A</v>
          </cell>
        </row>
        <row r="873">
          <cell r="A873" t="str">
            <v/>
          </cell>
          <cell r="B873" t="str">
            <v/>
          </cell>
          <cell r="C873" t="str">
            <v>Future</v>
          </cell>
          <cell r="D873" t="e">
            <v>#N/A</v>
          </cell>
          <cell r="E873">
            <v>-8.3350592885374475</v>
          </cell>
          <cell r="F873">
            <v>43.791422924901433</v>
          </cell>
          <cell r="G873">
            <v>31.380355731224441</v>
          </cell>
          <cell r="H873">
            <v>31.380355731224441</v>
          </cell>
          <cell r="I873" t="e">
            <v>#N/A</v>
          </cell>
          <cell r="J873" t="e">
            <v>#N/A</v>
          </cell>
          <cell r="K873">
            <v>42</v>
          </cell>
          <cell r="L873">
            <v>32</v>
          </cell>
          <cell r="M873" t="e">
            <v>#N/A</v>
          </cell>
          <cell r="N873">
            <v>37</v>
          </cell>
          <cell r="O873" t="e">
            <v>#N/A</v>
          </cell>
          <cell r="P873" t="str">
            <v/>
          </cell>
          <cell r="Q873" t="str">
            <v/>
          </cell>
          <cell r="R873" t="e">
            <v>#N/A</v>
          </cell>
        </row>
        <row r="874">
          <cell r="A874" t="str">
            <v/>
          </cell>
          <cell r="B874" t="str">
            <v/>
          </cell>
          <cell r="C874" t="str">
            <v>Future</v>
          </cell>
          <cell r="D874" t="e">
            <v>#N/A</v>
          </cell>
          <cell r="E874">
            <v>-8.4716996047429802</v>
          </cell>
          <cell r="F874">
            <v>43.82079051383424</v>
          </cell>
          <cell r="G874">
            <v>31.370197628457642</v>
          </cell>
          <cell r="H874">
            <v>31.370197628457642</v>
          </cell>
          <cell r="I874" t="e">
            <v>#N/A</v>
          </cell>
          <cell r="J874" t="e">
            <v>#N/A</v>
          </cell>
          <cell r="K874">
            <v>42</v>
          </cell>
          <cell r="L874">
            <v>32</v>
          </cell>
          <cell r="M874" t="e">
            <v>#N/A</v>
          </cell>
          <cell r="N874">
            <v>37</v>
          </cell>
          <cell r="O874" t="e">
            <v>#N/A</v>
          </cell>
          <cell r="P874" t="str">
            <v/>
          </cell>
          <cell r="Q874" t="str">
            <v/>
          </cell>
          <cell r="R874" t="e">
            <v>#N/A</v>
          </cell>
        </row>
        <row r="875">
          <cell r="A875" t="str">
            <v/>
          </cell>
          <cell r="B875" t="str">
            <v/>
          </cell>
          <cell r="C875" t="str">
            <v>Future</v>
          </cell>
          <cell r="D875" t="e">
            <v>#N/A</v>
          </cell>
          <cell r="E875">
            <v>-8.608339920948513</v>
          </cell>
          <cell r="F875">
            <v>43.850158102767047</v>
          </cell>
          <cell r="G875">
            <v>31.360039525690844</v>
          </cell>
          <cell r="H875">
            <v>31.360039525690844</v>
          </cell>
          <cell r="I875" t="e">
            <v>#N/A</v>
          </cell>
          <cell r="J875" t="e">
            <v>#N/A</v>
          </cell>
          <cell r="K875">
            <v>42</v>
          </cell>
          <cell r="L875">
            <v>32</v>
          </cell>
          <cell r="M875" t="e">
            <v>#N/A</v>
          </cell>
          <cell r="N875">
            <v>37</v>
          </cell>
          <cell r="O875" t="e">
            <v>#N/A</v>
          </cell>
          <cell r="P875" t="str">
            <v/>
          </cell>
          <cell r="Q875" t="str">
            <v/>
          </cell>
          <cell r="R875" t="e">
            <v>#N/A</v>
          </cell>
        </row>
        <row r="876">
          <cell r="A876" t="str">
            <v/>
          </cell>
          <cell r="B876" t="str">
            <v/>
          </cell>
          <cell r="C876" t="str">
            <v>Future</v>
          </cell>
          <cell r="D876" t="e">
            <v>#N/A</v>
          </cell>
          <cell r="E876">
            <v>-8.7449802371540457</v>
          </cell>
          <cell r="F876">
            <v>43.879525691699854</v>
          </cell>
          <cell r="G876">
            <v>31.349881422924046</v>
          </cell>
          <cell r="H876">
            <v>31.349881422924046</v>
          </cell>
          <cell r="I876" t="e">
            <v>#N/A</v>
          </cell>
          <cell r="J876" t="e">
            <v>#N/A</v>
          </cell>
          <cell r="K876">
            <v>42</v>
          </cell>
          <cell r="L876">
            <v>32</v>
          </cell>
          <cell r="M876" t="e">
            <v>#N/A</v>
          </cell>
          <cell r="N876">
            <v>37</v>
          </cell>
          <cell r="O876" t="e">
            <v>#N/A</v>
          </cell>
          <cell r="P876" t="str">
            <v/>
          </cell>
          <cell r="Q876" t="str">
            <v/>
          </cell>
          <cell r="R876" t="e">
            <v>#N/A</v>
          </cell>
        </row>
        <row r="877">
          <cell r="A877" t="str">
            <v/>
          </cell>
          <cell r="B877" t="str">
            <v/>
          </cell>
          <cell r="C877" t="str">
            <v>Future</v>
          </cell>
          <cell r="D877" t="e">
            <v>#N/A</v>
          </cell>
          <cell r="E877">
            <v>-8.8816205533595785</v>
          </cell>
          <cell r="F877">
            <v>43.908893280632661</v>
          </cell>
          <cell r="G877">
            <v>31.339723320157248</v>
          </cell>
          <cell r="H877">
            <v>31.339723320157248</v>
          </cell>
          <cell r="I877" t="e">
            <v>#N/A</v>
          </cell>
          <cell r="J877" t="e">
            <v>#N/A</v>
          </cell>
          <cell r="K877">
            <v>42</v>
          </cell>
          <cell r="L877">
            <v>32</v>
          </cell>
          <cell r="M877" t="e">
            <v>#N/A</v>
          </cell>
          <cell r="N877">
            <v>37</v>
          </cell>
          <cell r="O877" t="e">
            <v>#N/A</v>
          </cell>
          <cell r="P877" t="str">
            <v/>
          </cell>
          <cell r="Q877" t="str">
            <v/>
          </cell>
          <cell r="R877" t="e">
            <v>#N/A</v>
          </cell>
        </row>
        <row r="878">
          <cell r="A878" t="str">
            <v/>
          </cell>
          <cell r="B878" t="str">
            <v/>
          </cell>
          <cell r="C878" t="str">
            <v>Future</v>
          </cell>
          <cell r="D878" t="e">
            <v>#N/A</v>
          </cell>
          <cell r="E878">
            <v>-9.0182608695651112</v>
          </cell>
          <cell r="F878">
            <v>43.938260869565468</v>
          </cell>
          <cell r="G878">
            <v>31.329565217390449</v>
          </cell>
          <cell r="H878">
            <v>31.329565217390449</v>
          </cell>
          <cell r="I878" t="e">
            <v>#N/A</v>
          </cell>
          <cell r="J878" t="e">
            <v>#N/A</v>
          </cell>
          <cell r="K878">
            <v>42</v>
          </cell>
          <cell r="L878">
            <v>32</v>
          </cell>
          <cell r="M878" t="e">
            <v>#N/A</v>
          </cell>
          <cell r="N878">
            <v>37</v>
          </cell>
          <cell r="O878" t="e">
            <v>#N/A</v>
          </cell>
          <cell r="P878" t="str">
            <v/>
          </cell>
          <cell r="Q878" t="str">
            <v/>
          </cell>
          <cell r="R878" t="e">
            <v>#N/A</v>
          </cell>
        </row>
        <row r="879">
          <cell r="A879" t="str">
            <v/>
          </cell>
          <cell r="B879" t="str">
            <v/>
          </cell>
          <cell r="C879" t="str">
            <v>Future</v>
          </cell>
          <cell r="D879" t="e">
            <v>#N/A</v>
          </cell>
          <cell r="E879">
            <v>-9.1549011857706439</v>
          </cell>
          <cell r="F879">
            <v>43.967628458498275</v>
          </cell>
          <cell r="G879">
            <v>31.319407114623651</v>
          </cell>
          <cell r="H879">
            <v>31.319407114623651</v>
          </cell>
          <cell r="I879" t="e">
            <v>#N/A</v>
          </cell>
          <cell r="J879" t="e">
            <v>#N/A</v>
          </cell>
          <cell r="K879">
            <v>42</v>
          </cell>
          <cell r="L879">
            <v>32</v>
          </cell>
          <cell r="M879" t="e">
            <v>#N/A</v>
          </cell>
          <cell r="N879">
            <v>37</v>
          </cell>
          <cell r="O879" t="e">
            <v>#N/A</v>
          </cell>
          <cell r="P879" t="str">
            <v/>
          </cell>
          <cell r="Q879" t="str">
            <v/>
          </cell>
          <cell r="R879" t="e">
            <v>#N/A</v>
          </cell>
        </row>
        <row r="880">
          <cell r="A880" t="str">
            <v/>
          </cell>
          <cell r="B880" t="str">
            <v/>
          </cell>
          <cell r="C880" t="str">
            <v>Future</v>
          </cell>
          <cell r="D880" t="e">
            <v>#N/A</v>
          </cell>
          <cell r="E880">
            <v>-9.2915415019761767</v>
          </cell>
          <cell r="F880">
            <v>43.996996047431082</v>
          </cell>
          <cell r="G880">
            <v>31.309249011856853</v>
          </cell>
          <cell r="H880">
            <v>31.309249011856853</v>
          </cell>
          <cell r="I880" t="e">
            <v>#N/A</v>
          </cell>
          <cell r="J880" t="e">
            <v>#N/A</v>
          </cell>
          <cell r="K880">
            <v>42</v>
          </cell>
          <cell r="L880">
            <v>32</v>
          </cell>
          <cell r="M880" t="e">
            <v>#N/A</v>
          </cell>
          <cell r="N880">
            <v>37</v>
          </cell>
          <cell r="O880" t="e">
            <v>#N/A</v>
          </cell>
          <cell r="P880" t="str">
            <v/>
          </cell>
          <cell r="Q880" t="str">
            <v/>
          </cell>
          <cell r="R880" t="e">
            <v>#N/A</v>
          </cell>
        </row>
        <row r="881">
          <cell r="A881" t="str">
            <v/>
          </cell>
          <cell r="B881" t="str">
            <v/>
          </cell>
          <cell r="C881" t="str">
            <v>Future</v>
          </cell>
          <cell r="D881" t="e">
            <v>#N/A</v>
          </cell>
          <cell r="E881">
            <v>-9.4281818181817094</v>
          </cell>
          <cell r="F881">
            <v>44.026363636363889</v>
          </cell>
          <cell r="G881">
            <v>31.299090909090054</v>
          </cell>
          <cell r="H881">
            <v>31.299090909090054</v>
          </cell>
          <cell r="I881" t="e">
            <v>#N/A</v>
          </cell>
          <cell r="J881" t="e">
            <v>#N/A</v>
          </cell>
          <cell r="K881">
            <v>42</v>
          </cell>
          <cell r="L881">
            <v>32</v>
          </cell>
          <cell r="M881" t="e">
            <v>#N/A</v>
          </cell>
          <cell r="N881">
            <v>37</v>
          </cell>
          <cell r="O881" t="e">
            <v>#N/A</v>
          </cell>
          <cell r="P881" t="str">
            <v/>
          </cell>
          <cell r="Q881" t="str">
            <v/>
          </cell>
          <cell r="R881" t="e">
            <v>#N/A</v>
          </cell>
        </row>
        <row r="882">
          <cell r="A882" t="str">
            <v/>
          </cell>
          <cell r="B882" t="str">
            <v/>
          </cell>
          <cell r="C882" t="str">
            <v>Future</v>
          </cell>
          <cell r="D882" t="e">
            <v>#N/A</v>
          </cell>
          <cell r="E882">
            <v>-9.5648221343872422</v>
          </cell>
          <cell r="F882">
            <v>44.055731225296697</v>
          </cell>
          <cell r="G882">
            <v>31.288932806323256</v>
          </cell>
          <cell r="H882">
            <v>31.288932806323256</v>
          </cell>
          <cell r="I882" t="e">
            <v>#N/A</v>
          </cell>
          <cell r="J882" t="e">
            <v>#N/A</v>
          </cell>
          <cell r="K882">
            <v>42</v>
          </cell>
          <cell r="L882">
            <v>32</v>
          </cell>
          <cell r="M882" t="e">
            <v>#N/A</v>
          </cell>
          <cell r="N882">
            <v>37</v>
          </cell>
          <cell r="O882" t="e">
            <v>#N/A</v>
          </cell>
          <cell r="P882" t="str">
            <v/>
          </cell>
          <cell r="Q882" t="str">
            <v/>
          </cell>
          <cell r="R882" t="e">
            <v>#N/A</v>
          </cell>
        </row>
        <row r="883">
          <cell r="A883" t="str">
            <v/>
          </cell>
          <cell r="B883" t="str">
            <v/>
          </cell>
          <cell r="C883" t="str">
            <v>Future</v>
          </cell>
          <cell r="D883" t="e">
            <v>#N/A</v>
          </cell>
          <cell r="E883">
            <v>-9.7014624505927749</v>
          </cell>
          <cell r="F883">
            <v>44.085098814229504</v>
          </cell>
          <cell r="G883">
            <v>31.278774703556458</v>
          </cell>
          <cell r="H883">
            <v>31.278774703556458</v>
          </cell>
          <cell r="I883" t="e">
            <v>#N/A</v>
          </cell>
          <cell r="J883" t="e">
            <v>#N/A</v>
          </cell>
          <cell r="K883">
            <v>42</v>
          </cell>
          <cell r="L883">
            <v>32</v>
          </cell>
          <cell r="M883" t="e">
            <v>#N/A</v>
          </cell>
          <cell r="N883">
            <v>37</v>
          </cell>
          <cell r="O883" t="e">
            <v>#N/A</v>
          </cell>
          <cell r="P883" t="str">
            <v/>
          </cell>
          <cell r="Q883" t="str">
            <v/>
          </cell>
          <cell r="R883" t="e">
            <v>#N/A</v>
          </cell>
        </row>
        <row r="884">
          <cell r="A884" t="str">
            <v/>
          </cell>
          <cell r="B884" t="str">
            <v/>
          </cell>
          <cell r="C884" t="str">
            <v>Future</v>
          </cell>
          <cell r="D884" t="e">
            <v>#N/A</v>
          </cell>
          <cell r="E884">
            <v>-9.8381027667983076</v>
          </cell>
          <cell r="F884">
            <v>44.114466403162311</v>
          </cell>
          <cell r="G884">
            <v>31.26861660078966</v>
          </cell>
          <cell r="H884">
            <v>31.26861660078966</v>
          </cell>
          <cell r="I884" t="e">
            <v>#N/A</v>
          </cell>
          <cell r="J884" t="e">
            <v>#N/A</v>
          </cell>
          <cell r="K884">
            <v>42</v>
          </cell>
          <cell r="L884">
            <v>32</v>
          </cell>
          <cell r="M884" t="e">
            <v>#N/A</v>
          </cell>
          <cell r="N884">
            <v>37</v>
          </cell>
          <cell r="O884" t="e">
            <v>#N/A</v>
          </cell>
          <cell r="P884" t="str">
            <v/>
          </cell>
          <cell r="Q884" t="str">
            <v/>
          </cell>
          <cell r="R884" t="e">
            <v>#N/A</v>
          </cell>
        </row>
        <row r="885">
          <cell r="A885" t="str">
            <v/>
          </cell>
          <cell r="B885" t="str">
            <v/>
          </cell>
          <cell r="C885" t="str">
            <v>Future</v>
          </cell>
          <cell r="D885" t="e">
            <v>#N/A</v>
          </cell>
          <cell r="E885">
            <v>-9.9747430830038404</v>
          </cell>
          <cell r="F885">
            <v>44.143833992095118</v>
          </cell>
          <cell r="G885">
            <v>31.258458498022861</v>
          </cell>
          <cell r="H885">
            <v>31.258458498022861</v>
          </cell>
          <cell r="I885" t="e">
            <v>#N/A</v>
          </cell>
          <cell r="J885" t="e">
            <v>#N/A</v>
          </cell>
          <cell r="K885">
            <v>42</v>
          </cell>
          <cell r="L885">
            <v>32</v>
          </cell>
          <cell r="M885" t="e">
            <v>#N/A</v>
          </cell>
          <cell r="N885">
            <v>37</v>
          </cell>
          <cell r="O885" t="e">
            <v>#N/A</v>
          </cell>
          <cell r="P885" t="str">
            <v/>
          </cell>
          <cell r="Q885" t="str">
            <v/>
          </cell>
          <cell r="R885" t="e">
            <v>#N/A</v>
          </cell>
        </row>
        <row r="886">
          <cell r="A886" t="str">
            <v/>
          </cell>
          <cell r="B886" t="str">
            <v/>
          </cell>
          <cell r="C886" t="str">
            <v>Future</v>
          </cell>
          <cell r="D886" t="e">
            <v>#N/A</v>
          </cell>
          <cell r="E886">
            <v>-10.111383399209373</v>
          </cell>
          <cell r="F886">
            <v>44.173201581027925</v>
          </cell>
          <cell r="G886">
            <v>31.248300395256063</v>
          </cell>
          <cell r="H886">
            <v>31.248300395256063</v>
          </cell>
          <cell r="I886" t="e">
            <v>#N/A</v>
          </cell>
          <cell r="J886" t="e">
            <v>#N/A</v>
          </cell>
          <cell r="K886">
            <v>42</v>
          </cell>
          <cell r="L886">
            <v>32</v>
          </cell>
          <cell r="M886" t="e">
            <v>#N/A</v>
          </cell>
          <cell r="N886">
            <v>37</v>
          </cell>
          <cell r="O886" t="e">
            <v>#N/A</v>
          </cell>
          <cell r="P886" t="str">
            <v/>
          </cell>
          <cell r="Q886" t="str">
            <v/>
          </cell>
          <cell r="R886" t="e">
            <v>#N/A</v>
          </cell>
        </row>
        <row r="887">
          <cell r="A887" t="str">
            <v/>
          </cell>
          <cell r="B887" t="str">
            <v/>
          </cell>
          <cell r="C887" t="str">
            <v>Future</v>
          </cell>
          <cell r="D887" t="e">
            <v>#N/A</v>
          </cell>
          <cell r="E887">
            <v>-10.248023715414906</v>
          </cell>
          <cell r="F887">
            <v>44.202569169960732</v>
          </cell>
          <cell r="G887">
            <v>31.238142292489265</v>
          </cell>
          <cell r="H887">
            <v>31.238142292489265</v>
          </cell>
          <cell r="I887" t="e">
            <v>#N/A</v>
          </cell>
          <cell r="J887" t="e">
            <v>#N/A</v>
          </cell>
          <cell r="K887">
            <v>42</v>
          </cell>
          <cell r="L887">
            <v>32</v>
          </cell>
          <cell r="M887" t="e">
            <v>#N/A</v>
          </cell>
          <cell r="N887">
            <v>37</v>
          </cell>
          <cell r="O887" t="e">
            <v>#N/A</v>
          </cell>
          <cell r="P887" t="str">
            <v/>
          </cell>
          <cell r="Q887" t="str">
            <v/>
          </cell>
          <cell r="R887" t="e">
            <v>#N/A</v>
          </cell>
        </row>
        <row r="888">
          <cell r="A888" t="str">
            <v/>
          </cell>
          <cell r="B888" t="str">
            <v/>
          </cell>
          <cell r="C888" t="str">
            <v>Future</v>
          </cell>
          <cell r="D888" t="e">
            <v>#N/A</v>
          </cell>
          <cell r="E888">
            <v>-10.384664031620439</v>
          </cell>
          <cell r="F888">
            <v>44.231936758893539</v>
          </cell>
          <cell r="G888">
            <v>31.227984189722466</v>
          </cell>
          <cell r="H888">
            <v>31.227984189722466</v>
          </cell>
          <cell r="I888" t="e">
            <v>#N/A</v>
          </cell>
          <cell r="J888" t="e">
            <v>#N/A</v>
          </cell>
          <cell r="K888">
            <v>42</v>
          </cell>
          <cell r="L888">
            <v>32</v>
          </cell>
          <cell r="M888" t="e">
            <v>#N/A</v>
          </cell>
          <cell r="N888">
            <v>37</v>
          </cell>
          <cell r="O888" t="e">
            <v>#N/A</v>
          </cell>
          <cell r="P888" t="str">
            <v/>
          </cell>
          <cell r="Q888" t="str">
            <v/>
          </cell>
          <cell r="R888" t="e">
            <v>#N/A</v>
          </cell>
        </row>
        <row r="889">
          <cell r="A889" t="str">
            <v/>
          </cell>
          <cell r="B889" t="str">
            <v/>
          </cell>
          <cell r="C889" t="str">
            <v>Future</v>
          </cell>
          <cell r="D889" t="e">
            <v>#N/A</v>
          </cell>
          <cell r="E889">
            <v>-10.521304347825971</v>
          </cell>
          <cell r="F889">
            <v>44.261304347826346</v>
          </cell>
          <cell r="G889">
            <v>31.217826086955668</v>
          </cell>
          <cell r="H889">
            <v>31.217826086955668</v>
          </cell>
          <cell r="I889" t="e">
            <v>#N/A</v>
          </cell>
          <cell r="J889" t="e">
            <v>#N/A</v>
          </cell>
          <cell r="K889">
            <v>42</v>
          </cell>
          <cell r="L889">
            <v>32</v>
          </cell>
          <cell r="M889" t="e">
            <v>#N/A</v>
          </cell>
          <cell r="N889">
            <v>37</v>
          </cell>
          <cell r="O889" t="e">
            <v>#N/A</v>
          </cell>
          <cell r="P889" t="str">
            <v/>
          </cell>
          <cell r="Q889" t="str">
            <v/>
          </cell>
          <cell r="R889" t="e">
            <v>#N/A</v>
          </cell>
        </row>
        <row r="890">
          <cell r="A890" t="str">
            <v/>
          </cell>
          <cell r="B890" t="str">
            <v/>
          </cell>
          <cell r="C890" t="str">
            <v>Future</v>
          </cell>
          <cell r="D890" t="e">
            <v>#N/A</v>
          </cell>
          <cell r="E890">
            <v>-10.657944664031504</v>
          </cell>
          <cell r="F890">
            <v>44.290671936759153</v>
          </cell>
          <cell r="G890">
            <v>31.20766798418887</v>
          </cell>
          <cell r="H890">
            <v>31.20766798418887</v>
          </cell>
          <cell r="I890" t="e">
            <v>#N/A</v>
          </cell>
          <cell r="J890" t="e">
            <v>#N/A</v>
          </cell>
          <cell r="K890">
            <v>42</v>
          </cell>
          <cell r="L890">
            <v>32</v>
          </cell>
          <cell r="M890" t="e">
            <v>#N/A</v>
          </cell>
          <cell r="N890">
            <v>37</v>
          </cell>
          <cell r="O890" t="e">
            <v>#N/A</v>
          </cell>
          <cell r="P890" t="str">
            <v/>
          </cell>
          <cell r="Q890" t="str">
            <v/>
          </cell>
          <cell r="R890" t="e">
            <v>#N/A</v>
          </cell>
        </row>
        <row r="891">
          <cell r="A891" t="str">
            <v/>
          </cell>
          <cell r="B891" t="str">
            <v/>
          </cell>
          <cell r="C891" t="str">
            <v>Future</v>
          </cell>
          <cell r="D891" t="e">
            <v>#N/A</v>
          </cell>
          <cell r="E891">
            <v>-10.794584980237037</v>
          </cell>
          <cell r="F891">
            <v>44.320039525691961</v>
          </cell>
          <cell r="G891">
            <v>31.197509881422071</v>
          </cell>
          <cell r="H891">
            <v>31.197509881422071</v>
          </cell>
          <cell r="I891" t="e">
            <v>#N/A</v>
          </cell>
          <cell r="J891" t="e">
            <v>#N/A</v>
          </cell>
          <cell r="K891">
            <v>42</v>
          </cell>
          <cell r="L891">
            <v>32</v>
          </cell>
          <cell r="M891" t="e">
            <v>#N/A</v>
          </cell>
          <cell r="N891">
            <v>37</v>
          </cell>
          <cell r="O891" t="e">
            <v>#N/A</v>
          </cell>
          <cell r="P891" t="str">
            <v/>
          </cell>
          <cell r="Q891" t="str">
            <v/>
          </cell>
          <cell r="R891" t="e">
            <v>#N/A</v>
          </cell>
        </row>
        <row r="892">
          <cell r="A892" t="str">
            <v/>
          </cell>
          <cell r="B892" t="str">
            <v/>
          </cell>
          <cell r="C892" t="str">
            <v>Future</v>
          </cell>
          <cell r="D892" t="e">
            <v>#N/A</v>
          </cell>
          <cell r="E892">
            <v>-10.93122529644257</v>
          </cell>
          <cell r="F892">
            <v>44.349407114624768</v>
          </cell>
          <cell r="G892">
            <v>31.187351778655273</v>
          </cell>
          <cell r="H892">
            <v>31.187351778655273</v>
          </cell>
          <cell r="I892" t="e">
            <v>#N/A</v>
          </cell>
          <cell r="J892" t="e">
            <v>#N/A</v>
          </cell>
          <cell r="K892">
            <v>42</v>
          </cell>
          <cell r="L892">
            <v>32</v>
          </cell>
          <cell r="M892" t="e">
            <v>#N/A</v>
          </cell>
          <cell r="N892">
            <v>37</v>
          </cell>
          <cell r="O892" t="e">
            <v>#N/A</v>
          </cell>
          <cell r="P892" t="str">
            <v/>
          </cell>
          <cell r="Q892" t="str">
            <v/>
          </cell>
          <cell r="R892" t="e">
            <v>#N/A</v>
          </cell>
        </row>
        <row r="893">
          <cell r="A893" t="str">
            <v/>
          </cell>
          <cell r="B893" t="str">
            <v/>
          </cell>
          <cell r="C893" t="str">
            <v>Future</v>
          </cell>
          <cell r="D893" t="e">
            <v>#N/A</v>
          </cell>
          <cell r="E893">
            <v>-11.067865612648102</v>
          </cell>
          <cell r="F893">
            <v>44.378774703557575</v>
          </cell>
          <cell r="G893">
            <v>31.177193675888475</v>
          </cell>
          <cell r="H893">
            <v>31.177193675888475</v>
          </cell>
          <cell r="I893" t="e">
            <v>#N/A</v>
          </cell>
          <cell r="J893" t="e">
            <v>#N/A</v>
          </cell>
          <cell r="K893">
            <v>42</v>
          </cell>
          <cell r="L893">
            <v>32</v>
          </cell>
          <cell r="M893" t="e">
            <v>#N/A</v>
          </cell>
          <cell r="N893">
            <v>37</v>
          </cell>
          <cell r="O893" t="e">
            <v>#N/A</v>
          </cell>
          <cell r="P893" t="str">
            <v/>
          </cell>
          <cell r="Q893" t="str">
            <v/>
          </cell>
          <cell r="R893" t="e">
            <v>#N/A</v>
          </cell>
        </row>
        <row r="894">
          <cell r="A894" t="str">
            <v/>
          </cell>
          <cell r="B894" t="str">
            <v/>
          </cell>
          <cell r="C894" t="str">
            <v>Future</v>
          </cell>
          <cell r="D894" t="e">
            <v>#N/A</v>
          </cell>
          <cell r="E894">
            <v>-11.204505928853635</v>
          </cell>
          <cell r="F894">
            <v>44.408142292490382</v>
          </cell>
          <cell r="G894">
            <v>31.167035573121677</v>
          </cell>
          <cell r="H894">
            <v>31.167035573121677</v>
          </cell>
          <cell r="I894" t="e">
            <v>#N/A</v>
          </cell>
          <cell r="J894" t="e">
            <v>#N/A</v>
          </cell>
          <cell r="K894">
            <v>42</v>
          </cell>
          <cell r="L894">
            <v>32</v>
          </cell>
          <cell r="M894" t="e">
            <v>#N/A</v>
          </cell>
          <cell r="N894">
            <v>37</v>
          </cell>
          <cell r="O894" t="e">
            <v>#N/A</v>
          </cell>
          <cell r="P894" t="str">
            <v/>
          </cell>
          <cell r="Q894" t="str">
            <v/>
          </cell>
          <cell r="R894" t="e">
            <v>#N/A</v>
          </cell>
        </row>
        <row r="895">
          <cell r="A895" t="str">
            <v/>
          </cell>
          <cell r="B895" t="str">
            <v/>
          </cell>
          <cell r="C895" t="str">
            <v>Future</v>
          </cell>
          <cell r="D895" t="e">
            <v>#N/A</v>
          </cell>
          <cell r="E895">
            <v>-11.341146245059168</v>
          </cell>
          <cell r="F895">
            <v>44.437509881423189</v>
          </cell>
          <cell r="G895">
            <v>31.156877470354878</v>
          </cell>
          <cell r="H895">
            <v>31.156877470354878</v>
          </cell>
          <cell r="I895" t="e">
            <v>#N/A</v>
          </cell>
          <cell r="J895" t="e">
            <v>#N/A</v>
          </cell>
          <cell r="K895">
            <v>42</v>
          </cell>
          <cell r="L895">
            <v>32</v>
          </cell>
          <cell r="M895" t="e">
            <v>#N/A</v>
          </cell>
          <cell r="N895">
            <v>37</v>
          </cell>
          <cell r="O895" t="e">
            <v>#N/A</v>
          </cell>
          <cell r="P895" t="str">
            <v/>
          </cell>
          <cell r="Q895" t="str">
            <v/>
          </cell>
          <cell r="R895" t="e">
            <v>#N/A</v>
          </cell>
        </row>
        <row r="896">
          <cell r="A896" t="str">
            <v/>
          </cell>
          <cell r="B896" t="str">
            <v/>
          </cell>
          <cell r="C896" t="str">
            <v>Future</v>
          </cell>
          <cell r="D896" t="e">
            <v>#N/A</v>
          </cell>
          <cell r="E896">
            <v>-11.477786561264701</v>
          </cell>
          <cell r="F896">
            <v>44.466877470355996</v>
          </cell>
          <cell r="G896">
            <v>31.14671936758808</v>
          </cell>
          <cell r="H896">
            <v>31.14671936758808</v>
          </cell>
          <cell r="I896" t="e">
            <v>#N/A</v>
          </cell>
          <cell r="J896" t="e">
            <v>#N/A</v>
          </cell>
          <cell r="K896">
            <v>42</v>
          </cell>
          <cell r="L896">
            <v>32</v>
          </cell>
          <cell r="M896" t="e">
            <v>#N/A</v>
          </cell>
          <cell r="N896">
            <v>37</v>
          </cell>
          <cell r="O896" t="e">
            <v>#N/A</v>
          </cell>
          <cell r="P896" t="str">
            <v/>
          </cell>
          <cell r="Q896" t="str">
            <v/>
          </cell>
          <cell r="R896" t="e">
            <v>#N/A</v>
          </cell>
        </row>
        <row r="897">
          <cell r="A897" t="str">
            <v/>
          </cell>
          <cell r="B897" t="str">
            <v/>
          </cell>
          <cell r="C897" t="str">
            <v>Future</v>
          </cell>
          <cell r="D897" t="e">
            <v>#N/A</v>
          </cell>
          <cell r="E897">
            <v>-11.614426877470233</v>
          </cell>
          <cell r="F897">
            <v>44.496245059288803</v>
          </cell>
          <cell r="G897">
            <v>31.136561264821282</v>
          </cell>
          <cell r="H897">
            <v>31.136561264821282</v>
          </cell>
          <cell r="I897" t="e">
            <v>#N/A</v>
          </cell>
          <cell r="J897" t="e">
            <v>#N/A</v>
          </cell>
          <cell r="K897">
            <v>42</v>
          </cell>
          <cell r="L897">
            <v>32</v>
          </cell>
          <cell r="M897" t="e">
            <v>#N/A</v>
          </cell>
          <cell r="N897">
            <v>37</v>
          </cell>
          <cell r="O897" t="e">
            <v>#N/A</v>
          </cell>
          <cell r="P897" t="str">
            <v/>
          </cell>
          <cell r="Q897" t="str">
            <v/>
          </cell>
          <cell r="R897" t="e">
            <v>#N/A</v>
          </cell>
        </row>
        <row r="898">
          <cell r="A898" t="str">
            <v/>
          </cell>
          <cell r="B898" t="str">
            <v/>
          </cell>
          <cell r="C898" t="str">
            <v>Future</v>
          </cell>
          <cell r="D898" t="e">
            <v>#N/A</v>
          </cell>
          <cell r="E898">
            <v>-11.751067193675766</v>
          </cell>
          <cell r="F898">
            <v>44.52561264822161</v>
          </cell>
          <cell r="G898">
            <v>31.126403162054483</v>
          </cell>
          <cell r="H898">
            <v>31.126403162054483</v>
          </cell>
          <cell r="I898" t="e">
            <v>#N/A</v>
          </cell>
          <cell r="J898" t="e">
            <v>#N/A</v>
          </cell>
          <cell r="K898">
            <v>42</v>
          </cell>
          <cell r="L898">
            <v>32</v>
          </cell>
          <cell r="M898" t="e">
            <v>#N/A</v>
          </cell>
          <cell r="N898">
            <v>37</v>
          </cell>
          <cell r="O898" t="e">
            <v>#N/A</v>
          </cell>
          <cell r="P898" t="str">
            <v/>
          </cell>
          <cell r="Q898" t="str">
            <v/>
          </cell>
          <cell r="R898" t="e">
            <v>#N/A</v>
          </cell>
        </row>
        <row r="899">
          <cell r="A899" t="str">
            <v/>
          </cell>
          <cell r="B899" t="str">
            <v/>
          </cell>
          <cell r="C899" t="str">
            <v>Future</v>
          </cell>
          <cell r="D899" t="e">
            <v>#N/A</v>
          </cell>
          <cell r="E899">
            <v>-11.887707509881299</v>
          </cell>
          <cell r="F899">
            <v>44.554980237154417</v>
          </cell>
          <cell r="G899">
            <v>31.116245059287685</v>
          </cell>
          <cell r="H899">
            <v>31.116245059287685</v>
          </cell>
          <cell r="I899" t="e">
            <v>#N/A</v>
          </cell>
          <cell r="J899" t="e">
            <v>#N/A</v>
          </cell>
          <cell r="K899">
            <v>42</v>
          </cell>
          <cell r="L899">
            <v>32</v>
          </cell>
          <cell r="M899" t="e">
            <v>#N/A</v>
          </cell>
          <cell r="N899">
            <v>37</v>
          </cell>
          <cell r="O899" t="e">
            <v>#N/A</v>
          </cell>
          <cell r="P899" t="str">
            <v/>
          </cell>
          <cell r="Q899" t="str">
            <v/>
          </cell>
          <cell r="R899" t="e">
            <v>#N/A</v>
          </cell>
        </row>
        <row r="900">
          <cell r="A900" t="str">
            <v/>
          </cell>
          <cell r="B900" t="str">
            <v/>
          </cell>
          <cell r="C900" t="str">
            <v>Future</v>
          </cell>
          <cell r="D900" t="e">
            <v>#N/A</v>
          </cell>
          <cell r="E900">
            <v>-12.024347826086832</v>
          </cell>
          <cell r="F900">
            <v>44.584347826087225</v>
          </cell>
          <cell r="G900">
            <v>31.106086956520887</v>
          </cell>
          <cell r="H900">
            <v>31.106086956520887</v>
          </cell>
          <cell r="I900" t="e">
            <v>#N/A</v>
          </cell>
          <cell r="J900" t="e">
            <v>#N/A</v>
          </cell>
          <cell r="K900">
            <v>42</v>
          </cell>
          <cell r="L900">
            <v>32</v>
          </cell>
          <cell r="M900" t="e">
            <v>#N/A</v>
          </cell>
          <cell r="N900">
            <v>37</v>
          </cell>
          <cell r="O900" t="e">
            <v>#N/A</v>
          </cell>
          <cell r="P900" t="str">
            <v/>
          </cell>
          <cell r="Q900" t="str">
            <v/>
          </cell>
          <cell r="R900" t="e">
            <v>#N/A</v>
          </cell>
        </row>
        <row r="901">
          <cell r="A901" t="str">
            <v/>
          </cell>
          <cell r="B901" t="str">
            <v/>
          </cell>
          <cell r="C901" t="str">
            <v>Future</v>
          </cell>
          <cell r="D901" t="e">
            <v>#N/A</v>
          </cell>
          <cell r="E901">
            <v>-12.160988142292364</v>
          </cell>
          <cell r="F901">
            <v>44.613715415020032</v>
          </cell>
          <cell r="G901">
            <v>31.095928853754089</v>
          </cell>
          <cell r="H901">
            <v>31.095928853754089</v>
          </cell>
          <cell r="I901" t="e">
            <v>#N/A</v>
          </cell>
          <cell r="J901" t="e">
            <v>#N/A</v>
          </cell>
          <cell r="K901">
            <v>42</v>
          </cell>
          <cell r="L901">
            <v>32</v>
          </cell>
          <cell r="M901" t="e">
            <v>#N/A</v>
          </cell>
          <cell r="N901">
            <v>37</v>
          </cell>
          <cell r="O901" t="e">
            <v>#N/A</v>
          </cell>
          <cell r="P901" t="str">
            <v/>
          </cell>
          <cell r="Q901" t="str">
            <v/>
          </cell>
          <cell r="R901" t="e">
            <v>#N/A</v>
          </cell>
        </row>
        <row r="902">
          <cell r="A902" t="str">
            <v/>
          </cell>
          <cell r="B902" t="str">
            <v/>
          </cell>
          <cell r="C902" t="str">
            <v>Future</v>
          </cell>
          <cell r="D902" t="e">
            <v>#N/A</v>
          </cell>
          <cell r="E902">
            <v>-12.297628458497897</v>
          </cell>
          <cell r="F902">
            <v>44.643083003952839</v>
          </cell>
          <cell r="G902">
            <v>31.08577075098729</v>
          </cell>
          <cell r="H902">
            <v>31.08577075098729</v>
          </cell>
          <cell r="I902" t="e">
            <v>#N/A</v>
          </cell>
          <cell r="J902" t="e">
            <v>#N/A</v>
          </cell>
          <cell r="K902">
            <v>42</v>
          </cell>
          <cell r="L902">
            <v>32</v>
          </cell>
          <cell r="M902" t="e">
            <v>#N/A</v>
          </cell>
          <cell r="N902">
            <v>37</v>
          </cell>
          <cell r="O902" t="e">
            <v>#N/A</v>
          </cell>
          <cell r="P902" t="str">
            <v/>
          </cell>
          <cell r="Q902" t="str">
            <v/>
          </cell>
          <cell r="R902" t="e">
            <v>#N/A</v>
          </cell>
        </row>
        <row r="903">
          <cell r="A903" t="str">
            <v/>
          </cell>
          <cell r="B903" t="str">
            <v/>
          </cell>
          <cell r="C903" t="str">
            <v>Future</v>
          </cell>
          <cell r="D903" t="e">
            <v>#N/A</v>
          </cell>
          <cell r="E903">
            <v>-12.43426877470343</v>
          </cell>
          <cell r="F903">
            <v>44.672450592885646</v>
          </cell>
          <cell r="G903">
            <v>31.075612648220492</v>
          </cell>
          <cell r="H903">
            <v>31.075612648220492</v>
          </cell>
          <cell r="I903" t="e">
            <v>#N/A</v>
          </cell>
          <cell r="J903" t="e">
            <v>#N/A</v>
          </cell>
          <cell r="K903">
            <v>42</v>
          </cell>
          <cell r="L903">
            <v>32</v>
          </cell>
          <cell r="M903" t="e">
            <v>#N/A</v>
          </cell>
          <cell r="N903">
            <v>37</v>
          </cell>
          <cell r="O903" t="e">
            <v>#N/A</v>
          </cell>
          <cell r="P903" t="str">
            <v/>
          </cell>
          <cell r="Q903" t="str">
            <v/>
          </cell>
          <cell r="R903" t="e">
            <v>#N/A</v>
          </cell>
        </row>
        <row r="904">
          <cell r="A904" t="str">
            <v/>
          </cell>
          <cell r="B904" t="str">
            <v/>
          </cell>
          <cell r="C904" t="str">
            <v>Future</v>
          </cell>
          <cell r="D904" t="e">
            <v>#N/A</v>
          </cell>
          <cell r="E904">
            <v>-12.570909090908962</v>
          </cell>
          <cell r="F904">
            <v>44.701818181818453</v>
          </cell>
          <cell r="G904">
            <v>31.065454545453694</v>
          </cell>
          <cell r="H904">
            <v>31.065454545453694</v>
          </cell>
          <cell r="I904" t="e">
            <v>#N/A</v>
          </cell>
          <cell r="J904" t="e">
            <v>#N/A</v>
          </cell>
          <cell r="K904">
            <v>42</v>
          </cell>
          <cell r="L904">
            <v>32</v>
          </cell>
          <cell r="M904" t="e">
            <v>#N/A</v>
          </cell>
          <cell r="N904">
            <v>37</v>
          </cell>
          <cell r="O904" t="e">
            <v>#N/A</v>
          </cell>
          <cell r="P904" t="str">
            <v/>
          </cell>
          <cell r="Q904" t="str">
            <v/>
          </cell>
          <cell r="R904" t="e">
            <v>#N/A</v>
          </cell>
        </row>
        <row r="905">
          <cell r="A905" t="str">
            <v/>
          </cell>
          <cell r="B905" t="str">
            <v/>
          </cell>
          <cell r="C905" t="str">
            <v>Future</v>
          </cell>
          <cell r="D905" t="e">
            <v>#N/A</v>
          </cell>
          <cell r="E905">
            <v>-12.707549407114495</v>
          </cell>
          <cell r="F905">
            <v>44.73118577075126</v>
          </cell>
          <cell r="G905">
            <v>31.055296442686895</v>
          </cell>
          <cell r="H905">
            <v>31.055296442686895</v>
          </cell>
          <cell r="I905" t="e">
            <v>#N/A</v>
          </cell>
          <cell r="J905" t="e">
            <v>#N/A</v>
          </cell>
          <cell r="K905">
            <v>42</v>
          </cell>
          <cell r="L905">
            <v>32</v>
          </cell>
          <cell r="M905" t="e">
            <v>#N/A</v>
          </cell>
          <cell r="N905">
            <v>37</v>
          </cell>
          <cell r="O905" t="e">
            <v>#N/A</v>
          </cell>
          <cell r="P905" t="str">
            <v/>
          </cell>
          <cell r="Q905" t="str">
            <v/>
          </cell>
          <cell r="R905" t="e">
            <v>#N/A</v>
          </cell>
        </row>
        <row r="906">
          <cell r="A906" t="str">
            <v/>
          </cell>
          <cell r="B906" t="str">
            <v/>
          </cell>
          <cell r="C906" t="str">
            <v>Future</v>
          </cell>
          <cell r="D906" t="e">
            <v>#N/A</v>
          </cell>
          <cell r="E906">
            <v>-12.844189723320028</v>
          </cell>
          <cell r="F906">
            <v>44.760553359684067</v>
          </cell>
          <cell r="G906">
            <v>31.045138339920097</v>
          </cell>
          <cell r="H906">
            <v>31.045138339920097</v>
          </cell>
          <cell r="I906" t="e">
            <v>#N/A</v>
          </cell>
          <cell r="J906" t="e">
            <v>#N/A</v>
          </cell>
          <cell r="K906">
            <v>42</v>
          </cell>
          <cell r="L906">
            <v>32</v>
          </cell>
          <cell r="M906" t="e">
            <v>#N/A</v>
          </cell>
          <cell r="N906">
            <v>37</v>
          </cell>
          <cell r="O906" t="e">
            <v>#N/A</v>
          </cell>
          <cell r="P906" t="str">
            <v/>
          </cell>
          <cell r="Q906" t="str">
            <v/>
          </cell>
          <cell r="R906" t="e">
            <v>#N/A</v>
          </cell>
        </row>
        <row r="907">
          <cell r="A907" t="str">
            <v/>
          </cell>
          <cell r="B907" t="str">
            <v/>
          </cell>
          <cell r="C907" t="str">
            <v>Future</v>
          </cell>
          <cell r="D907" t="e">
            <v>#N/A</v>
          </cell>
          <cell r="E907">
            <v>-12.980830039525561</v>
          </cell>
          <cell r="F907">
            <v>44.789920948616874</v>
          </cell>
          <cell r="G907">
            <v>31.034980237153299</v>
          </cell>
          <cell r="H907">
            <v>31.034980237153299</v>
          </cell>
          <cell r="I907" t="e">
            <v>#N/A</v>
          </cell>
          <cell r="J907" t="e">
            <v>#N/A</v>
          </cell>
          <cell r="K907">
            <v>42</v>
          </cell>
          <cell r="L907">
            <v>32</v>
          </cell>
          <cell r="M907" t="e">
            <v>#N/A</v>
          </cell>
          <cell r="N907">
            <v>37</v>
          </cell>
          <cell r="O907" t="e">
            <v>#N/A</v>
          </cell>
          <cell r="P907" t="str">
            <v/>
          </cell>
          <cell r="Q907" t="str">
            <v/>
          </cell>
          <cell r="R907" t="e">
            <v>#N/A</v>
          </cell>
        </row>
        <row r="908">
          <cell r="A908" t="str">
            <v/>
          </cell>
          <cell r="B908" t="str">
            <v/>
          </cell>
          <cell r="C908" t="str">
            <v>Future</v>
          </cell>
          <cell r="D908" t="e">
            <v>#N/A</v>
          </cell>
          <cell r="E908">
            <v>-13.117470355731093</v>
          </cell>
          <cell r="F908">
            <v>44.819288537549681</v>
          </cell>
          <cell r="G908">
            <v>31.0248221343865</v>
          </cell>
          <cell r="H908">
            <v>31.0248221343865</v>
          </cell>
          <cell r="I908" t="e">
            <v>#N/A</v>
          </cell>
          <cell r="J908" t="e">
            <v>#N/A</v>
          </cell>
          <cell r="K908">
            <v>42</v>
          </cell>
          <cell r="L908">
            <v>32</v>
          </cell>
          <cell r="M908" t="e">
            <v>#N/A</v>
          </cell>
          <cell r="N908">
            <v>37</v>
          </cell>
          <cell r="O908" t="e">
            <v>#N/A</v>
          </cell>
          <cell r="P908" t="str">
            <v/>
          </cell>
          <cell r="Q908" t="str">
            <v/>
          </cell>
          <cell r="R908" t="e">
            <v>#N/A</v>
          </cell>
        </row>
        <row r="909">
          <cell r="A909" t="str">
            <v/>
          </cell>
          <cell r="B909" t="str">
            <v/>
          </cell>
          <cell r="C909" t="str">
            <v>Future</v>
          </cell>
          <cell r="D909" t="e">
            <v>#N/A</v>
          </cell>
          <cell r="E909">
            <v>-13.254110671936626</v>
          </cell>
          <cell r="F909">
            <v>44.848656126482489</v>
          </cell>
          <cell r="G909">
            <v>31.014664031619702</v>
          </cell>
          <cell r="H909">
            <v>31.014664031619702</v>
          </cell>
          <cell r="I909" t="e">
            <v>#N/A</v>
          </cell>
          <cell r="J909" t="e">
            <v>#N/A</v>
          </cell>
          <cell r="K909">
            <v>42</v>
          </cell>
          <cell r="L909">
            <v>32</v>
          </cell>
          <cell r="M909" t="e">
            <v>#N/A</v>
          </cell>
          <cell r="N909">
            <v>37</v>
          </cell>
          <cell r="O909" t="e">
            <v>#N/A</v>
          </cell>
          <cell r="P909" t="str">
            <v/>
          </cell>
          <cell r="Q909" t="str">
            <v/>
          </cell>
          <cell r="R909" t="e">
            <v>#N/A</v>
          </cell>
        </row>
        <row r="910">
          <cell r="A910" t="str">
            <v/>
          </cell>
          <cell r="B910" t="str">
            <v/>
          </cell>
          <cell r="C910" t="str">
            <v>Future</v>
          </cell>
          <cell r="D910" t="e">
            <v>#N/A</v>
          </cell>
          <cell r="E910">
            <v>-13.390750988142159</v>
          </cell>
          <cell r="F910">
            <v>44.878023715415296</v>
          </cell>
          <cell r="G910">
            <v>31.004505928852904</v>
          </cell>
          <cell r="H910">
            <v>31.004505928852904</v>
          </cell>
          <cell r="I910" t="e">
            <v>#N/A</v>
          </cell>
          <cell r="J910" t="e">
            <v>#N/A</v>
          </cell>
          <cell r="K910">
            <v>42</v>
          </cell>
          <cell r="L910">
            <v>32</v>
          </cell>
          <cell r="M910" t="e">
            <v>#N/A</v>
          </cell>
          <cell r="N910">
            <v>37</v>
          </cell>
          <cell r="O910" t="e">
            <v>#N/A</v>
          </cell>
          <cell r="P910" t="str">
            <v/>
          </cell>
          <cell r="Q910" t="str">
            <v/>
          </cell>
          <cell r="R910" t="e">
            <v>#N/A</v>
          </cell>
        </row>
        <row r="911">
          <cell r="A911" t="str">
            <v/>
          </cell>
          <cell r="B911" t="str">
            <v/>
          </cell>
          <cell r="C911" t="str">
            <v>Future</v>
          </cell>
          <cell r="D911" t="e">
            <v>#N/A</v>
          </cell>
          <cell r="E911">
            <v>-13.527391304347692</v>
          </cell>
          <cell r="F911">
            <v>44.907391304348103</v>
          </cell>
          <cell r="G911">
            <v>30.994347826086106</v>
          </cell>
          <cell r="H911">
            <v>30.994347826086106</v>
          </cell>
          <cell r="I911" t="e">
            <v>#N/A</v>
          </cell>
          <cell r="J911" t="e">
            <v>#N/A</v>
          </cell>
          <cell r="K911">
            <v>42</v>
          </cell>
          <cell r="L911">
            <v>32</v>
          </cell>
          <cell r="M911" t="e">
            <v>#N/A</v>
          </cell>
          <cell r="N911">
            <v>37</v>
          </cell>
          <cell r="O911" t="e">
            <v>#N/A</v>
          </cell>
          <cell r="P911" t="str">
            <v/>
          </cell>
          <cell r="Q911" t="str">
            <v/>
          </cell>
          <cell r="R911" t="e">
            <v>#N/A</v>
          </cell>
        </row>
        <row r="912">
          <cell r="A912" t="str">
            <v/>
          </cell>
          <cell r="B912" t="str">
            <v/>
          </cell>
          <cell r="C912" t="str">
            <v>Future</v>
          </cell>
          <cell r="D912" t="e">
            <v>#N/A</v>
          </cell>
          <cell r="E912">
            <v>-13.664031620553224</v>
          </cell>
          <cell r="F912">
            <v>44.93675889328091</v>
          </cell>
          <cell r="G912">
            <v>30.984189723319307</v>
          </cell>
          <cell r="H912">
            <v>30.984189723319307</v>
          </cell>
          <cell r="I912" t="e">
            <v>#N/A</v>
          </cell>
          <cell r="J912" t="e">
            <v>#N/A</v>
          </cell>
          <cell r="K912">
            <v>42</v>
          </cell>
          <cell r="L912">
            <v>32</v>
          </cell>
          <cell r="M912" t="e">
            <v>#N/A</v>
          </cell>
          <cell r="N912">
            <v>37</v>
          </cell>
          <cell r="O912" t="e">
            <v>#N/A</v>
          </cell>
          <cell r="P912" t="str">
            <v/>
          </cell>
          <cell r="Q912" t="str">
            <v/>
          </cell>
          <cell r="R912" t="e">
            <v>#N/A</v>
          </cell>
        </row>
        <row r="913">
          <cell r="A913" t="str">
            <v/>
          </cell>
          <cell r="B913" t="str">
            <v/>
          </cell>
          <cell r="C913" t="str">
            <v>Future</v>
          </cell>
          <cell r="D913" t="e">
            <v>#N/A</v>
          </cell>
          <cell r="E913">
            <v>-13.800671936758757</v>
          </cell>
          <cell r="F913">
            <v>44.966126482213717</v>
          </cell>
          <cell r="G913">
            <v>30.974031620552509</v>
          </cell>
          <cell r="H913">
            <v>30.974031620552509</v>
          </cell>
          <cell r="I913" t="e">
            <v>#N/A</v>
          </cell>
          <cell r="J913" t="e">
            <v>#N/A</v>
          </cell>
          <cell r="K913">
            <v>42</v>
          </cell>
          <cell r="L913">
            <v>32</v>
          </cell>
          <cell r="M913" t="e">
            <v>#N/A</v>
          </cell>
          <cell r="N913">
            <v>37</v>
          </cell>
          <cell r="O913" t="e">
            <v>#N/A</v>
          </cell>
          <cell r="P913" t="str">
            <v/>
          </cell>
          <cell r="Q913" t="str">
            <v/>
          </cell>
          <cell r="R913" t="e">
            <v>#N/A</v>
          </cell>
        </row>
        <row r="914">
          <cell r="A914" t="str">
            <v/>
          </cell>
          <cell r="B914" t="str">
            <v/>
          </cell>
          <cell r="C914" t="str">
            <v>Future</v>
          </cell>
          <cell r="D914" t="e">
            <v>#N/A</v>
          </cell>
          <cell r="E914">
            <v>-13.93731225296429</v>
          </cell>
          <cell r="F914">
            <v>44.995494071146524</v>
          </cell>
          <cell r="G914">
            <v>30.963873517785711</v>
          </cell>
          <cell r="H914">
            <v>30.963873517785711</v>
          </cell>
          <cell r="I914" t="e">
            <v>#N/A</v>
          </cell>
          <cell r="J914" t="e">
            <v>#N/A</v>
          </cell>
          <cell r="K914">
            <v>42</v>
          </cell>
          <cell r="L914">
            <v>32</v>
          </cell>
          <cell r="M914" t="e">
            <v>#N/A</v>
          </cell>
          <cell r="N914">
            <v>37</v>
          </cell>
          <cell r="O914" t="e">
            <v>#N/A</v>
          </cell>
          <cell r="P914" t="str">
            <v/>
          </cell>
          <cell r="Q914" t="str">
            <v/>
          </cell>
          <cell r="R914" t="e">
            <v>#N/A</v>
          </cell>
        </row>
        <row r="915">
          <cell r="A915" t="str">
            <v/>
          </cell>
          <cell r="B915" t="str">
            <v/>
          </cell>
          <cell r="C915" t="str">
            <v>Future</v>
          </cell>
          <cell r="D915" t="e">
            <v>#N/A</v>
          </cell>
          <cell r="E915">
            <v>-14.073952569169823</v>
          </cell>
          <cell r="F915">
            <v>45.024861660079331</v>
          </cell>
          <cell r="G915">
            <v>30.953715415018912</v>
          </cell>
          <cell r="H915">
            <v>30.953715415018912</v>
          </cell>
          <cell r="I915" t="e">
            <v>#N/A</v>
          </cell>
          <cell r="J915" t="e">
            <v>#N/A</v>
          </cell>
          <cell r="K915">
            <v>42</v>
          </cell>
          <cell r="L915">
            <v>32</v>
          </cell>
          <cell r="M915" t="e">
            <v>#N/A</v>
          </cell>
          <cell r="N915">
            <v>37</v>
          </cell>
          <cell r="O915" t="e">
            <v>#N/A</v>
          </cell>
          <cell r="P915" t="str">
            <v/>
          </cell>
          <cell r="Q915" t="str">
            <v/>
          </cell>
          <cell r="R915" t="e">
            <v>#N/A</v>
          </cell>
        </row>
        <row r="916">
          <cell r="A916" t="str">
            <v/>
          </cell>
          <cell r="B916" t="str">
            <v/>
          </cell>
          <cell r="C916" t="str">
            <v>Future</v>
          </cell>
          <cell r="D916" t="e">
            <v>#N/A</v>
          </cell>
          <cell r="E916">
            <v>-14.210592885375355</v>
          </cell>
          <cell r="F916">
            <v>45.054229249012138</v>
          </cell>
          <cell r="G916">
            <v>30.943557312252114</v>
          </cell>
          <cell r="H916">
            <v>30.943557312252114</v>
          </cell>
          <cell r="I916" t="e">
            <v>#N/A</v>
          </cell>
          <cell r="J916" t="e">
            <v>#N/A</v>
          </cell>
          <cell r="K916">
            <v>42</v>
          </cell>
          <cell r="L916">
            <v>32</v>
          </cell>
          <cell r="M916" t="e">
            <v>#N/A</v>
          </cell>
          <cell r="N916">
            <v>37</v>
          </cell>
          <cell r="O916" t="e">
            <v>#N/A</v>
          </cell>
          <cell r="P916" t="str">
            <v/>
          </cell>
          <cell r="Q916" t="str">
            <v/>
          </cell>
          <cell r="R916" t="e">
            <v>#N/A</v>
          </cell>
        </row>
        <row r="917">
          <cell r="A917" t="str">
            <v/>
          </cell>
          <cell r="B917" t="str">
            <v/>
          </cell>
          <cell r="C917" t="str">
            <v>Future</v>
          </cell>
          <cell r="D917" t="e">
            <v>#N/A</v>
          </cell>
          <cell r="E917">
            <v>-14.347233201580888</v>
          </cell>
          <cell r="F917">
            <v>45.083596837944945</v>
          </cell>
          <cell r="G917">
            <v>30.933399209485316</v>
          </cell>
          <cell r="H917">
            <v>30.933399209485316</v>
          </cell>
          <cell r="I917" t="e">
            <v>#N/A</v>
          </cell>
          <cell r="J917" t="e">
            <v>#N/A</v>
          </cell>
          <cell r="K917">
            <v>42</v>
          </cell>
          <cell r="L917">
            <v>32</v>
          </cell>
          <cell r="M917" t="e">
            <v>#N/A</v>
          </cell>
          <cell r="N917">
            <v>37</v>
          </cell>
          <cell r="O917" t="e">
            <v>#N/A</v>
          </cell>
          <cell r="P917" t="str">
            <v/>
          </cell>
          <cell r="Q917" t="str">
            <v/>
          </cell>
          <cell r="R917" t="e">
            <v>#N/A</v>
          </cell>
        </row>
        <row r="918">
          <cell r="A918" t="str">
            <v/>
          </cell>
          <cell r="B918" t="str">
            <v/>
          </cell>
          <cell r="C918" t="str">
            <v>Future</v>
          </cell>
          <cell r="D918" t="e">
            <v>#N/A</v>
          </cell>
          <cell r="E918">
            <v>-14.483873517786421</v>
          </cell>
          <cell r="F918">
            <v>45.112964426877753</v>
          </cell>
          <cell r="G918">
            <v>30.923241106718518</v>
          </cell>
          <cell r="H918">
            <v>30.923241106718518</v>
          </cell>
          <cell r="I918" t="e">
            <v>#N/A</v>
          </cell>
          <cell r="J918" t="e">
            <v>#N/A</v>
          </cell>
          <cell r="K918">
            <v>42</v>
          </cell>
          <cell r="L918">
            <v>32</v>
          </cell>
          <cell r="M918" t="e">
            <v>#N/A</v>
          </cell>
          <cell r="N918">
            <v>37</v>
          </cell>
          <cell r="O918" t="e">
            <v>#N/A</v>
          </cell>
          <cell r="P918" t="str">
            <v/>
          </cell>
          <cell r="Q918" t="str">
            <v/>
          </cell>
          <cell r="R918" t="e">
            <v>#N/A</v>
          </cell>
        </row>
        <row r="919">
          <cell r="A919" t="str">
            <v/>
          </cell>
          <cell r="B919" t="str">
            <v/>
          </cell>
          <cell r="C919" t="str">
            <v>Future</v>
          </cell>
          <cell r="D919" t="e">
            <v>#N/A</v>
          </cell>
          <cell r="E919">
            <v>-14.620513833991954</v>
          </cell>
          <cell r="F919">
            <v>45.14233201581056</v>
          </cell>
          <cell r="G919">
            <v>30.913083003951719</v>
          </cell>
          <cell r="H919">
            <v>30.913083003951719</v>
          </cell>
          <cell r="I919" t="e">
            <v>#N/A</v>
          </cell>
          <cell r="J919" t="e">
            <v>#N/A</v>
          </cell>
          <cell r="K919">
            <v>42</v>
          </cell>
          <cell r="L919">
            <v>32</v>
          </cell>
          <cell r="M919" t="e">
            <v>#N/A</v>
          </cell>
          <cell r="N919">
            <v>37</v>
          </cell>
          <cell r="O919" t="e">
            <v>#N/A</v>
          </cell>
          <cell r="P919" t="str">
            <v/>
          </cell>
          <cell r="Q919" t="str">
            <v/>
          </cell>
          <cell r="R919" t="e">
            <v>#N/A</v>
          </cell>
        </row>
        <row r="920">
          <cell r="A920" t="str">
            <v/>
          </cell>
          <cell r="B920" t="str">
            <v/>
          </cell>
          <cell r="C920" t="str">
            <v>Future</v>
          </cell>
          <cell r="D920" t="e">
            <v>#N/A</v>
          </cell>
          <cell r="E920">
            <v>-14.757154150197486</v>
          </cell>
          <cell r="F920">
            <v>45.171699604743367</v>
          </cell>
          <cell r="G920">
            <v>30.902924901184921</v>
          </cell>
          <cell r="H920">
            <v>30.902924901184921</v>
          </cell>
          <cell r="I920" t="e">
            <v>#N/A</v>
          </cell>
          <cell r="J920" t="e">
            <v>#N/A</v>
          </cell>
          <cell r="K920">
            <v>42</v>
          </cell>
          <cell r="L920">
            <v>32</v>
          </cell>
          <cell r="M920" t="e">
            <v>#N/A</v>
          </cell>
          <cell r="N920">
            <v>37</v>
          </cell>
          <cell r="O920" t="e">
            <v>#N/A</v>
          </cell>
          <cell r="P920" t="str">
            <v/>
          </cell>
          <cell r="Q920" t="str">
            <v/>
          </cell>
          <cell r="R920" t="e">
            <v>#N/A</v>
          </cell>
        </row>
        <row r="921">
          <cell r="A921" t="str">
            <v/>
          </cell>
          <cell r="B921" t="str">
            <v/>
          </cell>
          <cell r="C921" t="str">
            <v>Future</v>
          </cell>
          <cell r="D921" t="e">
            <v>#N/A</v>
          </cell>
          <cell r="E921">
            <v>-14.893794466403019</v>
          </cell>
          <cell r="F921">
            <v>45.201067193676174</v>
          </cell>
          <cell r="G921">
            <v>30.892766798418123</v>
          </cell>
          <cell r="H921">
            <v>30.892766798418123</v>
          </cell>
          <cell r="I921" t="e">
            <v>#N/A</v>
          </cell>
          <cell r="J921" t="e">
            <v>#N/A</v>
          </cell>
          <cell r="K921">
            <v>42</v>
          </cell>
          <cell r="L921">
            <v>32</v>
          </cell>
          <cell r="M921" t="e">
            <v>#N/A</v>
          </cell>
          <cell r="N921">
            <v>37</v>
          </cell>
          <cell r="O921" t="e">
            <v>#N/A</v>
          </cell>
          <cell r="P921" t="str">
            <v/>
          </cell>
          <cell r="Q921" t="str">
            <v/>
          </cell>
          <cell r="R921" t="e">
            <v>#N/A</v>
          </cell>
        </row>
        <row r="922">
          <cell r="A922" t="str">
            <v/>
          </cell>
          <cell r="B922" t="str">
            <v/>
          </cell>
          <cell r="C922" t="str">
            <v>Future</v>
          </cell>
          <cell r="D922" t="e">
            <v>#N/A</v>
          </cell>
          <cell r="E922">
            <v>-15.030434782608552</v>
          </cell>
          <cell r="F922">
            <v>45.230434782608981</v>
          </cell>
          <cell r="G922">
            <v>30.882608695651324</v>
          </cell>
          <cell r="H922">
            <v>30.882608695651324</v>
          </cell>
          <cell r="I922" t="e">
            <v>#N/A</v>
          </cell>
          <cell r="J922" t="e">
            <v>#N/A</v>
          </cell>
          <cell r="K922">
            <v>42</v>
          </cell>
          <cell r="L922">
            <v>32</v>
          </cell>
          <cell r="M922" t="e">
            <v>#N/A</v>
          </cell>
          <cell r="N922">
            <v>37</v>
          </cell>
          <cell r="O922" t="e">
            <v>#N/A</v>
          </cell>
          <cell r="P922" t="str">
            <v/>
          </cell>
          <cell r="Q922" t="str">
            <v/>
          </cell>
          <cell r="R922" t="e">
            <v>#N/A</v>
          </cell>
        </row>
        <row r="923">
          <cell r="A923" t="str">
            <v/>
          </cell>
          <cell r="B923" t="str">
            <v/>
          </cell>
          <cell r="C923" t="str">
            <v>Future</v>
          </cell>
          <cell r="D923" t="e">
            <v>#N/A</v>
          </cell>
          <cell r="E923">
            <v>-15.167075098814085</v>
          </cell>
          <cell r="F923">
            <v>45.259802371541788</v>
          </cell>
          <cell r="G923">
            <v>30.872450592884526</v>
          </cell>
          <cell r="H923">
            <v>30.872450592884526</v>
          </cell>
          <cell r="I923" t="e">
            <v>#N/A</v>
          </cell>
          <cell r="J923" t="e">
            <v>#N/A</v>
          </cell>
          <cell r="K923">
            <v>42</v>
          </cell>
          <cell r="L923">
            <v>32</v>
          </cell>
          <cell r="M923" t="e">
            <v>#N/A</v>
          </cell>
          <cell r="N923">
            <v>37</v>
          </cell>
          <cell r="O923" t="e">
            <v>#N/A</v>
          </cell>
          <cell r="P923" t="str">
            <v/>
          </cell>
          <cell r="Q923" t="str">
            <v/>
          </cell>
          <cell r="R923" t="e">
            <v>#N/A</v>
          </cell>
        </row>
        <row r="924">
          <cell r="A924" t="str">
            <v/>
          </cell>
          <cell r="B924" t="str">
            <v/>
          </cell>
          <cell r="C924" t="str">
            <v>Future</v>
          </cell>
          <cell r="D924" t="e">
            <v>#N/A</v>
          </cell>
          <cell r="E924">
            <v>-15.303715415019617</v>
          </cell>
          <cell r="F924">
            <v>45.289169960474595</v>
          </cell>
          <cell r="G924">
            <v>30.862292490117728</v>
          </cell>
          <cell r="H924">
            <v>30.862292490117728</v>
          </cell>
          <cell r="I924" t="e">
            <v>#N/A</v>
          </cell>
          <cell r="J924" t="e">
            <v>#N/A</v>
          </cell>
          <cell r="K924">
            <v>42</v>
          </cell>
          <cell r="L924">
            <v>32</v>
          </cell>
          <cell r="M924" t="e">
            <v>#N/A</v>
          </cell>
          <cell r="N924">
            <v>37</v>
          </cell>
          <cell r="O924" t="e">
            <v>#N/A</v>
          </cell>
          <cell r="P924" t="str">
            <v/>
          </cell>
          <cell r="Q924" t="str">
            <v/>
          </cell>
          <cell r="R924" t="e">
            <v>#N/A</v>
          </cell>
        </row>
        <row r="925">
          <cell r="A925" t="str">
            <v/>
          </cell>
          <cell r="B925" t="str">
            <v/>
          </cell>
          <cell r="C925" t="str">
            <v>Future</v>
          </cell>
          <cell r="D925" t="e">
            <v>#N/A</v>
          </cell>
          <cell r="E925">
            <v>-15.44035573122515</v>
          </cell>
          <cell r="F925">
            <v>45.318537549407402</v>
          </cell>
          <cell r="G925">
            <v>30.85213438735093</v>
          </cell>
          <cell r="H925">
            <v>30.85213438735093</v>
          </cell>
          <cell r="I925" t="e">
            <v>#N/A</v>
          </cell>
          <cell r="J925" t="e">
            <v>#N/A</v>
          </cell>
          <cell r="K925">
            <v>42</v>
          </cell>
          <cell r="L925">
            <v>32</v>
          </cell>
          <cell r="M925" t="e">
            <v>#N/A</v>
          </cell>
          <cell r="N925">
            <v>37</v>
          </cell>
          <cell r="O925" t="e">
            <v>#N/A</v>
          </cell>
          <cell r="P925" t="str">
            <v/>
          </cell>
          <cell r="Q925" t="str">
            <v/>
          </cell>
          <cell r="R925" t="e">
            <v>#N/A</v>
          </cell>
        </row>
        <row r="926">
          <cell r="A926" t="str">
            <v/>
          </cell>
          <cell r="B926" t="str">
            <v/>
          </cell>
          <cell r="C926" t="str">
            <v>Future</v>
          </cell>
          <cell r="D926" t="e">
            <v>#N/A</v>
          </cell>
          <cell r="E926">
            <v>-15.576996047430683</v>
          </cell>
          <cell r="F926">
            <v>45.347905138340209</v>
          </cell>
          <cell r="G926">
            <v>30.841976284584131</v>
          </cell>
          <cell r="H926">
            <v>30.841976284584131</v>
          </cell>
          <cell r="I926" t="e">
            <v>#N/A</v>
          </cell>
          <cell r="J926" t="e">
            <v>#N/A</v>
          </cell>
          <cell r="K926">
            <v>42</v>
          </cell>
          <cell r="L926">
            <v>32</v>
          </cell>
          <cell r="M926" t="e">
            <v>#N/A</v>
          </cell>
          <cell r="N926">
            <v>37</v>
          </cell>
          <cell r="O926" t="e">
            <v>#N/A</v>
          </cell>
          <cell r="P926" t="str">
            <v/>
          </cell>
          <cell r="Q926" t="str">
            <v/>
          </cell>
          <cell r="R926" t="e">
            <v>#N/A</v>
          </cell>
        </row>
        <row r="927">
          <cell r="A927" t="str">
            <v/>
          </cell>
          <cell r="B927" t="str">
            <v/>
          </cell>
          <cell r="C927" t="str">
            <v>Future</v>
          </cell>
          <cell r="D927" t="e">
            <v>#N/A</v>
          </cell>
          <cell r="E927">
            <v>-15.713636363636216</v>
          </cell>
          <cell r="F927">
            <v>45.377272727273017</v>
          </cell>
          <cell r="G927">
            <v>30.831818181817333</v>
          </cell>
          <cell r="H927">
            <v>30.831818181817333</v>
          </cell>
          <cell r="I927" t="e">
            <v>#N/A</v>
          </cell>
          <cell r="J927" t="e">
            <v>#N/A</v>
          </cell>
          <cell r="K927">
            <v>42</v>
          </cell>
          <cell r="L927">
            <v>32</v>
          </cell>
          <cell r="M927" t="e">
            <v>#N/A</v>
          </cell>
          <cell r="N927">
            <v>37</v>
          </cell>
          <cell r="O927" t="e">
            <v>#N/A</v>
          </cell>
          <cell r="P927" t="str">
            <v/>
          </cell>
          <cell r="Q927" t="str">
            <v/>
          </cell>
          <cell r="R927" t="e">
            <v>#N/A</v>
          </cell>
        </row>
        <row r="928">
          <cell r="A928" t="str">
            <v/>
          </cell>
          <cell r="B928" t="str">
            <v/>
          </cell>
          <cell r="C928" t="str">
            <v>Future</v>
          </cell>
          <cell r="D928" t="e">
            <v>#N/A</v>
          </cell>
          <cell r="E928">
            <v>-15.850276679841748</v>
          </cell>
          <cell r="F928">
            <v>45.406640316205824</v>
          </cell>
          <cell r="G928">
            <v>30.821660079050535</v>
          </cell>
          <cell r="H928">
            <v>30.821660079050535</v>
          </cell>
          <cell r="I928" t="e">
            <v>#N/A</v>
          </cell>
          <cell r="J928" t="e">
            <v>#N/A</v>
          </cell>
          <cell r="K928">
            <v>42</v>
          </cell>
          <cell r="L928">
            <v>32</v>
          </cell>
          <cell r="M928" t="e">
            <v>#N/A</v>
          </cell>
          <cell r="N928">
            <v>37</v>
          </cell>
          <cell r="O928" t="e">
            <v>#N/A</v>
          </cell>
          <cell r="P928" t="str">
            <v/>
          </cell>
          <cell r="Q928" t="str">
            <v/>
          </cell>
          <cell r="R928" t="e">
            <v>#N/A</v>
          </cell>
        </row>
        <row r="929">
          <cell r="A929" t="str">
            <v/>
          </cell>
          <cell r="B929" t="str">
            <v/>
          </cell>
          <cell r="C929" t="str">
            <v>Future</v>
          </cell>
          <cell r="D929" t="e">
            <v>#N/A</v>
          </cell>
          <cell r="E929">
            <v>-15.986916996047281</v>
          </cell>
          <cell r="F929">
            <v>45.436007905138631</v>
          </cell>
          <cell r="G929">
            <v>30.811501976283736</v>
          </cell>
          <cell r="H929">
            <v>30.811501976283736</v>
          </cell>
          <cell r="I929" t="e">
            <v>#N/A</v>
          </cell>
          <cell r="J929" t="e">
            <v>#N/A</v>
          </cell>
          <cell r="K929">
            <v>42</v>
          </cell>
          <cell r="L929">
            <v>32</v>
          </cell>
          <cell r="M929" t="e">
            <v>#N/A</v>
          </cell>
          <cell r="N929">
            <v>37</v>
          </cell>
          <cell r="O929" t="e">
            <v>#N/A</v>
          </cell>
          <cell r="P929" t="str">
            <v/>
          </cell>
          <cell r="Q929" t="str">
            <v/>
          </cell>
          <cell r="R929" t="e">
            <v>#N/A</v>
          </cell>
        </row>
        <row r="930">
          <cell r="A930" t="str">
            <v/>
          </cell>
          <cell r="B930" t="str">
            <v/>
          </cell>
          <cell r="C930" t="str">
            <v>Future</v>
          </cell>
          <cell r="D930" t="e">
            <v>#N/A</v>
          </cell>
          <cell r="E930">
            <v>-16.123557312252814</v>
          </cell>
          <cell r="F930">
            <v>45.465375494071438</v>
          </cell>
          <cell r="G930">
            <v>30.801343873516938</v>
          </cell>
          <cell r="H930">
            <v>30.801343873516938</v>
          </cell>
          <cell r="I930" t="e">
            <v>#N/A</v>
          </cell>
          <cell r="J930" t="e">
            <v>#N/A</v>
          </cell>
          <cell r="K930">
            <v>42</v>
          </cell>
          <cell r="L930">
            <v>32</v>
          </cell>
          <cell r="M930" t="e">
            <v>#N/A</v>
          </cell>
          <cell r="N930">
            <v>37</v>
          </cell>
          <cell r="O930" t="e">
            <v>#N/A</v>
          </cell>
          <cell r="P930" t="str">
            <v/>
          </cell>
          <cell r="Q930" t="str">
            <v/>
          </cell>
          <cell r="R930" t="e">
            <v>#N/A</v>
          </cell>
        </row>
        <row r="931">
          <cell r="A931" t="str">
            <v/>
          </cell>
          <cell r="B931" t="str">
            <v/>
          </cell>
          <cell r="C931" t="str">
            <v>Future</v>
          </cell>
          <cell r="D931" t="e">
            <v>#N/A</v>
          </cell>
          <cell r="E931">
            <v>-16.260197628458346</v>
          </cell>
          <cell r="F931">
            <v>45.494743083004245</v>
          </cell>
          <cell r="G931">
            <v>30.79118577075014</v>
          </cell>
          <cell r="H931">
            <v>30.79118577075014</v>
          </cell>
          <cell r="I931" t="e">
            <v>#N/A</v>
          </cell>
          <cell r="J931" t="e">
            <v>#N/A</v>
          </cell>
          <cell r="K931">
            <v>42</v>
          </cell>
          <cell r="L931">
            <v>32</v>
          </cell>
          <cell r="M931" t="e">
            <v>#N/A</v>
          </cell>
          <cell r="N931">
            <v>37</v>
          </cell>
          <cell r="O931" t="e">
            <v>#N/A</v>
          </cell>
          <cell r="P931" t="str">
            <v/>
          </cell>
          <cell r="Q931" t="str">
            <v/>
          </cell>
          <cell r="R931" t="e">
            <v>#N/A</v>
          </cell>
        </row>
        <row r="932">
          <cell r="A932" t="str">
            <v/>
          </cell>
          <cell r="B932" t="str">
            <v/>
          </cell>
          <cell r="C932" t="str">
            <v>Future</v>
          </cell>
          <cell r="D932" t="e">
            <v>#N/A</v>
          </cell>
          <cell r="E932">
            <v>-16.396837944663879</v>
          </cell>
          <cell r="F932">
            <v>45.524110671937052</v>
          </cell>
          <cell r="G932">
            <v>30.781027667983341</v>
          </cell>
          <cell r="H932">
            <v>30.781027667983341</v>
          </cell>
          <cell r="I932" t="e">
            <v>#N/A</v>
          </cell>
          <cell r="J932" t="e">
            <v>#N/A</v>
          </cell>
          <cell r="K932">
            <v>42</v>
          </cell>
          <cell r="L932">
            <v>32</v>
          </cell>
          <cell r="M932" t="e">
            <v>#N/A</v>
          </cell>
          <cell r="N932">
            <v>37</v>
          </cell>
          <cell r="O932" t="e">
            <v>#N/A</v>
          </cell>
          <cell r="P932" t="str">
            <v/>
          </cell>
          <cell r="Q932" t="str">
            <v/>
          </cell>
          <cell r="R932" t="e">
            <v>#N/A</v>
          </cell>
        </row>
        <row r="933">
          <cell r="A933" t="str">
            <v/>
          </cell>
          <cell r="B933" t="str">
            <v/>
          </cell>
          <cell r="C933" t="str">
            <v>Future</v>
          </cell>
          <cell r="D933" t="e">
            <v>#N/A</v>
          </cell>
          <cell r="E933">
            <v>-16.533478260869412</v>
          </cell>
          <cell r="F933">
            <v>45.553478260869859</v>
          </cell>
          <cell r="G933">
            <v>30.770869565216543</v>
          </cell>
          <cell r="H933">
            <v>30.770869565216543</v>
          </cell>
          <cell r="I933" t="e">
            <v>#N/A</v>
          </cell>
          <cell r="J933" t="e">
            <v>#N/A</v>
          </cell>
          <cell r="K933">
            <v>42</v>
          </cell>
          <cell r="L933">
            <v>32</v>
          </cell>
          <cell r="M933" t="e">
            <v>#N/A</v>
          </cell>
          <cell r="N933">
            <v>37</v>
          </cell>
          <cell r="O933" t="e">
            <v>#N/A</v>
          </cell>
          <cell r="P933" t="str">
            <v/>
          </cell>
          <cell r="Q933" t="str">
            <v/>
          </cell>
          <cell r="R933" t="e">
            <v>#N/A</v>
          </cell>
        </row>
        <row r="934">
          <cell r="A934" t="str">
            <v/>
          </cell>
          <cell r="B934" t="str">
            <v/>
          </cell>
          <cell r="C934" t="str">
            <v>Future</v>
          </cell>
          <cell r="D934" t="e">
            <v>#N/A</v>
          </cell>
          <cell r="E934">
            <v>-16.670118577074945</v>
          </cell>
          <cell r="F934">
            <v>45.582845849802666</v>
          </cell>
          <cell r="G934">
            <v>30.760711462449745</v>
          </cell>
          <cell r="H934">
            <v>30.760711462449745</v>
          </cell>
          <cell r="I934" t="e">
            <v>#N/A</v>
          </cell>
          <cell r="J934" t="e">
            <v>#N/A</v>
          </cell>
          <cell r="K934">
            <v>42</v>
          </cell>
          <cell r="L934">
            <v>32</v>
          </cell>
          <cell r="M934" t="e">
            <v>#N/A</v>
          </cell>
          <cell r="N934">
            <v>37</v>
          </cell>
          <cell r="O934" t="e">
            <v>#N/A</v>
          </cell>
          <cell r="P934" t="str">
            <v/>
          </cell>
          <cell r="Q934" t="str">
            <v/>
          </cell>
          <cell r="R934" t="e">
            <v>#N/A</v>
          </cell>
        </row>
        <row r="935">
          <cell r="A935" t="str">
            <v/>
          </cell>
          <cell r="B935" t="str">
            <v/>
          </cell>
          <cell r="C935" t="str">
            <v>Future</v>
          </cell>
          <cell r="D935" t="e">
            <v>#N/A</v>
          </cell>
          <cell r="E935">
            <v>-16.806758893280477</v>
          </cell>
          <cell r="F935">
            <v>45.612213438735473</v>
          </cell>
          <cell r="G935">
            <v>30.750553359682947</v>
          </cell>
          <cell r="H935">
            <v>30.750553359682947</v>
          </cell>
          <cell r="I935" t="e">
            <v>#N/A</v>
          </cell>
          <cell r="J935" t="e">
            <v>#N/A</v>
          </cell>
          <cell r="K935">
            <v>42</v>
          </cell>
          <cell r="L935">
            <v>32</v>
          </cell>
          <cell r="M935" t="e">
            <v>#N/A</v>
          </cell>
          <cell r="N935">
            <v>37</v>
          </cell>
          <cell r="O935" t="e">
            <v>#N/A</v>
          </cell>
          <cell r="P935" t="str">
            <v/>
          </cell>
          <cell r="Q935" t="str">
            <v/>
          </cell>
          <cell r="R935" t="e">
            <v>#N/A</v>
          </cell>
        </row>
        <row r="936">
          <cell r="A936" t="str">
            <v/>
          </cell>
          <cell r="B936" t="str">
            <v/>
          </cell>
          <cell r="C936" t="str">
            <v>Future</v>
          </cell>
          <cell r="D936" t="e">
            <v>#N/A</v>
          </cell>
          <cell r="E936">
            <v>-16.94339920948601</v>
          </cell>
          <cell r="F936">
            <v>45.641581027668281</v>
          </cell>
          <cell r="G936">
            <v>30.740395256916148</v>
          </cell>
          <cell r="H936">
            <v>30.740395256916148</v>
          </cell>
          <cell r="I936" t="e">
            <v>#N/A</v>
          </cell>
          <cell r="J936" t="e">
            <v>#N/A</v>
          </cell>
          <cell r="K936">
            <v>42</v>
          </cell>
          <cell r="L936">
            <v>32</v>
          </cell>
          <cell r="M936" t="e">
            <v>#N/A</v>
          </cell>
          <cell r="N936">
            <v>37</v>
          </cell>
          <cell r="O936" t="e">
            <v>#N/A</v>
          </cell>
          <cell r="P936" t="str">
            <v/>
          </cell>
          <cell r="Q936" t="str">
            <v/>
          </cell>
          <cell r="R936" t="e">
            <v>#N/A</v>
          </cell>
        </row>
        <row r="937">
          <cell r="A937" t="str">
            <v/>
          </cell>
          <cell r="B937" t="str">
            <v/>
          </cell>
          <cell r="C937" t="str">
            <v>Future</v>
          </cell>
          <cell r="D937" t="e">
            <v>#N/A</v>
          </cell>
          <cell r="E937">
            <v>-17.080039525691543</v>
          </cell>
          <cell r="F937">
            <v>45.670948616601088</v>
          </cell>
          <cell r="G937">
            <v>30.73023715414935</v>
          </cell>
          <cell r="H937">
            <v>30.73023715414935</v>
          </cell>
          <cell r="I937" t="e">
            <v>#N/A</v>
          </cell>
          <cell r="J937" t="e">
            <v>#N/A</v>
          </cell>
          <cell r="K937">
            <v>42</v>
          </cell>
          <cell r="L937">
            <v>32</v>
          </cell>
          <cell r="M937" t="e">
            <v>#N/A</v>
          </cell>
          <cell r="N937">
            <v>37</v>
          </cell>
          <cell r="O937" t="e">
            <v>#N/A</v>
          </cell>
          <cell r="P937" t="str">
            <v/>
          </cell>
          <cell r="Q937" t="str">
            <v/>
          </cell>
          <cell r="R937" t="e">
            <v>#N/A</v>
          </cell>
        </row>
        <row r="938">
          <cell r="A938" t="str">
            <v/>
          </cell>
          <cell r="B938" t="str">
            <v/>
          </cell>
          <cell r="C938" t="str">
            <v>Future</v>
          </cell>
          <cell r="D938" t="e">
            <v>#N/A</v>
          </cell>
          <cell r="E938">
            <v>-17.216679841897076</v>
          </cell>
          <cell r="F938">
            <v>45.700316205533895</v>
          </cell>
          <cell r="G938">
            <v>30.720079051382552</v>
          </cell>
          <cell r="H938">
            <v>30.720079051382552</v>
          </cell>
          <cell r="I938" t="e">
            <v>#N/A</v>
          </cell>
          <cell r="J938" t="e">
            <v>#N/A</v>
          </cell>
          <cell r="K938">
            <v>42</v>
          </cell>
          <cell r="L938">
            <v>32</v>
          </cell>
          <cell r="M938" t="e">
            <v>#N/A</v>
          </cell>
          <cell r="N938">
            <v>37</v>
          </cell>
          <cell r="O938" t="e">
            <v>#N/A</v>
          </cell>
          <cell r="P938" t="str">
            <v/>
          </cell>
          <cell r="Q938" t="str">
            <v/>
          </cell>
          <cell r="R938" t="e">
            <v>#N/A</v>
          </cell>
        </row>
        <row r="939">
          <cell r="A939" t="str">
            <v/>
          </cell>
          <cell r="B939" t="str">
            <v/>
          </cell>
          <cell r="C939" t="str">
            <v>Future</v>
          </cell>
          <cell r="D939" t="e">
            <v>#N/A</v>
          </cell>
          <cell r="E939">
            <v>-17.353320158102608</v>
          </cell>
          <cell r="F939">
            <v>45.729683794466702</v>
          </cell>
          <cell r="G939">
            <v>30.709920948615753</v>
          </cell>
          <cell r="H939">
            <v>30.709920948615753</v>
          </cell>
          <cell r="I939" t="e">
            <v>#N/A</v>
          </cell>
          <cell r="J939" t="e">
            <v>#N/A</v>
          </cell>
          <cell r="K939">
            <v>42</v>
          </cell>
          <cell r="L939">
            <v>32</v>
          </cell>
          <cell r="M939" t="e">
            <v>#N/A</v>
          </cell>
          <cell r="N939">
            <v>37</v>
          </cell>
          <cell r="O939" t="e">
            <v>#N/A</v>
          </cell>
          <cell r="P939" t="str">
            <v/>
          </cell>
          <cell r="Q939" t="str">
            <v/>
          </cell>
          <cell r="R939" t="e">
            <v>#N/A</v>
          </cell>
        </row>
        <row r="940">
          <cell r="A940" t="str">
            <v/>
          </cell>
          <cell r="B940" t="str">
            <v/>
          </cell>
          <cell r="C940" t="str">
            <v>Future</v>
          </cell>
          <cell r="D940" t="e">
            <v>#N/A</v>
          </cell>
          <cell r="E940">
            <v>-17.489960474308141</v>
          </cell>
          <cell r="F940">
            <v>45.759051383399509</v>
          </cell>
          <cell r="G940">
            <v>30.699762845848955</v>
          </cell>
          <cell r="H940">
            <v>30.699762845848955</v>
          </cell>
          <cell r="I940" t="e">
            <v>#N/A</v>
          </cell>
          <cell r="J940" t="e">
            <v>#N/A</v>
          </cell>
          <cell r="K940">
            <v>42</v>
          </cell>
          <cell r="L940">
            <v>32</v>
          </cell>
          <cell r="M940" t="e">
            <v>#N/A</v>
          </cell>
          <cell r="N940">
            <v>37</v>
          </cell>
          <cell r="O940" t="e">
            <v>#N/A</v>
          </cell>
          <cell r="P940" t="str">
            <v/>
          </cell>
          <cell r="Q940" t="str">
            <v/>
          </cell>
          <cell r="R940" t="e">
            <v>#N/A</v>
          </cell>
        </row>
        <row r="941">
          <cell r="A941" t="str">
            <v/>
          </cell>
          <cell r="B941" t="str">
            <v/>
          </cell>
          <cell r="C941" t="str">
            <v>Future</v>
          </cell>
          <cell r="D941" t="e">
            <v>#N/A</v>
          </cell>
          <cell r="E941">
            <v>-17.626600790513674</v>
          </cell>
          <cell r="F941">
            <v>45.788418972332316</v>
          </cell>
          <cell r="G941">
            <v>30.689604743082157</v>
          </cell>
          <cell r="H941">
            <v>30.689604743082157</v>
          </cell>
          <cell r="I941" t="e">
            <v>#N/A</v>
          </cell>
          <cell r="J941" t="e">
            <v>#N/A</v>
          </cell>
          <cell r="K941">
            <v>42</v>
          </cell>
          <cell r="L941">
            <v>32</v>
          </cell>
          <cell r="M941" t="e">
            <v>#N/A</v>
          </cell>
          <cell r="N941">
            <v>37</v>
          </cell>
          <cell r="O941" t="e">
            <v>#N/A</v>
          </cell>
          <cell r="P941" t="str">
            <v/>
          </cell>
          <cell r="Q941" t="str">
            <v/>
          </cell>
          <cell r="R941" t="e">
            <v>#N/A</v>
          </cell>
        </row>
        <row r="942">
          <cell r="A942" t="str">
            <v/>
          </cell>
          <cell r="B942" t="str">
            <v/>
          </cell>
          <cell r="C942" t="str">
            <v>Future</v>
          </cell>
          <cell r="D942" t="e">
            <v>#N/A</v>
          </cell>
          <cell r="E942">
            <v>-17.763241106719207</v>
          </cell>
          <cell r="F942">
            <v>45.817786561265123</v>
          </cell>
          <cell r="G942">
            <v>30.679446640315359</v>
          </cell>
          <cell r="H942">
            <v>30.679446640315359</v>
          </cell>
          <cell r="I942" t="e">
            <v>#N/A</v>
          </cell>
          <cell r="J942" t="e">
            <v>#N/A</v>
          </cell>
          <cell r="K942">
            <v>42</v>
          </cell>
          <cell r="L942">
            <v>32</v>
          </cell>
          <cell r="M942" t="e">
            <v>#N/A</v>
          </cell>
          <cell r="N942">
            <v>37</v>
          </cell>
          <cell r="O942" t="e">
            <v>#N/A</v>
          </cell>
          <cell r="P942" t="str">
            <v/>
          </cell>
          <cell r="Q942" t="str">
            <v/>
          </cell>
          <cell r="R942" t="e">
            <v>#N/A</v>
          </cell>
        </row>
        <row r="943">
          <cell r="A943" t="str">
            <v/>
          </cell>
          <cell r="B943" t="str">
            <v/>
          </cell>
          <cell r="C943" t="str">
            <v>Future</v>
          </cell>
          <cell r="D943" t="e">
            <v>#N/A</v>
          </cell>
          <cell r="E943">
            <v>-17.899881422924739</v>
          </cell>
          <cell r="F943">
            <v>45.84715415019793</v>
          </cell>
          <cell r="G943">
            <v>30.66928853754856</v>
          </cell>
          <cell r="H943">
            <v>30.66928853754856</v>
          </cell>
          <cell r="I943" t="e">
            <v>#N/A</v>
          </cell>
          <cell r="J943" t="e">
            <v>#N/A</v>
          </cell>
          <cell r="K943">
            <v>42</v>
          </cell>
          <cell r="L943">
            <v>32</v>
          </cell>
          <cell r="M943" t="e">
            <v>#N/A</v>
          </cell>
          <cell r="N943">
            <v>37</v>
          </cell>
          <cell r="O943" t="e">
            <v>#N/A</v>
          </cell>
          <cell r="P943" t="str">
            <v/>
          </cell>
          <cell r="Q943" t="str">
            <v/>
          </cell>
          <cell r="R943" t="e">
            <v>#N/A</v>
          </cell>
        </row>
        <row r="944">
          <cell r="A944" t="str">
            <v/>
          </cell>
          <cell r="B944" t="str">
            <v/>
          </cell>
          <cell r="C944" t="str">
            <v>Future</v>
          </cell>
          <cell r="D944" t="e">
            <v>#N/A</v>
          </cell>
          <cell r="E944">
            <v>-18.036521739130272</v>
          </cell>
          <cell r="F944">
            <v>45.876521739130737</v>
          </cell>
          <cell r="G944">
            <v>30.659130434781762</v>
          </cell>
          <cell r="H944">
            <v>30.659130434781762</v>
          </cell>
          <cell r="I944" t="e">
            <v>#N/A</v>
          </cell>
          <cell r="J944" t="e">
            <v>#N/A</v>
          </cell>
          <cell r="K944">
            <v>42</v>
          </cell>
          <cell r="L944">
            <v>32</v>
          </cell>
          <cell r="M944" t="e">
            <v>#N/A</v>
          </cell>
          <cell r="N944">
            <v>37</v>
          </cell>
          <cell r="O944" t="e">
            <v>#N/A</v>
          </cell>
          <cell r="P944" t="str">
            <v/>
          </cell>
          <cell r="Q944" t="str">
            <v/>
          </cell>
          <cell r="R944" t="e">
            <v>#N/A</v>
          </cell>
        </row>
        <row r="945">
          <cell r="A945" t="str">
            <v/>
          </cell>
          <cell r="B945" t="str">
            <v/>
          </cell>
          <cell r="C945" t="str">
            <v>Future</v>
          </cell>
          <cell r="D945" t="e">
            <v>#N/A</v>
          </cell>
          <cell r="E945">
            <v>-18.173162055335805</v>
          </cell>
          <cell r="F945">
            <v>45.905889328063544</v>
          </cell>
          <cell r="G945">
            <v>30.648972332014964</v>
          </cell>
          <cell r="H945">
            <v>30.648972332014964</v>
          </cell>
          <cell r="I945" t="e">
            <v>#N/A</v>
          </cell>
          <cell r="J945" t="e">
            <v>#N/A</v>
          </cell>
          <cell r="K945">
            <v>42</v>
          </cell>
          <cell r="L945">
            <v>32</v>
          </cell>
          <cell r="M945" t="e">
            <v>#N/A</v>
          </cell>
          <cell r="N945">
            <v>37</v>
          </cell>
          <cell r="O945" t="e">
            <v>#N/A</v>
          </cell>
          <cell r="P945" t="str">
            <v/>
          </cell>
          <cell r="Q945" t="str">
            <v/>
          </cell>
          <cell r="R945" t="e">
            <v>#N/A</v>
          </cell>
        </row>
        <row r="946">
          <cell r="A946" t="str">
            <v/>
          </cell>
          <cell r="B946" t="str">
            <v/>
          </cell>
          <cell r="C946" t="str">
            <v>Future</v>
          </cell>
          <cell r="D946" t="e">
            <v>#N/A</v>
          </cell>
          <cell r="E946">
            <v>-18.309802371541338</v>
          </cell>
          <cell r="F946">
            <v>45.935256916996352</v>
          </cell>
          <cell r="G946">
            <v>30.638814229248165</v>
          </cell>
          <cell r="H946">
            <v>30.638814229248165</v>
          </cell>
          <cell r="I946" t="e">
            <v>#N/A</v>
          </cell>
          <cell r="J946" t="e">
            <v>#N/A</v>
          </cell>
          <cell r="K946">
            <v>42</v>
          </cell>
          <cell r="L946">
            <v>32</v>
          </cell>
          <cell r="M946" t="e">
            <v>#N/A</v>
          </cell>
          <cell r="N946">
            <v>37</v>
          </cell>
          <cell r="O946" t="e">
            <v>#N/A</v>
          </cell>
          <cell r="P946" t="str">
            <v/>
          </cell>
          <cell r="Q946" t="str">
            <v/>
          </cell>
          <cell r="R946" t="e">
            <v>#N/A</v>
          </cell>
        </row>
        <row r="947">
          <cell r="A947" t="str">
            <v/>
          </cell>
          <cell r="B947" t="str">
            <v/>
          </cell>
          <cell r="C947" t="str">
            <v>Future</v>
          </cell>
          <cell r="D947" t="e">
            <v>#N/A</v>
          </cell>
          <cell r="E947">
            <v>-18.44644268774687</v>
          </cell>
          <cell r="F947">
            <v>45.964624505929159</v>
          </cell>
          <cell r="G947">
            <v>30.628656126481367</v>
          </cell>
          <cell r="H947">
            <v>30.628656126481367</v>
          </cell>
          <cell r="I947" t="e">
            <v>#N/A</v>
          </cell>
          <cell r="J947" t="e">
            <v>#N/A</v>
          </cell>
          <cell r="K947">
            <v>42</v>
          </cell>
          <cell r="L947">
            <v>32</v>
          </cell>
          <cell r="M947" t="e">
            <v>#N/A</v>
          </cell>
          <cell r="N947">
            <v>37</v>
          </cell>
          <cell r="O947" t="e">
            <v>#N/A</v>
          </cell>
          <cell r="P947" t="str">
            <v/>
          </cell>
          <cell r="Q947" t="str">
            <v/>
          </cell>
          <cell r="R947" t="e">
            <v>#N/A</v>
          </cell>
        </row>
        <row r="948">
          <cell r="A948" t="str">
            <v/>
          </cell>
          <cell r="B948" t="str">
            <v/>
          </cell>
          <cell r="C948" t="str">
            <v>Future</v>
          </cell>
          <cell r="D948" t="e">
            <v>#N/A</v>
          </cell>
          <cell r="E948">
            <v>-18.583083003952403</v>
          </cell>
          <cell r="F948">
            <v>45.993992094861966</v>
          </cell>
          <cell r="G948">
            <v>30.618498023714569</v>
          </cell>
          <cell r="H948">
            <v>30.618498023714569</v>
          </cell>
          <cell r="I948" t="e">
            <v>#N/A</v>
          </cell>
          <cell r="J948" t="e">
            <v>#N/A</v>
          </cell>
          <cell r="K948">
            <v>42</v>
          </cell>
          <cell r="L948">
            <v>32</v>
          </cell>
          <cell r="M948" t="e">
            <v>#N/A</v>
          </cell>
          <cell r="N948">
            <v>37</v>
          </cell>
          <cell r="O948" t="e">
            <v>#N/A</v>
          </cell>
          <cell r="P948" t="str">
            <v/>
          </cell>
          <cell r="Q948" t="str">
            <v/>
          </cell>
          <cell r="R948" t="e">
            <v>#N/A</v>
          </cell>
        </row>
        <row r="949">
          <cell r="A949" t="str">
            <v/>
          </cell>
          <cell r="B949" t="str">
            <v/>
          </cell>
          <cell r="C949" t="str">
            <v>Future</v>
          </cell>
          <cell r="D949" t="e">
            <v>#N/A</v>
          </cell>
          <cell r="E949">
            <v>-18.719723320157936</v>
          </cell>
          <cell r="F949">
            <v>46.023359683794773</v>
          </cell>
          <cell r="G949">
            <v>30.60833992094777</v>
          </cell>
          <cell r="H949">
            <v>30.60833992094777</v>
          </cell>
          <cell r="I949" t="e">
            <v>#N/A</v>
          </cell>
          <cell r="J949" t="e">
            <v>#N/A</v>
          </cell>
          <cell r="K949">
            <v>42</v>
          </cell>
          <cell r="L949">
            <v>32</v>
          </cell>
          <cell r="M949" t="e">
            <v>#N/A</v>
          </cell>
          <cell r="N949">
            <v>37</v>
          </cell>
          <cell r="O949" t="e">
            <v>#N/A</v>
          </cell>
          <cell r="P949" t="str">
            <v/>
          </cell>
          <cell r="Q949" t="str">
            <v/>
          </cell>
          <cell r="R949" t="e">
            <v>#N/A</v>
          </cell>
        </row>
        <row r="950">
          <cell r="A950" t="str">
            <v/>
          </cell>
          <cell r="B950" t="str">
            <v/>
          </cell>
          <cell r="C950" t="str">
            <v>Future</v>
          </cell>
          <cell r="D950" t="e">
            <v>#N/A</v>
          </cell>
          <cell r="E950">
            <v>-18.856363636363469</v>
          </cell>
          <cell r="F950">
            <v>46.05272727272758</v>
          </cell>
          <cell r="G950">
            <v>30.598181818180972</v>
          </cell>
          <cell r="H950">
            <v>30.598181818180972</v>
          </cell>
          <cell r="I950" t="e">
            <v>#N/A</v>
          </cell>
          <cell r="J950" t="e">
            <v>#N/A</v>
          </cell>
          <cell r="K950">
            <v>42</v>
          </cell>
          <cell r="L950">
            <v>32</v>
          </cell>
          <cell r="M950" t="e">
            <v>#N/A</v>
          </cell>
          <cell r="N950">
            <v>37</v>
          </cell>
          <cell r="O950" t="e">
            <v>#N/A</v>
          </cell>
          <cell r="P950" t="str">
            <v/>
          </cell>
          <cell r="Q950" t="str">
            <v/>
          </cell>
          <cell r="R950" t="e">
            <v>#N/A</v>
          </cell>
        </row>
        <row r="951">
          <cell r="A951" t="str">
            <v/>
          </cell>
          <cell r="B951" t="str">
            <v/>
          </cell>
          <cell r="C951" t="str">
            <v>Future</v>
          </cell>
          <cell r="D951" t="e">
            <v>#N/A</v>
          </cell>
          <cell r="E951">
            <v>-18.993003952569001</v>
          </cell>
          <cell r="F951">
            <v>46.082094861660387</v>
          </cell>
          <cell r="G951">
            <v>30.588023715414174</v>
          </cell>
          <cell r="H951">
            <v>30.588023715414174</v>
          </cell>
          <cell r="I951" t="e">
            <v>#N/A</v>
          </cell>
          <cell r="J951" t="e">
            <v>#N/A</v>
          </cell>
          <cell r="K951">
            <v>42</v>
          </cell>
          <cell r="L951">
            <v>32</v>
          </cell>
          <cell r="M951" t="e">
            <v>#N/A</v>
          </cell>
          <cell r="N951">
            <v>37</v>
          </cell>
          <cell r="O951" t="e">
            <v>#N/A</v>
          </cell>
          <cell r="P951" t="str">
            <v/>
          </cell>
          <cell r="Q951" t="str">
            <v/>
          </cell>
          <cell r="R951" t="e">
            <v>#N/A</v>
          </cell>
        </row>
        <row r="952">
          <cell r="A952" t="str">
            <v/>
          </cell>
          <cell r="B952" t="str">
            <v/>
          </cell>
          <cell r="C952" t="str">
            <v>Future</v>
          </cell>
          <cell r="D952" t="e">
            <v>#N/A</v>
          </cell>
          <cell r="E952">
            <v>-19.129644268774534</v>
          </cell>
          <cell r="F952">
            <v>46.111462450593194</v>
          </cell>
          <cell r="G952">
            <v>30.577865612647376</v>
          </cell>
          <cell r="H952">
            <v>30.577865612647376</v>
          </cell>
          <cell r="I952" t="e">
            <v>#N/A</v>
          </cell>
          <cell r="J952" t="e">
            <v>#N/A</v>
          </cell>
          <cell r="K952">
            <v>42</v>
          </cell>
          <cell r="L952">
            <v>32</v>
          </cell>
          <cell r="M952" t="e">
            <v>#N/A</v>
          </cell>
          <cell r="N952">
            <v>37</v>
          </cell>
          <cell r="O952" t="e">
            <v>#N/A</v>
          </cell>
          <cell r="P952" t="str">
            <v/>
          </cell>
          <cell r="Q952" t="str">
            <v/>
          </cell>
          <cell r="R952" t="e">
            <v>#N/A</v>
          </cell>
        </row>
        <row r="953">
          <cell r="A953" t="str">
            <v/>
          </cell>
          <cell r="B953" t="str">
            <v/>
          </cell>
          <cell r="C953" t="str">
            <v>Future</v>
          </cell>
          <cell r="D953" t="e">
            <v>#N/A</v>
          </cell>
          <cell r="E953">
            <v>-19.266284584980067</v>
          </cell>
          <cell r="F953">
            <v>46.140830039526001</v>
          </cell>
          <cell r="G953">
            <v>30.567707509880577</v>
          </cell>
          <cell r="H953">
            <v>30.567707509880577</v>
          </cell>
          <cell r="I953" t="e">
            <v>#N/A</v>
          </cell>
          <cell r="J953" t="e">
            <v>#N/A</v>
          </cell>
          <cell r="K953">
            <v>42</v>
          </cell>
          <cell r="L953">
            <v>32</v>
          </cell>
          <cell r="M953" t="e">
            <v>#N/A</v>
          </cell>
          <cell r="N953">
            <v>37</v>
          </cell>
          <cell r="O953" t="e">
            <v>#N/A</v>
          </cell>
          <cell r="P953" t="str">
            <v/>
          </cell>
          <cell r="Q953" t="str">
            <v/>
          </cell>
          <cell r="R953" t="e">
            <v>#N/A</v>
          </cell>
        </row>
        <row r="954">
          <cell r="A954" t="str">
            <v/>
          </cell>
          <cell r="B954" t="str">
            <v/>
          </cell>
          <cell r="C954" t="str">
            <v>Future</v>
          </cell>
          <cell r="D954" t="e">
            <v>#N/A</v>
          </cell>
          <cell r="E954">
            <v>-19.4029249011856</v>
          </cell>
          <cell r="F954">
            <v>46.170197628458808</v>
          </cell>
          <cell r="G954">
            <v>30.557549407113779</v>
          </cell>
          <cell r="H954">
            <v>30.557549407113779</v>
          </cell>
          <cell r="I954" t="e">
            <v>#N/A</v>
          </cell>
          <cell r="J954" t="e">
            <v>#N/A</v>
          </cell>
          <cell r="K954">
            <v>42</v>
          </cell>
          <cell r="L954">
            <v>32</v>
          </cell>
          <cell r="M954" t="e">
            <v>#N/A</v>
          </cell>
          <cell r="N954">
            <v>37</v>
          </cell>
          <cell r="O954" t="e">
            <v>#N/A</v>
          </cell>
          <cell r="P954" t="str">
            <v/>
          </cell>
          <cell r="Q954" t="str">
            <v/>
          </cell>
          <cell r="R954" t="e">
            <v>#N/A</v>
          </cell>
        </row>
        <row r="955">
          <cell r="A955" t="str">
            <v/>
          </cell>
          <cell r="B955" t="str">
            <v/>
          </cell>
          <cell r="C955" t="str">
            <v>Future</v>
          </cell>
          <cell r="D955" t="e">
            <v>#N/A</v>
          </cell>
          <cell r="E955">
            <v>-19.539565217391132</v>
          </cell>
          <cell r="F955">
            <v>46.199565217391616</v>
          </cell>
          <cell r="G955">
            <v>30.547391304346981</v>
          </cell>
          <cell r="H955">
            <v>30.547391304346981</v>
          </cell>
          <cell r="I955" t="e">
            <v>#N/A</v>
          </cell>
          <cell r="J955" t="e">
            <v>#N/A</v>
          </cell>
          <cell r="K955">
            <v>42</v>
          </cell>
          <cell r="L955">
            <v>32</v>
          </cell>
          <cell r="M955" t="e">
            <v>#N/A</v>
          </cell>
          <cell r="N955">
            <v>37</v>
          </cell>
          <cell r="O955" t="e">
            <v>#N/A</v>
          </cell>
          <cell r="P955" t="str">
            <v/>
          </cell>
          <cell r="Q955" t="str">
            <v/>
          </cell>
          <cell r="R955" t="e">
            <v>#N/A</v>
          </cell>
        </row>
        <row r="956">
          <cell r="A956" t="str">
            <v/>
          </cell>
          <cell r="B956" t="str">
            <v/>
          </cell>
          <cell r="C956" t="str">
            <v>Future</v>
          </cell>
          <cell r="D956" t="e">
            <v>#N/A</v>
          </cell>
          <cell r="E956">
            <v>-19.676205533596665</v>
          </cell>
          <cell r="F956">
            <v>46.228932806324423</v>
          </cell>
          <cell r="G956">
            <v>30.537233201580182</v>
          </cell>
          <cell r="H956">
            <v>30.537233201580182</v>
          </cell>
          <cell r="I956" t="e">
            <v>#N/A</v>
          </cell>
          <cell r="J956" t="e">
            <v>#N/A</v>
          </cell>
          <cell r="K956">
            <v>42</v>
          </cell>
          <cell r="L956">
            <v>32</v>
          </cell>
          <cell r="M956" t="e">
            <v>#N/A</v>
          </cell>
          <cell r="N956">
            <v>37</v>
          </cell>
          <cell r="O956" t="e">
            <v>#N/A</v>
          </cell>
          <cell r="P956" t="str">
            <v/>
          </cell>
          <cell r="Q956" t="str">
            <v/>
          </cell>
          <cell r="R956" t="e">
            <v>#N/A</v>
          </cell>
        </row>
        <row r="957">
          <cell r="A957" t="str">
            <v/>
          </cell>
          <cell r="B957" t="str">
            <v/>
          </cell>
          <cell r="C957" t="str">
            <v>Future</v>
          </cell>
          <cell r="D957" t="e">
            <v>#N/A</v>
          </cell>
          <cell r="E957">
            <v>-19.812845849802198</v>
          </cell>
          <cell r="F957">
            <v>46.25830039525723</v>
          </cell>
          <cell r="G957">
            <v>30.527075098813384</v>
          </cell>
          <cell r="H957">
            <v>30.527075098813384</v>
          </cell>
          <cell r="I957" t="e">
            <v>#N/A</v>
          </cell>
          <cell r="J957" t="e">
            <v>#N/A</v>
          </cell>
          <cell r="K957">
            <v>42</v>
          </cell>
          <cell r="L957">
            <v>32</v>
          </cell>
          <cell r="M957" t="e">
            <v>#N/A</v>
          </cell>
          <cell r="N957">
            <v>37</v>
          </cell>
          <cell r="O957" t="e">
            <v>#N/A</v>
          </cell>
          <cell r="P957" t="str">
            <v/>
          </cell>
          <cell r="Q957" t="str">
            <v/>
          </cell>
          <cell r="R957" t="e">
            <v>#N/A</v>
          </cell>
        </row>
        <row r="958">
          <cell r="A958" t="str">
            <v/>
          </cell>
          <cell r="B958" t="str">
            <v/>
          </cell>
          <cell r="C958" t="str">
            <v>Future</v>
          </cell>
          <cell r="D958" t="e">
            <v>#N/A</v>
          </cell>
          <cell r="E958">
            <v>-19.949486166007731</v>
          </cell>
          <cell r="F958">
            <v>46.287667984190037</v>
          </cell>
          <cell r="G958">
            <v>30.516916996046586</v>
          </cell>
          <cell r="H958">
            <v>30.516916996046586</v>
          </cell>
          <cell r="I958" t="e">
            <v>#N/A</v>
          </cell>
          <cell r="J958" t="e">
            <v>#N/A</v>
          </cell>
          <cell r="K958">
            <v>42</v>
          </cell>
          <cell r="L958">
            <v>32</v>
          </cell>
          <cell r="M958" t="e">
            <v>#N/A</v>
          </cell>
          <cell r="N958">
            <v>37</v>
          </cell>
          <cell r="O958" t="e">
            <v>#N/A</v>
          </cell>
          <cell r="P958" t="str">
            <v/>
          </cell>
          <cell r="Q958" t="str">
            <v/>
          </cell>
          <cell r="R958" t="e">
            <v>#N/A</v>
          </cell>
        </row>
        <row r="959">
          <cell r="A959" t="str">
            <v/>
          </cell>
          <cell r="B959" t="str">
            <v/>
          </cell>
          <cell r="C959" t="str">
            <v>Future</v>
          </cell>
          <cell r="D959" t="e">
            <v>#N/A</v>
          </cell>
          <cell r="E959">
            <v>-20.086126482213263</v>
          </cell>
          <cell r="F959">
            <v>46.317035573122844</v>
          </cell>
          <cell r="G959">
            <v>30.506758893279788</v>
          </cell>
          <cell r="H959">
            <v>30.506758893279788</v>
          </cell>
          <cell r="I959" t="e">
            <v>#N/A</v>
          </cell>
          <cell r="J959" t="e">
            <v>#N/A</v>
          </cell>
          <cell r="K959">
            <v>42</v>
          </cell>
          <cell r="L959">
            <v>32</v>
          </cell>
          <cell r="M959" t="e">
            <v>#N/A</v>
          </cell>
          <cell r="N959">
            <v>37</v>
          </cell>
          <cell r="O959" t="e">
            <v>#N/A</v>
          </cell>
          <cell r="P959" t="str">
            <v/>
          </cell>
          <cell r="Q959" t="str">
            <v/>
          </cell>
          <cell r="R959" t="e">
            <v>#N/A</v>
          </cell>
        </row>
        <row r="960">
          <cell r="A960" t="str">
            <v/>
          </cell>
          <cell r="B960" t="str">
            <v/>
          </cell>
          <cell r="C960" t="str">
            <v>Future</v>
          </cell>
          <cell r="D960" t="e">
            <v>#N/A</v>
          </cell>
          <cell r="E960">
            <v>-20.222766798418796</v>
          </cell>
          <cell r="F960">
            <v>46.346403162055651</v>
          </cell>
          <cell r="G960">
            <v>30.496600790512989</v>
          </cell>
          <cell r="H960">
            <v>30.496600790512989</v>
          </cell>
          <cell r="I960" t="e">
            <v>#N/A</v>
          </cell>
          <cell r="J960" t="e">
            <v>#N/A</v>
          </cell>
          <cell r="K960">
            <v>42</v>
          </cell>
          <cell r="L960">
            <v>32</v>
          </cell>
          <cell r="M960" t="e">
            <v>#N/A</v>
          </cell>
          <cell r="N960">
            <v>37</v>
          </cell>
          <cell r="O960" t="e">
            <v>#N/A</v>
          </cell>
          <cell r="P960" t="str">
            <v/>
          </cell>
          <cell r="Q960" t="str">
            <v/>
          </cell>
          <cell r="R960" t="e">
            <v>#N/A</v>
          </cell>
        </row>
        <row r="961">
          <cell r="A961" t="str">
            <v/>
          </cell>
          <cell r="B961" t="str">
            <v/>
          </cell>
          <cell r="C961" t="str">
            <v>Future</v>
          </cell>
          <cell r="D961" t="e">
            <v>#N/A</v>
          </cell>
          <cell r="E961">
            <v>-20.359407114624329</v>
          </cell>
          <cell r="F961">
            <v>46.375770750988458</v>
          </cell>
          <cell r="G961">
            <v>30.486442687746191</v>
          </cell>
          <cell r="H961">
            <v>30.486442687746191</v>
          </cell>
          <cell r="I961" t="e">
            <v>#N/A</v>
          </cell>
          <cell r="J961" t="e">
            <v>#N/A</v>
          </cell>
          <cell r="K961">
            <v>42</v>
          </cell>
          <cell r="L961">
            <v>32</v>
          </cell>
          <cell r="M961" t="e">
            <v>#N/A</v>
          </cell>
          <cell r="N961">
            <v>37</v>
          </cell>
          <cell r="O961" t="e">
            <v>#N/A</v>
          </cell>
          <cell r="P961" t="str">
            <v/>
          </cell>
          <cell r="Q961" t="str">
            <v/>
          </cell>
          <cell r="R961" t="e">
            <v>#N/A</v>
          </cell>
        </row>
        <row r="962">
          <cell r="A962" t="str">
            <v/>
          </cell>
          <cell r="B962" t="str">
            <v/>
          </cell>
          <cell r="C962" t="str">
            <v>Future</v>
          </cell>
          <cell r="D962" t="e">
            <v>#N/A</v>
          </cell>
          <cell r="E962">
            <v>-20.496047430829861</v>
          </cell>
          <cell r="F962">
            <v>46.405138339921265</v>
          </cell>
          <cell r="G962">
            <v>30.476284584979393</v>
          </cell>
          <cell r="H962">
            <v>30.476284584979393</v>
          </cell>
          <cell r="I962" t="e">
            <v>#N/A</v>
          </cell>
          <cell r="J962" t="e">
            <v>#N/A</v>
          </cell>
          <cell r="K962">
            <v>42</v>
          </cell>
          <cell r="L962">
            <v>32</v>
          </cell>
          <cell r="M962" t="e">
            <v>#N/A</v>
          </cell>
          <cell r="N962">
            <v>37</v>
          </cell>
          <cell r="O962" t="e">
            <v>#N/A</v>
          </cell>
          <cell r="P962" t="str">
            <v/>
          </cell>
          <cell r="Q962" t="str">
            <v/>
          </cell>
          <cell r="R962" t="e">
            <v>#N/A</v>
          </cell>
        </row>
        <row r="963">
          <cell r="A963" t="str">
            <v/>
          </cell>
          <cell r="B963" t="str">
            <v/>
          </cell>
          <cell r="C963" t="str">
            <v>Future</v>
          </cell>
          <cell r="D963" t="e">
            <v>#N/A</v>
          </cell>
          <cell r="E963">
            <v>-20.632687747035394</v>
          </cell>
          <cell r="F963">
            <v>46.434505928854072</v>
          </cell>
          <cell r="G963">
            <v>30.466126482212594</v>
          </cell>
          <cell r="H963">
            <v>30.466126482212594</v>
          </cell>
          <cell r="I963" t="e">
            <v>#N/A</v>
          </cell>
          <cell r="J963" t="e">
            <v>#N/A</v>
          </cell>
          <cell r="K963">
            <v>42</v>
          </cell>
          <cell r="L963">
            <v>32</v>
          </cell>
          <cell r="M963" t="e">
            <v>#N/A</v>
          </cell>
          <cell r="N963">
            <v>37</v>
          </cell>
          <cell r="O963" t="e">
            <v>#N/A</v>
          </cell>
          <cell r="P963" t="str">
            <v/>
          </cell>
          <cell r="Q963" t="str">
            <v/>
          </cell>
          <cell r="R963" t="e">
            <v>#N/A</v>
          </cell>
        </row>
        <row r="964">
          <cell r="A964" t="str">
            <v/>
          </cell>
          <cell r="B964" t="str">
            <v/>
          </cell>
          <cell r="C964" t="str">
            <v>Future</v>
          </cell>
          <cell r="D964" t="e">
            <v>#N/A</v>
          </cell>
          <cell r="E964">
            <v>-20.769328063240927</v>
          </cell>
          <cell r="F964">
            <v>46.46387351778688</v>
          </cell>
          <cell r="G964">
            <v>30.455968379445796</v>
          </cell>
          <cell r="H964">
            <v>30.455968379445796</v>
          </cell>
          <cell r="I964" t="e">
            <v>#N/A</v>
          </cell>
          <cell r="J964" t="e">
            <v>#N/A</v>
          </cell>
          <cell r="K964">
            <v>42</v>
          </cell>
          <cell r="L964">
            <v>32</v>
          </cell>
          <cell r="M964" t="e">
            <v>#N/A</v>
          </cell>
          <cell r="N964">
            <v>37</v>
          </cell>
          <cell r="O964" t="e">
            <v>#N/A</v>
          </cell>
          <cell r="P964" t="str">
            <v/>
          </cell>
          <cell r="Q964" t="str">
            <v/>
          </cell>
          <cell r="R964" t="e">
            <v>#N/A</v>
          </cell>
        </row>
        <row r="965">
          <cell r="A965" t="str">
            <v/>
          </cell>
          <cell r="B965" t="str">
            <v/>
          </cell>
          <cell r="C965" t="str">
            <v>Future</v>
          </cell>
          <cell r="D965" t="e">
            <v>#N/A</v>
          </cell>
          <cell r="E965">
            <v>-20.90596837944646</v>
          </cell>
          <cell r="F965">
            <v>46.493241106719687</v>
          </cell>
          <cell r="G965">
            <v>30.445810276678998</v>
          </cell>
          <cell r="H965">
            <v>30.445810276678998</v>
          </cell>
          <cell r="I965" t="e">
            <v>#N/A</v>
          </cell>
          <cell r="J965" t="e">
            <v>#N/A</v>
          </cell>
          <cell r="K965">
            <v>42</v>
          </cell>
          <cell r="L965">
            <v>32</v>
          </cell>
          <cell r="M965" t="e">
            <v>#N/A</v>
          </cell>
          <cell r="N965">
            <v>37</v>
          </cell>
          <cell r="O965" t="e">
            <v>#N/A</v>
          </cell>
          <cell r="P965" t="str">
            <v/>
          </cell>
          <cell r="Q965" t="str">
            <v/>
          </cell>
          <cell r="R965" t="e">
            <v>#N/A</v>
          </cell>
        </row>
        <row r="966">
          <cell r="A966" t="str">
            <v/>
          </cell>
          <cell r="B966" t="str">
            <v/>
          </cell>
          <cell r="C966" t="str">
            <v>Future</v>
          </cell>
          <cell r="D966" t="e">
            <v>#N/A</v>
          </cell>
          <cell r="E966">
            <v>-21.042608695651992</v>
          </cell>
          <cell r="F966">
            <v>46.522608695652494</v>
          </cell>
          <cell r="G966">
            <v>30.435652173912199</v>
          </cell>
          <cell r="H966">
            <v>30.435652173912199</v>
          </cell>
          <cell r="I966" t="e">
            <v>#N/A</v>
          </cell>
          <cell r="J966" t="e">
            <v>#N/A</v>
          </cell>
          <cell r="K966">
            <v>42</v>
          </cell>
          <cell r="L966">
            <v>32</v>
          </cell>
          <cell r="M966" t="e">
            <v>#N/A</v>
          </cell>
          <cell r="N966">
            <v>37</v>
          </cell>
          <cell r="O966" t="e">
            <v>#N/A</v>
          </cell>
          <cell r="P966" t="str">
            <v/>
          </cell>
          <cell r="Q966" t="str">
            <v/>
          </cell>
          <cell r="R966" t="e">
            <v>#N/A</v>
          </cell>
        </row>
        <row r="967">
          <cell r="A967" t="str">
            <v/>
          </cell>
          <cell r="B967" t="str">
            <v/>
          </cell>
          <cell r="C967" t="str">
            <v>Future</v>
          </cell>
          <cell r="D967" t="e">
            <v>#N/A</v>
          </cell>
          <cell r="E967">
            <v>-21.179249011857525</v>
          </cell>
          <cell r="F967">
            <v>46.551976284585301</v>
          </cell>
          <cell r="G967">
            <v>30.425494071145401</v>
          </cell>
          <cell r="H967">
            <v>30.425494071145401</v>
          </cell>
          <cell r="I967" t="e">
            <v>#N/A</v>
          </cell>
          <cell r="J967" t="e">
            <v>#N/A</v>
          </cell>
          <cell r="K967">
            <v>42</v>
          </cell>
          <cell r="L967">
            <v>32</v>
          </cell>
          <cell r="M967" t="e">
            <v>#N/A</v>
          </cell>
          <cell r="N967">
            <v>37</v>
          </cell>
          <cell r="O967" t="e">
            <v>#N/A</v>
          </cell>
          <cell r="P967" t="str">
            <v/>
          </cell>
          <cell r="Q967" t="str">
            <v/>
          </cell>
          <cell r="R967" t="e">
            <v>#N/A</v>
          </cell>
        </row>
        <row r="968">
          <cell r="A968" t="str">
            <v/>
          </cell>
          <cell r="B968" t="str">
            <v/>
          </cell>
          <cell r="C968" t="str">
            <v>Future</v>
          </cell>
          <cell r="D968" t="e">
            <v>#N/A</v>
          </cell>
          <cell r="E968">
            <v>-21.315889328063058</v>
          </cell>
          <cell r="F968">
            <v>46.581343873518108</v>
          </cell>
          <cell r="G968">
            <v>30.415335968378603</v>
          </cell>
          <cell r="H968">
            <v>30.415335968378603</v>
          </cell>
          <cell r="I968" t="e">
            <v>#N/A</v>
          </cell>
          <cell r="J968" t="e">
            <v>#N/A</v>
          </cell>
          <cell r="K968">
            <v>42</v>
          </cell>
          <cell r="L968">
            <v>32</v>
          </cell>
          <cell r="M968" t="e">
            <v>#N/A</v>
          </cell>
          <cell r="N968">
            <v>37</v>
          </cell>
          <cell r="O968" t="e">
            <v>#N/A</v>
          </cell>
          <cell r="P968" t="str">
            <v/>
          </cell>
          <cell r="Q968" t="str">
            <v/>
          </cell>
          <cell r="R968" t="e">
            <v>#N/A</v>
          </cell>
        </row>
        <row r="969">
          <cell r="A969" t="str">
            <v/>
          </cell>
          <cell r="B969" t="str">
            <v/>
          </cell>
          <cell r="C969" t="str">
            <v>Future</v>
          </cell>
          <cell r="D969" t="e">
            <v>#N/A</v>
          </cell>
          <cell r="E969">
            <v>-21.452529644268591</v>
          </cell>
          <cell r="F969">
            <v>46.610711462450915</v>
          </cell>
          <cell r="G969">
            <v>30.405177865611805</v>
          </cell>
          <cell r="H969">
            <v>30.405177865611805</v>
          </cell>
          <cell r="I969" t="e">
            <v>#N/A</v>
          </cell>
          <cell r="J969" t="e">
            <v>#N/A</v>
          </cell>
          <cell r="K969">
            <v>42</v>
          </cell>
          <cell r="L969">
            <v>32</v>
          </cell>
          <cell r="M969" t="e">
            <v>#N/A</v>
          </cell>
          <cell r="N969">
            <v>37</v>
          </cell>
          <cell r="O969" t="e">
            <v>#N/A</v>
          </cell>
          <cell r="P969" t="str">
            <v/>
          </cell>
          <cell r="Q969" t="str">
            <v/>
          </cell>
          <cell r="R969" t="e">
            <v>#N/A</v>
          </cell>
        </row>
        <row r="970">
          <cell r="A970" t="str">
            <v/>
          </cell>
          <cell r="B970" t="str">
            <v/>
          </cell>
          <cell r="C970" t="str">
            <v>Future</v>
          </cell>
          <cell r="D970" t="e">
            <v>#N/A</v>
          </cell>
          <cell r="E970">
            <v>-21.589169960474123</v>
          </cell>
          <cell r="F970">
            <v>46.640079051383722</v>
          </cell>
          <cell r="G970">
            <v>30.395019762845006</v>
          </cell>
          <cell r="H970">
            <v>30.395019762845006</v>
          </cell>
          <cell r="I970" t="e">
            <v>#N/A</v>
          </cell>
          <cell r="J970" t="e">
            <v>#N/A</v>
          </cell>
          <cell r="K970">
            <v>42</v>
          </cell>
          <cell r="L970">
            <v>32</v>
          </cell>
          <cell r="M970" t="e">
            <v>#N/A</v>
          </cell>
          <cell r="N970">
            <v>37</v>
          </cell>
          <cell r="O970" t="e">
            <v>#N/A</v>
          </cell>
          <cell r="P970" t="str">
            <v/>
          </cell>
          <cell r="Q970" t="str">
            <v/>
          </cell>
          <cell r="R970" t="e">
            <v>#N/A</v>
          </cell>
        </row>
        <row r="971">
          <cell r="A971" t="str">
            <v/>
          </cell>
          <cell r="B971" t="str">
            <v/>
          </cell>
          <cell r="C971" t="str">
            <v>Future</v>
          </cell>
          <cell r="D971" t="e">
            <v>#N/A</v>
          </cell>
          <cell r="E971">
            <v>-21.725810276679656</v>
          </cell>
          <cell r="F971">
            <v>46.669446640316529</v>
          </cell>
          <cell r="G971">
            <v>30.384861660078208</v>
          </cell>
          <cell r="H971">
            <v>30.384861660078208</v>
          </cell>
          <cell r="I971" t="e">
            <v>#N/A</v>
          </cell>
          <cell r="J971" t="e">
            <v>#N/A</v>
          </cell>
          <cell r="K971">
            <v>42</v>
          </cell>
          <cell r="L971">
            <v>32</v>
          </cell>
          <cell r="M971" t="e">
            <v>#N/A</v>
          </cell>
          <cell r="N971">
            <v>37</v>
          </cell>
          <cell r="O971" t="e">
            <v>#N/A</v>
          </cell>
          <cell r="P971" t="str">
            <v/>
          </cell>
          <cell r="Q971" t="str">
            <v/>
          </cell>
          <cell r="R971" t="e">
            <v>#N/A</v>
          </cell>
        </row>
        <row r="972">
          <cell r="A972" t="str">
            <v/>
          </cell>
          <cell r="B972" t="str">
            <v/>
          </cell>
          <cell r="C972" t="str">
            <v>Future</v>
          </cell>
          <cell r="D972" t="e">
            <v>#N/A</v>
          </cell>
          <cell r="E972">
            <v>-21.862450592885189</v>
          </cell>
          <cell r="F972">
            <v>46.698814229249336</v>
          </cell>
          <cell r="G972">
            <v>30.37470355731141</v>
          </cell>
          <cell r="H972">
            <v>30.37470355731141</v>
          </cell>
          <cell r="I972" t="e">
            <v>#N/A</v>
          </cell>
          <cell r="J972" t="e">
            <v>#N/A</v>
          </cell>
          <cell r="K972">
            <v>42</v>
          </cell>
          <cell r="L972">
            <v>32</v>
          </cell>
          <cell r="M972" t="e">
            <v>#N/A</v>
          </cell>
          <cell r="N972">
            <v>37</v>
          </cell>
          <cell r="O972" t="e">
            <v>#N/A</v>
          </cell>
          <cell r="P972" t="str">
            <v/>
          </cell>
          <cell r="Q972" t="str">
            <v/>
          </cell>
          <cell r="R972" t="e">
            <v>#N/A</v>
          </cell>
        </row>
        <row r="973">
          <cell r="A973" t="str">
            <v/>
          </cell>
          <cell r="B973" t="str">
            <v/>
          </cell>
          <cell r="C973" t="str">
            <v>Future</v>
          </cell>
          <cell r="D973" t="e">
            <v>#N/A</v>
          </cell>
          <cell r="E973">
            <v>-21.999090909090722</v>
          </cell>
          <cell r="F973">
            <v>46.728181818182144</v>
          </cell>
          <cell r="G973">
            <v>30.364545454544611</v>
          </cell>
          <cell r="H973">
            <v>30.364545454544611</v>
          </cell>
          <cell r="I973" t="e">
            <v>#N/A</v>
          </cell>
          <cell r="J973" t="e">
            <v>#N/A</v>
          </cell>
          <cell r="K973">
            <v>42</v>
          </cell>
          <cell r="L973">
            <v>32</v>
          </cell>
          <cell r="M973" t="e">
            <v>#N/A</v>
          </cell>
          <cell r="N973">
            <v>37</v>
          </cell>
          <cell r="O973" t="e">
            <v>#N/A</v>
          </cell>
          <cell r="P973" t="str">
            <v/>
          </cell>
          <cell r="Q973" t="str">
            <v/>
          </cell>
          <cell r="R973" t="e">
            <v>#N/A</v>
          </cell>
        </row>
        <row r="974">
          <cell r="A974" t="str">
            <v/>
          </cell>
          <cell r="B974" t="str">
            <v/>
          </cell>
          <cell r="C974" t="str">
            <v>Future</v>
          </cell>
          <cell r="D974" t="e">
            <v>#N/A</v>
          </cell>
          <cell r="E974">
            <v>-22.135731225296254</v>
          </cell>
          <cell r="F974">
            <v>46.757549407114951</v>
          </cell>
          <cell r="G974">
            <v>30.354387351777813</v>
          </cell>
          <cell r="H974">
            <v>30.354387351777813</v>
          </cell>
          <cell r="I974" t="e">
            <v>#N/A</v>
          </cell>
          <cell r="J974" t="e">
            <v>#N/A</v>
          </cell>
          <cell r="K974">
            <v>42</v>
          </cell>
          <cell r="L974">
            <v>32</v>
          </cell>
          <cell r="M974" t="e">
            <v>#N/A</v>
          </cell>
          <cell r="N974">
            <v>37</v>
          </cell>
          <cell r="O974" t="e">
            <v>#N/A</v>
          </cell>
          <cell r="P974" t="str">
            <v/>
          </cell>
          <cell r="Q974" t="str">
            <v/>
          </cell>
          <cell r="R974" t="e">
            <v>#N/A</v>
          </cell>
        </row>
        <row r="975">
          <cell r="A975" t="str">
            <v/>
          </cell>
          <cell r="B975" t="str">
            <v/>
          </cell>
          <cell r="C975" t="str">
            <v>Future</v>
          </cell>
          <cell r="D975" t="e">
            <v>#N/A</v>
          </cell>
          <cell r="E975">
            <v>-22.272371541501787</v>
          </cell>
          <cell r="F975">
            <v>46.786916996047758</v>
          </cell>
          <cell r="G975">
            <v>30.344229249011015</v>
          </cell>
          <cell r="H975">
            <v>30.344229249011015</v>
          </cell>
          <cell r="I975" t="e">
            <v>#N/A</v>
          </cell>
          <cell r="J975" t="e">
            <v>#N/A</v>
          </cell>
          <cell r="K975">
            <v>42</v>
          </cell>
          <cell r="L975">
            <v>32</v>
          </cell>
          <cell r="M975" t="e">
            <v>#N/A</v>
          </cell>
          <cell r="N975">
            <v>37</v>
          </cell>
          <cell r="O975" t="e">
            <v>#N/A</v>
          </cell>
          <cell r="P975" t="str">
            <v/>
          </cell>
          <cell r="Q975" t="str">
            <v/>
          </cell>
          <cell r="R975" t="e">
            <v>#N/A</v>
          </cell>
        </row>
        <row r="976">
          <cell r="A976" t="str">
            <v/>
          </cell>
          <cell r="B976" t="str">
            <v/>
          </cell>
          <cell r="C976" t="str">
            <v>Future</v>
          </cell>
          <cell r="D976" t="e">
            <v>#N/A</v>
          </cell>
          <cell r="E976">
            <v>-22.40901185770732</v>
          </cell>
          <cell r="F976">
            <v>46.816284584980565</v>
          </cell>
          <cell r="G976">
            <v>30.334071146244217</v>
          </cell>
          <cell r="H976">
            <v>30.334071146244217</v>
          </cell>
          <cell r="I976" t="e">
            <v>#N/A</v>
          </cell>
          <cell r="J976" t="e">
            <v>#N/A</v>
          </cell>
          <cell r="K976">
            <v>42</v>
          </cell>
          <cell r="L976">
            <v>32</v>
          </cell>
          <cell r="M976" t="e">
            <v>#N/A</v>
          </cell>
          <cell r="N976">
            <v>37</v>
          </cell>
          <cell r="O976" t="e">
            <v>#N/A</v>
          </cell>
          <cell r="P976" t="str">
            <v/>
          </cell>
          <cell r="Q976" t="str">
            <v/>
          </cell>
          <cell r="R976" t="e">
            <v>#N/A</v>
          </cell>
        </row>
        <row r="977">
          <cell r="A977" t="str">
            <v/>
          </cell>
          <cell r="B977" t="str">
            <v/>
          </cell>
          <cell r="C977" t="str">
            <v>Future</v>
          </cell>
          <cell r="D977" t="e">
            <v>#N/A</v>
          </cell>
          <cell r="E977">
            <v>-22.545652173912853</v>
          </cell>
          <cell r="F977">
            <v>46.845652173913372</v>
          </cell>
          <cell r="G977">
            <v>30.323913043477418</v>
          </cell>
          <cell r="H977">
            <v>30.323913043477418</v>
          </cell>
          <cell r="I977" t="e">
            <v>#N/A</v>
          </cell>
          <cell r="J977" t="e">
            <v>#N/A</v>
          </cell>
          <cell r="K977">
            <v>42</v>
          </cell>
          <cell r="L977">
            <v>32</v>
          </cell>
          <cell r="M977" t="e">
            <v>#N/A</v>
          </cell>
          <cell r="N977">
            <v>37</v>
          </cell>
          <cell r="O977" t="e">
            <v>#N/A</v>
          </cell>
          <cell r="P977" t="str">
            <v/>
          </cell>
          <cell r="Q977" t="str">
            <v/>
          </cell>
          <cell r="R977" t="e">
            <v>#N/A</v>
          </cell>
        </row>
        <row r="978">
          <cell r="A978" t="str">
            <v/>
          </cell>
          <cell r="B978" t="str">
            <v/>
          </cell>
          <cell r="C978" t="str">
            <v>Future</v>
          </cell>
          <cell r="D978" t="e">
            <v>#N/A</v>
          </cell>
          <cell r="E978">
            <v>-22.682292490118385</v>
          </cell>
          <cell r="F978">
            <v>46.875019762846179</v>
          </cell>
          <cell r="G978">
            <v>30.31375494071062</v>
          </cell>
          <cell r="H978">
            <v>30.31375494071062</v>
          </cell>
          <cell r="I978" t="e">
            <v>#N/A</v>
          </cell>
          <cell r="J978" t="e">
            <v>#N/A</v>
          </cell>
          <cell r="K978">
            <v>42</v>
          </cell>
          <cell r="L978">
            <v>32</v>
          </cell>
          <cell r="M978" t="e">
            <v>#N/A</v>
          </cell>
          <cell r="N978">
            <v>37</v>
          </cell>
          <cell r="O978" t="e">
            <v>#N/A</v>
          </cell>
          <cell r="P978" t="str">
            <v/>
          </cell>
          <cell r="Q978" t="str">
            <v/>
          </cell>
          <cell r="R978" t="e">
            <v>#N/A</v>
          </cell>
        </row>
        <row r="979">
          <cell r="A979" t="str">
            <v/>
          </cell>
          <cell r="B979" t="str">
            <v/>
          </cell>
          <cell r="C979" t="str">
            <v>Future</v>
          </cell>
          <cell r="D979" t="e">
            <v>#N/A</v>
          </cell>
          <cell r="E979">
            <v>-22.818932806323918</v>
          </cell>
          <cell r="F979">
            <v>46.904387351778986</v>
          </cell>
          <cell r="G979">
            <v>30.303596837943822</v>
          </cell>
          <cell r="H979">
            <v>30.303596837943822</v>
          </cell>
          <cell r="I979" t="e">
            <v>#N/A</v>
          </cell>
          <cell r="J979" t="e">
            <v>#N/A</v>
          </cell>
          <cell r="K979">
            <v>42</v>
          </cell>
          <cell r="L979">
            <v>32</v>
          </cell>
          <cell r="M979" t="e">
            <v>#N/A</v>
          </cell>
          <cell r="N979">
            <v>37</v>
          </cell>
          <cell r="O979" t="e">
            <v>#N/A</v>
          </cell>
          <cell r="P979" t="str">
            <v/>
          </cell>
          <cell r="Q979" t="str">
            <v/>
          </cell>
          <cell r="R979" t="e">
            <v>#N/A</v>
          </cell>
        </row>
        <row r="980">
          <cell r="A980" t="str">
            <v/>
          </cell>
          <cell r="B980" t="str">
            <v/>
          </cell>
          <cell r="C980" t="str">
            <v>Future</v>
          </cell>
          <cell r="D980" t="e">
            <v>#N/A</v>
          </cell>
          <cell r="E980">
            <v>-22.955573122529451</v>
          </cell>
          <cell r="F980">
            <v>46.933754940711793</v>
          </cell>
          <cell r="G980">
            <v>30.293438735177023</v>
          </cell>
          <cell r="H980">
            <v>30.293438735177023</v>
          </cell>
          <cell r="I980" t="e">
            <v>#N/A</v>
          </cell>
          <cell r="J980" t="e">
            <v>#N/A</v>
          </cell>
          <cell r="K980">
            <v>42</v>
          </cell>
          <cell r="L980">
            <v>32</v>
          </cell>
          <cell r="M980" t="e">
            <v>#N/A</v>
          </cell>
          <cell r="N980">
            <v>37</v>
          </cell>
          <cell r="O980" t="e">
            <v>#N/A</v>
          </cell>
          <cell r="P980" t="str">
            <v/>
          </cell>
          <cell r="Q980" t="str">
            <v/>
          </cell>
          <cell r="R980" t="e">
            <v>#N/A</v>
          </cell>
        </row>
        <row r="981">
          <cell r="A981" t="str">
            <v/>
          </cell>
          <cell r="B981" t="str">
            <v/>
          </cell>
          <cell r="C981" t="str">
            <v>Future</v>
          </cell>
          <cell r="D981" t="e">
            <v>#N/A</v>
          </cell>
          <cell r="E981">
            <v>-23.092213438734984</v>
          </cell>
          <cell r="F981">
            <v>46.9631225296446</v>
          </cell>
          <cell r="G981">
            <v>30.283280632410225</v>
          </cell>
          <cell r="H981">
            <v>30.283280632410225</v>
          </cell>
          <cell r="I981" t="e">
            <v>#N/A</v>
          </cell>
          <cell r="J981" t="e">
            <v>#N/A</v>
          </cell>
          <cell r="K981">
            <v>42</v>
          </cell>
          <cell r="L981">
            <v>32</v>
          </cell>
          <cell r="M981" t="e">
            <v>#N/A</v>
          </cell>
          <cell r="N981">
            <v>37</v>
          </cell>
          <cell r="O981" t="e">
            <v>#N/A</v>
          </cell>
          <cell r="P981" t="str">
            <v/>
          </cell>
          <cell r="Q981" t="str">
            <v/>
          </cell>
          <cell r="R981" t="e">
            <v>#N/A</v>
          </cell>
        </row>
        <row r="982">
          <cell r="A982" t="str">
            <v/>
          </cell>
          <cell r="B982" t="str">
            <v/>
          </cell>
          <cell r="C982" t="str">
            <v>Future</v>
          </cell>
          <cell r="D982" t="e">
            <v>#N/A</v>
          </cell>
          <cell r="E982">
            <v>-23.228853754940516</v>
          </cell>
          <cell r="F982">
            <v>46.992490118577408</v>
          </cell>
          <cell r="G982">
            <v>30.273122529643427</v>
          </cell>
          <cell r="H982">
            <v>30.273122529643427</v>
          </cell>
          <cell r="I982" t="e">
            <v>#N/A</v>
          </cell>
          <cell r="J982" t="e">
            <v>#N/A</v>
          </cell>
          <cell r="K982">
            <v>42</v>
          </cell>
          <cell r="L982">
            <v>32</v>
          </cell>
          <cell r="M982" t="e">
            <v>#N/A</v>
          </cell>
          <cell r="N982">
            <v>37</v>
          </cell>
          <cell r="O982" t="e">
            <v>#N/A</v>
          </cell>
          <cell r="P982" t="str">
            <v/>
          </cell>
          <cell r="Q982" t="str">
            <v/>
          </cell>
          <cell r="R982" t="e">
            <v>#N/A</v>
          </cell>
        </row>
        <row r="983">
          <cell r="A983" t="str">
            <v/>
          </cell>
          <cell r="B983" t="str">
            <v/>
          </cell>
          <cell r="C983" t="str">
            <v>Future</v>
          </cell>
          <cell r="D983" t="e">
            <v>#N/A</v>
          </cell>
          <cell r="E983">
            <v>-23.365494071146049</v>
          </cell>
          <cell r="F983">
            <v>47.021857707510215</v>
          </cell>
          <cell r="G983">
            <v>30.262964426876628</v>
          </cell>
          <cell r="H983">
            <v>30.262964426876628</v>
          </cell>
          <cell r="I983" t="e">
            <v>#N/A</v>
          </cell>
          <cell r="J983" t="e">
            <v>#N/A</v>
          </cell>
          <cell r="K983">
            <v>42</v>
          </cell>
          <cell r="L983">
            <v>32</v>
          </cell>
          <cell r="M983" t="e">
            <v>#N/A</v>
          </cell>
          <cell r="N983">
            <v>37</v>
          </cell>
          <cell r="O983" t="e">
            <v>#N/A</v>
          </cell>
          <cell r="P983" t="str">
            <v/>
          </cell>
          <cell r="Q983" t="str">
            <v/>
          </cell>
          <cell r="R983" t="e">
            <v>#N/A</v>
          </cell>
        </row>
        <row r="984">
          <cell r="A984" t="str">
            <v/>
          </cell>
          <cell r="B984" t="str">
            <v/>
          </cell>
          <cell r="C984" t="str">
            <v>Future</v>
          </cell>
          <cell r="D984" t="e">
            <v>#N/A</v>
          </cell>
          <cell r="E984">
            <v>-23.502134387351582</v>
          </cell>
          <cell r="F984">
            <v>47.051225296443022</v>
          </cell>
          <cell r="G984">
            <v>30.25280632410983</v>
          </cell>
          <cell r="H984">
            <v>30.25280632410983</v>
          </cell>
          <cell r="I984" t="e">
            <v>#N/A</v>
          </cell>
          <cell r="J984" t="e">
            <v>#N/A</v>
          </cell>
          <cell r="K984">
            <v>42</v>
          </cell>
          <cell r="L984">
            <v>32</v>
          </cell>
          <cell r="M984" t="e">
            <v>#N/A</v>
          </cell>
          <cell r="N984">
            <v>37</v>
          </cell>
          <cell r="O984" t="e">
            <v>#N/A</v>
          </cell>
          <cell r="P984" t="str">
            <v/>
          </cell>
          <cell r="Q984" t="str">
            <v/>
          </cell>
          <cell r="R984" t="e">
            <v>#N/A</v>
          </cell>
        </row>
        <row r="985">
          <cell r="A985" t="str">
            <v/>
          </cell>
          <cell r="B985" t="str">
            <v/>
          </cell>
          <cell r="C985" t="str">
            <v>Future</v>
          </cell>
          <cell r="D985" t="e">
            <v>#N/A</v>
          </cell>
          <cell r="E985">
            <v>-23.638774703557115</v>
          </cell>
          <cell r="F985">
            <v>47.080592885375829</v>
          </cell>
          <cell r="G985">
            <v>30.242648221343032</v>
          </cell>
          <cell r="H985">
            <v>30.242648221343032</v>
          </cell>
          <cell r="I985" t="e">
            <v>#N/A</v>
          </cell>
          <cell r="J985" t="e">
            <v>#N/A</v>
          </cell>
          <cell r="K985">
            <v>42</v>
          </cell>
          <cell r="L985">
            <v>32</v>
          </cell>
          <cell r="M985" t="e">
            <v>#N/A</v>
          </cell>
          <cell r="N985">
            <v>37</v>
          </cell>
          <cell r="O985" t="e">
            <v>#N/A</v>
          </cell>
          <cell r="P985" t="str">
            <v/>
          </cell>
          <cell r="Q985" t="str">
            <v/>
          </cell>
          <cell r="R985" t="e">
            <v>#N/A</v>
          </cell>
        </row>
        <row r="986">
          <cell r="A986" t="str">
            <v/>
          </cell>
          <cell r="B986" t="str">
            <v/>
          </cell>
          <cell r="C986" t="str">
            <v>Future</v>
          </cell>
          <cell r="D986" t="e">
            <v>#N/A</v>
          </cell>
          <cell r="E986">
            <v>-23.775415019762647</v>
          </cell>
          <cell r="F986">
            <v>47.109960474308636</v>
          </cell>
          <cell r="G986">
            <v>30.232490118576234</v>
          </cell>
          <cell r="H986">
            <v>30.232490118576234</v>
          </cell>
          <cell r="I986" t="e">
            <v>#N/A</v>
          </cell>
          <cell r="J986" t="e">
            <v>#N/A</v>
          </cell>
          <cell r="K986">
            <v>42</v>
          </cell>
          <cell r="L986">
            <v>32</v>
          </cell>
          <cell r="M986" t="e">
            <v>#N/A</v>
          </cell>
          <cell r="N986">
            <v>37</v>
          </cell>
          <cell r="O986" t="e">
            <v>#N/A</v>
          </cell>
          <cell r="P986" t="str">
            <v/>
          </cell>
          <cell r="Q986" t="str">
            <v/>
          </cell>
          <cell r="R986" t="e">
            <v>#N/A</v>
          </cell>
        </row>
        <row r="987">
          <cell r="A987" t="str">
            <v/>
          </cell>
          <cell r="B987" t="str">
            <v/>
          </cell>
          <cell r="C987" t="str">
            <v>Future</v>
          </cell>
          <cell r="D987" t="e">
            <v>#N/A</v>
          </cell>
          <cell r="E987">
            <v>-23.91205533596818</v>
          </cell>
          <cell r="F987">
            <v>47.139328063241443</v>
          </cell>
          <cell r="G987">
            <v>30.222332015809435</v>
          </cell>
          <cell r="H987">
            <v>30.222332015809435</v>
          </cell>
          <cell r="I987" t="e">
            <v>#N/A</v>
          </cell>
          <cell r="J987" t="e">
            <v>#N/A</v>
          </cell>
          <cell r="K987">
            <v>42</v>
          </cell>
          <cell r="L987">
            <v>32</v>
          </cell>
          <cell r="M987" t="e">
            <v>#N/A</v>
          </cell>
          <cell r="N987">
            <v>37</v>
          </cell>
          <cell r="O987" t="e">
            <v>#N/A</v>
          </cell>
          <cell r="P987" t="str">
            <v/>
          </cell>
          <cell r="Q987" t="str">
            <v/>
          </cell>
          <cell r="R987" t="e">
            <v>#N/A</v>
          </cell>
        </row>
        <row r="988">
          <cell r="A988" t="str">
            <v/>
          </cell>
          <cell r="B988" t="str">
            <v/>
          </cell>
          <cell r="C988" t="str">
            <v>Future</v>
          </cell>
          <cell r="D988" t="e">
            <v>#N/A</v>
          </cell>
          <cell r="E988">
            <v>-24.048695652173713</v>
          </cell>
          <cell r="F988">
            <v>47.16869565217425</v>
          </cell>
          <cell r="G988">
            <v>30.212173913042637</v>
          </cell>
          <cell r="H988">
            <v>30.212173913042637</v>
          </cell>
          <cell r="I988" t="e">
            <v>#N/A</v>
          </cell>
          <cell r="J988" t="e">
            <v>#N/A</v>
          </cell>
          <cell r="K988">
            <v>42</v>
          </cell>
          <cell r="L988">
            <v>32</v>
          </cell>
          <cell r="M988" t="e">
            <v>#N/A</v>
          </cell>
          <cell r="N988">
            <v>37</v>
          </cell>
          <cell r="O988" t="e">
            <v>#N/A</v>
          </cell>
          <cell r="P988" t="str">
            <v/>
          </cell>
          <cell r="Q988" t="str">
            <v/>
          </cell>
          <cell r="R988" t="e">
            <v>#N/A</v>
          </cell>
        </row>
        <row r="989">
          <cell r="A989" t="str">
            <v/>
          </cell>
          <cell r="B989" t="str">
            <v/>
          </cell>
          <cell r="C989" t="str">
            <v>Future</v>
          </cell>
          <cell r="D989" t="e">
            <v>#N/A</v>
          </cell>
          <cell r="E989">
            <v>-24.185335968379245</v>
          </cell>
          <cell r="F989">
            <v>47.198063241107057</v>
          </cell>
          <cell r="G989">
            <v>30.202015810275839</v>
          </cell>
          <cell r="H989">
            <v>30.202015810275839</v>
          </cell>
          <cell r="I989" t="e">
            <v>#N/A</v>
          </cell>
          <cell r="J989" t="e">
            <v>#N/A</v>
          </cell>
          <cell r="K989">
            <v>42</v>
          </cell>
          <cell r="L989">
            <v>32</v>
          </cell>
          <cell r="M989" t="e">
            <v>#N/A</v>
          </cell>
          <cell r="N989">
            <v>37</v>
          </cell>
          <cell r="O989" t="e">
            <v>#N/A</v>
          </cell>
          <cell r="P989" t="str">
            <v/>
          </cell>
          <cell r="Q989" t="str">
            <v/>
          </cell>
          <cell r="R989" t="e">
            <v>#N/A</v>
          </cell>
        </row>
        <row r="990">
          <cell r="A990" t="str">
            <v/>
          </cell>
          <cell r="B990" t="str">
            <v/>
          </cell>
          <cell r="C990" t="str">
            <v>Future</v>
          </cell>
          <cell r="D990" t="e">
            <v>#N/A</v>
          </cell>
          <cell r="E990">
            <v>-24.321976284584778</v>
          </cell>
          <cell r="F990">
            <v>47.227430830039864</v>
          </cell>
          <cell r="G990">
            <v>30.19185770750904</v>
          </cell>
          <cell r="H990">
            <v>30.19185770750904</v>
          </cell>
          <cell r="I990" t="e">
            <v>#N/A</v>
          </cell>
          <cell r="J990" t="e">
            <v>#N/A</v>
          </cell>
          <cell r="K990">
            <v>42</v>
          </cell>
          <cell r="L990">
            <v>32</v>
          </cell>
          <cell r="M990" t="e">
            <v>#N/A</v>
          </cell>
          <cell r="N990">
            <v>37</v>
          </cell>
          <cell r="O990" t="e">
            <v>#N/A</v>
          </cell>
          <cell r="P990" t="str">
            <v/>
          </cell>
          <cell r="Q990" t="str">
            <v/>
          </cell>
          <cell r="R990" t="e">
            <v>#N/A</v>
          </cell>
        </row>
        <row r="991">
          <cell r="A991" t="str">
            <v/>
          </cell>
          <cell r="B991" t="str">
            <v/>
          </cell>
          <cell r="C991" t="str">
            <v>Future</v>
          </cell>
          <cell r="D991" t="e">
            <v>#N/A</v>
          </cell>
          <cell r="E991">
            <v>-24.458616600790311</v>
          </cell>
          <cell r="F991">
            <v>47.256798418972672</v>
          </cell>
          <cell r="G991">
            <v>30.181699604742242</v>
          </cell>
          <cell r="H991">
            <v>30.181699604742242</v>
          </cell>
          <cell r="I991" t="e">
            <v>#N/A</v>
          </cell>
          <cell r="J991" t="e">
            <v>#N/A</v>
          </cell>
          <cell r="K991">
            <v>42</v>
          </cell>
          <cell r="L991">
            <v>32</v>
          </cell>
          <cell r="M991" t="e">
            <v>#N/A</v>
          </cell>
          <cell r="N991">
            <v>37</v>
          </cell>
          <cell r="O991" t="e">
            <v>#N/A</v>
          </cell>
          <cell r="P991" t="str">
            <v/>
          </cell>
          <cell r="Q991" t="str">
            <v/>
          </cell>
          <cell r="R991" t="e">
            <v>#N/A</v>
          </cell>
        </row>
        <row r="992">
          <cell r="A992" t="str">
            <v/>
          </cell>
          <cell r="B992" t="str">
            <v/>
          </cell>
          <cell r="C992" t="str">
            <v>Future</v>
          </cell>
          <cell r="D992" t="e">
            <v>#N/A</v>
          </cell>
          <cell r="E992">
            <v>-24.595256916995844</v>
          </cell>
          <cell r="F992">
            <v>47.286166007905479</v>
          </cell>
          <cell r="G992">
            <v>30.171541501975444</v>
          </cell>
          <cell r="H992">
            <v>30.171541501975444</v>
          </cell>
          <cell r="I992" t="e">
            <v>#N/A</v>
          </cell>
          <cell r="J992" t="e">
            <v>#N/A</v>
          </cell>
          <cell r="K992">
            <v>42</v>
          </cell>
          <cell r="L992">
            <v>32</v>
          </cell>
          <cell r="M992" t="e">
            <v>#N/A</v>
          </cell>
          <cell r="N992">
            <v>37</v>
          </cell>
          <cell r="O992" t="e">
            <v>#N/A</v>
          </cell>
          <cell r="P992" t="str">
            <v/>
          </cell>
          <cell r="Q992" t="str">
            <v/>
          </cell>
          <cell r="R992" t="e">
            <v>#N/A</v>
          </cell>
        </row>
        <row r="993">
          <cell r="A993" t="str">
            <v/>
          </cell>
          <cell r="B993" t="str">
            <v/>
          </cell>
          <cell r="C993" t="str">
            <v>Future</v>
          </cell>
          <cell r="D993" t="e">
            <v>#N/A</v>
          </cell>
          <cell r="E993">
            <v>-24.731897233201376</v>
          </cell>
          <cell r="F993">
            <v>47.315533596838286</v>
          </cell>
          <cell r="G993">
            <v>30.161383399208646</v>
          </cell>
          <cell r="H993">
            <v>30.161383399208646</v>
          </cell>
          <cell r="I993" t="e">
            <v>#N/A</v>
          </cell>
          <cell r="J993" t="e">
            <v>#N/A</v>
          </cell>
          <cell r="K993">
            <v>42</v>
          </cell>
          <cell r="L993">
            <v>32</v>
          </cell>
          <cell r="M993" t="e">
            <v>#N/A</v>
          </cell>
          <cell r="N993">
            <v>37</v>
          </cell>
          <cell r="O993" t="e">
            <v>#N/A</v>
          </cell>
          <cell r="P993" t="str">
            <v/>
          </cell>
          <cell r="Q993" t="str">
            <v/>
          </cell>
          <cell r="R993" t="e">
            <v>#N/A</v>
          </cell>
        </row>
        <row r="994">
          <cell r="A994" t="str">
            <v/>
          </cell>
          <cell r="B994" t="str">
            <v/>
          </cell>
          <cell r="C994" t="str">
            <v>Future</v>
          </cell>
          <cell r="D994" t="e">
            <v>#N/A</v>
          </cell>
          <cell r="E994">
            <v>-24.868537549406909</v>
          </cell>
          <cell r="F994">
            <v>47.344901185771093</v>
          </cell>
          <cell r="G994">
            <v>30.151225296441847</v>
          </cell>
          <cell r="H994">
            <v>30.151225296441847</v>
          </cell>
          <cell r="I994" t="e">
            <v>#N/A</v>
          </cell>
          <cell r="J994" t="e">
            <v>#N/A</v>
          </cell>
          <cell r="K994">
            <v>42</v>
          </cell>
          <cell r="L994">
            <v>32</v>
          </cell>
          <cell r="M994" t="e">
            <v>#N/A</v>
          </cell>
          <cell r="N994">
            <v>37</v>
          </cell>
          <cell r="O994" t="e">
            <v>#N/A</v>
          </cell>
          <cell r="P994" t="str">
            <v/>
          </cell>
          <cell r="Q994" t="str">
            <v/>
          </cell>
          <cell r="R994" t="e">
            <v>#N/A</v>
          </cell>
        </row>
        <row r="995">
          <cell r="A995" t="str">
            <v/>
          </cell>
          <cell r="B995" t="str">
            <v/>
          </cell>
          <cell r="C995" t="str">
            <v>Future</v>
          </cell>
          <cell r="D995" t="e">
            <v>#N/A</v>
          </cell>
          <cell r="E995">
            <v>-25.005177865612442</v>
          </cell>
          <cell r="F995">
            <v>47.3742687747039</v>
          </cell>
          <cell r="G995">
            <v>30.141067193675049</v>
          </cell>
          <cell r="H995">
            <v>30.141067193675049</v>
          </cell>
          <cell r="I995" t="e">
            <v>#N/A</v>
          </cell>
          <cell r="J995" t="e">
            <v>#N/A</v>
          </cell>
          <cell r="K995">
            <v>42</v>
          </cell>
          <cell r="L995">
            <v>32</v>
          </cell>
          <cell r="M995" t="e">
            <v>#N/A</v>
          </cell>
          <cell r="N995">
            <v>37</v>
          </cell>
          <cell r="O995" t="e">
            <v>#N/A</v>
          </cell>
          <cell r="P995" t="str">
            <v/>
          </cell>
          <cell r="Q995" t="str">
            <v/>
          </cell>
          <cell r="R995" t="e">
            <v>#N/A</v>
          </cell>
        </row>
        <row r="996">
          <cell r="A996" t="str">
            <v/>
          </cell>
          <cell r="B996" t="str">
            <v/>
          </cell>
          <cell r="C996" t="str">
            <v>Future</v>
          </cell>
          <cell r="D996" t="e">
            <v>#N/A</v>
          </cell>
          <cell r="E996">
            <v>-25.141818181817975</v>
          </cell>
          <cell r="F996">
            <v>47.403636363636707</v>
          </cell>
          <cell r="G996">
            <v>30.130909090908251</v>
          </cell>
          <cell r="H996">
            <v>30.130909090908251</v>
          </cell>
          <cell r="I996" t="e">
            <v>#N/A</v>
          </cell>
          <cell r="J996" t="e">
            <v>#N/A</v>
          </cell>
          <cell r="K996">
            <v>42</v>
          </cell>
          <cell r="L996">
            <v>32</v>
          </cell>
          <cell r="M996" t="e">
            <v>#N/A</v>
          </cell>
          <cell r="N996">
            <v>37</v>
          </cell>
          <cell r="O996" t="e">
            <v>#N/A</v>
          </cell>
          <cell r="P996" t="str">
            <v/>
          </cell>
          <cell r="Q996" t="str">
            <v/>
          </cell>
          <cell r="R996" t="e">
            <v>#N/A</v>
          </cell>
        </row>
        <row r="997">
          <cell r="A997" t="str">
            <v/>
          </cell>
          <cell r="B997" t="str">
            <v/>
          </cell>
          <cell r="C997" t="str">
            <v>Future</v>
          </cell>
          <cell r="D997" t="e">
            <v>#N/A</v>
          </cell>
          <cell r="E997">
            <v>-25.278458498023507</v>
          </cell>
          <cell r="F997">
            <v>47.433003952569514</v>
          </cell>
          <cell r="G997">
            <v>30.120750988141452</v>
          </cell>
          <cell r="H997">
            <v>30.120750988141452</v>
          </cell>
          <cell r="I997" t="e">
            <v>#N/A</v>
          </cell>
          <cell r="J997" t="e">
            <v>#N/A</v>
          </cell>
          <cell r="K997">
            <v>42</v>
          </cell>
          <cell r="L997">
            <v>32</v>
          </cell>
          <cell r="M997" t="e">
            <v>#N/A</v>
          </cell>
          <cell r="N997">
            <v>37</v>
          </cell>
          <cell r="O997" t="e">
            <v>#N/A</v>
          </cell>
          <cell r="P997" t="str">
            <v/>
          </cell>
          <cell r="Q997" t="str">
            <v/>
          </cell>
          <cell r="R997" t="e">
            <v>#N/A</v>
          </cell>
        </row>
        <row r="998">
          <cell r="A998" t="str">
            <v/>
          </cell>
          <cell r="B998" t="str">
            <v/>
          </cell>
          <cell r="C998" t="str">
            <v>Future</v>
          </cell>
          <cell r="D998" t="e">
            <v>#N/A</v>
          </cell>
          <cell r="E998">
            <v>-25.41509881422904</v>
          </cell>
          <cell r="F998">
            <v>47.462371541502321</v>
          </cell>
          <cell r="G998">
            <v>30.110592885374654</v>
          </cell>
          <cell r="H998">
            <v>30.110592885374654</v>
          </cell>
          <cell r="I998" t="e">
            <v>#N/A</v>
          </cell>
          <cell r="J998" t="e">
            <v>#N/A</v>
          </cell>
          <cell r="K998">
            <v>42</v>
          </cell>
          <cell r="L998">
            <v>32</v>
          </cell>
          <cell r="M998" t="e">
            <v>#N/A</v>
          </cell>
          <cell r="N998">
            <v>37</v>
          </cell>
          <cell r="O998" t="e">
            <v>#N/A</v>
          </cell>
          <cell r="P998" t="str">
            <v/>
          </cell>
          <cell r="Q998" t="str">
            <v/>
          </cell>
          <cell r="R998" t="e">
            <v>#N/A</v>
          </cell>
        </row>
        <row r="999">
          <cell r="A999" t="str">
            <v/>
          </cell>
          <cell r="B999" t="str">
            <v/>
          </cell>
          <cell r="C999" t="str">
            <v>Future</v>
          </cell>
          <cell r="D999" t="e">
            <v>#N/A</v>
          </cell>
          <cell r="E999">
            <v>-25.551739130434573</v>
          </cell>
          <cell r="F999">
            <v>47.491739130435128</v>
          </cell>
          <cell r="G999">
            <v>30.100434782607856</v>
          </cell>
          <cell r="H999">
            <v>30.100434782607856</v>
          </cell>
          <cell r="I999" t="e">
            <v>#N/A</v>
          </cell>
          <cell r="J999" t="e">
            <v>#N/A</v>
          </cell>
          <cell r="K999">
            <v>42</v>
          </cell>
          <cell r="L999">
            <v>32</v>
          </cell>
          <cell r="M999" t="e">
            <v>#N/A</v>
          </cell>
          <cell r="N999">
            <v>37</v>
          </cell>
          <cell r="O999" t="e">
            <v>#N/A</v>
          </cell>
          <cell r="P999" t="str">
            <v/>
          </cell>
          <cell r="Q999" t="str">
            <v/>
          </cell>
          <cell r="R999" t="e">
            <v>#N/A</v>
          </cell>
        </row>
        <row r="1000">
          <cell r="A1000" t="str">
            <v/>
          </cell>
          <cell r="B1000" t="str">
            <v/>
          </cell>
          <cell r="C1000" t="str">
            <v>Future</v>
          </cell>
          <cell r="D1000" t="e">
            <v>#N/A</v>
          </cell>
          <cell r="E1000">
            <v>-25.688379446640106</v>
          </cell>
          <cell r="F1000">
            <v>47.521106719367936</v>
          </cell>
          <cell r="G1000">
            <v>30.090276679841057</v>
          </cell>
          <cell r="H1000">
            <v>30.090276679841057</v>
          </cell>
          <cell r="I1000" t="e">
            <v>#N/A</v>
          </cell>
          <cell r="J1000" t="e">
            <v>#N/A</v>
          </cell>
          <cell r="K1000">
            <v>42</v>
          </cell>
          <cell r="L1000">
            <v>32</v>
          </cell>
          <cell r="M1000" t="e">
            <v>#N/A</v>
          </cell>
          <cell r="N1000">
            <v>37</v>
          </cell>
          <cell r="O1000" t="e">
            <v>#N/A</v>
          </cell>
          <cell r="P1000" t="str">
            <v/>
          </cell>
          <cell r="Q1000" t="str">
            <v/>
          </cell>
          <cell r="R1000" t="e">
            <v>#N/A</v>
          </cell>
        </row>
        <row r="1001">
          <cell r="A1001" t="str">
            <v/>
          </cell>
          <cell r="B1001" t="str">
            <v/>
          </cell>
          <cell r="C1001" t="str">
            <v>Future</v>
          </cell>
          <cell r="D1001" t="e">
            <v>#N/A</v>
          </cell>
          <cell r="E1001">
            <v>-25.825019762845638</v>
          </cell>
          <cell r="F1001">
            <v>47.550474308300743</v>
          </cell>
          <cell r="G1001">
            <v>30.080118577074259</v>
          </cell>
          <cell r="H1001">
            <v>30.080118577074259</v>
          </cell>
          <cell r="I1001" t="e">
            <v>#N/A</v>
          </cell>
          <cell r="J1001" t="e">
            <v>#N/A</v>
          </cell>
          <cell r="K1001">
            <v>42</v>
          </cell>
          <cell r="L1001">
            <v>32</v>
          </cell>
          <cell r="M1001" t="e">
            <v>#N/A</v>
          </cell>
          <cell r="N1001">
            <v>37</v>
          </cell>
          <cell r="O1001" t="e">
            <v>#N/A</v>
          </cell>
          <cell r="P1001" t="str">
            <v/>
          </cell>
          <cell r="Q1001" t="str">
            <v/>
          </cell>
          <cell r="R1001" t="e">
            <v>#N/A</v>
          </cell>
        </row>
        <row r="1002">
          <cell r="A1002" t="str">
            <v/>
          </cell>
          <cell r="B1002" t="str">
            <v/>
          </cell>
          <cell r="C1002" t="str">
            <v>Future</v>
          </cell>
          <cell r="D1002" t="e">
            <v>#N/A</v>
          </cell>
          <cell r="E1002">
            <v>-25.961660079051171</v>
          </cell>
          <cell r="F1002">
            <v>47.57984189723355</v>
          </cell>
          <cell r="G1002">
            <v>30.069960474307461</v>
          </cell>
          <cell r="H1002">
            <v>30.069960474307461</v>
          </cell>
          <cell r="I1002" t="e">
            <v>#N/A</v>
          </cell>
          <cell r="J1002" t="e">
            <v>#N/A</v>
          </cell>
          <cell r="K1002">
            <v>42</v>
          </cell>
          <cell r="L1002">
            <v>32</v>
          </cell>
          <cell r="M1002" t="e">
            <v>#N/A</v>
          </cell>
          <cell r="N1002">
            <v>37</v>
          </cell>
          <cell r="O1002" t="e">
            <v>#N/A</v>
          </cell>
          <cell r="P1002" t="str">
            <v/>
          </cell>
          <cell r="Q1002" t="str">
            <v/>
          </cell>
          <cell r="R1002" t="e">
            <v>#N/A</v>
          </cell>
        </row>
        <row r="1003">
          <cell r="A1003" t="str">
            <v/>
          </cell>
          <cell r="B1003" t="str">
            <v/>
          </cell>
          <cell r="C1003" t="str">
            <v>Future</v>
          </cell>
          <cell r="D1003" t="e">
            <v>#N/A</v>
          </cell>
          <cell r="E1003">
            <v>-26.098300395256704</v>
          </cell>
          <cell r="F1003">
            <v>47.609209486166357</v>
          </cell>
          <cell r="G1003">
            <v>30.059802371540663</v>
          </cell>
          <cell r="H1003">
            <v>30.059802371540663</v>
          </cell>
          <cell r="I1003" t="e">
            <v>#N/A</v>
          </cell>
          <cell r="J1003" t="e">
            <v>#N/A</v>
          </cell>
          <cell r="K1003">
            <v>42</v>
          </cell>
          <cell r="L1003">
            <v>32</v>
          </cell>
          <cell r="M1003" t="e">
            <v>#N/A</v>
          </cell>
          <cell r="N1003">
            <v>37</v>
          </cell>
          <cell r="O1003" t="e">
            <v>#N/A</v>
          </cell>
          <cell r="P1003" t="str">
            <v/>
          </cell>
          <cell r="Q1003" t="str">
            <v/>
          </cell>
          <cell r="R1003" t="e">
            <v>#N/A</v>
          </cell>
        </row>
        <row r="1004">
          <cell r="A1004" t="str">
            <v/>
          </cell>
          <cell r="B1004" t="str">
            <v/>
          </cell>
          <cell r="C1004" t="str">
            <v>Future</v>
          </cell>
          <cell r="D1004" t="e">
            <v>#N/A</v>
          </cell>
          <cell r="E1004">
            <v>-26.234940711462237</v>
          </cell>
          <cell r="F1004">
            <v>47.638577075099164</v>
          </cell>
          <cell r="G1004">
            <v>30.049644268773864</v>
          </cell>
          <cell r="H1004">
            <v>30.049644268773864</v>
          </cell>
          <cell r="I1004" t="e">
            <v>#N/A</v>
          </cell>
          <cell r="J1004" t="e">
            <v>#N/A</v>
          </cell>
          <cell r="K1004">
            <v>42</v>
          </cell>
          <cell r="L1004">
            <v>32</v>
          </cell>
          <cell r="M1004" t="e">
            <v>#N/A</v>
          </cell>
          <cell r="N1004">
            <v>37</v>
          </cell>
          <cell r="O1004" t="e">
            <v>#N/A</v>
          </cell>
          <cell r="P1004" t="str">
            <v/>
          </cell>
          <cell r="Q1004" t="str">
            <v/>
          </cell>
          <cell r="R1004" t="e">
            <v>#N/A</v>
          </cell>
        </row>
        <row r="1005">
          <cell r="A1005" t="str">
            <v/>
          </cell>
          <cell r="B1005" t="str">
            <v/>
          </cell>
          <cell r="C1005" t="str">
            <v>Future</v>
          </cell>
          <cell r="D1005" t="e">
            <v>#N/A</v>
          </cell>
          <cell r="E1005">
            <v>-26.371581027667769</v>
          </cell>
          <cell r="F1005">
            <v>47.667944664031971</v>
          </cell>
          <cell r="G1005">
            <v>30.039486166007066</v>
          </cell>
          <cell r="H1005">
            <v>30.039486166007066</v>
          </cell>
          <cell r="I1005" t="e">
            <v>#N/A</v>
          </cell>
          <cell r="J1005" t="e">
            <v>#N/A</v>
          </cell>
          <cell r="K1005">
            <v>42</v>
          </cell>
          <cell r="L1005">
            <v>32</v>
          </cell>
          <cell r="M1005" t="e">
            <v>#N/A</v>
          </cell>
          <cell r="N1005">
            <v>37</v>
          </cell>
          <cell r="O1005" t="e">
            <v>#N/A</v>
          </cell>
          <cell r="P1005" t="str">
            <v/>
          </cell>
          <cell r="Q1005" t="str">
            <v/>
          </cell>
          <cell r="R1005" t="e">
            <v>#N/A</v>
          </cell>
        </row>
        <row r="1006">
          <cell r="A1006" t="str">
            <v/>
          </cell>
          <cell r="B1006" t="str">
            <v/>
          </cell>
          <cell r="C1006" t="str">
            <v>Future</v>
          </cell>
          <cell r="D1006" t="e">
            <v>#N/A</v>
          </cell>
          <cell r="E1006">
            <v>-26.508221343873302</v>
          </cell>
          <cell r="F1006">
            <v>47.697312252964778</v>
          </cell>
          <cell r="G1006">
            <v>30.029328063240268</v>
          </cell>
          <cell r="H1006">
            <v>30.029328063240268</v>
          </cell>
          <cell r="I1006" t="e">
            <v>#N/A</v>
          </cell>
          <cell r="J1006" t="e">
            <v>#N/A</v>
          </cell>
          <cell r="K1006">
            <v>42</v>
          </cell>
          <cell r="L1006">
            <v>32</v>
          </cell>
          <cell r="M1006" t="e">
            <v>#N/A</v>
          </cell>
          <cell r="N1006">
            <v>37</v>
          </cell>
          <cell r="O1006" t="e">
            <v>#N/A</v>
          </cell>
          <cell r="P1006" t="str">
            <v/>
          </cell>
          <cell r="Q1006" t="str">
            <v/>
          </cell>
          <cell r="R1006" t="e">
            <v>#N/A</v>
          </cell>
        </row>
        <row r="1007">
          <cell r="A1007" t="str">
            <v/>
          </cell>
          <cell r="B1007" t="str">
            <v/>
          </cell>
          <cell r="C1007" t="str">
            <v>Future</v>
          </cell>
          <cell r="D1007" t="e">
            <v>#N/A</v>
          </cell>
          <cell r="E1007">
            <v>-26.644861660078835</v>
          </cell>
          <cell r="F1007">
            <v>47.726679841897585</v>
          </cell>
          <cell r="G1007">
            <v>30.019169960473469</v>
          </cell>
          <cell r="H1007">
            <v>30.019169960473469</v>
          </cell>
          <cell r="I1007" t="e">
            <v>#N/A</v>
          </cell>
          <cell r="J1007" t="e">
            <v>#N/A</v>
          </cell>
          <cell r="K1007">
            <v>42</v>
          </cell>
          <cell r="L1007">
            <v>32</v>
          </cell>
          <cell r="M1007" t="e">
            <v>#N/A</v>
          </cell>
          <cell r="N1007">
            <v>37</v>
          </cell>
          <cell r="O1007" t="e">
            <v>#N/A</v>
          </cell>
          <cell r="P1007" t="str">
            <v/>
          </cell>
          <cell r="Q1007" t="str">
            <v/>
          </cell>
          <cell r="R1007" t="e">
            <v>#N/A</v>
          </cell>
        </row>
        <row r="1008">
          <cell r="A1008" t="str">
            <v/>
          </cell>
          <cell r="B1008" t="str">
            <v/>
          </cell>
          <cell r="C1008" t="str">
            <v>Future</v>
          </cell>
          <cell r="D1008" t="e">
            <v>#N/A</v>
          </cell>
          <cell r="E1008">
            <v>-26.781501976284368</v>
          </cell>
          <cell r="F1008">
            <v>47.756047430830392</v>
          </cell>
          <cell r="G1008">
            <v>30.009011857706671</v>
          </cell>
          <cell r="H1008">
            <v>30.009011857706671</v>
          </cell>
          <cell r="I1008" t="e">
            <v>#N/A</v>
          </cell>
          <cell r="J1008" t="e">
            <v>#N/A</v>
          </cell>
          <cell r="K1008">
            <v>42</v>
          </cell>
          <cell r="L1008">
            <v>32</v>
          </cell>
          <cell r="M1008" t="e">
            <v>#N/A</v>
          </cell>
          <cell r="N1008">
            <v>37</v>
          </cell>
          <cell r="O1008" t="e">
            <v>#N/A</v>
          </cell>
          <cell r="P1008" t="str">
            <v/>
          </cell>
          <cell r="Q1008" t="str">
            <v/>
          </cell>
          <cell r="R1008" t="e">
            <v>#N/A</v>
          </cell>
        </row>
        <row r="1009">
          <cell r="A1009" t="str">
            <v/>
          </cell>
          <cell r="B1009" t="str">
            <v/>
          </cell>
          <cell r="C1009" t="str">
            <v>Future</v>
          </cell>
          <cell r="D1009" t="e">
            <v>#N/A</v>
          </cell>
          <cell r="E1009">
            <v>-26.9181422924899</v>
          </cell>
          <cell r="F1009">
            <v>47.785415019763199</v>
          </cell>
          <cell r="G1009">
            <v>29.998853754939873</v>
          </cell>
          <cell r="H1009">
            <v>29.998853754939873</v>
          </cell>
          <cell r="I1009" t="e">
            <v>#N/A</v>
          </cell>
          <cell r="J1009" t="e">
            <v>#N/A</v>
          </cell>
          <cell r="K1009">
            <v>42</v>
          </cell>
          <cell r="L1009">
            <v>32</v>
          </cell>
          <cell r="M1009" t="e">
            <v>#N/A</v>
          </cell>
          <cell r="N1009">
            <v>37</v>
          </cell>
          <cell r="O1009" t="e">
            <v>#N/A</v>
          </cell>
          <cell r="P1009" t="str">
            <v/>
          </cell>
          <cell r="Q1009" t="str">
            <v/>
          </cell>
          <cell r="R1009" t="e">
            <v>#N/A</v>
          </cell>
        </row>
        <row r="1010">
          <cell r="A1010" t="str">
            <v/>
          </cell>
          <cell r="B1010" t="str">
            <v/>
          </cell>
          <cell r="C1010" t="str">
            <v>Future</v>
          </cell>
          <cell r="D1010" t="e">
            <v>#N/A</v>
          </cell>
          <cell r="E1010">
            <v>-27.054782608695433</v>
          </cell>
          <cell r="F1010">
            <v>47.814782608696007</v>
          </cell>
          <cell r="G1010">
            <v>29.988695652173075</v>
          </cell>
          <cell r="H1010">
            <v>29.988695652173075</v>
          </cell>
          <cell r="I1010" t="e">
            <v>#N/A</v>
          </cell>
          <cell r="J1010" t="e">
            <v>#N/A</v>
          </cell>
          <cell r="K1010">
            <v>42</v>
          </cell>
          <cell r="L1010">
            <v>32</v>
          </cell>
          <cell r="M1010" t="e">
            <v>#N/A</v>
          </cell>
          <cell r="N1010">
            <v>37</v>
          </cell>
          <cell r="O1010" t="e">
            <v>#N/A</v>
          </cell>
          <cell r="P1010" t="str">
            <v/>
          </cell>
          <cell r="Q1010" t="str">
            <v/>
          </cell>
          <cell r="R1010" t="e">
            <v>#N/A</v>
          </cell>
        </row>
        <row r="1011">
          <cell r="A1011" t="str">
            <v/>
          </cell>
          <cell r="B1011" t="str">
            <v/>
          </cell>
          <cell r="C1011" t="str">
            <v>Future</v>
          </cell>
          <cell r="D1011" t="e">
            <v>#N/A</v>
          </cell>
          <cell r="E1011">
            <v>-27.191422924900966</v>
          </cell>
          <cell r="F1011">
            <v>47.844150197628814</v>
          </cell>
          <cell r="G1011">
            <v>29.978537549406276</v>
          </cell>
          <cell r="H1011">
            <v>29.978537549406276</v>
          </cell>
          <cell r="I1011" t="e">
            <v>#N/A</v>
          </cell>
          <cell r="J1011" t="e">
            <v>#N/A</v>
          </cell>
          <cell r="K1011">
            <v>42</v>
          </cell>
          <cell r="L1011">
            <v>32</v>
          </cell>
          <cell r="M1011" t="e">
            <v>#N/A</v>
          </cell>
          <cell r="N1011">
            <v>37</v>
          </cell>
          <cell r="O1011" t="e">
            <v>#N/A</v>
          </cell>
          <cell r="P1011" t="str">
            <v/>
          </cell>
          <cell r="Q1011" t="str">
            <v/>
          </cell>
          <cell r="R1011" t="e">
            <v>#N/A</v>
          </cell>
        </row>
        <row r="1012">
          <cell r="A1012" t="str">
            <v/>
          </cell>
          <cell r="B1012" t="str">
            <v/>
          </cell>
          <cell r="C1012" t="str">
            <v>Future</v>
          </cell>
          <cell r="D1012" t="e">
            <v>#N/A</v>
          </cell>
          <cell r="E1012">
            <v>-27.328063241106499</v>
          </cell>
          <cell r="F1012">
            <v>47.873517786561621</v>
          </cell>
          <cell r="G1012">
            <v>29.968379446639478</v>
          </cell>
          <cell r="H1012">
            <v>29.968379446639478</v>
          </cell>
          <cell r="I1012" t="e">
            <v>#N/A</v>
          </cell>
          <cell r="J1012" t="e">
            <v>#N/A</v>
          </cell>
          <cell r="K1012">
            <v>42</v>
          </cell>
          <cell r="L1012">
            <v>32</v>
          </cell>
          <cell r="M1012" t="e">
            <v>#N/A</v>
          </cell>
          <cell r="N1012">
            <v>37</v>
          </cell>
          <cell r="O1012" t="e">
            <v>#N/A</v>
          </cell>
          <cell r="P1012" t="str">
            <v/>
          </cell>
          <cell r="Q1012" t="str">
            <v/>
          </cell>
          <cell r="R1012" t="e">
            <v>#N/A</v>
          </cell>
        </row>
        <row r="1013">
          <cell r="A1013" t="str">
            <v/>
          </cell>
          <cell r="B1013" t="str">
            <v/>
          </cell>
          <cell r="C1013" t="str">
            <v>Future</v>
          </cell>
          <cell r="D1013" t="e">
            <v>#N/A</v>
          </cell>
          <cell r="E1013">
            <v>-27.464703557312031</v>
          </cell>
          <cell r="F1013">
            <v>47.902885375494428</v>
          </cell>
          <cell r="G1013">
            <v>29.95822134387268</v>
          </cell>
          <cell r="H1013">
            <v>29.95822134387268</v>
          </cell>
          <cell r="I1013" t="e">
            <v>#N/A</v>
          </cell>
          <cell r="J1013" t="e">
            <v>#N/A</v>
          </cell>
          <cell r="K1013">
            <v>42</v>
          </cell>
          <cell r="L1013">
            <v>32</v>
          </cell>
          <cell r="M1013" t="e">
            <v>#N/A</v>
          </cell>
          <cell r="N1013">
            <v>37</v>
          </cell>
          <cell r="O1013" t="e">
            <v>#N/A</v>
          </cell>
          <cell r="P1013" t="str">
            <v/>
          </cell>
          <cell r="Q1013" t="str">
            <v/>
          </cell>
          <cell r="R1013" t="e">
            <v>#N/A</v>
          </cell>
        </row>
        <row r="1014">
          <cell r="A1014" t="str">
            <v/>
          </cell>
          <cell r="B1014" t="str">
            <v/>
          </cell>
          <cell r="C1014" t="str">
            <v>Future</v>
          </cell>
          <cell r="D1014" t="e">
            <v>#N/A</v>
          </cell>
          <cell r="E1014">
            <v>-27.601343873517564</v>
          </cell>
          <cell r="F1014">
            <v>47.932252964427235</v>
          </cell>
          <cell r="G1014">
            <v>29.948063241105881</v>
          </cell>
          <cell r="H1014">
            <v>29.948063241105881</v>
          </cell>
          <cell r="I1014" t="e">
            <v>#N/A</v>
          </cell>
          <cell r="J1014" t="e">
            <v>#N/A</v>
          </cell>
          <cell r="K1014">
            <v>42</v>
          </cell>
          <cell r="L1014">
            <v>32</v>
          </cell>
          <cell r="M1014" t="e">
            <v>#N/A</v>
          </cell>
          <cell r="N1014">
            <v>37</v>
          </cell>
          <cell r="O1014" t="e">
            <v>#N/A</v>
          </cell>
          <cell r="P1014" t="str">
            <v/>
          </cell>
          <cell r="Q1014" t="str">
            <v/>
          </cell>
          <cell r="R1014" t="e">
            <v>#N/A</v>
          </cell>
        </row>
        <row r="1015">
          <cell r="A1015" t="str">
            <v/>
          </cell>
          <cell r="B1015" t="str">
            <v/>
          </cell>
          <cell r="C1015" t="str">
            <v>Future</v>
          </cell>
          <cell r="D1015" t="e">
            <v>#N/A</v>
          </cell>
          <cell r="E1015">
            <v>-27.737984189723097</v>
          </cell>
          <cell r="F1015">
            <v>47.961620553360042</v>
          </cell>
          <cell r="G1015">
            <v>29.937905138339083</v>
          </cell>
          <cell r="H1015">
            <v>29.937905138339083</v>
          </cell>
          <cell r="I1015" t="e">
            <v>#N/A</v>
          </cell>
          <cell r="J1015" t="e">
            <v>#N/A</v>
          </cell>
          <cell r="K1015">
            <v>42</v>
          </cell>
          <cell r="L1015">
            <v>32</v>
          </cell>
          <cell r="M1015" t="e">
            <v>#N/A</v>
          </cell>
          <cell r="N1015">
            <v>37</v>
          </cell>
          <cell r="O1015" t="e">
            <v>#N/A</v>
          </cell>
          <cell r="P1015" t="str">
            <v/>
          </cell>
          <cell r="Q1015" t="str">
            <v/>
          </cell>
          <cell r="R1015" t="e">
            <v>#N/A</v>
          </cell>
        </row>
        <row r="1016">
          <cell r="A1016" t="str">
            <v/>
          </cell>
          <cell r="B1016" t="str">
            <v/>
          </cell>
          <cell r="C1016" t="str">
            <v>Future</v>
          </cell>
          <cell r="D1016" t="e">
            <v>#N/A</v>
          </cell>
          <cell r="E1016">
            <v>-27.87462450592863</v>
          </cell>
          <cell r="F1016">
            <v>47.990988142292849</v>
          </cell>
          <cell r="G1016">
            <v>29.927747035572285</v>
          </cell>
          <cell r="H1016">
            <v>29.927747035572285</v>
          </cell>
          <cell r="I1016" t="e">
            <v>#N/A</v>
          </cell>
          <cell r="J1016" t="e">
            <v>#N/A</v>
          </cell>
          <cell r="K1016">
            <v>42</v>
          </cell>
          <cell r="L1016">
            <v>32</v>
          </cell>
          <cell r="M1016" t="e">
            <v>#N/A</v>
          </cell>
          <cell r="N1016">
            <v>37</v>
          </cell>
          <cell r="O1016" t="e">
            <v>#N/A</v>
          </cell>
          <cell r="P1016" t="str">
            <v/>
          </cell>
          <cell r="Q1016" t="str">
            <v/>
          </cell>
          <cell r="R1016" t="e">
            <v>#N/A</v>
          </cell>
        </row>
        <row r="1017">
          <cell r="A1017" t="str">
            <v/>
          </cell>
          <cell r="B1017" t="str">
            <v/>
          </cell>
          <cell r="C1017" t="str">
            <v>Future</v>
          </cell>
          <cell r="D1017" t="e">
            <v>#N/A</v>
          </cell>
          <cell r="E1017">
            <v>-28.011264822134162</v>
          </cell>
          <cell r="F1017">
            <v>48.020355731225656</v>
          </cell>
          <cell r="G1017">
            <v>29.917588932805486</v>
          </cell>
          <cell r="H1017">
            <v>29.917588932805486</v>
          </cell>
          <cell r="I1017" t="e">
            <v>#N/A</v>
          </cell>
          <cell r="J1017" t="e">
            <v>#N/A</v>
          </cell>
          <cell r="K1017">
            <v>42</v>
          </cell>
          <cell r="L1017">
            <v>32</v>
          </cell>
          <cell r="M1017" t="e">
            <v>#N/A</v>
          </cell>
          <cell r="N1017">
            <v>37</v>
          </cell>
          <cell r="O1017" t="e">
            <v>#N/A</v>
          </cell>
          <cell r="P1017" t="str">
            <v/>
          </cell>
          <cell r="Q1017" t="str">
            <v/>
          </cell>
          <cell r="R1017" t="e">
            <v>#N/A</v>
          </cell>
        </row>
        <row r="1018">
          <cell r="A1018" t="str">
            <v/>
          </cell>
          <cell r="B1018" t="str">
            <v/>
          </cell>
          <cell r="C1018" t="str">
            <v>Future</v>
          </cell>
          <cell r="D1018" t="e">
            <v>#N/A</v>
          </cell>
          <cell r="E1018">
            <v>-28.147905138339695</v>
          </cell>
          <cell r="F1018">
            <v>48.049723320158463</v>
          </cell>
          <cell r="G1018">
            <v>29.907430830038688</v>
          </cell>
          <cell r="H1018">
            <v>29.907430830038688</v>
          </cell>
          <cell r="I1018" t="e">
            <v>#N/A</v>
          </cell>
          <cell r="J1018" t="e">
            <v>#N/A</v>
          </cell>
          <cell r="K1018">
            <v>42</v>
          </cell>
          <cell r="L1018">
            <v>32</v>
          </cell>
          <cell r="M1018" t="e">
            <v>#N/A</v>
          </cell>
          <cell r="N1018">
            <v>37</v>
          </cell>
          <cell r="O1018" t="e">
            <v>#N/A</v>
          </cell>
          <cell r="P1018" t="str">
            <v/>
          </cell>
          <cell r="Q1018" t="str">
            <v/>
          </cell>
          <cell r="R1018" t="e">
            <v>#N/A</v>
          </cell>
        </row>
        <row r="1019">
          <cell r="A1019" t="str">
            <v/>
          </cell>
          <cell r="B1019" t="str">
            <v/>
          </cell>
          <cell r="C1019" t="str">
            <v>Future</v>
          </cell>
          <cell r="D1019" t="e">
            <v>#N/A</v>
          </cell>
          <cell r="E1019">
            <v>-28.284545454545228</v>
          </cell>
          <cell r="F1019">
            <v>48.079090909091271</v>
          </cell>
          <cell r="G1019">
            <v>29.89727272727189</v>
          </cell>
          <cell r="H1019">
            <v>29.89727272727189</v>
          </cell>
          <cell r="I1019" t="e">
            <v>#N/A</v>
          </cell>
          <cell r="J1019" t="e">
            <v>#N/A</v>
          </cell>
          <cell r="K1019">
            <v>42</v>
          </cell>
          <cell r="L1019">
            <v>32</v>
          </cell>
          <cell r="M1019" t="e">
            <v>#N/A</v>
          </cell>
          <cell r="N1019">
            <v>37</v>
          </cell>
          <cell r="O1019" t="e">
            <v>#N/A</v>
          </cell>
          <cell r="P1019" t="str">
            <v/>
          </cell>
          <cell r="Q1019" t="str">
            <v/>
          </cell>
          <cell r="R1019" t="e">
            <v>#N/A</v>
          </cell>
        </row>
        <row r="1020">
          <cell r="A1020" t="str">
            <v/>
          </cell>
          <cell r="B1020" t="str">
            <v/>
          </cell>
          <cell r="C1020" t="str">
            <v>Future</v>
          </cell>
          <cell r="D1020" t="e">
            <v>#N/A</v>
          </cell>
          <cell r="E1020">
            <v>-28.42118577075076</v>
          </cell>
          <cell r="F1020">
            <v>48.108458498024078</v>
          </cell>
          <cell r="G1020">
            <v>29.887114624505092</v>
          </cell>
          <cell r="H1020">
            <v>29.887114624505092</v>
          </cell>
          <cell r="I1020" t="e">
            <v>#N/A</v>
          </cell>
          <cell r="J1020" t="e">
            <v>#N/A</v>
          </cell>
          <cell r="K1020">
            <v>42</v>
          </cell>
          <cell r="L1020">
            <v>32</v>
          </cell>
          <cell r="M1020" t="e">
            <v>#N/A</v>
          </cell>
          <cell r="N1020">
            <v>37</v>
          </cell>
          <cell r="O1020" t="e">
            <v>#N/A</v>
          </cell>
          <cell r="P1020" t="str">
            <v/>
          </cell>
          <cell r="Q1020" t="str">
            <v/>
          </cell>
          <cell r="R1020" t="e">
            <v>#N/A</v>
          </cell>
        </row>
        <row r="1021">
          <cell r="A1021" t="str">
            <v/>
          </cell>
          <cell r="B1021" t="str">
            <v/>
          </cell>
          <cell r="C1021" t="str">
            <v>Future</v>
          </cell>
          <cell r="D1021" t="e">
            <v>#N/A</v>
          </cell>
          <cell r="E1021">
            <v>-28.557826086956293</v>
          </cell>
          <cell r="F1021">
            <v>48.137826086956885</v>
          </cell>
          <cell r="G1021">
            <v>29.876956521738293</v>
          </cell>
          <cell r="H1021">
            <v>29.876956521738293</v>
          </cell>
          <cell r="I1021" t="e">
            <v>#N/A</v>
          </cell>
          <cell r="J1021" t="e">
            <v>#N/A</v>
          </cell>
          <cell r="K1021">
            <v>42</v>
          </cell>
          <cell r="L1021">
            <v>32</v>
          </cell>
          <cell r="M1021" t="e">
            <v>#N/A</v>
          </cell>
          <cell r="N1021">
            <v>37</v>
          </cell>
          <cell r="O1021" t="e">
            <v>#N/A</v>
          </cell>
          <cell r="P1021" t="str">
            <v/>
          </cell>
          <cell r="Q1021" t="str">
            <v/>
          </cell>
          <cell r="R1021" t="e">
            <v>#N/A</v>
          </cell>
        </row>
        <row r="1022">
          <cell r="A1022" t="str">
            <v/>
          </cell>
          <cell r="B1022" t="str">
            <v/>
          </cell>
          <cell r="C1022" t="str">
            <v>Future</v>
          </cell>
          <cell r="D1022" t="e">
            <v>#N/A</v>
          </cell>
          <cell r="E1022">
            <v>-28.694466403161826</v>
          </cell>
          <cell r="F1022">
            <v>48.167193675889692</v>
          </cell>
          <cell r="G1022">
            <v>29.866798418971495</v>
          </cell>
          <cell r="H1022">
            <v>29.866798418971495</v>
          </cell>
          <cell r="I1022" t="e">
            <v>#N/A</v>
          </cell>
          <cell r="J1022" t="e">
            <v>#N/A</v>
          </cell>
          <cell r="K1022">
            <v>42</v>
          </cell>
          <cell r="L1022">
            <v>32</v>
          </cell>
          <cell r="M1022" t="e">
            <v>#N/A</v>
          </cell>
          <cell r="N1022">
            <v>37</v>
          </cell>
          <cell r="O1022" t="e">
            <v>#N/A</v>
          </cell>
          <cell r="P1022" t="str">
            <v/>
          </cell>
          <cell r="Q1022" t="str">
            <v/>
          </cell>
          <cell r="R1022" t="e">
            <v>#N/A</v>
          </cell>
        </row>
        <row r="1023">
          <cell r="A1023" t="str">
            <v/>
          </cell>
          <cell r="B1023" t="str">
            <v/>
          </cell>
          <cell r="C1023" t="str">
            <v>Future</v>
          </cell>
          <cell r="D1023" t="e">
            <v>#N/A</v>
          </cell>
          <cell r="E1023">
            <v>-28.831106719367359</v>
          </cell>
          <cell r="F1023">
            <v>48.196561264822499</v>
          </cell>
          <cell r="G1023">
            <v>29.856640316204697</v>
          </cell>
          <cell r="H1023">
            <v>29.856640316204697</v>
          </cell>
          <cell r="I1023" t="e">
            <v>#N/A</v>
          </cell>
          <cell r="J1023" t="e">
            <v>#N/A</v>
          </cell>
          <cell r="K1023">
            <v>42</v>
          </cell>
          <cell r="L1023">
            <v>32</v>
          </cell>
          <cell r="M1023" t="e">
            <v>#N/A</v>
          </cell>
          <cell r="N1023">
            <v>37</v>
          </cell>
          <cell r="O1023" t="e">
            <v>#N/A</v>
          </cell>
          <cell r="P1023" t="str">
            <v/>
          </cell>
          <cell r="Q1023" t="str">
            <v/>
          </cell>
          <cell r="R1023" t="e">
            <v>#N/A</v>
          </cell>
        </row>
        <row r="1024">
          <cell r="A1024" t="str">
            <v/>
          </cell>
          <cell r="B1024" t="str">
            <v/>
          </cell>
          <cell r="C1024" t="str">
            <v>Future</v>
          </cell>
          <cell r="D1024" t="e">
            <v>#N/A</v>
          </cell>
          <cell r="E1024">
            <v>-28.967747035572891</v>
          </cell>
          <cell r="F1024">
            <v>48.225928853755306</v>
          </cell>
          <cell r="G1024">
            <v>29.846482213437898</v>
          </cell>
          <cell r="H1024">
            <v>29.846482213437898</v>
          </cell>
          <cell r="I1024" t="e">
            <v>#N/A</v>
          </cell>
          <cell r="J1024" t="e">
            <v>#N/A</v>
          </cell>
          <cell r="K1024">
            <v>42</v>
          </cell>
          <cell r="L1024">
            <v>32</v>
          </cell>
          <cell r="M1024" t="e">
            <v>#N/A</v>
          </cell>
          <cell r="N1024">
            <v>37</v>
          </cell>
          <cell r="O1024" t="e">
            <v>#N/A</v>
          </cell>
          <cell r="P1024" t="str">
            <v/>
          </cell>
          <cell r="Q1024" t="str">
            <v/>
          </cell>
          <cell r="R1024" t="e">
            <v>#N/A</v>
          </cell>
        </row>
        <row r="1025">
          <cell r="A1025" t="str">
            <v/>
          </cell>
          <cell r="B1025" t="str">
            <v/>
          </cell>
          <cell r="C1025" t="str">
            <v>Future</v>
          </cell>
          <cell r="D1025" t="e">
            <v>#N/A</v>
          </cell>
          <cell r="E1025">
            <v>-29.104387351778424</v>
          </cell>
          <cell r="F1025">
            <v>48.255296442688113</v>
          </cell>
          <cell r="G1025">
            <v>29.8363241106711</v>
          </cell>
          <cell r="H1025">
            <v>29.8363241106711</v>
          </cell>
          <cell r="I1025" t="e">
            <v>#N/A</v>
          </cell>
          <cell r="J1025" t="e">
            <v>#N/A</v>
          </cell>
          <cell r="K1025">
            <v>42</v>
          </cell>
          <cell r="L1025">
            <v>32</v>
          </cell>
          <cell r="M1025" t="e">
            <v>#N/A</v>
          </cell>
          <cell r="N1025">
            <v>37</v>
          </cell>
          <cell r="O1025" t="e">
            <v>#N/A</v>
          </cell>
          <cell r="P1025" t="str">
            <v/>
          </cell>
          <cell r="Q1025" t="str">
            <v/>
          </cell>
          <cell r="R1025" t="e">
            <v>#N/A</v>
          </cell>
        </row>
        <row r="1026">
          <cell r="A1026" t="str">
            <v/>
          </cell>
          <cell r="B1026" t="str">
            <v/>
          </cell>
          <cell r="C1026" t="str">
            <v>Future</v>
          </cell>
          <cell r="D1026" t="e">
            <v>#N/A</v>
          </cell>
          <cell r="E1026">
            <v>-29.241027667983957</v>
          </cell>
          <cell r="F1026">
            <v>48.28466403162092</v>
          </cell>
          <cell r="G1026">
            <v>29.826166007904302</v>
          </cell>
          <cell r="H1026">
            <v>29.826166007904302</v>
          </cell>
          <cell r="I1026" t="e">
            <v>#N/A</v>
          </cell>
          <cell r="J1026" t="e">
            <v>#N/A</v>
          </cell>
          <cell r="K1026">
            <v>42</v>
          </cell>
          <cell r="L1026">
            <v>32</v>
          </cell>
          <cell r="M1026" t="e">
            <v>#N/A</v>
          </cell>
          <cell r="N1026">
            <v>37</v>
          </cell>
          <cell r="O1026" t="e">
            <v>#N/A</v>
          </cell>
          <cell r="P1026" t="str">
            <v/>
          </cell>
          <cell r="Q1026" t="str">
            <v/>
          </cell>
          <cell r="R1026" t="e">
            <v>#N/A</v>
          </cell>
        </row>
        <row r="1027">
          <cell r="A1027" t="str">
            <v/>
          </cell>
          <cell r="B1027" t="str">
            <v/>
          </cell>
          <cell r="C1027" t="str">
            <v>Future</v>
          </cell>
          <cell r="D1027" t="e">
            <v>#N/A</v>
          </cell>
          <cell r="E1027">
            <v>-29.37766798418949</v>
          </cell>
          <cell r="F1027">
            <v>48.314031620553727</v>
          </cell>
          <cell r="G1027">
            <v>29.816007905137504</v>
          </cell>
          <cell r="H1027">
            <v>29.816007905137504</v>
          </cell>
          <cell r="I1027" t="e">
            <v>#N/A</v>
          </cell>
          <cell r="J1027" t="e">
            <v>#N/A</v>
          </cell>
          <cell r="K1027">
            <v>42</v>
          </cell>
          <cell r="L1027">
            <v>32</v>
          </cell>
          <cell r="M1027" t="e">
            <v>#N/A</v>
          </cell>
          <cell r="N1027">
            <v>37</v>
          </cell>
          <cell r="O1027" t="e">
            <v>#N/A</v>
          </cell>
          <cell r="P1027" t="str">
            <v/>
          </cell>
          <cell r="Q1027" t="str">
            <v/>
          </cell>
          <cell r="R1027" t="e">
            <v>#N/A</v>
          </cell>
        </row>
        <row r="1028">
          <cell r="A1028" t="str">
            <v/>
          </cell>
          <cell r="B1028" t="str">
            <v/>
          </cell>
          <cell r="C1028" t="str">
            <v>Future</v>
          </cell>
          <cell r="D1028" t="e">
            <v>#N/A</v>
          </cell>
          <cell r="E1028">
            <v>-29.514308300395022</v>
          </cell>
          <cell r="F1028">
            <v>48.343399209486535</v>
          </cell>
          <cell r="G1028">
            <v>29.805849802370705</v>
          </cell>
          <cell r="H1028">
            <v>29.805849802370705</v>
          </cell>
          <cell r="I1028" t="e">
            <v>#N/A</v>
          </cell>
          <cell r="J1028" t="e">
            <v>#N/A</v>
          </cell>
          <cell r="K1028">
            <v>42</v>
          </cell>
          <cell r="L1028">
            <v>32</v>
          </cell>
          <cell r="M1028" t="e">
            <v>#N/A</v>
          </cell>
          <cell r="N1028">
            <v>37</v>
          </cell>
          <cell r="O1028" t="e">
            <v>#N/A</v>
          </cell>
          <cell r="P1028" t="str">
            <v/>
          </cell>
          <cell r="Q1028" t="str">
            <v/>
          </cell>
          <cell r="R1028" t="e">
            <v>#N/A</v>
          </cell>
        </row>
        <row r="1029">
          <cell r="A1029" t="str">
            <v/>
          </cell>
          <cell r="B1029" t="str">
            <v/>
          </cell>
          <cell r="C1029" t="str">
            <v>Future</v>
          </cell>
          <cell r="D1029" t="e">
            <v>#N/A</v>
          </cell>
          <cell r="E1029">
            <v>-29.650948616600555</v>
          </cell>
          <cell r="F1029">
            <v>48.372766798419342</v>
          </cell>
          <cell r="G1029">
            <v>29.795691699603907</v>
          </cell>
          <cell r="H1029">
            <v>29.795691699603907</v>
          </cell>
          <cell r="I1029" t="e">
            <v>#N/A</v>
          </cell>
          <cell r="J1029" t="e">
            <v>#N/A</v>
          </cell>
          <cell r="K1029">
            <v>42</v>
          </cell>
          <cell r="L1029">
            <v>32</v>
          </cell>
          <cell r="M1029" t="e">
            <v>#N/A</v>
          </cell>
          <cell r="N1029">
            <v>37</v>
          </cell>
          <cell r="O1029" t="e">
            <v>#N/A</v>
          </cell>
          <cell r="P1029" t="str">
            <v/>
          </cell>
          <cell r="Q1029" t="str">
            <v/>
          </cell>
          <cell r="R1029" t="e">
            <v>#N/A</v>
          </cell>
        </row>
        <row r="1030">
          <cell r="A1030" t="str">
            <v/>
          </cell>
          <cell r="B1030" t="str">
            <v/>
          </cell>
          <cell r="C1030" t="str">
            <v>Future</v>
          </cell>
          <cell r="D1030" t="e">
            <v>#N/A</v>
          </cell>
          <cell r="E1030">
            <v>-29.787588932806088</v>
          </cell>
          <cell r="F1030">
            <v>48.402134387352149</v>
          </cell>
          <cell r="G1030">
            <v>29.785533596837109</v>
          </cell>
          <cell r="H1030">
            <v>29.785533596837109</v>
          </cell>
          <cell r="I1030" t="e">
            <v>#N/A</v>
          </cell>
          <cell r="J1030" t="e">
            <v>#N/A</v>
          </cell>
          <cell r="K1030">
            <v>42</v>
          </cell>
          <cell r="L1030">
            <v>32</v>
          </cell>
          <cell r="M1030" t="e">
            <v>#N/A</v>
          </cell>
          <cell r="N1030">
            <v>37</v>
          </cell>
          <cell r="O1030" t="e">
            <v>#N/A</v>
          </cell>
          <cell r="P1030" t="str">
            <v/>
          </cell>
          <cell r="Q1030" t="str">
            <v/>
          </cell>
          <cell r="R1030" t="e">
            <v>#N/A</v>
          </cell>
        </row>
        <row r="1031">
          <cell r="A1031" t="str">
            <v/>
          </cell>
          <cell r="B1031" t="str">
            <v/>
          </cell>
          <cell r="C1031" t="str">
            <v>Future</v>
          </cell>
          <cell r="D1031" t="e">
            <v>#N/A</v>
          </cell>
          <cell r="E1031">
            <v>-29.924229249011621</v>
          </cell>
          <cell r="F1031">
            <v>48.431501976284956</v>
          </cell>
          <cell r="G1031">
            <v>29.77537549407031</v>
          </cell>
          <cell r="H1031">
            <v>29.77537549407031</v>
          </cell>
          <cell r="I1031" t="e">
            <v>#N/A</v>
          </cell>
          <cell r="J1031" t="e">
            <v>#N/A</v>
          </cell>
          <cell r="K1031">
            <v>42</v>
          </cell>
          <cell r="L1031">
            <v>32</v>
          </cell>
          <cell r="M1031" t="e">
            <v>#N/A</v>
          </cell>
          <cell r="N1031">
            <v>37</v>
          </cell>
          <cell r="O1031" t="e">
            <v>#N/A</v>
          </cell>
          <cell r="P1031" t="str">
            <v/>
          </cell>
          <cell r="Q1031" t="str">
            <v/>
          </cell>
          <cell r="R1031" t="e">
            <v>#N/A</v>
          </cell>
        </row>
        <row r="1032">
          <cell r="A1032" t="str">
            <v/>
          </cell>
          <cell r="B1032" t="str">
            <v/>
          </cell>
          <cell r="C1032" t="str">
            <v>Future</v>
          </cell>
          <cell r="D1032" t="e">
            <v>#N/A</v>
          </cell>
          <cell r="E1032">
            <v>-30.060869565217153</v>
          </cell>
          <cell r="F1032">
            <v>48.460869565217763</v>
          </cell>
          <cell r="G1032">
            <v>29.765217391303512</v>
          </cell>
          <cell r="H1032">
            <v>29.765217391303512</v>
          </cell>
          <cell r="I1032" t="e">
            <v>#N/A</v>
          </cell>
          <cell r="J1032" t="e">
            <v>#N/A</v>
          </cell>
          <cell r="K1032">
            <v>42</v>
          </cell>
          <cell r="L1032">
            <v>32</v>
          </cell>
          <cell r="M1032" t="e">
            <v>#N/A</v>
          </cell>
          <cell r="N1032">
            <v>37</v>
          </cell>
          <cell r="O1032" t="e">
            <v>#N/A</v>
          </cell>
          <cell r="P1032" t="str">
            <v/>
          </cell>
          <cell r="Q1032" t="str">
            <v/>
          </cell>
          <cell r="R1032" t="e">
            <v>#N/A</v>
          </cell>
        </row>
        <row r="1033">
          <cell r="A1033" t="str">
            <v/>
          </cell>
          <cell r="B1033" t="str">
            <v/>
          </cell>
          <cell r="C1033" t="str">
            <v>Future</v>
          </cell>
          <cell r="D1033" t="e">
            <v>#N/A</v>
          </cell>
          <cell r="E1033">
            <v>-30.197509881422686</v>
          </cell>
          <cell r="F1033">
            <v>48.49023715415057</v>
          </cell>
          <cell r="G1033">
            <v>29.755059288536714</v>
          </cell>
          <cell r="H1033">
            <v>29.755059288536714</v>
          </cell>
          <cell r="I1033" t="e">
            <v>#N/A</v>
          </cell>
          <cell r="J1033" t="e">
            <v>#N/A</v>
          </cell>
          <cell r="K1033">
            <v>42</v>
          </cell>
          <cell r="L1033">
            <v>32</v>
          </cell>
          <cell r="M1033" t="e">
            <v>#N/A</v>
          </cell>
          <cell r="N1033">
            <v>37</v>
          </cell>
          <cell r="O1033" t="e">
            <v>#N/A</v>
          </cell>
          <cell r="P1033" t="str">
            <v/>
          </cell>
          <cell r="Q1033" t="str">
            <v/>
          </cell>
          <cell r="R1033" t="e">
            <v>#N/A</v>
          </cell>
        </row>
        <row r="1034">
          <cell r="A1034" t="str">
            <v/>
          </cell>
          <cell r="B1034" t="str">
            <v/>
          </cell>
          <cell r="C1034" t="str">
            <v>Future</v>
          </cell>
          <cell r="D1034" t="e">
            <v>#N/A</v>
          </cell>
          <cell r="E1034">
            <v>-30.334150197628219</v>
          </cell>
          <cell r="F1034">
            <v>48.519604743083377</v>
          </cell>
          <cell r="G1034">
            <v>29.744901185769915</v>
          </cell>
          <cell r="H1034">
            <v>29.744901185769915</v>
          </cell>
          <cell r="I1034" t="e">
            <v>#N/A</v>
          </cell>
          <cell r="J1034" t="e">
            <v>#N/A</v>
          </cell>
          <cell r="K1034">
            <v>42</v>
          </cell>
          <cell r="L1034">
            <v>32</v>
          </cell>
          <cell r="M1034" t="e">
            <v>#N/A</v>
          </cell>
          <cell r="N1034">
            <v>37</v>
          </cell>
          <cell r="O1034" t="e">
            <v>#N/A</v>
          </cell>
          <cell r="P1034" t="str">
            <v/>
          </cell>
          <cell r="Q1034" t="str">
            <v/>
          </cell>
          <cell r="R1034" t="e">
            <v>#N/A</v>
          </cell>
        </row>
        <row r="1035">
          <cell r="A1035" t="str">
            <v/>
          </cell>
          <cell r="B1035" t="str">
            <v/>
          </cell>
          <cell r="C1035" t="str">
            <v>Future</v>
          </cell>
          <cell r="D1035" t="e">
            <v>#N/A</v>
          </cell>
          <cell r="E1035">
            <v>-30.470790513833752</v>
          </cell>
          <cell r="F1035">
            <v>48.548972332016184</v>
          </cell>
          <cell r="G1035">
            <v>29.734743083003117</v>
          </cell>
          <cell r="H1035">
            <v>29.734743083003117</v>
          </cell>
          <cell r="I1035" t="e">
            <v>#N/A</v>
          </cell>
          <cell r="J1035" t="e">
            <v>#N/A</v>
          </cell>
          <cell r="K1035">
            <v>42</v>
          </cell>
          <cell r="L1035">
            <v>32</v>
          </cell>
          <cell r="M1035" t="e">
            <v>#N/A</v>
          </cell>
          <cell r="N1035">
            <v>37</v>
          </cell>
          <cell r="O1035" t="e">
            <v>#N/A</v>
          </cell>
          <cell r="P1035" t="str">
            <v/>
          </cell>
          <cell r="Q1035" t="str">
            <v/>
          </cell>
          <cell r="R1035" t="e">
            <v>#N/A</v>
          </cell>
        </row>
        <row r="1036">
          <cell r="A1036" t="str">
            <v/>
          </cell>
          <cell r="B1036" t="str">
            <v/>
          </cell>
          <cell r="C1036" t="str">
            <v>Future</v>
          </cell>
          <cell r="D1036" t="e">
            <v>#N/A</v>
          </cell>
          <cell r="E1036">
            <v>-30.607430830039284</v>
          </cell>
          <cell r="F1036">
            <v>48.578339920948991</v>
          </cell>
          <cell r="G1036">
            <v>29.724584980236319</v>
          </cell>
          <cell r="H1036">
            <v>29.724584980236319</v>
          </cell>
          <cell r="I1036" t="e">
            <v>#N/A</v>
          </cell>
          <cell r="J1036" t="e">
            <v>#N/A</v>
          </cell>
          <cell r="K1036">
            <v>42</v>
          </cell>
          <cell r="L1036">
            <v>32</v>
          </cell>
          <cell r="M1036" t="e">
            <v>#N/A</v>
          </cell>
          <cell r="N1036">
            <v>37</v>
          </cell>
          <cell r="O1036" t="e">
            <v>#N/A</v>
          </cell>
          <cell r="P1036" t="str">
            <v/>
          </cell>
          <cell r="Q1036" t="str">
            <v/>
          </cell>
          <cell r="R1036" t="e">
            <v>#N/A</v>
          </cell>
        </row>
        <row r="1037">
          <cell r="A1037" t="str">
            <v/>
          </cell>
          <cell r="B1037" t="str">
            <v/>
          </cell>
          <cell r="C1037" t="str">
            <v>Future</v>
          </cell>
          <cell r="D1037" t="e">
            <v>#N/A</v>
          </cell>
          <cell r="E1037">
            <v>-30.744071146244817</v>
          </cell>
          <cell r="F1037">
            <v>48.607707509881799</v>
          </cell>
          <cell r="G1037">
            <v>29.714426877469521</v>
          </cell>
          <cell r="H1037">
            <v>29.714426877469521</v>
          </cell>
          <cell r="I1037" t="e">
            <v>#N/A</v>
          </cell>
          <cell r="J1037" t="e">
            <v>#N/A</v>
          </cell>
          <cell r="K1037">
            <v>42</v>
          </cell>
          <cell r="L1037">
            <v>32</v>
          </cell>
          <cell r="M1037" t="e">
            <v>#N/A</v>
          </cell>
          <cell r="N1037">
            <v>37</v>
          </cell>
          <cell r="O1037" t="e">
            <v>#N/A</v>
          </cell>
          <cell r="P1037" t="str">
            <v/>
          </cell>
          <cell r="Q1037" t="str">
            <v/>
          </cell>
          <cell r="R1037" t="e">
            <v>#N/A</v>
          </cell>
        </row>
        <row r="1038">
          <cell r="A1038" t="str">
            <v/>
          </cell>
          <cell r="B1038" t="str">
            <v/>
          </cell>
          <cell r="C1038" t="str">
            <v>Future</v>
          </cell>
          <cell r="D1038" t="e">
            <v>#N/A</v>
          </cell>
          <cell r="E1038">
            <v>-30.88071146245035</v>
          </cell>
          <cell r="F1038">
            <v>48.637075098814606</v>
          </cell>
          <cell r="G1038">
            <v>29.704268774702722</v>
          </cell>
          <cell r="H1038">
            <v>29.704268774702722</v>
          </cell>
          <cell r="I1038" t="e">
            <v>#N/A</v>
          </cell>
          <cell r="J1038" t="e">
            <v>#N/A</v>
          </cell>
          <cell r="K1038">
            <v>42</v>
          </cell>
          <cell r="L1038">
            <v>32</v>
          </cell>
          <cell r="M1038" t="e">
            <v>#N/A</v>
          </cell>
          <cell r="N1038">
            <v>37</v>
          </cell>
          <cell r="O1038" t="e">
            <v>#N/A</v>
          </cell>
          <cell r="P1038" t="str">
            <v/>
          </cell>
          <cell r="Q1038" t="str">
            <v/>
          </cell>
          <cell r="R1038" t="e">
            <v>#N/A</v>
          </cell>
        </row>
        <row r="1039">
          <cell r="A1039" t="str">
            <v/>
          </cell>
          <cell r="B1039" t="str">
            <v/>
          </cell>
          <cell r="C1039" t="str">
            <v>Future</v>
          </cell>
          <cell r="D1039" t="e">
            <v>#N/A</v>
          </cell>
          <cell r="E1039">
            <v>-31.017351778655883</v>
          </cell>
          <cell r="F1039">
            <v>48.666442687747413</v>
          </cell>
          <cell r="G1039">
            <v>29.694110671935924</v>
          </cell>
          <cell r="H1039">
            <v>29.694110671935924</v>
          </cell>
          <cell r="I1039" t="e">
            <v>#N/A</v>
          </cell>
          <cell r="J1039" t="e">
            <v>#N/A</v>
          </cell>
          <cell r="K1039">
            <v>42</v>
          </cell>
          <cell r="L1039">
            <v>32</v>
          </cell>
          <cell r="M1039" t="e">
            <v>#N/A</v>
          </cell>
          <cell r="N1039">
            <v>37</v>
          </cell>
          <cell r="O1039" t="e">
            <v>#N/A</v>
          </cell>
          <cell r="P1039" t="str">
            <v/>
          </cell>
          <cell r="Q1039" t="str">
            <v/>
          </cell>
          <cell r="R1039" t="e">
            <v>#N/A</v>
          </cell>
        </row>
        <row r="1040">
          <cell r="A1040" t="str">
            <v/>
          </cell>
          <cell r="B1040" t="str">
            <v/>
          </cell>
          <cell r="C1040" t="str">
            <v>Future</v>
          </cell>
          <cell r="D1040" t="e">
            <v>#N/A</v>
          </cell>
          <cell r="E1040">
            <v>-31.153992094861415</v>
          </cell>
          <cell r="F1040">
            <v>48.69581027668022</v>
          </cell>
          <cell r="G1040">
            <v>29.683952569169126</v>
          </cell>
          <cell r="H1040">
            <v>29.683952569169126</v>
          </cell>
          <cell r="I1040" t="e">
            <v>#N/A</v>
          </cell>
          <cell r="J1040" t="e">
            <v>#N/A</v>
          </cell>
          <cell r="K1040">
            <v>42</v>
          </cell>
          <cell r="L1040">
            <v>32</v>
          </cell>
          <cell r="M1040" t="e">
            <v>#N/A</v>
          </cell>
          <cell r="N1040">
            <v>37</v>
          </cell>
          <cell r="O1040" t="e">
            <v>#N/A</v>
          </cell>
          <cell r="P1040" t="str">
            <v/>
          </cell>
          <cell r="Q1040" t="str">
            <v/>
          </cell>
          <cell r="R1040" t="e">
            <v>#N/A</v>
          </cell>
        </row>
        <row r="1041">
          <cell r="A1041" t="str">
            <v/>
          </cell>
          <cell r="B1041" t="str">
            <v/>
          </cell>
          <cell r="C1041" t="str">
            <v>Future</v>
          </cell>
          <cell r="D1041" t="e">
            <v>#N/A</v>
          </cell>
          <cell r="E1041">
            <v>-31.290632411066948</v>
          </cell>
          <cell r="F1041">
            <v>48.725177865613027</v>
          </cell>
          <cell r="G1041">
            <v>29.673794466402327</v>
          </cell>
          <cell r="H1041">
            <v>29.673794466402327</v>
          </cell>
          <cell r="I1041" t="e">
            <v>#N/A</v>
          </cell>
          <cell r="J1041" t="e">
            <v>#N/A</v>
          </cell>
          <cell r="K1041">
            <v>42</v>
          </cell>
          <cell r="L1041">
            <v>32</v>
          </cell>
          <cell r="M1041" t="e">
            <v>#N/A</v>
          </cell>
          <cell r="N1041">
            <v>37</v>
          </cell>
          <cell r="O1041" t="e">
            <v>#N/A</v>
          </cell>
          <cell r="P1041" t="str">
            <v/>
          </cell>
          <cell r="Q1041" t="str">
            <v/>
          </cell>
          <cell r="R1041" t="e">
            <v>#N/A</v>
          </cell>
        </row>
        <row r="1042">
          <cell r="A1042" t="str">
            <v/>
          </cell>
          <cell r="B1042" t="str">
            <v/>
          </cell>
          <cell r="C1042" t="str">
            <v>Future</v>
          </cell>
          <cell r="D1042" t="e">
            <v>#N/A</v>
          </cell>
          <cell r="E1042">
            <v>-31.427272727272481</v>
          </cell>
          <cell r="F1042">
            <v>48.754545454545834</v>
          </cell>
          <cell r="G1042">
            <v>29.663636363635529</v>
          </cell>
          <cell r="H1042">
            <v>29.663636363635529</v>
          </cell>
          <cell r="I1042" t="e">
            <v>#N/A</v>
          </cell>
          <cell r="J1042" t="e">
            <v>#N/A</v>
          </cell>
          <cell r="K1042">
            <v>42</v>
          </cell>
          <cell r="L1042">
            <v>32</v>
          </cell>
          <cell r="M1042" t="e">
            <v>#N/A</v>
          </cell>
          <cell r="N1042">
            <v>37</v>
          </cell>
          <cell r="O1042" t="e">
            <v>#N/A</v>
          </cell>
          <cell r="P1042" t="str">
            <v/>
          </cell>
          <cell r="Q1042" t="str">
            <v/>
          </cell>
          <cell r="R1042" t="e">
            <v>#N/A</v>
          </cell>
        </row>
        <row r="1043">
          <cell r="A1043" t="str">
            <v/>
          </cell>
          <cell r="B1043" t="str">
            <v/>
          </cell>
          <cell r="C1043" t="str">
            <v>Future</v>
          </cell>
          <cell r="D1043" t="e">
            <v>#N/A</v>
          </cell>
          <cell r="E1043">
            <v>-31.563913043478014</v>
          </cell>
          <cell r="F1043">
            <v>48.783913043478641</v>
          </cell>
          <cell r="G1043">
            <v>29.653478260868731</v>
          </cell>
          <cell r="H1043">
            <v>29.653478260868731</v>
          </cell>
          <cell r="I1043" t="e">
            <v>#N/A</v>
          </cell>
          <cell r="J1043" t="e">
            <v>#N/A</v>
          </cell>
          <cell r="K1043">
            <v>42</v>
          </cell>
          <cell r="L1043">
            <v>32</v>
          </cell>
          <cell r="M1043" t="e">
            <v>#N/A</v>
          </cell>
          <cell r="N1043">
            <v>37</v>
          </cell>
          <cell r="O1043" t="e">
            <v>#N/A</v>
          </cell>
          <cell r="P1043" t="str">
            <v/>
          </cell>
          <cell r="Q1043" t="str">
            <v/>
          </cell>
          <cell r="R1043" t="e">
            <v>#N/A</v>
          </cell>
        </row>
        <row r="1044">
          <cell r="A1044" t="str">
            <v/>
          </cell>
          <cell r="B1044" t="str">
            <v/>
          </cell>
          <cell r="C1044" t="str">
            <v>Future</v>
          </cell>
          <cell r="D1044" t="e">
            <v>#N/A</v>
          </cell>
          <cell r="E1044">
            <v>-31.700553359683546</v>
          </cell>
          <cell r="F1044">
            <v>48.813280632411448</v>
          </cell>
          <cell r="G1044">
            <v>29.643320158101933</v>
          </cell>
          <cell r="H1044">
            <v>29.643320158101933</v>
          </cell>
          <cell r="I1044" t="e">
            <v>#N/A</v>
          </cell>
          <cell r="J1044" t="e">
            <v>#N/A</v>
          </cell>
          <cell r="K1044">
            <v>42</v>
          </cell>
          <cell r="L1044">
            <v>32</v>
          </cell>
          <cell r="M1044" t="e">
            <v>#N/A</v>
          </cell>
          <cell r="N1044">
            <v>37</v>
          </cell>
          <cell r="O1044" t="e">
            <v>#N/A</v>
          </cell>
          <cell r="P1044" t="str">
            <v/>
          </cell>
          <cell r="Q1044" t="str">
            <v/>
          </cell>
          <cell r="R1044" t="e">
            <v>#N/A</v>
          </cell>
        </row>
        <row r="1045">
          <cell r="A1045" t="str">
            <v/>
          </cell>
          <cell r="B1045" t="str">
            <v/>
          </cell>
          <cell r="C1045" t="str">
            <v>Future</v>
          </cell>
          <cell r="D1045" t="e">
            <v>#N/A</v>
          </cell>
          <cell r="E1045">
            <v>-31.837193675889079</v>
          </cell>
          <cell r="F1045">
            <v>48.842648221344255</v>
          </cell>
          <cell r="G1045">
            <v>29.633162055335134</v>
          </cell>
          <cell r="H1045">
            <v>29.633162055335134</v>
          </cell>
          <cell r="I1045" t="e">
            <v>#N/A</v>
          </cell>
          <cell r="J1045" t="e">
            <v>#N/A</v>
          </cell>
          <cell r="K1045">
            <v>42</v>
          </cell>
          <cell r="L1045">
            <v>32</v>
          </cell>
          <cell r="M1045" t="e">
            <v>#N/A</v>
          </cell>
          <cell r="N1045">
            <v>37</v>
          </cell>
          <cell r="O1045" t="e">
            <v>#N/A</v>
          </cell>
          <cell r="P1045" t="str">
            <v/>
          </cell>
          <cell r="Q1045" t="str">
            <v/>
          </cell>
          <cell r="R1045" t="e">
            <v>#N/A</v>
          </cell>
        </row>
        <row r="1046">
          <cell r="A1046" t="str">
            <v/>
          </cell>
          <cell r="B1046" t="str">
            <v/>
          </cell>
          <cell r="C1046" t="str">
            <v>Future</v>
          </cell>
          <cell r="D1046" t="e">
            <v>#N/A</v>
          </cell>
          <cell r="E1046">
            <v>-31.973833992094612</v>
          </cell>
          <cell r="F1046">
            <v>48.872015810277063</v>
          </cell>
          <cell r="G1046">
            <v>29.623003952568336</v>
          </cell>
          <cell r="H1046">
            <v>29.623003952568336</v>
          </cell>
          <cell r="I1046" t="e">
            <v>#N/A</v>
          </cell>
          <cell r="J1046" t="e">
            <v>#N/A</v>
          </cell>
          <cell r="K1046">
            <v>42</v>
          </cell>
          <cell r="L1046">
            <v>32</v>
          </cell>
          <cell r="M1046" t="e">
            <v>#N/A</v>
          </cell>
          <cell r="N1046">
            <v>37</v>
          </cell>
          <cell r="O1046" t="e">
            <v>#N/A</v>
          </cell>
          <cell r="P1046" t="str">
            <v/>
          </cell>
          <cell r="Q1046" t="str">
            <v/>
          </cell>
          <cell r="R1046" t="e">
            <v>#N/A</v>
          </cell>
        </row>
        <row r="1047">
          <cell r="A1047" t="str">
            <v/>
          </cell>
          <cell r="B1047" t="str">
            <v/>
          </cell>
          <cell r="C1047" t="str">
            <v>Future</v>
          </cell>
          <cell r="D1047" t="e">
            <v>#N/A</v>
          </cell>
          <cell r="E1047">
            <v>-32.110474308300148</v>
          </cell>
          <cell r="F1047">
            <v>48.90138339920987</v>
          </cell>
          <cell r="G1047">
            <v>29.612845849801538</v>
          </cell>
          <cell r="H1047">
            <v>29.612845849801538</v>
          </cell>
          <cell r="I1047" t="e">
            <v>#N/A</v>
          </cell>
          <cell r="J1047" t="e">
            <v>#N/A</v>
          </cell>
          <cell r="K1047">
            <v>42</v>
          </cell>
          <cell r="L1047">
            <v>32</v>
          </cell>
          <cell r="M1047" t="e">
            <v>#N/A</v>
          </cell>
          <cell r="N1047">
            <v>37</v>
          </cell>
          <cell r="O1047" t="e">
            <v>#N/A</v>
          </cell>
          <cell r="P1047" t="str">
            <v/>
          </cell>
          <cell r="Q1047" t="str">
            <v/>
          </cell>
          <cell r="R1047" t="e">
            <v>#N/A</v>
          </cell>
        </row>
        <row r="1048">
          <cell r="A1048" t="str">
            <v/>
          </cell>
          <cell r="B1048" t="str">
            <v/>
          </cell>
          <cell r="C1048" t="str">
            <v>Future</v>
          </cell>
          <cell r="D1048" t="e">
            <v>#N/A</v>
          </cell>
          <cell r="E1048">
            <v>-32.247114624505684</v>
          </cell>
          <cell r="F1048">
            <v>48.930750988142677</v>
          </cell>
          <cell r="G1048">
            <v>29.602687747034739</v>
          </cell>
          <cell r="H1048">
            <v>29.602687747034739</v>
          </cell>
          <cell r="I1048" t="e">
            <v>#N/A</v>
          </cell>
          <cell r="J1048" t="e">
            <v>#N/A</v>
          </cell>
          <cell r="K1048">
            <v>42</v>
          </cell>
          <cell r="L1048">
            <v>32</v>
          </cell>
          <cell r="M1048" t="e">
            <v>#N/A</v>
          </cell>
          <cell r="N1048">
            <v>37</v>
          </cell>
          <cell r="O1048" t="e">
            <v>#N/A</v>
          </cell>
          <cell r="P1048" t="str">
            <v/>
          </cell>
          <cell r="Q1048" t="str">
            <v/>
          </cell>
          <cell r="R1048" t="e">
            <v>#N/A</v>
          </cell>
        </row>
        <row r="1049">
          <cell r="A1049" t="str">
            <v/>
          </cell>
          <cell r="B1049" t="str">
            <v/>
          </cell>
          <cell r="C1049" t="str">
            <v>Future</v>
          </cell>
          <cell r="D1049" t="e">
            <v>#N/A</v>
          </cell>
          <cell r="E1049">
            <v>-32.383754940711221</v>
          </cell>
          <cell r="F1049">
            <v>48.960118577075484</v>
          </cell>
          <cell r="G1049">
            <v>29.592529644267941</v>
          </cell>
          <cell r="H1049">
            <v>29.592529644267941</v>
          </cell>
          <cell r="I1049" t="e">
            <v>#N/A</v>
          </cell>
          <cell r="J1049" t="e">
            <v>#N/A</v>
          </cell>
          <cell r="K1049">
            <v>42</v>
          </cell>
          <cell r="L1049">
            <v>32</v>
          </cell>
          <cell r="M1049" t="e">
            <v>#N/A</v>
          </cell>
          <cell r="N1049">
            <v>37</v>
          </cell>
          <cell r="O1049" t="e">
            <v>#N/A</v>
          </cell>
          <cell r="P1049" t="str">
            <v/>
          </cell>
          <cell r="Q1049" t="str">
            <v/>
          </cell>
          <cell r="R1049" t="e">
            <v>#N/A</v>
          </cell>
        </row>
        <row r="1050">
          <cell r="A1050" t="str">
            <v/>
          </cell>
          <cell r="B1050" t="str">
            <v/>
          </cell>
          <cell r="C1050" t="str">
            <v>Future</v>
          </cell>
          <cell r="D1050" t="e">
            <v>#N/A</v>
          </cell>
          <cell r="E1050">
            <v>-32.520395256916757</v>
          </cell>
          <cell r="F1050">
            <v>48.989486166008291</v>
          </cell>
          <cell r="G1050">
            <v>29.582371541501143</v>
          </cell>
          <cell r="H1050">
            <v>29.582371541501143</v>
          </cell>
          <cell r="I1050" t="e">
            <v>#N/A</v>
          </cell>
          <cell r="J1050" t="e">
            <v>#N/A</v>
          </cell>
          <cell r="K1050">
            <v>42</v>
          </cell>
          <cell r="L1050">
            <v>32</v>
          </cell>
          <cell r="M1050" t="e">
            <v>#N/A</v>
          </cell>
          <cell r="N1050">
            <v>37</v>
          </cell>
          <cell r="O1050" t="e">
            <v>#N/A</v>
          </cell>
          <cell r="P1050" t="str">
            <v/>
          </cell>
          <cell r="Q1050" t="str">
            <v/>
          </cell>
          <cell r="R1050" t="e">
            <v>#N/A</v>
          </cell>
        </row>
        <row r="1051">
          <cell r="A1051" t="str">
            <v/>
          </cell>
          <cell r="B1051" t="str">
            <v/>
          </cell>
          <cell r="C1051" t="str">
            <v>Future</v>
          </cell>
          <cell r="D1051" t="e">
            <v>#N/A</v>
          </cell>
          <cell r="E1051">
            <v>-32.657035573122293</v>
          </cell>
          <cell r="F1051">
            <v>49.018853754941098</v>
          </cell>
          <cell r="G1051">
            <v>29.572213438734344</v>
          </cell>
          <cell r="H1051">
            <v>29.572213438734344</v>
          </cell>
          <cell r="I1051" t="e">
            <v>#N/A</v>
          </cell>
          <cell r="J1051" t="e">
            <v>#N/A</v>
          </cell>
          <cell r="K1051">
            <v>42</v>
          </cell>
          <cell r="L1051">
            <v>32</v>
          </cell>
          <cell r="M1051" t="e">
            <v>#N/A</v>
          </cell>
          <cell r="N1051">
            <v>37</v>
          </cell>
          <cell r="O1051" t="e">
            <v>#N/A</v>
          </cell>
          <cell r="P1051" t="str">
            <v/>
          </cell>
          <cell r="Q1051" t="str">
            <v/>
          </cell>
          <cell r="R1051" t="e">
            <v>#N/A</v>
          </cell>
        </row>
        <row r="1052">
          <cell r="A1052" t="str">
            <v/>
          </cell>
          <cell r="B1052" t="str">
            <v/>
          </cell>
          <cell r="C1052" t="str">
            <v>Future</v>
          </cell>
          <cell r="D1052" t="e">
            <v>#N/A</v>
          </cell>
          <cell r="E1052">
            <v>-32.79367588932783</v>
          </cell>
          <cell r="F1052">
            <v>49.048221343873905</v>
          </cell>
          <cell r="G1052">
            <v>29.562055335967546</v>
          </cell>
          <cell r="H1052">
            <v>29.562055335967546</v>
          </cell>
          <cell r="I1052" t="e">
            <v>#N/A</v>
          </cell>
          <cell r="J1052" t="e">
            <v>#N/A</v>
          </cell>
          <cell r="K1052">
            <v>42</v>
          </cell>
          <cell r="L1052">
            <v>32</v>
          </cell>
          <cell r="M1052" t="e">
            <v>#N/A</v>
          </cell>
          <cell r="N1052">
            <v>37</v>
          </cell>
          <cell r="O1052" t="e">
            <v>#N/A</v>
          </cell>
          <cell r="P1052" t="str">
            <v/>
          </cell>
          <cell r="Q1052" t="str">
            <v/>
          </cell>
          <cell r="R1052" t="e">
            <v>#N/A</v>
          </cell>
        </row>
        <row r="1053">
          <cell r="A1053" t="str">
            <v/>
          </cell>
          <cell r="B1053" t="str">
            <v/>
          </cell>
          <cell r="C1053" t="str">
            <v>Future</v>
          </cell>
          <cell r="D1053" t="e">
            <v>#N/A</v>
          </cell>
          <cell r="E1053">
            <v>-32.930316205533366</v>
          </cell>
          <cell r="F1053">
            <v>49.077588932806712</v>
          </cell>
          <cell r="G1053">
            <v>29.551897233200748</v>
          </cell>
          <cell r="H1053">
            <v>29.551897233200748</v>
          </cell>
          <cell r="I1053" t="e">
            <v>#N/A</v>
          </cell>
          <cell r="J1053" t="e">
            <v>#N/A</v>
          </cell>
          <cell r="K1053">
            <v>42</v>
          </cell>
          <cell r="L1053">
            <v>32</v>
          </cell>
          <cell r="M1053" t="e">
            <v>#N/A</v>
          </cell>
          <cell r="N1053">
            <v>37</v>
          </cell>
          <cell r="O1053" t="e">
            <v>#N/A</v>
          </cell>
          <cell r="P1053" t="str">
            <v/>
          </cell>
          <cell r="Q1053" t="str">
            <v/>
          </cell>
          <cell r="R1053" t="e">
            <v>#N/A</v>
          </cell>
        </row>
        <row r="1054">
          <cell r="A1054" t="str">
            <v/>
          </cell>
          <cell r="B1054" t="str">
            <v/>
          </cell>
          <cell r="C1054" t="str">
            <v>Future</v>
          </cell>
          <cell r="D1054" t="e">
            <v>#N/A</v>
          </cell>
          <cell r="E1054">
            <v>-33.066956521738902</v>
          </cell>
          <cell r="F1054">
            <v>49.106956521739519</v>
          </cell>
          <cell r="G1054">
            <v>29.54173913043395</v>
          </cell>
          <cell r="H1054">
            <v>29.54173913043395</v>
          </cell>
          <cell r="I1054" t="e">
            <v>#N/A</v>
          </cell>
          <cell r="J1054" t="e">
            <v>#N/A</v>
          </cell>
          <cell r="K1054">
            <v>42</v>
          </cell>
          <cell r="L1054">
            <v>32</v>
          </cell>
          <cell r="M1054" t="e">
            <v>#N/A</v>
          </cell>
          <cell r="N1054">
            <v>37</v>
          </cell>
          <cell r="O1054" t="e">
            <v>#N/A</v>
          </cell>
          <cell r="P1054" t="str">
            <v/>
          </cell>
          <cell r="Q1054" t="str">
            <v/>
          </cell>
          <cell r="R1054" t="e">
            <v>#N/A</v>
          </cell>
        </row>
        <row r="1055">
          <cell r="A1055" t="str">
            <v/>
          </cell>
          <cell r="B1055" t="str">
            <v/>
          </cell>
          <cell r="C1055" t="str">
            <v>Future</v>
          </cell>
          <cell r="D1055" t="e">
            <v>#N/A</v>
          </cell>
          <cell r="E1055">
            <v>-33.203596837944438</v>
          </cell>
          <cell r="F1055">
            <v>49.136324110672327</v>
          </cell>
          <cell r="G1055">
            <v>29.531581027667151</v>
          </cell>
          <cell r="H1055">
            <v>29.531581027667151</v>
          </cell>
          <cell r="I1055" t="e">
            <v>#N/A</v>
          </cell>
          <cell r="J1055" t="e">
            <v>#N/A</v>
          </cell>
          <cell r="K1055">
            <v>42</v>
          </cell>
          <cell r="L1055">
            <v>32</v>
          </cell>
          <cell r="M1055" t="e">
            <v>#N/A</v>
          </cell>
          <cell r="N1055">
            <v>37</v>
          </cell>
          <cell r="O1055" t="e">
            <v>#N/A</v>
          </cell>
          <cell r="P1055" t="str">
            <v/>
          </cell>
          <cell r="Q1055" t="str">
            <v/>
          </cell>
          <cell r="R1055" t="e">
            <v>#N/A</v>
          </cell>
        </row>
        <row r="1056">
          <cell r="A1056" t="str">
            <v/>
          </cell>
          <cell r="B1056" t="str">
            <v/>
          </cell>
          <cell r="C1056" t="str">
            <v>Future</v>
          </cell>
          <cell r="D1056" t="e">
            <v>#N/A</v>
          </cell>
          <cell r="E1056">
            <v>-33.340237154149975</v>
          </cell>
          <cell r="F1056">
            <v>49.165691699605134</v>
          </cell>
          <cell r="G1056">
            <v>29.521422924900353</v>
          </cell>
          <cell r="H1056">
            <v>29.521422924900353</v>
          </cell>
          <cell r="I1056" t="e">
            <v>#N/A</v>
          </cell>
          <cell r="J1056" t="e">
            <v>#N/A</v>
          </cell>
          <cell r="K1056">
            <v>42</v>
          </cell>
          <cell r="L1056">
            <v>32</v>
          </cell>
          <cell r="M1056" t="e">
            <v>#N/A</v>
          </cell>
          <cell r="N1056">
            <v>37</v>
          </cell>
          <cell r="O1056" t="e">
            <v>#N/A</v>
          </cell>
          <cell r="P1056" t="str">
            <v/>
          </cell>
          <cell r="Q1056" t="str">
            <v/>
          </cell>
          <cell r="R1056" t="e">
            <v>#N/A</v>
          </cell>
        </row>
        <row r="1057">
          <cell r="A1057" t="str">
            <v/>
          </cell>
          <cell r="B1057" t="str">
            <v/>
          </cell>
          <cell r="C1057" t="str">
            <v>Future</v>
          </cell>
          <cell r="D1057" t="e">
            <v>#N/A</v>
          </cell>
          <cell r="E1057">
            <v>-33.476877470355511</v>
          </cell>
          <cell r="F1057">
            <v>49.195059288537941</v>
          </cell>
          <cell r="G1057">
            <v>29.511264822133555</v>
          </cell>
          <cell r="H1057">
            <v>29.511264822133555</v>
          </cell>
          <cell r="I1057" t="e">
            <v>#N/A</v>
          </cell>
          <cell r="J1057" t="e">
            <v>#N/A</v>
          </cell>
          <cell r="K1057">
            <v>42</v>
          </cell>
          <cell r="L1057">
            <v>32</v>
          </cell>
          <cell r="M1057" t="e">
            <v>#N/A</v>
          </cell>
          <cell r="N1057">
            <v>37</v>
          </cell>
          <cell r="O1057" t="e">
            <v>#N/A</v>
          </cell>
          <cell r="P1057" t="str">
            <v/>
          </cell>
          <cell r="Q1057" t="str">
            <v/>
          </cell>
          <cell r="R1057" t="e">
            <v>#N/A</v>
          </cell>
        </row>
        <row r="1058">
          <cell r="A1058" t="str">
            <v/>
          </cell>
          <cell r="B1058" t="str">
            <v/>
          </cell>
          <cell r="C1058" t="str">
            <v>Future</v>
          </cell>
          <cell r="D1058" t="e">
            <v>#N/A</v>
          </cell>
          <cell r="E1058">
            <v>-33.613517786561047</v>
          </cell>
          <cell r="F1058">
            <v>49.224426877470748</v>
          </cell>
          <cell r="G1058">
            <v>29.501106719366756</v>
          </cell>
          <cell r="H1058">
            <v>29.501106719366756</v>
          </cell>
          <cell r="I1058" t="e">
            <v>#N/A</v>
          </cell>
          <cell r="J1058" t="e">
            <v>#N/A</v>
          </cell>
          <cell r="K1058">
            <v>42</v>
          </cell>
          <cell r="L1058">
            <v>32</v>
          </cell>
          <cell r="M1058" t="e">
            <v>#N/A</v>
          </cell>
          <cell r="N1058">
            <v>37</v>
          </cell>
          <cell r="O1058" t="e">
            <v>#N/A</v>
          </cell>
          <cell r="P1058" t="str">
            <v/>
          </cell>
          <cell r="Q1058" t="str">
            <v/>
          </cell>
          <cell r="R1058" t="e">
            <v>#N/A</v>
          </cell>
        </row>
        <row r="1059">
          <cell r="A1059" t="str">
            <v/>
          </cell>
          <cell r="B1059" t="str">
            <v/>
          </cell>
          <cell r="C1059" t="str">
            <v>Future</v>
          </cell>
          <cell r="D1059" t="e">
            <v>#N/A</v>
          </cell>
          <cell r="E1059">
            <v>-33.750158102766584</v>
          </cell>
          <cell r="F1059">
            <v>49.253794466403555</v>
          </cell>
          <cell r="G1059">
            <v>29.490948616599958</v>
          </cell>
          <cell r="H1059">
            <v>29.490948616599958</v>
          </cell>
          <cell r="I1059" t="e">
            <v>#N/A</v>
          </cell>
          <cell r="J1059" t="e">
            <v>#N/A</v>
          </cell>
          <cell r="K1059">
            <v>42</v>
          </cell>
          <cell r="L1059">
            <v>32</v>
          </cell>
          <cell r="M1059" t="e">
            <v>#N/A</v>
          </cell>
          <cell r="N1059">
            <v>37</v>
          </cell>
          <cell r="O1059" t="e">
            <v>#N/A</v>
          </cell>
          <cell r="P1059" t="str">
            <v/>
          </cell>
          <cell r="Q1059" t="str">
            <v/>
          </cell>
          <cell r="R1059" t="e">
            <v>#N/A</v>
          </cell>
        </row>
        <row r="1060">
          <cell r="A1060" t="str">
            <v/>
          </cell>
          <cell r="B1060" t="str">
            <v/>
          </cell>
          <cell r="C1060" t="str">
            <v>Future</v>
          </cell>
          <cell r="D1060" t="e">
            <v>#N/A</v>
          </cell>
          <cell r="E1060">
            <v>-33.88679841897212</v>
          </cell>
          <cell r="F1060">
            <v>49.283162055336362</v>
          </cell>
          <cell r="G1060">
            <v>29.48079051383316</v>
          </cell>
          <cell r="H1060">
            <v>29.48079051383316</v>
          </cell>
          <cell r="I1060" t="e">
            <v>#N/A</v>
          </cell>
          <cell r="J1060" t="e">
            <v>#N/A</v>
          </cell>
          <cell r="K1060">
            <v>42</v>
          </cell>
          <cell r="L1060">
            <v>32</v>
          </cell>
          <cell r="M1060" t="e">
            <v>#N/A</v>
          </cell>
          <cell r="N1060">
            <v>37</v>
          </cell>
          <cell r="O1060" t="e">
            <v>#N/A</v>
          </cell>
          <cell r="P1060" t="str">
            <v/>
          </cell>
          <cell r="Q1060" t="str">
            <v/>
          </cell>
          <cell r="R1060" t="e">
            <v>#N/A</v>
          </cell>
        </row>
        <row r="1061">
          <cell r="A1061" t="str">
            <v/>
          </cell>
          <cell r="B1061" t="str">
            <v/>
          </cell>
          <cell r="C1061" t="str">
            <v>Future</v>
          </cell>
          <cell r="D1061" t="e">
            <v>#N/A</v>
          </cell>
          <cell r="E1061">
            <v>-34.023438735177656</v>
          </cell>
          <cell r="F1061">
            <v>49.312529644269169</v>
          </cell>
          <cell r="G1061">
            <v>29.470632411066362</v>
          </cell>
          <cell r="H1061">
            <v>29.470632411066362</v>
          </cell>
          <cell r="I1061" t="e">
            <v>#N/A</v>
          </cell>
          <cell r="J1061" t="e">
            <v>#N/A</v>
          </cell>
          <cell r="K1061">
            <v>42</v>
          </cell>
          <cell r="L1061">
            <v>32</v>
          </cell>
          <cell r="M1061" t="e">
            <v>#N/A</v>
          </cell>
          <cell r="N1061">
            <v>37</v>
          </cell>
          <cell r="O1061" t="e">
            <v>#N/A</v>
          </cell>
          <cell r="P1061" t="str">
            <v/>
          </cell>
          <cell r="Q1061" t="str">
            <v/>
          </cell>
          <cell r="R1061" t="e">
            <v>#N/A</v>
          </cell>
        </row>
        <row r="1062">
          <cell r="A1062" t="str">
            <v/>
          </cell>
          <cell r="B1062" t="str">
            <v/>
          </cell>
          <cell r="C1062" t="str">
            <v>Future</v>
          </cell>
          <cell r="D1062" t="e">
            <v>#N/A</v>
          </cell>
          <cell r="E1062">
            <v>-34.160079051383192</v>
          </cell>
          <cell r="F1062">
            <v>49.341897233201976</v>
          </cell>
          <cell r="G1062">
            <v>29.460474308299563</v>
          </cell>
          <cell r="H1062">
            <v>29.460474308299563</v>
          </cell>
          <cell r="I1062" t="e">
            <v>#N/A</v>
          </cell>
          <cell r="J1062" t="e">
            <v>#N/A</v>
          </cell>
          <cell r="K1062">
            <v>42</v>
          </cell>
          <cell r="L1062">
            <v>32</v>
          </cell>
          <cell r="M1062" t="e">
            <v>#N/A</v>
          </cell>
          <cell r="N1062">
            <v>37</v>
          </cell>
          <cell r="O1062" t="e">
            <v>#N/A</v>
          </cell>
          <cell r="P1062" t="str">
            <v/>
          </cell>
          <cell r="Q1062" t="str">
            <v/>
          </cell>
          <cell r="R1062" t="e">
            <v>#N/A</v>
          </cell>
        </row>
        <row r="1063">
          <cell r="A1063" t="str">
            <v/>
          </cell>
          <cell r="B1063" t="str">
            <v/>
          </cell>
          <cell r="C1063" t="str">
            <v>Future</v>
          </cell>
          <cell r="D1063" t="e">
            <v>#N/A</v>
          </cell>
          <cell r="E1063">
            <v>-34.296719367588729</v>
          </cell>
          <cell r="F1063">
            <v>49.371264822134783</v>
          </cell>
          <cell r="G1063">
            <v>29.450316205532765</v>
          </cell>
          <cell r="H1063">
            <v>29.450316205532765</v>
          </cell>
          <cell r="I1063" t="e">
            <v>#N/A</v>
          </cell>
          <cell r="J1063" t="e">
            <v>#N/A</v>
          </cell>
          <cell r="K1063">
            <v>42</v>
          </cell>
          <cell r="L1063">
            <v>32</v>
          </cell>
          <cell r="M1063" t="e">
            <v>#N/A</v>
          </cell>
          <cell r="N1063">
            <v>37</v>
          </cell>
          <cell r="O1063" t="e">
            <v>#N/A</v>
          </cell>
          <cell r="P1063" t="str">
            <v/>
          </cell>
          <cell r="Q1063" t="str">
            <v/>
          </cell>
          <cell r="R1063" t="e">
            <v>#N/A</v>
          </cell>
        </row>
        <row r="1064">
          <cell r="A1064" t="str">
            <v/>
          </cell>
          <cell r="B1064" t="str">
            <v/>
          </cell>
          <cell r="C1064" t="str">
            <v>Future</v>
          </cell>
          <cell r="D1064" t="e">
            <v>#N/A</v>
          </cell>
          <cell r="E1064">
            <v>-34.433359683794265</v>
          </cell>
          <cell r="F1064">
            <v>49.400632411067591</v>
          </cell>
          <cell r="G1064">
            <v>29.440158102765967</v>
          </cell>
          <cell r="H1064">
            <v>29.440158102765967</v>
          </cell>
          <cell r="I1064" t="e">
            <v>#N/A</v>
          </cell>
          <cell r="J1064" t="e">
            <v>#N/A</v>
          </cell>
          <cell r="K1064">
            <v>42</v>
          </cell>
          <cell r="L1064">
            <v>32</v>
          </cell>
          <cell r="M1064" t="e">
            <v>#N/A</v>
          </cell>
          <cell r="N1064">
            <v>37</v>
          </cell>
          <cell r="O1064" t="e">
            <v>#N/A</v>
          </cell>
          <cell r="P1064" t="str">
            <v/>
          </cell>
          <cell r="Q1064" t="str">
            <v/>
          </cell>
          <cell r="R1064" t="e">
            <v>#N/A</v>
          </cell>
        </row>
        <row r="1065">
          <cell r="A1065" t="str">
            <v/>
          </cell>
          <cell r="B1065" t="str">
            <v/>
          </cell>
          <cell r="C1065" t="str">
            <v>Future</v>
          </cell>
          <cell r="D1065" t="e">
            <v>#N/A</v>
          </cell>
          <cell r="E1065">
            <v>-34.569999999999801</v>
          </cell>
          <cell r="F1065">
            <v>49.430000000000398</v>
          </cell>
          <cell r="G1065">
            <v>29.429999999999168</v>
          </cell>
          <cell r="H1065">
            <v>29.429999999999168</v>
          </cell>
          <cell r="I1065" t="e">
            <v>#N/A</v>
          </cell>
          <cell r="J1065" t="e">
            <v>#N/A</v>
          </cell>
          <cell r="K1065">
            <v>42</v>
          </cell>
          <cell r="L1065">
            <v>32</v>
          </cell>
          <cell r="M1065" t="e">
            <v>#N/A</v>
          </cell>
          <cell r="N1065">
            <v>37</v>
          </cell>
          <cell r="O1065" t="e">
            <v>#N/A</v>
          </cell>
          <cell r="P1065" t="str">
            <v/>
          </cell>
          <cell r="Q1065" t="str">
            <v/>
          </cell>
          <cell r="R1065" t="e">
            <v>#N/A</v>
          </cell>
        </row>
        <row r="1066">
          <cell r="A1066" t="str">
            <v/>
          </cell>
          <cell r="B1066" t="str">
            <v/>
          </cell>
          <cell r="C1066" t="str">
            <v>Future</v>
          </cell>
          <cell r="D1066" t="e">
            <v>#N/A</v>
          </cell>
          <cell r="E1066">
            <v>-34.706640316205338</v>
          </cell>
          <cell r="F1066">
            <v>49.459367588933205</v>
          </cell>
          <cell r="G1066">
            <v>29.41984189723237</v>
          </cell>
          <cell r="H1066">
            <v>29.41984189723237</v>
          </cell>
          <cell r="I1066" t="e">
            <v>#N/A</v>
          </cell>
          <cell r="J1066" t="e">
            <v>#N/A</v>
          </cell>
          <cell r="K1066">
            <v>42</v>
          </cell>
          <cell r="L1066">
            <v>32</v>
          </cell>
          <cell r="M1066" t="e">
            <v>#N/A</v>
          </cell>
          <cell r="N1066">
            <v>37</v>
          </cell>
          <cell r="O1066" t="e">
            <v>#N/A</v>
          </cell>
          <cell r="P1066" t="str">
            <v/>
          </cell>
          <cell r="Q1066" t="str">
            <v/>
          </cell>
          <cell r="R1066" t="e">
            <v>#N/A</v>
          </cell>
        </row>
        <row r="1067">
          <cell r="A1067" t="str">
            <v/>
          </cell>
          <cell r="B1067" t="str">
            <v/>
          </cell>
          <cell r="C1067" t="str">
            <v>Future</v>
          </cell>
          <cell r="D1067" t="e">
            <v>#N/A</v>
          </cell>
          <cell r="E1067">
            <v>-34.843280632410874</v>
          </cell>
          <cell r="F1067">
            <v>49.488735177866012</v>
          </cell>
          <cell r="G1067">
            <v>29.409683794465572</v>
          </cell>
          <cell r="H1067">
            <v>29.409683794465572</v>
          </cell>
          <cell r="I1067" t="e">
            <v>#N/A</v>
          </cell>
          <cell r="J1067" t="e">
            <v>#N/A</v>
          </cell>
          <cell r="K1067">
            <v>42</v>
          </cell>
          <cell r="L1067">
            <v>32</v>
          </cell>
          <cell r="M1067" t="e">
            <v>#N/A</v>
          </cell>
          <cell r="N1067">
            <v>37</v>
          </cell>
          <cell r="O1067" t="e">
            <v>#N/A</v>
          </cell>
          <cell r="P1067" t="str">
            <v/>
          </cell>
          <cell r="Q1067" t="str">
            <v/>
          </cell>
          <cell r="R1067" t="e">
            <v>#N/A</v>
          </cell>
        </row>
        <row r="1068">
          <cell r="A1068" t="str">
            <v/>
          </cell>
          <cell r="B1068" t="str">
            <v/>
          </cell>
          <cell r="C1068" t="str">
            <v>Future</v>
          </cell>
          <cell r="D1068" t="e">
            <v>#N/A</v>
          </cell>
          <cell r="E1068">
            <v>-34.97992094861641</v>
          </cell>
          <cell r="F1068">
            <v>49.518102766798819</v>
          </cell>
          <cell r="G1068">
            <v>29.399525691698773</v>
          </cell>
          <cell r="H1068">
            <v>29.399525691698773</v>
          </cell>
          <cell r="I1068" t="e">
            <v>#N/A</v>
          </cell>
          <cell r="J1068" t="e">
            <v>#N/A</v>
          </cell>
          <cell r="K1068">
            <v>42</v>
          </cell>
          <cell r="L1068">
            <v>32</v>
          </cell>
          <cell r="M1068" t="e">
            <v>#N/A</v>
          </cell>
          <cell r="N1068">
            <v>37</v>
          </cell>
          <cell r="O1068" t="e">
            <v>#N/A</v>
          </cell>
          <cell r="P1068" t="str">
            <v/>
          </cell>
          <cell r="Q1068" t="str">
            <v/>
          </cell>
          <cell r="R1068" t="e">
            <v>#N/A</v>
          </cell>
        </row>
        <row r="1069">
          <cell r="A1069" t="str">
            <v/>
          </cell>
          <cell r="B1069" t="str">
            <v/>
          </cell>
          <cell r="C1069" t="str">
            <v>Future</v>
          </cell>
          <cell r="D1069" t="e">
            <v>#N/A</v>
          </cell>
          <cell r="E1069">
            <v>-35.116561264821947</v>
          </cell>
          <cell r="F1069">
            <v>49.547470355731626</v>
          </cell>
          <cell r="G1069">
            <v>29.389367588931975</v>
          </cell>
          <cell r="H1069">
            <v>29.389367588931975</v>
          </cell>
          <cell r="I1069" t="e">
            <v>#N/A</v>
          </cell>
          <cell r="J1069" t="e">
            <v>#N/A</v>
          </cell>
          <cell r="K1069">
            <v>42</v>
          </cell>
          <cell r="L1069">
            <v>32</v>
          </cell>
          <cell r="M1069" t="e">
            <v>#N/A</v>
          </cell>
          <cell r="N1069">
            <v>37</v>
          </cell>
          <cell r="O1069" t="e">
            <v>#N/A</v>
          </cell>
          <cell r="P1069" t="str">
            <v/>
          </cell>
          <cell r="Q1069" t="str">
            <v/>
          </cell>
          <cell r="R1069" t="e">
            <v>#N/A</v>
          </cell>
        </row>
        <row r="1070">
          <cell r="A1070" t="str">
            <v/>
          </cell>
          <cell r="B1070" t="str">
            <v/>
          </cell>
          <cell r="C1070" t="str">
            <v>Future</v>
          </cell>
          <cell r="D1070" t="e">
            <v>#N/A</v>
          </cell>
          <cell r="E1070">
            <v>-35.253201581027483</v>
          </cell>
          <cell r="F1070">
            <v>49.576837944664433</v>
          </cell>
          <cell r="G1070">
            <v>29.379209486165177</v>
          </cell>
          <cell r="H1070">
            <v>29.379209486165177</v>
          </cell>
          <cell r="I1070" t="e">
            <v>#N/A</v>
          </cell>
          <cell r="J1070" t="e">
            <v>#N/A</v>
          </cell>
          <cell r="K1070">
            <v>42</v>
          </cell>
          <cell r="L1070">
            <v>32</v>
          </cell>
          <cell r="M1070" t="e">
            <v>#N/A</v>
          </cell>
          <cell r="N1070">
            <v>37</v>
          </cell>
          <cell r="O1070" t="e">
            <v>#N/A</v>
          </cell>
          <cell r="P1070" t="str">
            <v/>
          </cell>
          <cell r="Q1070" t="str">
            <v/>
          </cell>
          <cell r="R1070" t="e">
            <v>#N/A</v>
          </cell>
        </row>
        <row r="1071">
          <cell r="A1071" t="str">
            <v/>
          </cell>
          <cell r="B1071" t="str">
            <v/>
          </cell>
          <cell r="C1071" t="str">
            <v>Future</v>
          </cell>
          <cell r="D1071" t="e">
            <v>#N/A</v>
          </cell>
          <cell r="E1071">
            <v>-35.389841897233019</v>
          </cell>
          <cell r="F1071">
            <v>49.60620553359724</v>
          </cell>
          <cell r="G1071">
            <v>29.369051383398379</v>
          </cell>
          <cell r="H1071">
            <v>29.369051383398379</v>
          </cell>
          <cell r="I1071" t="e">
            <v>#N/A</v>
          </cell>
          <cell r="J1071" t="e">
            <v>#N/A</v>
          </cell>
          <cell r="K1071">
            <v>42</v>
          </cell>
          <cell r="L1071">
            <v>32</v>
          </cell>
          <cell r="M1071" t="e">
            <v>#N/A</v>
          </cell>
          <cell r="N1071">
            <v>37</v>
          </cell>
          <cell r="O1071" t="e">
            <v>#N/A</v>
          </cell>
          <cell r="P1071" t="str">
            <v/>
          </cell>
          <cell r="Q1071" t="str">
            <v/>
          </cell>
          <cell r="R1071" t="e">
            <v>#N/A</v>
          </cell>
        </row>
        <row r="1072">
          <cell r="A1072" t="str">
            <v/>
          </cell>
          <cell r="B1072" t="str">
            <v/>
          </cell>
          <cell r="C1072" t="str">
            <v>Future</v>
          </cell>
          <cell r="D1072" t="e">
            <v>#N/A</v>
          </cell>
          <cell r="E1072">
            <v>-35.526482213438555</v>
          </cell>
          <cell r="F1072">
            <v>49.635573122530047</v>
          </cell>
          <cell r="G1072">
            <v>29.35889328063158</v>
          </cell>
          <cell r="H1072">
            <v>29.35889328063158</v>
          </cell>
          <cell r="I1072" t="e">
            <v>#N/A</v>
          </cell>
          <cell r="J1072" t="e">
            <v>#N/A</v>
          </cell>
          <cell r="K1072">
            <v>42</v>
          </cell>
          <cell r="L1072">
            <v>32</v>
          </cell>
          <cell r="M1072" t="e">
            <v>#N/A</v>
          </cell>
          <cell r="N1072">
            <v>37</v>
          </cell>
          <cell r="O1072" t="e">
            <v>#N/A</v>
          </cell>
          <cell r="P1072" t="str">
            <v/>
          </cell>
          <cell r="Q1072" t="str">
            <v/>
          </cell>
          <cell r="R1072" t="e">
            <v>#N/A</v>
          </cell>
        </row>
        <row r="1073">
          <cell r="A1073" t="str">
            <v/>
          </cell>
          <cell r="B1073" t="str">
            <v/>
          </cell>
          <cell r="C1073" t="str">
            <v>Future</v>
          </cell>
          <cell r="D1073" t="e">
            <v>#N/A</v>
          </cell>
          <cell r="E1073">
            <v>-35.663122529644092</v>
          </cell>
          <cell r="F1073">
            <v>49.664940711462854</v>
          </cell>
          <cell r="G1073">
            <v>29.348735177864782</v>
          </cell>
          <cell r="H1073">
            <v>29.348735177864782</v>
          </cell>
          <cell r="I1073" t="e">
            <v>#N/A</v>
          </cell>
          <cell r="J1073" t="e">
            <v>#N/A</v>
          </cell>
          <cell r="K1073">
            <v>42</v>
          </cell>
          <cell r="L1073">
            <v>32</v>
          </cell>
          <cell r="M1073" t="e">
            <v>#N/A</v>
          </cell>
          <cell r="N1073">
            <v>37</v>
          </cell>
          <cell r="O1073" t="e">
            <v>#N/A</v>
          </cell>
          <cell r="P1073" t="str">
            <v/>
          </cell>
          <cell r="Q1073" t="str">
            <v/>
          </cell>
          <cell r="R1073" t="e">
            <v>#N/A</v>
          </cell>
        </row>
        <row r="1074">
          <cell r="A1074" t="str">
            <v/>
          </cell>
          <cell r="B1074" t="str">
            <v/>
          </cell>
          <cell r="C1074" t="str">
            <v>Future</v>
          </cell>
          <cell r="D1074" t="e">
            <v>#N/A</v>
          </cell>
          <cell r="E1074">
            <v>-35.799762845849628</v>
          </cell>
          <cell r="F1074">
            <v>49.694308300395662</v>
          </cell>
          <cell r="G1074">
            <v>29.338577075097984</v>
          </cell>
          <cell r="H1074">
            <v>29.338577075097984</v>
          </cell>
          <cell r="I1074" t="e">
            <v>#N/A</v>
          </cell>
          <cell r="J1074" t="e">
            <v>#N/A</v>
          </cell>
          <cell r="K1074">
            <v>42</v>
          </cell>
          <cell r="L1074">
            <v>32</v>
          </cell>
          <cell r="M1074" t="e">
            <v>#N/A</v>
          </cell>
          <cell r="N1074">
            <v>37</v>
          </cell>
          <cell r="O1074" t="e">
            <v>#N/A</v>
          </cell>
          <cell r="P1074" t="str">
            <v/>
          </cell>
          <cell r="Q1074" t="str">
            <v/>
          </cell>
          <cell r="R1074" t="e">
            <v>#N/A</v>
          </cell>
        </row>
        <row r="1075">
          <cell r="A1075" t="str">
            <v/>
          </cell>
          <cell r="B1075" t="str">
            <v/>
          </cell>
          <cell r="C1075" t="str">
            <v>Future</v>
          </cell>
          <cell r="D1075" t="e">
            <v>#N/A</v>
          </cell>
          <cell r="E1075">
            <v>-35.936403162055164</v>
          </cell>
          <cell r="F1075">
            <v>49.723675889328469</v>
          </cell>
          <cell r="G1075">
            <v>29.328418972331185</v>
          </cell>
          <cell r="H1075">
            <v>29.328418972331185</v>
          </cell>
          <cell r="I1075" t="e">
            <v>#N/A</v>
          </cell>
          <cell r="J1075" t="e">
            <v>#N/A</v>
          </cell>
          <cell r="K1075">
            <v>42</v>
          </cell>
          <cell r="L1075">
            <v>32</v>
          </cell>
          <cell r="M1075" t="e">
            <v>#N/A</v>
          </cell>
          <cell r="N1075">
            <v>37</v>
          </cell>
          <cell r="O1075" t="e">
            <v>#N/A</v>
          </cell>
          <cell r="P1075" t="str">
            <v/>
          </cell>
          <cell r="Q1075" t="str">
            <v/>
          </cell>
          <cell r="R1075" t="e">
            <v>#N/A</v>
          </cell>
        </row>
        <row r="1076">
          <cell r="A1076" t="str">
            <v/>
          </cell>
          <cell r="B1076" t="str">
            <v/>
          </cell>
          <cell r="C1076" t="str">
            <v>Future</v>
          </cell>
          <cell r="D1076" t="e">
            <v>#N/A</v>
          </cell>
          <cell r="E1076">
            <v>-36.073043478260701</v>
          </cell>
          <cell r="F1076">
            <v>49.753043478261276</v>
          </cell>
          <cell r="G1076">
            <v>29.318260869564387</v>
          </cell>
          <cell r="H1076">
            <v>29.318260869564387</v>
          </cell>
          <cell r="I1076" t="e">
            <v>#N/A</v>
          </cell>
          <cell r="J1076" t="e">
            <v>#N/A</v>
          </cell>
          <cell r="K1076">
            <v>42</v>
          </cell>
          <cell r="L1076">
            <v>32</v>
          </cell>
          <cell r="M1076" t="e">
            <v>#N/A</v>
          </cell>
          <cell r="N1076">
            <v>37</v>
          </cell>
          <cell r="O1076" t="e">
            <v>#N/A</v>
          </cell>
          <cell r="P1076" t="str">
            <v/>
          </cell>
          <cell r="Q1076" t="str">
            <v/>
          </cell>
          <cell r="R1076" t="e">
            <v>#N/A</v>
          </cell>
        </row>
        <row r="1077">
          <cell r="A1077" t="str">
            <v/>
          </cell>
          <cell r="B1077" t="str">
            <v/>
          </cell>
          <cell r="C1077" t="str">
            <v>Future</v>
          </cell>
          <cell r="D1077" t="e">
            <v>#N/A</v>
          </cell>
          <cell r="E1077">
            <v>-36.209683794466237</v>
          </cell>
          <cell r="F1077">
            <v>49.782411067194083</v>
          </cell>
          <cell r="G1077">
            <v>29.308102766797589</v>
          </cell>
          <cell r="H1077">
            <v>29.308102766797589</v>
          </cell>
          <cell r="I1077" t="e">
            <v>#N/A</v>
          </cell>
          <cell r="J1077" t="e">
            <v>#N/A</v>
          </cell>
          <cell r="K1077">
            <v>42</v>
          </cell>
          <cell r="L1077">
            <v>32</v>
          </cell>
          <cell r="M1077" t="e">
            <v>#N/A</v>
          </cell>
          <cell r="N1077">
            <v>37</v>
          </cell>
          <cell r="O1077" t="e">
            <v>#N/A</v>
          </cell>
          <cell r="P1077" t="str">
            <v/>
          </cell>
          <cell r="Q1077" t="str">
            <v/>
          </cell>
          <cell r="R1077" t="e">
            <v>#N/A</v>
          </cell>
        </row>
        <row r="1078">
          <cell r="A1078" t="str">
            <v/>
          </cell>
          <cell r="B1078" t="str">
            <v/>
          </cell>
          <cell r="C1078" t="str">
            <v>Future</v>
          </cell>
          <cell r="D1078" t="e">
            <v>#N/A</v>
          </cell>
          <cell r="E1078">
            <v>-36.346324110671773</v>
          </cell>
          <cell r="F1078">
            <v>49.81177865612689</v>
          </cell>
          <cell r="G1078">
            <v>29.297944664030791</v>
          </cell>
          <cell r="H1078">
            <v>29.297944664030791</v>
          </cell>
          <cell r="I1078" t="e">
            <v>#N/A</v>
          </cell>
          <cell r="J1078" t="e">
            <v>#N/A</v>
          </cell>
          <cell r="K1078">
            <v>42</v>
          </cell>
          <cell r="L1078">
            <v>32</v>
          </cell>
          <cell r="M1078" t="e">
            <v>#N/A</v>
          </cell>
          <cell r="N1078">
            <v>37</v>
          </cell>
          <cell r="O1078" t="e">
            <v>#N/A</v>
          </cell>
          <cell r="P1078" t="str">
            <v/>
          </cell>
          <cell r="Q1078" t="str">
            <v/>
          </cell>
          <cell r="R1078" t="e">
            <v>#N/A</v>
          </cell>
        </row>
        <row r="1079">
          <cell r="A1079" t="str">
            <v/>
          </cell>
          <cell r="B1079" t="str">
            <v/>
          </cell>
          <cell r="C1079" t="str">
            <v>Future</v>
          </cell>
          <cell r="D1079" t="e">
            <v>#N/A</v>
          </cell>
          <cell r="E1079">
            <v>-36.482964426877309</v>
          </cell>
          <cell r="F1079">
            <v>49.841146245059697</v>
          </cell>
          <cell r="G1079">
            <v>29.287786561263992</v>
          </cell>
          <cell r="H1079">
            <v>29.287786561263992</v>
          </cell>
          <cell r="I1079" t="e">
            <v>#N/A</v>
          </cell>
          <cell r="J1079" t="e">
            <v>#N/A</v>
          </cell>
          <cell r="K1079">
            <v>42</v>
          </cell>
          <cell r="L1079">
            <v>32</v>
          </cell>
          <cell r="M1079" t="e">
            <v>#N/A</v>
          </cell>
          <cell r="N1079">
            <v>37</v>
          </cell>
          <cell r="O1079" t="e">
            <v>#N/A</v>
          </cell>
          <cell r="P1079" t="str">
            <v/>
          </cell>
          <cell r="Q1079" t="str">
            <v/>
          </cell>
          <cell r="R1079" t="e">
            <v>#N/A</v>
          </cell>
        </row>
        <row r="1080">
          <cell r="A1080" t="str">
            <v/>
          </cell>
          <cell r="B1080" t="str">
            <v/>
          </cell>
          <cell r="C1080" t="str">
            <v>Future</v>
          </cell>
          <cell r="D1080" t="e">
            <v>#N/A</v>
          </cell>
          <cell r="E1080">
            <v>-36.619604743082846</v>
          </cell>
          <cell r="F1080">
            <v>49.870513833992504</v>
          </cell>
          <cell r="G1080">
            <v>29.277628458497194</v>
          </cell>
          <cell r="H1080">
            <v>29.277628458497194</v>
          </cell>
          <cell r="I1080" t="e">
            <v>#N/A</v>
          </cell>
          <cell r="J1080" t="e">
            <v>#N/A</v>
          </cell>
          <cell r="K1080">
            <v>42</v>
          </cell>
          <cell r="L1080">
            <v>32</v>
          </cell>
          <cell r="M1080" t="e">
            <v>#N/A</v>
          </cell>
          <cell r="N1080">
            <v>37</v>
          </cell>
          <cell r="O1080" t="e">
            <v>#N/A</v>
          </cell>
          <cell r="P1080" t="str">
            <v/>
          </cell>
          <cell r="Q1080" t="str">
            <v/>
          </cell>
          <cell r="R1080" t="e">
            <v>#N/A</v>
          </cell>
        </row>
        <row r="1081">
          <cell r="A1081" t="str">
            <v/>
          </cell>
          <cell r="B1081" t="str">
            <v/>
          </cell>
          <cell r="C1081" t="str">
            <v>Future</v>
          </cell>
          <cell r="D1081" t="e">
            <v>#N/A</v>
          </cell>
          <cell r="E1081">
            <v>-36.756245059288382</v>
          </cell>
          <cell r="F1081">
            <v>49.899881422925311</v>
          </cell>
          <cell r="G1081">
            <v>29.267470355730396</v>
          </cell>
          <cell r="H1081">
            <v>29.267470355730396</v>
          </cell>
          <cell r="I1081" t="e">
            <v>#N/A</v>
          </cell>
          <cell r="J1081" t="e">
            <v>#N/A</v>
          </cell>
          <cell r="K1081">
            <v>42</v>
          </cell>
          <cell r="L1081">
            <v>32</v>
          </cell>
          <cell r="M1081" t="e">
            <v>#N/A</v>
          </cell>
          <cell r="N1081">
            <v>37</v>
          </cell>
          <cell r="O1081" t="e">
            <v>#N/A</v>
          </cell>
          <cell r="P1081" t="str">
            <v/>
          </cell>
          <cell r="Q1081" t="str">
            <v/>
          </cell>
          <cell r="R1081" t="e">
            <v>#N/A</v>
          </cell>
        </row>
        <row r="1082">
          <cell r="A1082" t="str">
            <v/>
          </cell>
          <cell r="B1082" t="str">
            <v/>
          </cell>
          <cell r="C1082" t="str">
            <v>Future</v>
          </cell>
          <cell r="D1082" t="e">
            <v>#N/A</v>
          </cell>
          <cell r="E1082">
            <v>-36.892885375493918</v>
          </cell>
          <cell r="F1082">
            <v>49.929249011858118</v>
          </cell>
          <cell r="G1082">
            <v>29.257312252963597</v>
          </cell>
          <cell r="H1082">
            <v>29.257312252963597</v>
          </cell>
          <cell r="I1082" t="e">
            <v>#N/A</v>
          </cell>
          <cell r="J1082" t="e">
            <v>#N/A</v>
          </cell>
          <cell r="K1082">
            <v>42</v>
          </cell>
          <cell r="L1082">
            <v>32</v>
          </cell>
          <cell r="M1082" t="e">
            <v>#N/A</v>
          </cell>
          <cell r="N1082">
            <v>37</v>
          </cell>
          <cell r="O1082" t="e">
            <v>#N/A</v>
          </cell>
          <cell r="P1082" t="str">
            <v/>
          </cell>
          <cell r="Q1082" t="str">
            <v/>
          </cell>
          <cell r="R1082" t="e">
            <v>#N/A</v>
          </cell>
        </row>
        <row r="1083">
          <cell r="A1083" t="str">
            <v/>
          </cell>
          <cell r="B1083" t="str">
            <v/>
          </cell>
          <cell r="C1083" t="str">
            <v>Future</v>
          </cell>
          <cell r="D1083" t="e">
            <v>#N/A</v>
          </cell>
          <cell r="E1083">
            <v>-37.029525691699455</v>
          </cell>
          <cell r="F1083">
            <v>49.958616600790926</v>
          </cell>
          <cell r="G1083">
            <v>29.247154150196799</v>
          </cell>
          <cell r="H1083">
            <v>29.247154150196799</v>
          </cell>
          <cell r="I1083" t="e">
            <v>#N/A</v>
          </cell>
          <cell r="J1083" t="e">
            <v>#N/A</v>
          </cell>
          <cell r="K1083">
            <v>42</v>
          </cell>
          <cell r="L1083">
            <v>32</v>
          </cell>
          <cell r="M1083" t="e">
            <v>#N/A</v>
          </cell>
          <cell r="N1083">
            <v>37</v>
          </cell>
          <cell r="O1083" t="e">
            <v>#N/A</v>
          </cell>
          <cell r="P1083" t="str">
            <v/>
          </cell>
          <cell r="Q1083" t="str">
            <v/>
          </cell>
          <cell r="R1083" t="e">
            <v>#N/A</v>
          </cell>
        </row>
        <row r="1084">
          <cell r="A1084" t="str">
            <v/>
          </cell>
          <cell r="B1084" t="str">
            <v/>
          </cell>
          <cell r="C1084" t="str">
            <v>Future</v>
          </cell>
          <cell r="D1084" t="e">
            <v>#N/A</v>
          </cell>
          <cell r="E1084">
            <v>-37.166166007904991</v>
          </cell>
          <cell r="F1084">
            <v>49.987984189723733</v>
          </cell>
          <cell r="G1084">
            <v>29.236996047430001</v>
          </cell>
          <cell r="H1084">
            <v>29.236996047430001</v>
          </cell>
          <cell r="I1084" t="e">
            <v>#N/A</v>
          </cell>
          <cell r="J1084" t="e">
            <v>#N/A</v>
          </cell>
          <cell r="K1084">
            <v>42</v>
          </cell>
          <cell r="L1084">
            <v>32</v>
          </cell>
          <cell r="M1084" t="e">
            <v>#N/A</v>
          </cell>
          <cell r="N1084">
            <v>37</v>
          </cell>
          <cell r="O1084" t="e">
            <v>#N/A</v>
          </cell>
          <cell r="P1084" t="str">
            <v/>
          </cell>
          <cell r="Q1084" t="str">
            <v/>
          </cell>
          <cell r="R1084" t="e">
            <v>#N/A</v>
          </cell>
        </row>
        <row r="1085">
          <cell r="A1085" t="str">
            <v/>
          </cell>
          <cell r="B1085" t="str">
            <v/>
          </cell>
          <cell r="C1085" t="str">
            <v>Future</v>
          </cell>
          <cell r="D1085" t="e">
            <v>#N/A</v>
          </cell>
          <cell r="E1085">
            <v>-37.302806324110527</v>
          </cell>
          <cell r="F1085">
            <v>50.01735177865654</v>
          </cell>
          <cell r="G1085">
            <v>29.226837944663203</v>
          </cell>
          <cell r="H1085">
            <v>29.226837944663203</v>
          </cell>
          <cell r="I1085" t="e">
            <v>#N/A</v>
          </cell>
          <cell r="J1085" t="e">
            <v>#N/A</v>
          </cell>
          <cell r="K1085">
            <v>42</v>
          </cell>
          <cell r="L1085">
            <v>32</v>
          </cell>
          <cell r="M1085" t="e">
            <v>#N/A</v>
          </cell>
          <cell r="N1085">
            <v>37</v>
          </cell>
          <cell r="O1085" t="e">
            <v>#N/A</v>
          </cell>
          <cell r="P1085" t="str">
            <v/>
          </cell>
          <cell r="Q1085" t="str">
            <v/>
          </cell>
          <cell r="R1085" t="e">
            <v>#N/A</v>
          </cell>
        </row>
        <row r="1086">
          <cell r="A1086" t="str">
            <v/>
          </cell>
          <cell r="B1086" t="str">
            <v/>
          </cell>
          <cell r="C1086" t="str">
            <v>Future</v>
          </cell>
          <cell r="D1086" t="e">
            <v>#N/A</v>
          </cell>
          <cell r="E1086">
            <v>-37.439446640316064</v>
          </cell>
          <cell r="F1086">
            <v>50.046719367589347</v>
          </cell>
          <cell r="G1086">
            <v>29.216679841896404</v>
          </cell>
          <cell r="H1086">
            <v>29.216679841896404</v>
          </cell>
          <cell r="I1086" t="e">
            <v>#N/A</v>
          </cell>
          <cell r="J1086" t="e">
            <v>#N/A</v>
          </cell>
          <cell r="K1086">
            <v>42</v>
          </cell>
          <cell r="L1086">
            <v>32</v>
          </cell>
          <cell r="M1086" t="e">
            <v>#N/A</v>
          </cell>
          <cell r="N1086">
            <v>37</v>
          </cell>
          <cell r="O1086" t="e">
            <v>#N/A</v>
          </cell>
          <cell r="P1086" t="str">
            <v/>
          </cell>
          <cell r="Q1086" t="str">
            <v/>
          </cell>
          <cell r="R1086" t="e">
            <v>#N/A</v>
          </cell>
        </row>
        <row r="1087">
          <cell r="A1087" t="str">
            <v/>
          </cell>
          <cell r="B1087" t="str">
            <v/>
          </cell>
          <cell r="C1087" t="str">
            <v>Future</v>
          </cell>
          <cell r="D1087" t="e">
            <v>#N/A</v>
          </cell>
          <cell r="E1087">
            <v>-37.5760869565216</v>
          </cell>
          <cell r="F1087">
            <v>50.076086956522154</v>
          </cell>
          <cell r="G1087">
            <v>29.206521739129606</v>
          </cell>
          <cell r="H1087">
            <v>29.206521739129606</v>
          </cell>
          <cell r="I1087" t="e">
            <v>#N/A</v>
          </cell>
          <cell r="J1087" t="e">
            <v>#N/A</v>
          </cell>
          <cell r="K1087">
            <v>42</v>
          </cell>
          <cell r="L1087">
            <v>32</v>
          </cell>
          <cell r="M1087" t="e">
            <v>#N/A</v>
          </cell>
          <cell r="N1087">
            <v>37</v>
          </cell>
          <cell r="O1087" t="e">
            <v>#N/A</v>
          </cell>
          <cell r="P1087" t="str">
            <v/>
          </cell>
          <cell r="Q1087" t="str">
            <v/>
          </cell>
          <cell r="R1087" t="e">
            <v>#N/A</v>
          </cell>
        </row>
        <row r="1088">
          <cell r="A1088" t="str">
            <v/>
          </cell>
          <cell r="B1088" t="str">
            <v/>
          </cell>
          <cell r="C1088" t="str">
            <v>Future</v>
          </cell>
          <cell r="D1088" t="e">
            <v>#N/A</v>
          </cell>
          <cell r="E1088">
            <v>-37.712727272727136</v>
          </cell>
          <cell r="F1088">
            <v>50.105454545454961</v>
          </cell>
          <cell r="G1088">
            <v>29.196363636362808</v>
          </cell>
          <cell r="H1088">
            <v>29.196363636362808</v>
          </cell>
          <cell r="I1088" t="e">
            <v>#N/A</v>
          </cell>
          <cell r="J1088" t="e">
            <v>#N/A</v>
          </cell>
          <cell r="K1088">
            <v>42</v>
          </cell>
          <cell r="L1088">
            <v>32</v>
          </cell>
          <cell r="M1088" t="e">
            <v>#N/A</v>
          </cell>
          <cell r="N1088">
            <v>37</v>
          </cell>
          <cell r="O1088" t="e">
            <v>#N/A</v>
          </cell>
          <cell r="P1088" t="str">
            <v/>
          </cell>
          <cell r="Q1088" t="str">
            <v/>
          </cell>
          <cell r="R1088" t="e">
            <v>#N/A</v>
          </cell>
        </row>
        <row r="1089">
          <cell r="A1089" t="str">
            <v/>
          </cell>
          <cell r="B1089" t="str">
            <v/>
          </cell>
          <cell r="C1089" t="str">
            <v>Future</v>
          </cell>
          <cell r="D1089" t="e">
            <v>#N/A</v>
          </cell>
          <cell r="E1089">
            <v>-37.849367588932672</v>
          </cell>
          <cell r="F1089">
            <v>50.134822134387768</v>
          </cell>
          <cell r="G1089">
            <v>29.186205533596009</v>
          </cell>
          <cell r="H1089">
            <v>29.186205533596009</v>
          </cell>
          <cell r="I1089" t="e">
            <v>#N/A</v>
          </cell>
          <cell r="J1089" t="e">
            <v>#N/A</v>
          </cell>
          <cell r="K1089">
            <v>42</v>
          </cell>
          <cell r="L1089">
            <v>32</v>
          </cell>
          <cell r="M1089" t="e">
            <v>#N/A</v>
          </cell>
          <cell r="N1089">
            <v>37</v>
          </cell>
          <cell r="O1089" t="e">
            <v>#N/A</v>
          </cell>
          <cell r="P1089" t="str">
            <v/>
          </cell>
          <cell r="Q1089" t="str">
            <v/>
          </cell>
          <cell r="R1089" t="e">
            <v>#N/A</v>
          </cell>
        </row>
        <row r="1090">
          <cell r="A1090" t="str">
            <v/>
          </cell>
          <cell r="B1090" t="str">
            <v/>
          </cell>
          <cell r="C1090" t="str">
            <v>Future</v>
          </cell>
          <cell r="D1090" t="e">
            <v>#N/A</v>
          </cell>
          <cell r="E1090">
            <v>-37.986007905138209</v>
          </cell>
          <cell r="F1090">
            <v>50.164189723320575</v>
          </cell>
          <cell r="G1090">
            <v>29.176047430829211</v>
          </cell>
          <cell r="H1090">
            <v>29.176047430829211</v>
          </cell>
          <cell r="I1090" t="e">
            <v>#N/A</v>
          </cell>
          <cell r="J1090" t="e">
            <v>#N/A</v>
          </cell>
          <cell r="K1090">
            <v>42</v>
          </cell>
          <cell r="L1090">
            <v>32</v>
          </cell>
          <cell r="M1090" t="e">
            <v>#N/A</v>
          </cell>
          <cell r="N1090">
            <v>37</v>
          </cell>
          <cell r="O1090" t="e">
            <v>#N/A</v>
          </cell>
          <cell r="P1090" t="str">
            <v/>
          </cell>
          <cell r="Q1090" t="str">
            <v/>
          </cell>
          <cell r="R1090" t="e">
            <v>#N/A</v>
          </cell>
        </row>
        <row r="1091">
          <cell r="A1091" t="str">
            <v/>
          </cell>
          <cell r="B1091" t="str">
            <v/>
          </cell>
          <cell r="C1091" t="str">
            <v>Future</v>
          </cell>
          <cell r="D1091" t="e">
            <v>#N/A</v>
          </cell>
          <cell r="E1091">
            <v>-38.122648221343745</v>
          </cell>
          <cell r="F1091">
            <v>50.193557312253382</v>
          </cell>
          <cell r="G1091">
            <v>29.165889328062413</v>
          </cell>
          <cell r="H1091">
            <v>29.165889328062413</v>
          </cell>
          <cell r="I1091" t="e">
            <v>#N/A</v>
          </cell>
          <cell r="J1091" t="e">
            <v>#N/A</v>
          </cell>
          <cell r="K1091">
            <v>42</v>
          </cell>
          <cell r="L1091">
            <v>32</v>
          </cell>
          <cell r="M1091" t="e">
            <v>#N/A</v>
          </cell>
          <cell r="N1091">
            <v>37</v>
          </cell>
          <cell r="O1091" t="e">
            <v>#N/A</v>
          </cell>
          <cell r="P1091" t="str">
            <v/>
          </cell>
          <cell r="Q1091" t="str">
            <v/>
          </cell>
          <cell r="R1091" t="e">
            <v>#N/A</v>
          </cell>
        </row>
        <row r="1092">
          <cell r="A1092" t="str">
            <v/>
          </cell>
          <cell r="B1092" t="str">
            <v/>
          </cell>
          <cell r="C1092" t="str">
            <v>Future</v>
          </cell>
          <cell r="D1092" t="e">
            <v>#N/A</v>
          </cell>
          <cell r="E1092">
            <v>-38.259288537549281</v>
          </cell>
          <cell r="F1092">
            <v>50.22292490118619</v>
          </cell>
          <cell r="G1092">
            <v>29.155731225295614</v>
          </cell>
          <cell r="H1092">
            <v>29.155731225295614</v>
          </cell>
          <cell r="I1092" t="e">
            <v>#N/A</v>
          </cell>
          <cell r="J1092" t="e">
            <v>#N/A</v>
          </cell>
          <cell r="K1092">
            <v>42</v>
          </cell>
          <cell r="L1092">
            <v>32</v>
          </cell>
          <cell r="M1092" t="e">
            <v>#N/A</v>
          </cell>
          <cell r="N1092">
            <v>37</v>
          </cell>
          <cell r="O1092" t="e">
            <v>#N/A</v>
          </cell>
          <cell r="P1092" t="str">
            <v/>
          </cell>
          <cell r="Q1092" t="str">
            <v/>
          </cell>
          <cell r="R1092" t="e">
            <v>#N/A</v>
          </cell>
        </row>
        <row r="1093">
          <cell r="A1093" t="str">
            <v/>
          </cell>
          <cell r="B1093" t="str">
            <v/>
          </cell>
          <cell r="C1093" t="str">
            <v>Future</v>
          </cell>
          <cell r="D1093" t="e">
            <v>#N/A</v>
          </cell>
          <cell r="E1093">
            <v>-38.395928853754818</v>
          </cell>
          <cell r="F1093">
            <v>50.252292490118997</v>
          </cell>
          <cell r="G1093">
            <v>29.145573122528816</v>
          </cell>
          <cell r="H1093">
            <v>29.145573122528816</v>
          </cell>
          <cell r="I1093" t="e">
            <v>#N/A</v>
          </cell>
          <cell r="J1093" t="e">
            <v>#N/A</v>
          </cell>
          <cell r="K1093">
            <v>42</v>
          </cell>
          <cell r="L1093">
            <v>32</v>
          </cell>
          <cell r="M1093" t="e">
            <v>#N/A</v>
          </cell>
          <cell r="N1093">
            <v>37</v>
          </cell>
          <cell r="O1093" t="e">
            <v>#N/A</v>
          </cell>
          <cell r="P1093" t="str">
            <v/>
          </cell>
          <cell r="Q1093" t="str">
            <v/>
          </cell>
          <cell r="R1093" t="e">
            <v>#N/A</v>
          </cell>
        </row>
        <row r="1094">
          <cell r="A1094" t="str">
            <v/>
          </cell>
          <cell r="B1094" t="str">
            <v/>
          </cell>
          <cell r="C1094" t="str">
            <v>Future</v>
          </cell>
          <cell r="D1094" t="e">
            <v>#N/A</v>
          </cell>
          <cell r="E1094">
            <v>-38.532569169960354</v>
          </cell>
          <cell r="F1094">
            <v>50.281660079051804</v>
          </cell>
          <cell r="G1094">
            <v>29.135415019762018</v>
          </cell>
          <cell r="H1094">
            <v>29.135415019762018</v>
          </cell>
          <cell r="I1094" t="e">
            <v>#N/A</v>
          </cell>
          <cell r="J1094" t="e">
            <v>#N/A</v>
          </cell>
          <cell r="K1094">
            <v>42</v>
          </cell>
          <cell r="L1094">
            <v>32</v>
          </cell>
          <cell r="M1094" t="e">
            <v>#N/A</v>
          </cell>
          <cell r="N1094">
            <v>37</v>
          </cell>
          <cell r="O1094" t="e">
            <v>#N/A</v>
          </cell>
          <cell r="P1094" t="str">
            <v/>
          </cell>
          <cell r="Q1094" t="str">
            <v/>
          </cell>
          <cell r="R1094" t="e">
            <v>#N/A</v>
          </cell>
        </row>
        <row r="1095">
          <cell r="A1095" t="str">
            <v/>
          </cell>
          <cell r="B1095" t="str">
            <v/>
          </cell>
          <cell r="C1095" t="str">
            <v>Future</v>
          </cell>
          <cell r="D1095" t="e">
            <v>#N/A</v>
          </cell>
          <cell r="E1095">
            <v>-38.66920948616589</v>
          </cell>
          <cell r="F1095">
            <v>50.311027667984611</v>
          </cell>
          <cell r="G1095">
            <v>29.12525691699522</v>
          </cell>
          <cell r="H1095">
            <v>29.12525691699522</v>
          </cell>
          <cell r="I1095" t="e">
            <v>#N/A</v>
          </cell>
          <cell r="J1095" t="e">
            <v>#N/A</v>
          </cell>
          <cell r="K1095">
            <v>42</v>
          </cell>
          <cell r="L1095">
            <v>32</v>
          </cell>
          <cell r="M1095" t="e">
            <v>#N/A</v>
          </cell>
          <cell r="N1095">
            <v>37</v>
          </cell>
          <cell r="O1095" t="e">
            <v>#N/A</v>
          </cell>
          <cell r="P1095" t="str">
            <v/>
          </cell>
          <cell r="Q1095" t="str">
            <v/>
          </cell>
          <cell r="R1095" t="e">
            <v>#N/A</v>
          </cell>
        </row>
        <row r="1096">
          <cell r="A1096" t="str">
            <v/>
          </cell>
          <cell r="B1096" t="str">
            <v/>
          </cell>
          <cell r="C1096" t="str">
            <v>Future</v>
          </cell>
          <cell r="D1096" t="e">
            <v>#N/A</v>
          </cell>
          <cell r="E1096">
            <v>-38.805849802371426</v>
          </cell>
          <cell r="F1096">
            <v>50.340395256917418</v>
          </cell>
          <cell r="G1096">
            <v>29.115098814228421</v>
          </cell>
          <cell r="H1096">
            <v>29.115098814228421</v>
          </cell>
          <cell r="I1096" t="e">
            <v>#N/A</v>
          </cell>
          <cell r="J1096" t="e">
            <v>#N/A</v>
          </cell>
          <cell r="K1096">
            <v>42</v>
          </cell>
          <cell r="L1096">
            <v>32</v>
          </cell>
          <cell r="M1096" t="e">
            <v>#N/A</v>
          </cell>
          <cell r="N1096">
            <v>37</v>
          </cell>
          <cell r="O1096" t="e">
            <v>#N/A</v>
          </cell>
          <cell r="P1096" t="str">
            <v/>
          </cell>
          <cell r="Q1096" t="str">
            <v/>
          </cell>
          <cell r="R1096" t="e">
            <v>#N/A</v>
          </cell>
        </row>
        <row r="1097">
          <cell r="A1097" t="str">
            <v/>
          </cell>
          <cell r="B1097" t="str">
            <v/>
          </cell>
          <cell r="C1097" t="str">
            <v>Future</v>
          </cell>
          <cell r="D1097" t="e">
            <v>#N/A</v>
          </cell>
          <cell r="E1097">
            <v>-38.942490118576963</v>
          </cell>
          <cell r="F1097">
            <v>50.369762845850225</v>
          </cell>
          <cell r="G1097">
            <v>29.104940711461623</v>
          </cell>
          <cell r="H1097">
            <v>29.104940711461623</v>
          </cell>
          <cell r="I1097" t="e">
            <v>#N/A</v>
          </cell>
          <cell r="J1097" t="e">
            <v>#N/A</v>
          </cell>
          <cell r="K1097">
            <v>42</v>
          </cell>
          <cell r="L1097">
            <v>32</v>
          </cell>
          <cell r="M1097" t="e">
            <v>#N/A</v>
          </cell>
          <cell r="N1097">
            <v>37</v>
          </cell>
          <cell r="O1097" t="e">
            <v>#N/A</v>
          </cell>
          <cell r="P1097" t="str">
            <v/>
          </cell>
          <cell r="Q1097" t="str">
            <v/>
          </cell>
          <cell r="R1097" t="e">
            <v>#N/A</v>
          </cell>
        </row>
        <row r="1098">
          <cell r="A1098" t="str">
            <v/>
          </cell>
          <cell r="B1098" t="str">
            <v/>
          </cell>
          <cell r="C1098" t="str">
            <v>Future</v>
          </cell>
          <cell r="D1098" t="e">
            <v>#N/A</v>
          </cell>
          <cell r="E1098">
            <v>-39.079130434782499</v>
          </cell>
          <cell r="F1098">
            <v>50.399130434783032</v>
          </cell>
          <cell r="G1098">
            <v>29.094782608694825</v>
          </cell>
          <cell r="H1098">
            <v>29.094782608694825</v>
          </cell>
          <cell r="I1098" t="e">
            <v>#N/A</v>
          </cell>
          <cell r="J1098" t="e">
            <v>#N/A</v>
          </cell>
          <cell r="K1098">
            <v>42</v>
          </cell>
          <cell r="L1098">
            <v>32</v>
          </cell>
          <cell r="M1098" t="e">
            <v>#N/A</v>
          </cell>
          <cell r="N1098">
            <v>37</v>
          </cell>
          <cell r="O1098" t="e">
            <v>#N/A</v>
          </cell>
          <cell r="P1098" t="str">
            <v/>
          </cell>
          <cell r="Q1098" t="str">
            <v/>
          </cell>
          <cell r="R1098" t="e">
            <v>#N/A</v>
          </cell>
        </row>
        <row r="1099">
          <cell r="A1099" t="str">
            <v/>
          </cell>
          <cell r="B1099" t="str">
            <v/>
          </cell>
          <cell r="C1099" t="str">
            <v>Future</v>
          </cell>
          <cell r="D1099" t="e">
            <v>#N/A</v>
          </cell>
          <cell r="E1099">
            <v>-39.215770750988035</v>
          </cell>
          <cell r="F1099">
            <v>50.428498023715839</v>
          </cell>
          <cell r="G1099">
            <v>29.084624505928026</v>
          </cell>
          <cell r="H1099">
            <v>29.084624505928026</v>
          </cell>
          <cell r="I1099" t="e">
            <v>#N/A</v>
          </cell>
          <cell r="J1099" t="e">
            <v>#N/A</v>
          </cell>
          <cell r="K1099">
            <v>42</v>
          </cell>
          <cell r="L1099">
            <v>32</v>
          </cell>
          <cell r="M1099" t="e">
            <v>#N/A</v>
          </cell>
          <cell r="N1099">
            <v>37</v>
          </cell>
          <cell r="O1099" t="e">
            <v>#N/A</v>
          </cell>
          <cell r="P1099" t="str">
            <v/>
          </cell>
          <cell r="Q1099" t="str">
            <v/>
          </cell>
          <cell r="R1099" t="e">
            <v>#N/A</v>
          </cell>
        </row>
        <row r="1100">
          <cell r="A1100" t="str">
            <v/>
          </cell>
          <cell r="B1100" t="str">
            <v/>
          </cell>
          <cell r="C1100" t="str">
            <v>Future</v>
          </cell>
          <cell r="D1100" t="e">
            <v>#N/A</v>
          </cell>
          <cell r="E1100">
            <v>-39.352411067193572</v>
          </cell>
          <cell r="F1100">
            <v>50.457865612648646</v>
          </cell>
          <cell r="G1100">
            <v>29.074466403161228</v>
          </cell>
          <cell r="H1100">
            <v>29.074466403161228</v>
          </cell>
          <cell r="I1100" t="e">
            <v>#N/A</v>
          </cell>
          <cell r="J1100" t="e">
            <v>#N/A</v>
          </cell>
          <cell r="K1100">
            <v>42</v>
          </cell>
          <cell r="L1100">
            <v>32</v>
          </cell>
          <cell r="M1100" t="e">
            <v>#N/A</v>
          </cell>
          <cell r="N1100">
            <v>37</v>
          </cell>
          <cell r="O1100" t="e">
            <v>#N/A</v>
          </cell>
          <cell r="P1100" t="str">
            <v/>
          </cell>
          <cell r="Q1100" t="str">
            <v/>
          </cell>
          <cell r="R1100" t="e">
            <v>#N/A</v>
          </cell>
        </row>
        <row r="1101">
          <cell r="A1101" t="str">
            <v/>
          </cell>
          <cell r="B1101" t="str">
            <v/>
          </cell>
          <cell r="C1101" t="str">
            <v>Future</v>
          </cell>
          <cell r="D1101" t="e">
            <v>#N/A</v>
          </cell>
          <cell r="E1101">
            <v>-39.489051383399108</v>
          </cell>
          <cell r="F1101">
            <v>50.487233201581454</v>
          </cell>
          <cell r="G1101">
            <v>29.06430830039443</v>
          </cell>
          <cell r="H1101">
            <v>29.06430830039443</v>
          </cell>
          <cell r="I1101" t="e">
            <v>#N/A</v>
          </cell>
          <cell r="J1101" t="e">
            <v>#N/A</v>
          </cell>
          <cell r="K1101">
            <v>42</v>
          </cell>
          <cell r="L1101">
            <v>32</v>
          </cell>
          <cell r="M1101" t="e">
            <v>#N/A</v>
          </cell>
          <cell r="N1101">
            <v>37</v>
          </cell>
          <cell r="O1101" t="e">
            <v>#N/A</v>
          </cell>
          <cell r="P1101" t="str">
            <v/>
          </cell>
          <cell r="Q1101" t="str">
            <v/>
          </cell>
          <cell r="R1101" t="e">
            <v>#N/A</v>
          </cell>
        </row>
        <row r="1102">
          <cell r="A1102" t="str">
            <v/>
          </cell>
          <cell r="B1102" t="str">
            <v/>
          </cell>
          <cell r="C1102" t="str">
            <v>Future</v>
          </cell>
          <cell r="D1102" t="e">
            <v>#N/A</v>
          </cell>
          <cell r="E1102">
            <v>-39.625691699604644</v>
          </cell>
          <cell r="F1102">
            <v>50.516600790514261</v>
          </cell>
          <cell r="G1102">
            <v>29.054150197627632</v>
          </cell>
          <cell r="H1102">
            <v>29.054150197627632</v>
          </cell>
          <cell r="I1102" t="e">
            <v>#N/A</v>
          </cell>
          <cell r="J1102" t="e">
            <v>#N/A</v>
          </cell>
          <cell r="K1102">
            <v>42</v>
          </cell>
          <cell r="L1102">
            <v>32</v>
          </cell>
          <cell r="M1102" t="e">
            <v>#N/A</v>
          </cell>
          <cell r="N1102">
            <v>37</v>
          </cell>
          <cell r="O1102" t="e">
            <v>#N/A</v>
          </cell>
          <cell r="P1102" t="str">
            <v/>
          </cell>
          <cell r="Q1102" t="str">
            <v/>
          </cell>
          <cell r="R1102" t="e">
            <v>#N/A</v>
          </cell>
        </row>
        <row r="1103">
          <cell r="A1103" t="str">
            <v/>
          </cell>
          <cell r="B1103" t="str">
            <v/>
          </cell>
          <cell r="C1103" t="str">
            <v>Future</v>
          </cell>
          <cell r="D1103" t="e">
            <v>#N/A</v>
          </cell>
          <cell r="E1103">
            <v>-39.762332015810181</v>
          </cell>
          <cell r="F1103">
            <v>50.545968379447068</v>
          </cell>
          <cell r="G1103">
            <v>29.043992094860833</v>
          </cell>
          <cell r="H1103">
            <v>29.043992094860833</v>
          </cell>
          <cell r="I1103" t="e">
            <v>#N/A</v>
          </cell>
          <cell r="J1103" t="e">
            <v>#N/A</v>
          </cell>
          <cell r="K1103">
            <v>42</v>
          </cell>
          <cell r="L1103">
            <v>32</v>
          </cell>
          <cell r="M1103" t="e">
            <v>#N/A</v>
          </cell>
          <cell r="N1103">
            <v>37</v>
          </cell>
          <cell r="O1103" t="e">
            <v>#N/A</v>
          </cell>
          <cell r="P1103" t="str">
            <v/>
          </cell>
          <cell r="Q1103" t="str">
            <v/>
          </cell>
          <cell r="R1103" t="e">
            <v>#N/A</v>
          </cell>
        </row>
        <row r="1104">
          <cell r="A1104" t="str">
            <v/>
          </cell>
          <cell r="B1104" t="str">
            <v/>
          </cell>
          <cell r="C1104" t="str">
            <v>Future</v>
          </cell>
          <cell r="D1104" t="e">
            <v>#N/A</v>
          </cell>
          <cell r="E1104">
            <v>-39.898972332015717</v>
          </cell>
          <cell r="F1104">
            <v>50.575335968379875</v>
          </cell>
          <cell r="G1104">
            <v>29.033833992094035</v>
          </cell>
          <cell r="H1104">
            <v>29.033833992094035</v>
          </cell>
          <cell r="I1104" t="e">
            <v>#N/A</v>
          </cell>
          <cell r="J1104" t="e">
            <v>#N/A</v>
          </cell>
          <cell r="K1104">
            <v>42</v>
          </cell>
          <cell r="L1104">
            <v>32</v>
          </cell>
          <cell r="M1104" t="e">
            <v>#N/A</v>
          </cell>
          <cell r="N1104">
            <v>37</v>
          </cell>
          <cell r="O1104" t="e">
            <v>#N/A</v>
          </cell>
          <cell r="P1104" t="str">
            <v/>
          </cell>
          <cell r="Q1104" t="str">
            <v/>
          </cell>
          <cell r="R1104" t="e">
            <v>#N/A</v>
          </cell>
        </row>
        <row r="1105">
          <cell r="A1105" t="str">
            <v/>
          </cell>
          <cell r="B1105" t="str">
            <v/>
          </cell>
          <cell r="C1105" t="str">
            <v>Future</v>
          </cell>
          <cell r="D1105" t="e">
            <v>#N/A</v>
          </cell>
          <cell r="E1105">
            <v>-40.035612648221253</v>
          </cell>
          <cell r="F1105">
            <v>50.604703557312682</v>
          </cell>
          <cell r="G1105">
            <v>29.023675889327237</v>
          </cell>
          <cell r="H1105">
            <v>29.023675889327237</v>
          </cell>
          <cell r="I1105" t="e">
            <v>#N/A</v>
          </cell>
          <cell r="J1105" t="e">
            <v>#N/A</v>
          </cell>
          <cell r="K1105">
            <v>42</v>
          </cell>
          <cell r="L1105">
            <v>32</v>
          </cell>
          <cell r="M1105" t="e">
            <v>#N/A</v>
          </cell>
          <cell r="N1105">
            <v>37</v>
          </cell>
          <cell r="O1105" t="e">
            <v>#N/A</v>
          </cell>
          <cell r="P1105" t="str">
            <v/>
          </cell>
          <cell r="Q1105" t="str">
            <v/>
          </cell>
          <cell r="R1105" t="e">
            <v>#N/A</v>
          </cell>
        </row>
        <row r="1106">
          <cell r="A1106" t="str">
            <v/>
          </cell>
          <cell r="B1106" t="str">
            <v/>
          </cell>
          <cell r="C1106" t="str">
            <v>Future</v>
          </cell>
          <cell r="D1106" t="e">
            <v>#N/A</v>
          </cell>
          <cell r="E1106">
            <v>-40.172252964426789</v>
          </cell>
          <cell r="F1106">
            <v>50.634071146245489</v>
          </cell>
          <cell r="G1106">
            <v>29.013517786560438</v>
          </cell>
          <cell r="H1106">
            <v>29.013517786560438</v>
          </cell>
          <cell r="I1106" t="e">
            <v>#N/A</v>
          </cell>
          <cell r="J1106" t="e">
            <v>#N/A</v>
          </cell>
          <cell r="K1106">
            <v>42</v>
          </cell>
          <cell r="L1106">
            <v>32</v>
          </cell>
          <cell r="M1106" t="e">
            <v>#N/A</v>
          </cell>
          <cell r="N1106">
            <v>37</v>
          </cell>
          <cell r="O1106" t="e">
            <v>#N/A</v>
          </cell>
          <cell r="P1106" t="str">
            <v/>
          </cell>
          <cell r="Q1106" t="str">
            <v/>
          </cell>
          <cell r="R1106" t="e">
            <v>#N/A</v>
          </cell>
        </row>
        <row r="1107">
          <cell r="A1107" t="str">
            <v/>
          </cell>
          <cell r="B1107" t="str">
            <v/>
          </cell>
          <cell r="C1107" t="str">
            <v>Future</v>
          </cell>
          <cell r="D1107" t="e">
            <v>#N/A</v>
          </cell>
          <cell r="E1107">
            <v>-40.308893280632326</v>
          </cell>
          <cell r="F1107">
            <v>50.663438735178296</v>
          </cell>
          <cell r="G1107">
            <v>29.00335968379364</v>
          </cell>
          <cell r="H1107">
            <v>29.00335968379364</v>
          </cell>
          <cell r="I1107" t="e">
            <v>#N/A</v>
          </cell>
          <cell r="J1107" t="e">
            <v>#N/A</v>
          </cell>
          <cell r="K1107">
            <v>42</v>
          </cell>
          <cell r="L1107">
            <v>32</v>
          </cell>
          <cell r="M1107" t="e">
            <v>#N/A</v>
          </cell>
          <cell r="N1107">
            <v>37</v>
          </cell>
          <cell r="O1107" t="e">
            <v>#N/A</v>
          </cell>
          <cell r="P1107" t="str">
            <v/>
          </cell>
          <cell r="Q1107" t="str">
            <v/>
          </cell>
          <cell r="R1107" t="e">
            <v>#N/A</v>
          </cell>
        </row>
        <row r="1108">
          <cell r="A1108" t="str">
            <v/>
          </cell>
          <cell r="B1108" t="str">
            <v/>
          </cell>
          <cell r="C1108" t="str">
            <v>Future</v>
          </cell>
          <cell r="D1108" t="e">
            <v>#N/A</v>
          </cell>
          <cell r="E1108">
            <v>-40.445533596837862</v>
          </cell>
          <cell r="F1108">
            <v>50.692806324111103</v>
          </cell>
          <cell r="G1108">
            <v>28.993201581026842</v>
          </cell>
          <cell r="H1108">
            <v>28.993201581026842</v>
          </cell>
          <cell r="I1108" t="e">
            <v>#N/A</v>
          </cell>
          <cell r="J1108" t="e">
            <v>#N/A</v>
          </cell>
          <cell r="K1108">
            <v>42</v>
          </cell>
          <cell r="L1108">
            <v>32</v>
          </cell>
          <cell r="M1108" t="e">
            <v>#N/A</v>
          </cell>
          <cell r="N1108">
            <v>37</v>
          </cell>
          <cell r="O1108" t="e">
            <v>#N/A</v>
          </cell>
          <cell r="P1108" t="str">
            <v/>
          </cell>
          <cell r="Q1108" t="str">
            <v/>
          </cell>
          <cell r="R1108" t="e">
            <v>#N/A</v>
          </cell>
        </row>
        <row r="1109">
          <cell r="A1109" t="str">
            <v/>
          </cell>
          <cell r="B1109" t="str">
            <v/>
          </cell>
          <cell r="C1109" t="str">
            <v>Future</v>
          </cell>
          <cell r="D1109" t="e">
            <v>#N/A</v>
          </cell>
          <cell r="E1109">
            <v>-40.582173913043398</v>
          </cell>
          <cell r="F1109">
            <v>50.72217391304391</v>
          </cell>
          <cell r="G1109">
            <v>28.983043478260043</v>
          </cell>
          <cell r="H1109">
            <v>28.983043478260043</v>
          </cell>
          <cell r="I1109" t="e">
            <v>#N/A</v>
          </cell>
          <cell r="J1109" t="e">
            <v>#N/A</v>
          </cell>
          <cell r="K1109">
            <v>42</v>
          </cell>
          <cell r="L1109">
            <v>32</v>
          </cell>
          <cell r="M1109" t="e">
            <v>#N/A</v>
          </cell>
          <cell r="N1109">
            <v>37</v>
          </cell>
          <cell r="O1109" t="e">
            <v>#N/A</v>
          </cell>
          <cell r="P1109" t="str">
            <v/>
          </cell>
          <cell r="Q1109" t="str">
            <v/>
          </cell>
          <cell r="R1109" t="e">
            <v>#N/A</v>
          </cell>
        </row>
        <row r="1110">
          <cell r="A1110" t="str">
            <v/>
          </cell>
          <cell r="B1110" t="str">
            <v/>
          </cell>
          <cell r="C1110" t="str">
            <v>Future</v>
          </cell>
          <cell r="D1110" t="e">
            <v>#N/A</v>
          </cell>
          <cell r="E1110">
            <v>-40.718814229248935</v>
          </cell>
          <cell r="F1110">
            <v>50.751541501976718</v>
          </cell>
          <cell r="G1110">
            <v>28.972885375493245</v>
          </cell>
          <cell r="H1110">
            <v>28.972885375493245</v>
          </cell>
          <cell r="I1110" t="e">
            <v>#N/A</v>
          </cell>
          <cell r="J1110" t="e">
            <v>#N/A</v>
          </cell>
          <cell r="K1110">
            <v>42</v>
          </cell>
          <cell r="L1110">
            <v>32</v>
          </cell>
          <cell r="M1110" t="e">
            <v>#N/A</v>
          </cell>
          <cell r="N1110">
            <v>37</v>
          </cell>
          <cell r="O1110" t="e">
            <v>#N/A</v>
          </cell>
          <cell r="P1110" t="str">
            <v/>
          </cell>
          <cell r="Q1110" t="str">
            <v/>
          </cell>
          <cell r="R1110" t="e">
            <v>#N/A</v>
          </cell>
        </row>
        <row r="1111">
          <cell r="A1111" t="str">
            <v/>
          </cell>
          <cell r="B1111" t="str">
            <v/>
          </cell>
          <cell r="C1111" t="str">
            <v>Future</v>
          </cell>
          <cell r="D1111" t="e">
            <v>#N/A</v>
          </cell>
          <cell r="E1111">
            <v>-40.855454545454471</v>
          </cell>
          <cell r="F1111">
            <v>50.780909090909525</v>
          </cell>
          <cell r="G1111">
            <v>28.962727272726447</v>
          </cell>
          <cell r="H1111">
            <v>28.962727272726447</v>
          </cell>
          <cell r="I1111" t="e">
            <v>#N/A</v>
          </cell>
          <cell r="J1111" t="e">
            <v>#N/A</v>
          </cell>
          <cell r="K1111">
            <v>42</v>
          </cell>
          <cell r="L1111">
            <v>32</v>
          </cell>
          <cell r="M1111" t="e">
            <v>#N/A</v>
          </cell>
          <cell r="N1111">
            <v>37</v>
          </cell>
          <cell r="O1111" t="e">
            <v>#N/A</v>
          </cell>
          <cell r="P1111" t="str">
            <v/>
          </cell>
          <cell r="Q1111" t="str">
            <v/>
          </cell>
          <cell r="R1111" t="e">
            <v>#N/A</v>
          </cell>
        </row>
        <row r="1112">
          <cell r="A1112" t="str">
            <v/>
          </cell>
          <cell r="B1112" t="str">
            <v/>
          </cell>
          <cell r="C1112" t="str">
            <v>Future</v>
          </cell>
          <cell r="D1112" t="e">
            <v>#N/A</v>
          </cell>
          <cell r="E1112">
            <v>-40.992094861660007</v>
          </cell>
          <cell r="F1112">
            <v>50.810276679842332</v>
          </cell>
          <cell r="G1112">
            <v>28.952569169959649</v>
          </cell>
          <cell r="H1112">
            <v>28.952569169959649</v>
          </cell>
          <cell r="I1112" t="e">
            <v>#N/A</v>
          </cell>
          <cell r="J1112" t="e">
            <v>#N/A</v>
          </cell>
          <cell r="K1112">
            <v>42</v>
          </cell>
          <cell r="L1112">
            <v>32</v>
          </cell>
          <cell r="M1112" t="e">
            <v>#N/A</v>
          </cell>
          <cell r="N1112">
            <v>37</v>
          </cell>
          <cell r="O1112" t="e">
            <v>#N/A</v>
          </cell>
          <cell r="P1112" t="str">
            <v/>
          </cell>
          <cell r="Q1112" t="str">
            <v/>
          </cell>
          <cell r="R1112" t="e">
            <v>#N/A</v>
          </cell>
        </row>
        <row r="1113">
          <cell r="A1113" t="str">
            <v/>
          </cell>
          <cell r="B1113" t="str">
            <v/>
          </cell>
          <cell r="C1113" t="str">
            <v>Future</v>
          </cell>
          <cell r="D1113" t="e">
            <v>#N/A</v>
          </cell>
          <cell r="E1113">
            <v>-41.128735177865543</v>
          </cell>
          <cell r="F1113">
            <v>50.839644268775139</v>
          </cell>
          <cell r="G1113">
            <v>28.94241106719285</v>
          </cell>
          <cell r="H1113">
            <v>28.94241106719285</v>
          </cell>
          <cell r="I1113" t="e">
            <v>#N/A</v>
          </cell>
          <cell r="J1113" t="e">
            <v>#N/A</v>
          </cell>
          <cell r="K1113">
            <v>42</v>
          </cell>
          <cell r="L1113">
            <v>32</v>
          </cell>
          <cell r="M1113" t="e">
            <v>#N/A</v>
          </cell>
          <cell r="N1113">
            <v>37</v>
          </cell>
          <cell r="O1113" t="e">
            <v>#N/A</v>
          </cell>
          <cell r="P1113" t="str">
            <v/>
          </cell>
          <cell r="Q1113" t="str">
            <v/>
          </cell>
          <cell r="R1113" t="e">
            <v>#N/A</v>
          </cell>
        </row>
        <row r="1114">
          <cell r="A1114" t="str">
            <v/>
          </cell>
          <cell r="B1114" t="str">
            <v/>
          </cell>
          <cell r="C1114" t="str">
            <v>Future</v>
          </cell>
          <cell r="D1114" t="e">
            <v>#N/A</v>
          </cell>
          <cell r="E1114">
            <v>-41.26537549407108</v>
          </cell>
          <cell r="F1114">
            <v>50.869011857707946</v>
          </cell>
          <cell r="G1114">
            <v>28.932252964426052</v>
          </cell>
          <cell r="H1114">
            <v>28.932252964426052</v>
          </cell>
          <cell r="I1114" t="e">
            <v>#N/A</v>
          </cell>
          <cell r="J1114" t="e">
            <v>#N/A</v>
          </cell>
          <cell r="K1114">
            <v>42</v>
          </cell>
          <cell r="L1114">
            <v>32</v>
          </cell>
          <cell r="M1114" t="e">
            <v>#N/A</v>
          </cell>
          <cell r="N1114">
            <v>37</v>
          </cell>
          <cell r="O1114" t="e">
            <v>#N/A</v>
          </cell>
          <cell r="P1114" t="str">
            <v/>
          </cell>
          <cell r="Q1114" t="str">
            <v/>
          </cell>
          <cell r="R1114" t="e">
            <v>#N/A</v>
          </cell>
        </row>
        <row r="1115">
          <cell r="A1115" t="str">
            <v/>
          </cell>
          <cell r="B1115" t="str">
            <v/>
          </cell>
          <cell r="C1115" t="str">
            <v>Future</v>
          </cell>
          <cell r="D1115" t="e">
            <v>#N/A</v>
          </cell>
          <cell r="E1115">
            <v>-41.402015810276616</v>
          </cell>
          <cell r="F1115">
            <v>50.898379446640753</v>
          </cell>
          <cell r="G1115">
            <v>28.922094861659254</v>
          </cell>
          <cell r="H1115">
            <v>28.922094861659254</v>
          </cell>
          <cell r="I1115" t="e">
            <v>#N/A</v>
          </cell>
          <cell r="J1115" t="e">
            <v>#N/A</v>
          </cell>
          <cell r="K1115">
            <v>42</v>
          </cell>
          <cell r="L1115">
            <v>32</v>
          </cell>
          <cell r="M1115" t="e">
            <v>#N/A</v>
          </cell>
          <cell r="N1115">
            <v>37</v>
          </cell>
          <cell r="O1115" t="e">
            <v>#N/A</v>
          </cell>
          <cell r="P1115" t="str">
            <v/>
          </cell>
          <cell r="Q1115" t="str">
            <v/>
          </cell>
          <cell r="R1115" t="e">
            <v>#N/A</v>
          </cell>
        </row>
        <row r="1116">
          <cell r="A1116" t="str">
            <v/>
          </cell>
          <cell r="B1116" t="str">
            <v/>
          </cell>
          <cell r="C1116" t="str">
            <v>Future</v>
          </cell>
          <cell r="D1116" t="e">
            <v>#N/A</v>
          </cell>
          <cell r="E1116">
            <v>-41.538656126482152</v>
          </cell>
          <cell r="F1116">
            <v>50.92774703557356</v>
          </cell>
          <cell r="G1116">
            <v>28.911936758892455</v>
          </cell>
          <cell r="H1116">
            <v>28.911936758892455</v>
          </cell>
          <cell r="I1116" t="e">
            <v>#N/A</v>
          </cell>
          <cell r="J1116" t="e">
            <v>#N/A</v>
          </cell>
          <cell r="K1116">
            <v>42</v>
          </cell>
          <cell r="L1116">
            <v>32</v>
          </cell>
          <cell r="M1116" t="e">
            <v>#N/A</v>
          </cell>
          <cell r="N1116">
            <v>37</v>
          </cell>
          <cell r="O1116" t="e">
            <v>#N/A</v>
          </cell>
          <cell r="P1116" t="str">
            <v/>
          </cell>
          <cell r="Q1116" t="str">
            <v/>
          </cell>
          <cell r="R1116" t="e">
            <v>#N/A</v>
          </cell>
        </row>
        <row r="1117">
          <cell r="A1117" t="str">
            <v/>
          </cell>
          <cell r="B1117" t="str">
            <v/>
          </cell>
          <cell r="C1117" t="str">
            <v>Future</v>
          </cell>
          <cell r="D1117" t="e">
            <v>#N/A</v>
          </cell>
          <cell r="E1117">
            <v>-41.675296442687689</v>
          </cell>
          <cell r="F1117">
            <v>50.957114624506367</v>
          </cell>
          <cell r="G1117">
            <v>28.901778656125657</v>
          </cell>
          <cell r="H1117">
            <v>28.901778656125657</v>
          </cell>
          <cell r="I1117" t="e">
            <v>#N/A</v>
          </cell>
          <cell r="J1117" t="e">
            <v>#N/A</v>
          </cell>
          <cell r="K1117">
            <v>42</v>
          </cell>
          <cell r="L1117">
            <v>32</v>
          </cell>
          <cell r="M1117" t="e">
            <v>#N/A</v>
          </cell>
          <cell r="N1117">
            <v>37</v>
          </cell>
          <cell r="O1117" t="e">
            <v>#N/A</v>
          </cell>
          <cell r="P1117" t="str">
            <v/>
          </cell>
          <cell r="Q1117" t="str">
            <v/>
          </cell>
          <cell r="R1117" t="e">
            <v>#N/A</v>
          </cell>
        </row>
        <row r="1118">
          <cell r="A1118" t="str">
            <v/>
          </cell>
          <cell r="B1118" t="str">
            <v/>
          </cell>
          <cell r="C1118" t="str">
            <v>Future</v>
          </cell>
          <cell r="D1118" t="e">
            <v>#N/A</v>
          </cell>
          <cell r="E1118">
            <v>-41.811936758893225</v>
          </cell>
          <cell r="F1118">
            <v>50.986482213439174</v>
          </cell>
          <cell r="G1118">
            <v>28.891620553358859</v>
          </cell>
          <cell r="H1118">
            <v>28.891620553358859</v>
          </cell>
          <cell r="I1118" t="e">
            <v>#N/A</v>
          </cell>
          <cell r="J1118" t="e">
            <v>#N/A</v>
          </cell>
          <cell r="K1118">
            <v>42</v>
          </cell>
          <cell r="L1118">
            <v>32</v>
          </cell>
          <cell r="M1118" t="e">
            <v>#N/A</v>
          </cell>
          <cell r="N1118">
            <v>37</v>
          </cell>
          <cell r="O1118" t="e">
            <v>#N/A</v>
          </cell>
          <cell r="P1118" t="str">
            <v/>
          </cell>
          <cell r="Q1118" t="str">
            <v/>
          </cell>
          <cell r="R1118" t="e">
            <v>#N/A</v>
          </cell>
        </row>
        <row r="1119">
          <cell r="A1119" t="str">
            <v/>
          </cell>
          <cell r="B1119" t="str">
            <v/>
          </cell>
          <cell r="C1119" t="str">
            <v>Future</v>
          </cell>
          <cell r="D1119" t="e">
            <v>#N/A</v>
          </cell>
          <cell r="E1119">
            <v>-41.948577075098761</v>
          </cell>
          <cell r="F1119">
            <v>51.015849802371982</v>
          </cell>
          <cell r="G1119">
            <v>28.881462450592061</v>
          </cell>
          <cell r="H1119">
            <v>28.881462450592061</v>
          </cell>
          <cell r="I1119" t="e">
            <v>#N/A</v>
          </cell>
          <cell r="J1119" t="e">
            <v>#N/A</v>
          </cell>
          <cell r="K1119">
            <v>42</v>
          </cell>
          <cell r="L1119">
            <v>32</v>
          </cell>
          <cell r="M1119" t="e">
            <v>#N/A</v>
          </cell>
          <cell r="N1119">
            <v>37</v>
          </cell>
          <cell r="O1119" t="e">
            <v>#N/A</v>
          </cell>
          <cell r="P1119" t="str">
            <v/>
          </cell>
          <cell r="Q1119" t="str">
            <v/>
          </cell>
          <cell r="R1119" t="e">
            <v>#N/A</v>
          </cell>
        </row>
        <row r="1120">
          <cell r="A1120" t="str">
            <v/>
          </cell>
          <cell r="B1120" t="str">
            <v/>
          </cell>
          <cell r="C1120" t="str">
            <v>Future</v>
          </cell>
          <cell r="D1120" t="e">
            <v>#N/A</v>
          </cell>
          <cell r="E1120">
            <v>-42.085217391304298</v>
          </cell>
          <cell r="F1120">
            <v>51.045217391304789</v>
          </cell>
          <cell r="G1120">
            <v>28.871304347825262</v>
          </cell>
          <cell r="H1120">
            <v>28.871304347825262</v>
          </cell>
          <cell r="I1120" t="e">
            <v>#N/A</v>
          </cell>
          <cell r="J1120" t="e">
            <v>#N/A</v>
          </cell>
          <cell r="K1120">
            <v>42</v>
          </cell>
          <cell r="L1120">
            <v>32</v>
          </cell>
          <cell r="M1120" t="e">
            <v>#N/A</v>
          </cell>
          <cell r="N1120">
            <v>37</v>
          </cell>
          <cell r="O1120" t="e">
            <v>#N/A</v>
          </cell>
          <cell r="P1120" t="str">
            <v/>
          </cell>
          <cell r="Q1120" t="str">
            <v/>
          </cell>
          <cell r="R1120" t="e">
            <v>#N/A</v>
          </cell>
        </row>
        <row r="1121">
          <cell r="A1121" t="str">
            <v/>
          </cell>
          <cell r="B1121" t="str">
            <v/>
          </cell>
          <cell r="C1121" t="str">
            <v>Future</v>
          </cell>
          <cell r="D1121" t="e">
            <v>#N/A</v>
          </cell>
          <cell r="E1121">
            <v>-42.221857707509834</v>
          </cell>
          <cell r="F1121">
            <v>51.074584980237596</v>
          </cell>
          <cell r="G1121">
            <v>28.861146245058464</v>
          </cell>
          <cell r="H1121">
            <v>28.861146245058464</v>
          </cell>
          <cell r="I1121" t="e">
            <v>#N/A</v>
          </cell>
          <cell r="J1121" t="e">
            <v>#N/A</v>
          </cell>
          <cell r="K1121">
            <v>42</v>
          </cell>
          <cell r="L1121">
            <v>32</v>
          </cell>
          <cell r="M1121" t="e">
            <v>#N/A</v>
          </cell>
          <cell r="N1121">
            <v>37</v>
          </cell>
          <cell r="O1121" t="e">
            <v>#N/A</v>
          </cell>
          <cell r="P1121" t="str">
            <v/>
          </cell>
          <cell r="Q1121" t="str">
            <v/>
          </cell>
          <cell r="R1121" t="e">
            <v>#N/A</v>
          </cell>
        </row>
        <row r="1122">
          <cell r="A1122" t="str">
            <v/>
          </cell>
          <cell r="B1122" t="str">
            <v/>
          </cell>
          <cell r="C1122" t="str">
            <v>Future</v>
          </cell>
          <cell r="D1122" t="e">
            <v>#N/A</v>
          </cell>
          <cell r="E1122">
            <v>-42.35849802371537</v>
          </cell>
          <cell r="F1122">
            <v>51.103952569170403</v>
          </cell>
          <cell r="G1122">
            <v>28.850988142291666</v>
          </cell>
          <cell r="H1122">
            <v>28.850988142291666</v>
          </cell>
          <cell r="I1122" t="e">
            <v>#N/A</v>
          </cell>
          <cell r="J1122" t="e">
            <v>#N/A</v>
          </cell>
          <cell r="K1122">
            <v>42</v>
          </cell>
          <cell r="L1122">
            <v>32</v>
          </cell>
          <cell r="M1122" t="e">
            <v>#N/A</v>
          </cell>
          <cell r="N1122">
            <v>37</v>
          </cell>
          <cell r="O1122" t="e">
            <v>#N/A</v>
          </cell>
          <cell r="P1122" t="str">
            <v/>
          </cell>
          <cell r="Q1122" t="str">
            <v/>
          </cell>
          <cell r="R1122" t="e">
            <v>#N/A</v>
          </cell>
        </row>
        <row r="1123">
          <cell r="A1123" t="str">
            <v/>
          </cell>
          <cell r="B1123" t="str">
            <v/>
          </cell>
          <cell r="C1123" t="str">
            <v>Future</v>
          </cell>
          <cell r="D1123" t="e">
            <v>#N/A</v>
          </cell>
          <cell r="E1123">
            <v>-42.495138339920906</v>
          </cell>
          <cell r="F1123">
            <v>51.13332015810321</v>
          </cell>
          <cell r="G1123">
            <v>28.840830039524867</v>
          </cell>
          <cell r="H1123">
            <v>28.840830039524867</v>
          </cell>
          <cell r="I1123" t="e">
            <v>#N/A</v>
          </cell>
          <cell r="J1123" t="e">
            <v>#N/A</v>
          </cell>
          <cell r="K1123">
            <v>42</v>
          </cell>
          <cell r="L1123">
            <v>32</v>
          </cell>
          <cell r="M1123" t="e">
            <v>#N/A</v>
          </cell>
          <cell r="N1123">
            <v>37</v>
          </cell>
          <cell r="O1123" t="e">
            <v>#N/A</v>
          </cell>
          <cell r="P1123" t="str">
            <v/>
          </cell>
          <cell r="Q1123" t="str">
            <v/>
          </cell>
          <cell r="R1123" t="e">
            <v>#N/A</v>
          </cell>
        </row>
        <row r="1124">
          <cell r="A1124" t="str">
            <v/>
          </cell>
          <cell r="B1124" t="str">
            <v/>
          </cell>
          <cell r="C1124" t="str">
            <v>Future</v>
          </cell>
          <cell r="D1124" t="e">
            <v>#N/A</v>
          </cell>
          <cell r="E1124">
            <v>-42.631778656126443</v>
          </cell>
          <cell r="F1124">
            <v>51.162687747036017</v>
          </cell>
          <cell r="G1124">
            <v>28.830671936758069</v>
          </cell>
          <cell r="H1124">
            <v>28.830671936758069</v>
          </cell>
          <cell r="I1124" t="e">
            <v>#N/A</v>
          </cell>
          <cell r="J1124" t="e">
            <v>#N/A</v>
          </cell>
          <cell r="K1124">
            <v>42</v>
          </cell>
          <cell r="L1124">
            <v>32</v>
          </cell>
          <cell r="M1124" t="e">
            <v>#N/A</v>
          </cell>
          <cell r="N1124">
            <v>37</v>
          </cell>
          <cell r="O1124" t="e">
            <v>#N/A</v>
          </cell>
          <cell r="P1124" t="str">
            <v/>
          </cell>
          <cell r="Q1124" t="str">
            <v/>
          </cell>
          <cell r="R1124" t="e">
            <v>#N/A</v>
          </cell>
        </row>
        <row r="1125">
          <cell r="A1125" t="str">
            <v/>
          </cell>
          <cell r="B1125" t="str">
            <v/>
          </cell>
          <cell r="C1125" t="str">
            <v>Future</v>
          </cell>
          <cell r="D1125" t="e">
            <v>#N/A</v>
          </cell>
          <cell r="E1125">
            <v>-42.768418972331979</v>
          </cell>
          <cell r="F1125">
            <v>51.192055335968824</v>
          </cell>
          <cell r="G1125">
            <v>28.820513833991271</v>
          </cell>
          <cell r="H1125">
            <v>28.820513833991271</v>
          </cell>
          <cell r="I1125" t="e">
            <v>#N/A</v>
          </cell>
          <cell r="J1125" t="e">
            <v>#N/A</v>
          </cell>
          <cell r="K1125">
            <v>42</v>
          </cell>
          <cell r="L1125">
            <v>32</v>
          </cell>
          <cell r="M1125" t="e">
            <v>#N/A</v>
          </cell>
          <cell r="N1125">
            <v>37</v>
          </cell>
          <cell r="O1125" t="e">
            <v>#N/A</v>
          </cell>
          <cell r="P1125" t="str">
            <v/>
          </cell>
          <cell r="Q1125" t="str">
            <v/>
          </cell>
          <cell r="R1125" t="e">
            <v>#N/A</v>
          </cell>
        </row>
        <row r="1126">
          <cell r="A1126" t="str">
            <v/>
          </cell>
          <cell r="B1126" t="str">
            <v/>
          </cell>
          <cell r="C1126" t="str">
            <v>Future</v>
          </cell>
          <cell r="D1126" t="e">
            <v>#N/A</v>
          </cell>
          <cell r="E1126">
            <v>-42.905059288537515</v>
          </cell>
          <cell r="F1126">
            <v>51.221422924901631</v>
          </cell>
          <cell r="G1126">
            <v>28.810355731224472</v>
          </cell>
          <cell r="H1126">
            <v>28.810355731224472</v>
          </cell>
          <cell r="I1126" t="e">
            <v>#N/A</v>
          </cell>
          <cell r="J1126" t="e">
            <v>#N/A</v>
          </cell>
          <cell r="K1126">
            <v>42</v>
          </cell>
          <cell r="L1126">
            <v>32</v>
          </cell>
          <cell r="M1126" t="e">
            <v>#N/A</v>
          </cell>
          <cell r="N1126">
            <v>37</v>
          </cell>
          <cell r="O1126" t="e">
            <v>#N/A</v>
          </cell>
          <cell r="P1126" t="str">
            <v/>
          </cell>
          <cell r="Q1126" t="str">
            <v/>
          </cell>
          <cell r="R1126" t="e">
            <v>#N/A</v>
          </cell>
        </row>
        <row r="1127">
          <cell r="A1127" t="str">
            <v/>
          </cell>
          <cell r="B1127" t="str">
            <v/>
          </cell>
          <cell r="C1127" t="str">
            <v>Future</v>
          </cell>
          <cell r="D1127" t="e">
            <v>#N/A</v>
          </cell>
          <cell r="E1127">
            <v>-43.041699604743052</v>
          </cell>
          <cell r="F1127">
            <v>51.250790513834438</v>
          </cell>
          <cell r="G1127">
            <v>28.800197628457674</v>
          </cell>
          <cell r="H1127">
            <v>28.800197628457674</v>
          </cell>
          <cell r="I1127" t="e">
            <v>#N/A</v>
          </cell>
          <cell r="J1127" t="e">
            <v>#N/A</v>
          </cell>
          <cell r="K1127">
            <v>42</v>
          </cell>
          <cell r="L1127">
            <v>32</v>
          </cell>
          <cell r="M1127" t="e">
            <v>#N/A</v>
          </cell>
          <cell r="N1127">
            <v>37</v>
          </cell>
          <cell r="O1127" t="e">
            <v>#N/A</v>
          </cell>
          <cell r="P1127" t="str">
            <v/>
          </cell>
          <cell r="Q1127" t="str">
            <v/>
          </cell>
          <cell r="R1127" t="e">
            <v>#N/A</v>
          </cell>
        </row>
        <row r="1128">
          <cell r="A1128" t="str">
            <v/>
          </cell>
          <cell r="B1128" t="str">
            <v/>
          </cell>
          <cell r="C1128" t="str">
            <v>Future</v>
          </cell>
          <cell r="D1128" t="e">
            <v>#N/A</v>
          </cell>
          <cell r="E1128">
            <v>-43.178339920948588</v>
          </cell>
          <cell r="F1128">
            <v>51.280158102767246</v>
          </cell>
          <cell r="G1128">
            <v>28.790039525690876</v>
          </cell>
          <cell r="H1128">
            <v>28.790039525690876</v>
          </cell>
          <cell r="I1128" t="e">
            <v>#N/A</v>
          </cell>
          <cell r="J1128" t="e">
            <v>#N/A</v>
          </cell>
          <cell r="K1128">
            <v>42</v>
          </cell>
          <cell r="L1128">
            <v>32</v>
          </cell>
          <cell r="M1128" t="e">
            <v>#N/A</v>
          </cell>
          <cell r="N1128">
            <v>37</v>
          </cell>
          <cell r="O1128" t="e">
            <v>#N/A</v>
          </cell>
          <cell r="P1128" t="str">
            <v/>
          </cell>
          <cell r="Q1128" t="str">
            <v/>
          </cell>
          <cell r="R1128" t="e">
            <v>#N/A</v>
          </cell>
        </row>
        <row r="1129">
          <cell r="A1129" t="str">
            <v/>
          </cell>
          <cell r="B1129" t="str">
            <v/>
          </cell>
          <cell r="C1129" t="str">
            <v>Future</v>
          </cell>
          <cell r="D1129" t="e">
            <v>#N/A</v>
          </cell>
          <cell r="E1129">
            <v>-43.314980237154124</v>
          </cell>
          <cell r="F1129">
            <v>51.309525691700053</v>
          </cell>
          <cell r="G1129">
            <v>28.779881422924078</v>
          </cell>
          <cell r="H1129">
            <v>28.779881422924078</v>
          </cell>
          <cell r="I1129" t="e">
            <v>#N/A</v>
          </cell>
          <cell r="J1129" t="e">
            <v>#N/A</v>
          </cell>
          <cell r="K1129">
            <v>42</v>
          </cell>
          <cell r="L1129">
            <v>32</v>
          </cell>
          <cell r="M1129" t="e">
            <v>#N/A</v>
          </cell>
          <cell r="N1129">
            <v>37</v>
          </cell>
          <cell r="O1129" t="e">
            <v>#N/A</v>
          </cell>
          <cell r="P1129" t="str">
            <v/>
          </cell>
          <cell r="Q1129" t="str">
            <v/>
          </cell>
          <cell r="R1129" t="e">
            <v>#N/A</v>
          </cell>
        </row>
        <row r="1130">
          <cell r="A1130" t="str">
            <v/>
          </cell>
          <cell r="B1130" t="str">
            <v/>
          </cell>
          <cell r="C1130" t="str">
            <v>Future</v>
          </cell>
          <cell r="D1130" t="e">
            <v>#N/A</v>
          </cell>
          <cell r="E1130">
            <v>-43.45162055335966</v>
          </cell>
          <cell r="F1130">
            <v>51.33889328063286</v>
          </cell>
          <cell r="G1130">
            <v>28.769723320157279</v>
          </cell>
          <cell r="H1130">
            <v>28.769723320157279</v>
          </cell>
          <cell r="I1130" t="e">
            <v>#N/A</v>
          </cell>
          <cell r="J1130" t="e">
            <v>#N/A</v>
          </cell>
          <cell r="K1130">
            <v>42</v>
          </cell>
          <cell r="L1130">
            <v>32</v>
          </cell>
          <cell r="M1130" t="e">
            <v>#N/A</v>
          </cell>
          <cell r="N1130">
            <v>37</v>
          </cell>
          <cell r="O1130" t="e">
            <v>#N/A</v>
          </cell>
          <cell r="P1130" t="str">
            <v/>
          </cell>
          <cell r="Q1130" t="str">
            <v/>
          </cell>
          <cell r="R1130" t="e">
            <v>#N/A</v>
          </cell>
        </row>
        <row r="1131">
          <cell r="A1131" t="str">
            <v/>
          </cell>
          <cell r="B1131" t="str">
            <v/>
          </cell>
          <cell r="C1131" t="str">
            <v>Future</v>
          </cell>
          <cell r="D1131" t="e">
            <v>#N/A</v>
          </cell>
          <cell r="E1131">
            <v>-43.588260869565197</v>
          </cell>
          <cell r="F1131">
            <v>51.368260869565667</v>
          </cell>
          <cell r="G1131">
            <v>28.759565217390481</v>
          </cell>
          <cell r="H1131">
            <v>28.759565217390481</v>
          </cell>
          <cell r="I1131" t="e">
            <v>#N/A</v>
          </cell>
          <cell r="J1131" t="e">
            <v>#N/A</v>
          </cell>
          <cell r="K1131">
            <v>42</v>
          </cell>
          <cell r="L1131">
            <v>32</v>
          </cell>
          <cell r="M1131" t="e">
            <v>#N/A</v>
          </cell>
          <cell r="N1131">
            <v>37</v>
          </cell>
          <cell r="O1131" t="e">
            <v>#N/A</v>
          </cell>
          <cell r="P1131" t="str">
            <v/>
          </cell>
          <cell r="Q1131" t="str">
            <v/>
          </cell>
          <cell r="R1131" t="e">
            <v>#N/A</v>
          </cell>
        </row>
        <row r="1132">
          <cell r="A1132" t="str">
            <v/>
          </cell>
          <cell r="B1132" t="str">
            <v/>
          </cell>
          <cell r="C1132" t="str">
            <v>Future</v>
          </cell>
          <cell r="D1132" t="e">
            <v>#N/A</v>
          </cell>
          <cell r="E1132">
            <v>-43.724901185770733</v>
          </cell>
          <cell r="F1132">
            <v>51.397628458498474</v>
          </cell>
          <cell r="G1132">
            <v>28.749407114623683</v>
          </cell>
          <cell r="H1132">
            <v>28.749407114623683</v>
          </cell>
          <cell r="I1132" t="e">
            <v>#N/A</v>
          </cell>
          <cell r="J1132" t="e">
            <v>#N/A</v>
          </cell>
          <cell r="K1132">
            <v>42</v>
          </cell>
          <cell r="L1132">
            <v>32</v>
          </cell>
          <cell r="M1132" t="e">
            <v>#N/A</v>
          </cell>
          <cell r="N1132">
            <v>37</v>
          </cell>
          <cell r="O1132" t="e">
            <v>#N/A</v>
          </cell>
          <cell r="P1132" t="str">
            <v/>
          </cell>
          <cell r="Q1132" t="str">
            <v/>
          </cell>
          <cell r="R1132" t="e">
            <v>#N/A</v>
          </cell>
        </row>
        <row r="1133">
          <cell r="A1133" t="str">
            <v/>
          </cell>
          <cell r="B1133" t="str">
            <v/>
          </cell>
          <cell r="C1133" t="str">
            <v>Future</v>
          </cell>
          <cell r="D1133" t="e">
            <v>#N/A</v>
          </cell>
          <cell r="E1133">
            <v>-43.861541501976269</v>
          </cell>
          <cell r="F1133">
            <v>51.426996047431281</v>
          </cell>
          <cell r="G1133">
            <v>28.739249011856884</v>
          </cell>
          <cell r="H1133">
            <v>28.739249011856884</v>
          </cell>
          <cell r="I1133" t="e">
            <v>#N/A</v>
          </cell>
          <cell r="J1133" t="e">
            <v>#N/A</v>
          </cell>
          <cell r="K1133">
            <v>42</v>
          </cell>
          <cell r="L1133">
            <v>32</v>
          </cell>
          <cell r="M1133" t="e">
            <v>#N/A</v>
          </cell>
          <cell r="N1133">
            <v>37</v>
          </cell>
          <cell r="O1133" t="e">
            <v>#N/A</v>
          </cell>
          <cell r="P1133" t="str">
            <v/>
          </cell>
          <cell r="Q1133" t="str">
            <v/>
          </cell>
          <cell r="R1133" t="e">
            <v>#N/A</v>
          </cell>
        </row>
        <row r="1134">
          <cell r="A1134" t="str">
            <v/>
          </cell>
          <cell r="B1134" t="str">
            <v/>
          </cell>
          <cell r="C1134" t="str">
            <v>Future</v>
          </cell>
          <cell r="D1134" t="e">
            <v>#N/A</v>
          </cell>
          <cell r="E1134">
            <v>-43.998181818181806</v>
          </cell>
          <cell r="F1134">
            <v>51.456363636364088</v>
          </cell>
          <cell r="G1134">
            <v>28.729090909090086</v>
          </cell>
          <cell r="H1134">
            <v>28.729090909090086</v>
          </cell>
          <cell r="I1134" t="e">
            <v>#N/A</v>
          </cell>
          <cell r="J1134" t="e">
            <v>#N/A</v>
          </cell>
          <cell r="K1134">
            <v>42</v>
          </cell>
          <cell r="L1134">
            <v>32</v>
          </cell>
          <cell r="M1134" t="e">
            <v>#N/A</v>
          </cell>
          <cell r="N1134">
            <v>37</v>
          </cell>
          <cell r="O1134" t="e">
            <v>#N/A</v>
          </cell>
          <cell r="P1134" t="str">
            <v/>
          </cell>
          <cell r="Q1134" t="str">
            <v/>
          </cell>
          <cell r="R1134" t="e">
            <v>#N/A</v>
          </cell>
        </row>
        <row r="1135">
          <cell r="A1135" t="str">
            <v/>
          </cell>
          <cell r="B1135" t="str">
            <v/>
          </cell>
          <cell r="C1135" t="str">
            <v>Future</v>
          </cell>
          <cell r="D1135" t="e">
            <v>#N/A</v>
          </cell>
          <cell r="E1135">
            <v>-44.134822134387342</v>
          </cell>
          <cell r="F1135">
            <v>51.485731225296895</v>
          </cell>
          <cell r="G1135">
            <v>28.718932806323288</v>
          </cell>
          <cell r="H1135">
            <v>28.718932806323288</v>
          </cell>
          <cell r="I1135" t="e">
            <v>#N/A</v>
          </cell>
          <cell r="J1135" t="e">
            <v>#N/A</v>
          </cell>
          <cell r="K1135">
            <v>42</v>
          </cell>
          <cell r="L1135">
            <v>32</v>
          </cell>
          <cell r="M1135" t="e">
            <v>#N/A</v>
          </cell>
          <cell r="N1135">
            <v>37</v>
          </cell>
          <cell r="O1135" t="e">
            <v>#N/A</v>
          </cell>
          <cell r="P1135" t="str">
            <v/>
          </cell>
          <cell r="Q1135" t="str">
            <v/>
          </cell>
          <cell r="R1135" t="e">
            <v>#N/A</v>
          </cell>
        </row>
        <row r="1136">
          <cell r="A1136" t="str">
            <v/>
          </cell>
          <cell r="B1136" t="str">
            <v/>
          </cell>
          <cell r="C1136" t="str">
            <v>Future</v>
          </cell>
          <cell r="D1136" t="e">
            <v>#N/A</v>
          </cell>
          <cell r="E1136">
            <v>-44.271462450592878</v>
          </cell>
          <cell r="F1136">
            <v>51.515098814229702</v>
          </cell>
          <cell r="G1136">
            <v>28.70877470355649</v>
          </cell>
          <cell r="H1136">
            <v>28.70877470355649</v>
          </cell>
          <cell r="I1136" t="e">
            <v>#N/A</v>
          </cell>
          <cell r="J1136" t="e">
            <v>#N/A</v>
          </cell>
          <cell r="K1136">
            <v>42</v>
          </cell>
          <cell r="L1136">
            <v>32</v>
          </cell>
          <cell r="M1136" t="e">
            <v>#N/A</v>
          </cell>
          <cell r="N1136">
            <v>37</v>
          </cell>
          <cell r="O1136" t="e">
            <v>#N/A</v>
          </cell>
          <cell r="P1136" t="str">
            <v/>
          </cell>
          <cell r="Q1136" t="str">
            <v/>
          </cell>
          <cell r="R1136" t="e">
            <v>#N/A</v>
          </cell>
        </row>
        <row r="1137">
          <cell r="A1137" t="str">
            <v/>
          </cell>
          <cell r="B1137" t="str">
            <v/>
          </cell>
          <cell r="C1137" t="str">
            <v>Future</v>
          </cell>
          <cell r="D1137" t="e">
            <v>#N/A</v>
          </cell>
          <cell r="E1137">
            <v>-44.408102766798415</v>
          </cell>
          <cell r="F1137">
            <v>51.544466403162509</v>
          </cell>
          <cell r="G1137">
            <v>28.698616600789691</v>
          </cell>
          <cell r="H1137">
            <v>28.698616600789691</v>
          </cell>
          <cell r="I1137" t="e">
            <v>#N/A</v>
          </cell>
          <cell r="J1137" t="e">
            <v>#N/A</v>
          </cell>
          <cell r="K1137">
            <v>42</v>
          </cell>
          <cell r="L1137">
            <v>32</v>
          </cell>
          <cell r="M1137" t="e">
            <v>#N/A</v>
          </cell>
          <cell r="N1137">
            <v>37</v>
          </cell>
          <cell r="O1137" t="e">
            <v>#N/A</v>
          </cell>
          <cell r="P1137" t="str">
            <v/>
          </cell>
          <cell r="Q1137" t="str">
            <v/>
          </cell>
          <cell r="R1137" t="e">
            <v>#N/A</v>
          </cell>
        </row>
        <row r="1138">
          <cell r="A1138" t="str">
            <v/>
          </cell>
          <cell r="B1138" t="str">
            <v/>
          </cell>
          <cell r="C1138" t="str">
            <v>Future</v>
          </cell>
          <cell r="D1138" t="e">
            <v>#N/A</v>
          </cell>
          <cell r="E1138">
            <v>-44.544743083003951</v>
          </cell>
          <cell r="F1138">
            <v>51.573833992095317</v>
          </cell>
          <cell r="G1138">
            <v>28.688458498022893</v>
          </cell>
          <cell r="H1138">
            <v>28.688458498022893</v>
          </cell>
          <cell r="I1138" t="e">
            <v>#N/A</v>
          </cell>
          <cell r="J1138" t="e">
            <v>#N/A</v>
          </cell>
          <cell r="K1138">
            <v>42</v>
          </cell>
          <cell r="L1138">
            <v>32</v>
          </cell>
          <cell r="M1138" t="e">
            <v>#N/A</v>
          </cell>
          <cell r="N1138">
            <v>37</v>
          </cell>
          <cell r="O1138" t="e">
            <v>#N/A</v>
          </cell>
          <cell r="P1138" t="str">
            <v/>
          </cell>
          <cell r="Q1138" t="str">
            <v/>
          </cell>
          <cell r="R1138" t="e">
            <v>#N/A</v>
          </cell>
        </row>
        <row r="1139">
          <cell r="A1139" t="str">
            <v/>
          </cell>
          <cell r="B1139" t="str">
            <v/>
          </cell>
          <cell r="C1139" t="str">
            <v>Future</v>
          </cell>
          <cell r="D1139" t="e">
            <v>#N/A</v>
          </cell>
          <cell r="E1139">
            <v>-44.681383399209487</v>
          </cell>
          <cell r="F1139">
            <v>51.603201581028124</v>
          </cell>
          <cell r="G1139">
            <v>28.678300395256095</v>
          </cell>
          <cell r="H1139">
            <v>28.678300395256095</v>
          </cell>
          <cell r="I1139" t="e">
            <v>#N/A</v>
          </cell>
          <cell r="J1139" t="e">
            <v>#N/A</v>
          </cell>
          <cell r="K1139">
            <v>42</v>
          </cell>
          <cell r="L1139">
            <v>32</v>
          </cell>
          <cell r="M1139" t="e">
            <v>#N/A</v>
          </cell>
          <cell r="N1139">
            <v>37</v>
          </cell>
          <cell r="O1139" t="e">
            <v>#N/A</v>
          </cell>
          <cell r="P1139" t="str">
            <v/>
          </cell>
          <cell r="Q1139" t="str">
            <v/>
          </cell>
          <cell r="R1139" t="e">
            <v>#N/A</v>
          </cell>
        </row>
        <row r="1140">
          <cell r="A1140" t="str">
            <v/>
          </cell>
          <cell r="B1140" t="str">
            <v/>
          </cell>
          <cell r="C1140" t="str">
            <v>Future</v>
          </cell>
          <cell r="D1140" t="e">
            <v>#N/A</v>
          </cell>
          <cell r="E1140">
            <v>-44.818023715415023</v>
          </cell>
          <cell r="F1140">
            <v>51.632569169960931</v>
          </cell>
          <cell r="G1140">
            <v>28.668142292489296</v>
          </cell>
          <cell r="H1140">
            <v>28.668142292489296</v>
          </cell>
          <cell r="I1140" t="e">
            <v>#N/A</v>
          </cell>
          <cell r="J1140" t="e">
            <v>#N/A</v>
          </cell>
          <cell r="K1140">
            <v>42</v>
          </cell>
          <cell r="L1140">
            <v>32</v>
          </cell>
          <cell r="M1140" t="e">
            <v>#N/A</v>
          </cell>
          <cell r="N1140">
            <v>37</v>
          </cell>
          <cell r="O1140" t="e">
            <v>#N/A</v>
          </cell>
          <cell r="P1140" t="str">
            <v/>
          </cell>
          <cell r="Q1140" t="str">
            <v/>
          </cell>
          <cell r="R1140" t="e">
            <v>#N/A</v>
          </cell>
        </row>
        <row r="1141">
          <cell r="A1141" t="str">
            <v/>
          </cell>
          <cell r="B1141" t="str">
            <v/>
          </cell>
          <cell r="C1141" t="str">
            <v>Future</v>
          </cell>
          <cell r="D1141" t="e">
            <v>#N/A</v>
          </cell>
          <cell r="E1141">
            <v>-44.95466403162056</v>
          </cell>
          <cell r="F1141">
            <v>51.661936758893738</v>
          </cell>
          <cell r="G1141">
            <v>28.657984189722498</v>
          </cell>
          <cell r="H1141">
            <v>28.657984189722498</v>
          </cell>
          <cell r="I1141" t="e">
            <v>#N/A</v>
          </cell>
          <cell r="J1141" t="e">
            <v>#N/A</v>
          </cell>
          <cell r="K1141">
            <v>42</v>
          </cell>
          <cell r="L1141">
            <v>32</v>
          </cell>
          <cell r="M1141" t="e">
            <v>#N/A</v>
          </cell>
          <cell r="N1141">
            <v>37</v>
          </cell>
          <cell r="O1141" t="e">
            <v>#N/A</v>
          </cell>
          <cell r="P1141" t="str">
            <v/>
          </cell>
          <cell r="Q1141" t="str">
            <v/>
          </cell>
          <cell r="R1141" t="e">
            <v>#N/A</v>
          </cell>
        </row>
        <row r="1142">
          <cell r="A1142" t="str">
            <v/>
          </cell>
          <cell r="B1142" t="str">
            <v/>
          </cell>
          <cell r="C1142" t="str">
            <v>Future</v>
          </cell>
          <cell r="D1142" t="e">
            <v>#N/A</v>
          </cell>
          <cell r="E1142">
            <v>-45.091304347826096</v>
          </cell>
          <cell r="F1142">
            <v>51.691304347826545</v>
          </cell>
          <cell r="G1142">
            <v>28.6478260869557</v>
          </cell>
          <cell r="H1142">
            <v>28.6478260869557</v>
          </cell>
          <cell r="I1142" t="e">
            <v>#N/A</v>
          </cell>
          <cell r="J1142" t="e">
            <v>#N/A</v>
          </cell>
          <cell r="K1142">
            <v>42</v>
          </cell>
          <cell r="L1142">
            <v>32</v>
          </cell>
          <cell r="M1142" t="e">
            <v>#N/A</v>
          </cell>
          <cell r="N1142">
            <v>37</v>
          </cell>
          <cell r="O1142" t="e">
            <v>#N/A</v>
          </cell>
          <cell r="P1142" t="str">
            <v/>
          </cell>
          <cell r="Q1142" t="str">
            <v/>
          </cell>
          <cell r="R1142" t="e">
            <v>#N/A</v>
          </cell>
        </row>
        <row r="1143">
          <cell r="A1143" t="str">
            <v/>
          </cell>
          <cell r="B1143" t="str">
            <v/>
          </cell>
          <cell r="C1143" t="str">
            <v>Future</v>
          </cell>
          <cell r="D1143" t="e">
            <v>#N/A</v>
          </cell>
          <cell r="E1143">
            <v>-45.227944664031632</v>
          </cell>
          <cell r="F1143">
            <v>51.720671936759352</v>
          </cell>
          <cell r="G1143">
            <v>28.637667984188901</v>
          </cell>
          <cell r="H1143">
            <v>28.637667984188901</v>
          </cell>
          <cell r="I1143" t="e">
            <v>#N/A</v>
          </cell>
          <cell r="J1143" t="e">
            <v>#N/A</v>
          </cell>
          <cell r="K1143">
            <v>42</v>
          </cell>
          <cell r="L1143">
            <v>32</v>
          </cell>
          <cell r="M1143" t="e">
            <v>#N/A</v>
          </cell>
          <cell r="N1143">
            <v>37</v>
          </cell>
          <cell r="O1143" t="e">
            <v>#N/A</v>
          </cell>
          <cell r="P1143" t="str">
            <v/>
          </cell>
          <cell r="Q1143" t="str">
            <v/>
          </cell>
          <cell r="R1143" t="e">
            <v>#N/A</v>
          </cell>
        </row>
        <row r="1144">
          <cell r="A1144" t="str">
            <v/>
          </cell>
          <cell r="B1144" t="str">
            <v/>
          </cell>
          <cell r="C1144" t="str">
            <v>Future</v>
          </cell>
          <cell r="D1144" t="e">
            <v>#N/A</v>
          </cell>
          <cell r="E1144">
            <v>-45.364584980237169</v>
          </cell>
          <cell r="F1144">
            <v>51.750039525692159</v>
          </cell>
          <cell r="G1144">
            <v>28.627509881422103</v>
          </cell>
          <cell r="H1144">
            <v>28.627509881422103</v>
          </cell>
          <cell r="I1144" t="e">
            <v>#N/A</v>
          </cell>
          <cell r="J1144" t="e">
            <v>#N/A</v>
          </cell>
          <cell r="K1144">
            <v>42</v>
          </cell>
          <cell r="L1144">
            <v>32</v>
          </cell>
          <cell r="M1144" t="e">
            <v>#N/A</v>
          </cell>
          <cell r="N1144">
            <v>37</v>
          </cell>
          <cell r="O1144" t="e">
            <v>#N/A</v>
          </cell>
          <cell r="P1144" t="str">
            <v/>
          </cell>
          <cell r="Q1144" t="str">
            <v/>
          </cell>
          <cell r="R1144" t="e">
            <v>#N/A</v>
          </cell>
        </row>
        <row r="1145">
          <cell r="A1145" t="str">
            <v/>
          </cell>
          <cell r="B1145" t="str">
            <v/>
          </cell>
          <cell r="C1145" t="str">
            <v>Future</v>
          </cell>
          <cell r="D1145" t="e">
            <v>#N/A</v>
          </cell>
          <cell r="E1145">
            <v>-45.501225296442705</v>
          </cell>
          <cell r="F1145">
            <v>51.779407114624966</v>
          </cell>
          <cell r="G1145">
            <v>28.617351778655305</v>
          </cell>
          <cell r="H1145">
            <v>28.617351778655305</v>
          </cell>
          <cell r="I1145" t="e">
            <v>#N/A</v>
          </cell>
          <cell r="J1145" t="e">
            <v>#N/A</v>
          </cell>
          <cell r="K1145">
            <v>42</v>
          </cell>
          <cell r="L1145">
            <v>32</v>
          </cell>
          <cell r="M1145" t="e">
            <v>#N/A</v>
          </cell>
          <cell r="N1145">
            <v>37</v>
          </cell>
          <cell r="O1145" t="e">
            <v>#N/A</v>
          </cell>
          <cell r="P1145" t="str">
            <v/>
          </cell>
          <cell r="Q1145" t="str">
            <v/>
          </cell>
          <cell r="R1145" t="e">
            <v>#N/A</v>
          </cell>
        </row>
        <row r="1146">
          <cell r="A1146" t="str">
            <v/>
          </cell>
          <cell r="B1146" t="str">
            <v/>
          </cell>
          <cell r="C1146" t="str">
            <v>Future</v>
          </cell>
          <cell r="D1146" t="e">
            <v>#N/A</v>
          </cell>
          <cell r="E1146">
            <v>-45.637865612648241</v>
          </cell>
          <cell r="F1146">
            <v>51.808774703557773</v>
          </cell>
          <cell r="G1146">
            <v>28.607193675888507</v>
          </cell>
          <cell r="H1146">
            <v>28.607193675888507</v>
          </cell>
          <cell r="I1146" t="e">
            <v>#N/A</v>
          </cell>
          <cell r="J1146" t="e">
            <v>#N/A</v>
          </cell>
          <cell r="K1146">
            <v>42</v>
          </cell>
          <cell r="L1146">
            <v>32</v>
          </cell>
          <cell r="M1146" t="e">
            <v>#N/A</v>
          </cell>
          <cell r="N1146">
            <v>37</v>
          </cell>
          <cell r="O1146" t="e">
            <v>#N/A</v>
          </cell>
          <cell r="P1146" t="str">
            <v/>
          </cell>
          <cell r="Q1146" t="str">
            <v/>
          </cell>
          <cell r="R1146" t="e">
            <v>#N/A</v>
          </cell>
        </row>
        <row r="1147">
          <cell r="A1147" t="str">
            <v/>
          </cell>
          <cell r="B1147" t="str">
            <v/>
          </cell>
          <cell r="C1147" t="str">
            <v>Future</v>
          </cell>
          <cell r="D1147" t="e">
            <v>#N/A</v>
          </cell>
          <cell r="E1147">
            <v>-45.774505928853777</v>
          </cell>
          <cell r="F1147">
            <v>51.838142292490581</v>
          </cell>
          <cell r="G1147">
            <v>28.597035573121708</v>
          </cell>
          <cell r="H1147">
            <v>28.597035573121708</v>
          </cell>
          <cell r="I1147" t="e">
            <v>#N/A</v>
          </cell>
          <cell r="J1147" t="e">
            <v>#N/A</v>
          </cell>
          <cell r="K1147">
            <v>42</v>
          </cell>
          <cell r="L1147">
            <v>32</v>
          </cell>
          <cell r="M1147" t="e">
            <v>#N/A</v>
          </cell>
          <cell r="N1147">
            <v>37</v>
          </cell>
          <cell r="O1147" t="e">
            <v>#N/A</v>
          </cell>
          <cell r="P1147" t="str">
            <v/>
          </cell>
          <cell r="Q1147" t="str">
            <v/>
          </cell>
          <cell r="R1147" t="e">
            <v>#N/A</v>
          </cell>
        </row>
        <row r="1148">
          <cell r="A1148" t="str">
            <v/>
          </cell>
          <cell r="B1148" t="str">
            <v/>
          </cell>
          <cell r="C1148" t="str">
            <v>Future</v>
          </cell>
          <cell r="D1148" t="e">
            <v>#N/A</v>
          </cell>
          <cell r="E1148">
            <v>-45.911146245059314</v>
          </cell>
          <cell r="F1148">
            <v>51.867509881423388</v>
          </cell>
          <cell r="G1148">
            <v>28.58687747035491</v>
          </cell>
          <cell r="H1148">
            <v>28.58687747035491</v>
          </cell>
          <cell r="I1148" t="e">
            <v>#N/A</v>
          </cell>
          <cell r="J1148" t="e">
            <v>#N/A</v>
          </cell>
          <cell r="K1148">
            <v>42</v>
          </cell>
          <cell r="L1148">
            <v>32</v>
          </cell>
          <cell r="M1148" t="e">
            <v>#N/A</v>
          </cell>
          <cell r="N1148">
            <v>37</v>
          </cell>
          <cell r="O1148" t="e">
            <v>#N/A</v>
          </cell>
          <cell r="P1148" t="str">
            <v/>
          </cell>
          <cell r="Q1148" t="str">
            <v/>
          </cell>
          <cell r="R1148" t="e">
            <v>#N/A</v>
          </cell>
        </row>
        <row r="1149">
          <cell r="A1149" t="str">
            <v/>
          </cell>
          <cell r="B1149" t="str">
            <v/>
          </cell>
          <cell r="C1149" t="str">
            <v>Future</v>
          </cell>
          <cell r="D1149" t="e">
            <v>#N/A</v>
          </cell>
          <cell r="E1149">
            <v>-46.04778656126485</v>
          </cell>
          <cell r="F1149">
            <v>51.896877470356195</v>
          </cell>
          <cell r="G1149">
            <v>28.576719367588112</v>
          </cell>
          <cell r="H1149">
            <v>28.576719367588112</v>
          </cell>
          <cell r="I1149" t="e">
            <v>#N/A</v>
          </cell>
          <cell r="J1149" t="e">
            <v>#N/A</v>
          </cell>
          <cell r="K1149">
            <v>42</v>
          </cell>
          <cell r="L1149">
            <v>32</v>
          </cell>
          <cell r="M1149" t="e">
            <v>#N/A</v>
          </cell>
          <cell r="N1149">
            <v>37</v>
          </cell>
          <cell r="O1149" t="e">
            <v>#N/A</v>
          </cell>
          <cell r="P1149" t="str">
            <v/>
          </cell>
          <cell r="Q1149" t="str">
            <v/>
          </cell>
          <cell r="R1149" t="e">
            <v>#N/A</v>
          </cell>
        </row>
        <row r="1150">
          <cell r="A1150" t="str">
            <v/>
          </cell>
          <cell r="B1150" t="str">
            <v/>
          </cell>
          <cell r="C1150" t="str">
            <v>Future</v>
          </cell>
          <cell r="D1150" t="e">
            <v>#N/A</v>
          </cell>
          <cell r="E1150">
            <v>-46.184426877470386</v>
          </cell>
          <cell r="F1150">
            <v>51.926245059289002</v>
          </cell>
          <cell r="G1150">
            <v>28.566561264821313</v>
          </cell>
          <cell r="H1150">
            <v>28.566561264821313</v>
          </cell>
          <cell r="I1150" t="e">
            <v>#N/A</v>
          </cell>
          <cell r="J1150" t="e">
            <v>#N/A</v>
          </cell>
          <cell r="K1150">
            <v>42</v>
          </cell>
          <cell r="L1150">
            <v>32</v>
          </cell>
          <cell r="M1150" t="e">
            <v>#N/A</v>
          </cell>
          <cell r="N1150">
            <v>37</v>
          </cell>
          <cell r="O1150" t="e">
            <v>#N/A</v>
          </cell>
          <cell r="P1150" t="str">
            <v/>
          </cell>
          <cell r="Q1150" t="str">
            <v/>
          </cell>
          <cell r="R1150" t="e">
            <v>#N/A</v>
          </cell>
        </row>
        <row r="1151">
          <cell r="A1151" t="str">
            <v/>
          </cell>
          <cell r="B1151" t="str">
            <v/>
          </cell>
          <cell r="C1151" t="str">
            <v>Future</v>
          </cell>
          <cell r="D1151" t="e">
            <v>#N/A</v>
          </cell>
          <cell r="E1151">
            <v>-46.321067193675923</v>
          </cell>
          <cell r="F1151">
            <v>51.955612648221809</v>
          </cell>
          <cell r="G1151">
            <v>28.556403162054515</v>
          </cell>
          <cell r="H1151">
            <v>28.556403162054515</v>
          </cell>
          <cell r="I1151" t="e">
            <v>#N/A</v>
          </cell>
          <cell r="J1151" t="e">
            <v>#N/A</v>
          </cell>
          <cell r="K1151">
            <v>42</v>
          </cell>
          <cell r="L1151">
            <v>32</v>
          </cell>
          <cell r="M1151" t="e">
            <v>#N/A</v>
          </cell>
          <cell r="N1151">
            <v>37</v>
          </cell>
          <cell r="O1151" t="e">
            <v>#N/A</v>
          </cell>
          <cell r="P1151" t="str">
            <v/>
          </cell>
          <cell r="Q1151" t="str">
            <v/>
          </cell>
          <cell r="R1151" t="e">
            <v>#N/A</v>
          </cell>
        </row>
        <row r="1152">
          <cell r="A1152" t="str">
            <v/>
          </cell>
          <cell r="B1152" t="str">
            <v/>
          </cell>
          <cell r="C1152" t="str">
            <v>Future</v>
          </cell>
          <cell r="D1152" t="e">
            <v>#N/A</v>
          </cell>
          <cell r="E1152">
            <v>-46.457707509881459</v>
          </cell>
          <cell r="F1152">
            <v>51.984980237154616</v>
          </cell>
          <cell r="G1152">
            <v>28.546245059287717</v>
          </cell>
          <cell r="H1152">
            <v>28.546245059287717</v>
          </cell>
          <cell r="I1152" t="e">
            <v>#N/A</v>
          </cell>
          <cell r="J1152" t="e">
            <v>#N/A</v>
          </cell>
          <cell r="K1152">
            <v>42</v>
          </cell>
          <cell r="L1152">
            <v>32</v>
          </cell>
          <cell r="M1152" t="e">
            <v>#N/A</v>
          </cell>
          <cell r="N1152">
            <v>37</v>
          </cell>
          <cell r="O1152" t="e">
            <v>#N/A</v>
          </cell>
          <cell r="P1152" t="str">
            <v/>
          </cell>
          <cell r="Q1152" t="str">
            <v/>
          </cell>
          <cell r="R1152" t="e">
            <v>#N/A</v>
          </cell>
        </row>
        <row r="1153">
          <cell r="A1153" t="str">
            <v/>
          </cell>
          <cell r="B1153" t="str">
            <v/>
          </cell>
          <cell r="C1153" t="str">
            <v>Future</v>
          </cell>
          <cell r="D1153" t="e">
            <v>#N/A</v>
          </cell>
          <cell r="E1153">
            <v>-46.594347826086995</v>
          </cell>
          <cell r="F1153">
            <v>52.014347826087423</v>
          </cell>
          <cell r="G1153">
            <v>28.536086956520919</v>
          </cell>
          <cell r="H1153">
            <v>28.536086956520919</v>
          </cell>
          <cell r="I1153" t="e">
            <v>#N/A</v>
          </cell>
          <cell r="J1153" t="e">
            <v>#N/A</v>
          </cell>
          <cell r="K1153">
            <v>42</v>
          </cell>
          <cell r="L1153">
            <v>32</v>
          </cell>
          <cell r="M1153" t="e">
            <v>#N/A</v>
          </cell>
          <cell r="N1153">
            <v>37</v>
          </cell>
          <cell r="O1153" t="e">
            <v>#N/A</v>
          </cell>
          <cell r="P1153" t="str">
            <v/>
          </cell>
          <cell r="Q1153" t="str">
            <v/>
          </cell>
          <cell r="R1153" t="e">
            <v>#N/A</v>
          </cell>
        </row>
        <row r="1154">
          <cell r="A1154" t="str">
            <v/>
          </cell>
          <cell r="B1154" t="str">
            <v/>
          </cell>
          <cell r="C1154" t="str">
            <v>Future</v>
          </cell>
          <cell r="D1154" t="e">
            <v>#N/A</v>
          </cell>
          <cell r="E1154">
            <v>-46.730988142292532</v>
          </cell>
          <cell r="F1154">
            <v>52.04371541502023</v>
          </cell>
          <cell r="G1154">
            <v>28.52592885375412</v>
          </cell>
          <cell r="H1154">
            <v>28.52592885375412</v>
          </cell>
          <cell r="I1154" t="e">
            <v>#N/A</v>
          </cell>
          <cell r="J1154" t="e">
            <v>#N/A</v>
          </cell>
          <cell r="K1154">
            <v>42</v>
          </cell>
          <cell r="L1154">
            <v>32</v>
          </cell>
          <cell r="M1154" t="e">
            <v>#N/A</v>
          </cell>
          <cell r="N1154">
            <v>37</v>
          </cell>
          <cell r="O1154" t="e">
            <v>#N/A</v>
          </cell>
          <cell r="P1154" t="str">
            <v/>
          </cell>
          <cell r="Q1154" t="str">
            <v/>
          </cell>
          <cell r="R1154" t="e">
            <v>#N/A</v>
          </cell>
        </row>
        <row r="1155">
          <cell r="A1155" t="str">
            <v/>
          </cell>
          <cell r="B1155" t="str">
            <v/>
          </cell>
          <cell r="C1155" t="str">
            <v>Future</v>
          </cell>
          <cell r="D1155" t="e">
            <v>#N/A</v>
          </cell>
          <cell r="E1155">
            <v>-46.867628458498068</v>
          </cell>
          <cell r="F1155">
            <v>52.073083003953037</v>
          </cell>
          <cell r="G1155">
            <v>28.515770750987322</v>
          </cell>
          <cell r="H1155">
            <v>28.515770750987322</v>
          </cell>
          <cell r="I1155" t="e">
            <v>#N/A</v>
          </cell>
          <cell r="J1155" t="e">
            <v>#N/A</v>
          </cell>
          <cell r="K1155">
            <v>42</v>
          </cell>
          <cell r="L1155">
            <v>32</v>
          </cell>
          <cell r="M1155" t="e">
            <v>#N/A</v>
          </cell>
          <cell r="N1155">
            <v>37</v>
          </cell>
          <cell r="O1155" t="e">
            <v>#N/A</v>
          </cell>
          <cell r="P1155" t="str">
            <v/>
          </cell>
          <cell r="Q1155" t="str">
            <v/>
          </cell>
          <cell r="R1155" t="e">
            <v>#N/A</v>
          </cell>
        </row>
        <row r="1156">
          <cell r="A1156" t="str">
            <v/>
          </cell>
          <cell r="B1156" t="str">
            <v/>
          </cell>
          <cell r="C1156" t="str">
            <v>Future</v>
          </cell>
          <cell r="D1156" t="e">
            <v>#N/A</v>
          </cell>
          <cell r="E1156">
            <v>-47.004268774703604</v>
          </cell>
          <cell r="F1156">
            <v>52.102450592885845</v>
          </cell>
          <cell r="G1156">
            <v>28.505612648220524</v>
          </cell>
          <cell r="H1156">
            <v>28.505612648220524</v>
          </cell>
          <cell r="I1156" t="e">
            <v>#N/A</v>
          </cell>
          <cell r="J1156" t="e">
            <v>#N/A</v>
          </cell>
          <cell r="K1156">
            <v>42</v>
          </cell>
          <cell r="L1156">
            <v>32</v>
          </cell>
          <cell r="M1156" t="e">
            <v>#N/A</v>
          </cell>
          <cell r="N1156">
            <v>37</v>
          </cell>
          <cell r="O1156" t="e">
            <v>#N/A</v>
          </cell>
          <cell r="P1156" t="str">
            <v/>
          </cell>
          <cell r="Q1156" t="str">
            <v/>
          </cell>
          <cell r="R1156" t="e">
            <v>#N/A</v>
          </cell>
        </row>
        <row r="1157">
          <cell r="A1157" t="str">
            <v/>
          </cell>
          <cell r="B1157" t="str">
            <v/>
          </cell>
          <cell r="C1157" t="str">
            <v>Future</v>
          </cell>
          <cell r="D1157" t="e">
            <v>#N/A</v>
          </cell>
          <cell r="E1157">
            <v>-47.14090909090914</v>
          </cell>
          <cell r="F1157">
            <v>52.131818181818652</v>
          </cell>
          <cell r="G1157">
            <v>28.495454545453725</v>
          </cell>
          <cell r="H1157">
            <v>28.495454545453725</v>
          </cell>
          <cell r="I1157" t="e">
            <v>#N/A</v>
          </cell>
          <cell r="J1157" t="e">
            <v>#N/A</v>
          </cell>
          <cell r="K1157">
            <v>42</v>
          </cell>
          <cell r="L1157">
            <v>32</v>
          </cell>
          <cell r="M1157" t="e">
            <v>#N/A</v>
          </cell>
          <cell r="N1157">
            <v>37</v>
          </cell>
          <cell r="O1157" t="e">
            <v>#N/A</v>
          </cell>
          <cell r="P1157" t="str">
            <v/>
          </cell>
          <cell r="Q1157" t="str">
            <v/>
          </cell>
          <cell r="R1157" t="e">
            <v>#N/A</v>
          </cell>
        </row>
        <row r="1158">
          <cell r="A1158" t="str">
            <v/>
          </cell>
          <cell r="B1158" t="str">
            <v/>
          </cell>
          <cell r="C1158" t="str">
            <v>Future</v>
          </cell>
          <cell r="D1158" t="e">
            <v>#N/A</v>
          </cell>
          <cell r="E1158">
            <v>-47.277549407114677</v>
          </cell>
          <cell r="F1158">
            <v>52.161185770751459</v>
          </cell>
          <cell r="G1158">
            <v>28.485296442686927</v>
          </cell>
          <cell r="H1158">
            <v>28.485296442686927</v>
          </cell>
          <cell r="I1158" t="e">
            <v>#N/A</v>
          </cell>
          <cell r="J1158" t="e">
            <v>#N/A</v>
          </cell>
          <cell r="K1158">
            <v>42</v>
          </cell>
          <cell r="L1158">
            <v>32</v>
          </cell>
          <cell r="M1158" t="e">
            <v>#N/A</v>
          </cell>
          <cell r="N1158">
            <v>37</v>
          </cell>
          <cell r="O1158" t="e">
            <v>#N/A</v>
          </cell>
          <cell r="P1158" t="str">
            <v/>
          </cell>
          <cell r="Q1158" t="str">
            <v/>
          </cell>
          <cell r="R1158" t="e">
            <v>#N/A</v>
          </cell>
        </row>
        <row r="1159">
          <cell r="A1159" t="str">
            <v/>
          </cell>
          <cell r="B1159" t="str">
            <v/>
          </cell>
          <cell r="C1159" t="str">
            <v>Future</v>
          </cell>
          <cell r="D1159" t="e">
            <v>#N/A</v>
          </cell>
          <cell r="E1159">
            <v>-47.414189723320213</v>
          </cell>
          <cell r="F1159">
            <v>52.190553359684266</v>
          </cell>
          <cell r="G1159">
            <v>28.475138339920129</v>
          </cell>
          <cell r="H1159">
            <v>28.475138339920129</v>
          </cell>
          <cell r="I1159" t="e">
            <v>#N/A</v>
          </cell>
          <cell r="J1159" t="e">
            <v>#N/A</v>
          </cell>
          <cell r="K1159">
            <v>42</v>
          </cell>
          <cell r="L1159">
            <v>32</v>
          </cell>
          <cell r="M1159" t="e">
            <v>#N/A</v>
          </cell>
          <cell r="N1159">
            <v>37</v>
          </cell>
          <cell r="O1159" t="e">
            <v>#N/A</v>
          </cell>
          <cell r="P1159" t="str">
            <v/>
          </cell>
          <cell r="Q1159" t="str">
            <v/>
          </cell>
          <cell r="R1159" t="e">
            <v>#N/A</v>
          </cell>
        </row>
        <row r="1160">
          <cell r="A1160" t="str">
            <v/>
          </cell>
          <cell r="B1160" t="str">
            <v/>
          </cell>
          <cell r="C1160" t="str">
            <v>Future</v>
          </cell>
          <cell r="D1160" t="e">
            <v>#N/A</v>
          </cell>
          <cell r="E1160">
            <v>-47.550830039525749</v>
          </cell>
          <cell r="F1160">
            <v>52.219920948617073</v>
          </cell>
          <cell r="G1160">
            <v>28.46498023715333</v>
          </cell>
          <cell r="H1160">
            <v>28.46498023715333</v>
          </cell>
          <cell r="I1160" t="e">
            <v>#N/A</v>
          </cell>
          <cell r="J1160" t="e">
            <v>#N/A</v>
          </cell>
          <cell r="K1160">
            <v>42</v>
          </cell>
          <cell r="L1160">
            <v>32</v>
          </cell>
          <cell r="M1160" t="e">
            <v>#N/A</v>
          </cell>
          <cell r="N1160">
            <v>37</v>
          </cell>
          <cell r="O1160" t="e">
            <v>#N/A</v>
          </cell>
          <cell r="P1160" t="str">
            <v/>
          </cell>
          <cell r="Q1160" t="str">
            <v/>
          </cell>
          <cell r="R1160" t="e">
            <v>#N/A</v>
          </cell>
        </row>
        <row r="1161">
          <cell r="A1161" t="str">
            <v/>
          </cell>
          <cell r="B1161" t="str">
            <v/>
          </cell>
          <cell r="C1161" t="str">
            <v>Future</v>
          </cell>
          <cell r="D1161" t="e">
            <v>#N/A</v>
          </cell>
          <cell r="E1161">
            <v>-47.687470355731286</v>
          </cell>
          <cell r="F1161">
            <v>52.24928853754988</v>
          </cell>
          <cell r="G1161">
            <v>28.454822134386532</v>
          </cell>
          <cell r="H1161">
            <v>28.454822134386532</v>
          </cell>
          <cell r="I1161" t="e">
            <v>#N/A</v>
          </cell>
          <cell r="J1161" t="e">
            <v>#N/A</v>
          </cell>
          <cell r="K1161">
            <v>42</v>
          </cell>
          <cell r="L1161">
            <v>32</v>
          </cell>
          <cell r="M1161" t="e">
            <v>#N/A</v>
          </cell>
          <cell r="N1161">
            <v>37</v>
          </cell>
          <cell r="O1161" t="e">
            <v>#N/A</v>
          </cell>
          <cell r="P1161" t="str">
            <v/>
          </cell>
          <cell r="Q1161" t="str">
            <v/>
          </cell>
          <cell r="R1161" t="e">
            <v>#N/A</v>
          </cell>
        </row>
        <row r="1162">
          <cell r="A1162" t="str">
            <v/>
          </cell>
          <cell r="B1162" t="str">
            <v/>
          </cell>
          <cell r="C1162" t="str">
            <v>Future</v>
          </cell>
          <cell r="D1162" t="e">
            <v>#N/A</v>
          </cell>
          <cell r="E1162">
            <v>-47.824110671936822</v>
          </cell>
          <cell r="F1162">
            <v>52.278656126482687</v>
          </cell>
          <cell r="G1162">
            <v>28.444664031619734</v>
          </cell>
          <cell r="H1162">
            <v>28.444664031619734</v>
          </cell>
          <cell r="I1162" t="e">
            <v>#N/A</v>
          </cell>
          <cell r="J1162" t="e">
            <v>#N/A</v>
          </cell>
          <cell r="K1162">
            <v>42</v>
          </cell>
          <cell r="L1162">
            <v>32</v>
          </cell>
          <cell r="M1162" t="e">
            <v>#N/A</v>
          </cell>
          <cell r="N1162">
            <v>37</v>
          </cell>
          <cell r="O1162" t="e">
            <v>#N/A</v>
          </cell>
          <cell r="P1162" t="str">
            <v/>
          </cell>
          <cell r="Q1162" t="str">
            <v/>
          </cell>
          <cell r="R1162" t="e">
            <v>#N/A</v>
          </cell>
        </row>
        <row r="1163">
          <cell r="A1163" t="str">
            <v/>
          </cell>
          <cell r="B1163" t="str">
            <v/>
          </cell>
          <cell r="C1163" t="str">
            <v>Future</v>
          </cell>
          <cell r="D1163" t="e">
            <v>#N/A</v>
          </cell>
          <cell r="E1163">
            <v>-47.960750988142358</v>
          </cell>
          <cell r="F1163">
            <v>52.308023715415494</v>
          </cell>
          <cell r="G1163">
            <v>28.434505928852936</v>
          </cell>
          <cell r="H1163">
            <v>28.434505928852936</v>
          </cell>
          <cell r="I1163" t="e">
            <v>#N/A</v>
          </cell>
          <cell r="J1163" t="e">
            <v>#N/A</v>
          </cell>
          <cell r="K1163">
            <v>42</v>
          </cell>
          <cell r="L1163">
            <v>32</v>
          </cell>
          <cell r="M1163" t="e">
            <v>#N/A</v>
          </cell>
          <cell r="N1163">
            <v>37</v>
          </cell>
          <cell r="O1163" t="e">
            <v>#N/A</v>
          </cell>
          <cell r="P1163" t="str">
            <v/>
          </cell>
          <cell r="Q1163" t="str">
            <v/>
          </cell>
          <cell r="R1163" t="e">
            <v>#N/A</v>
          </cell>
        </row>
        <row r="1164">
          <cell r="A1164" t="str">
            <v/>
          </cell>
          <cell r="B1164" t="str">
            <v/>
          </cell>
          <cell r="C1164" t="str">
            <v>Future</v>
          </cell>
          <cell r="D1164" t="e">
            <v>#N/A</v>
          </cell>
          <cell r="E1164">
            <v>-48.097391304347894</v>
          </cell>
          <cell r="F1164">
            <v>52.337391304348301</v>
          </cell>
          <cell r="G1164">
            <v>28.424347826086137</v>
          </cell>
          <cell r="H1164">
            <v>28.424347826086137</v>
          </cell>
          <cell r="I1164" t="e">
            <v>#N/A</v>
          </cell>
          <cell r="J1164" t="e">
            <v>#N/A</v>
          </cell>
          <cell r="K1164">
            <v>42</v>
          </cell>
          <cell r="L1164">
            <v>32</v>
          </cell>
          <cell r="M1164" t="e">
            <v>#N/A</v>
          </cell>
          <cell r="N1164">
            <v>37</v>
          </cell>
          <cell r="O1164" t="e">
            <v>#N/A</v>
          </cell>
          <cell r="P1164" t="str">
            <v/>
          </cell>
          <cell r="Q1164" t="str">
            <v/>
          </cell>
          <cell r="R1164" t="e">
            <v>#N/A</v>
          </cell>
        </row>
        <row r="1165">
          <cell r="A1165" t="str">
            <v/>
          </cell>
          <cell r="B1165" t="str">
            <v/>
          </cell>
          <cell r="C1165" t="str">
            <v>Future</v>
          </cell>
          <cell r="D1165" t="e">
            <v>#N/A</v>
          </cell>
          <cell r="E1165">
            <v>-48.234031620553431</v>
          </cell>
          <cell r="F1165">
            <v>52.366758893281109</v>
          </cell>
          <cell r="G1165">
            <v>28.414189723319339</v>
          </cell>
          <cell r="H1165">
            <v>28.414189723319339</v>
          </cell>
          <cell r="I1165" t="e">
            <v>#N/A</v>
          </cell>
          <cell r="J1165" t="e">
            <v>#N/A</v>
          </cell>
          <cell r="K1165">
            <v>42</v>
          </cell>
          <cell r="L1165">
            <v>32</v>
          </cell>
          <cell r="M1165" t="e">
            <v>#N/A</v>
          </cell>
          <cell r="N1165">
            <v>37</v>
          </cell>
          <cell r="O1165" t="e">
            <v>#N/A</v>
          </cell>
          <cell r="P1165" t="str">
            <v/>
          </cell>
          <cell r="Q1165" t="str">
            <v/>
          </cell>
          <cell r="R1165" t="e">
            <v>#N/A</v>
          </cell>
        </row>
        <row r="1166">
          <cell r="A1166" t="str">
            <v/>
          </cell>
          <cell r="B1166" t="str">
            <v/>
          </cell>
          <cell r="C1166" t="str">
            <v>Future</v>
          </cell>
          <cell r="D1166" t="e">
            <v>#N/A</v>
          </cell>
          <cell r="E1166">
            <v>-48.370671936758967</v>
          </cell>
          <cell r="F1166">
            <v>52.396126482213916</v>
          </cell>
          <cell r="G1166">
            <v>28.404031620552541</v>
          </cell>
          <cell r="H1166">
            <v>28.404031620552541</v>
          </cell>
          <cell r="I1166" t="e">
            <v>#N/A</v>
          </cell>
          <cell r="J1166" t="e">
            <v>#N/A</v>
          </cell>
          <cell r="K1166">
            <v>42</v>
          </cell>
          <cell r="L1166">
            <v>32</v>
          </cell>
          <cell r="M1166" t="e">
            <v>#N/A</v>
          </cell>
          <cell r="N1166">
            <v>37</v>
          </cell>
          <cell r="O1166" t="e">
            <v>#N/A</v>
          </cell>
          <cell r="P1166" t="str">
            <v/>
          </cell>
          <cell r="Q1166" t="str">
            <v/>
          </cell>
          <cell r="R1166" t="e">
            <v>#N/A</v>
          </cell>
        </row>
        <row r="1167">
          <cell r="A1167" t="str">
            <v/>
          </cell>
          <cell r="B1167" t="str">
            <v/>
          </cell>
          <cell r="C1167" t="str">
            <v>Future</v>
          </cell>
          <cell r="D1167" t="e">
            <v>#N/A</v>
          </cell>
          <cell r="E1167">
            <v>-48.507312252964503</v>
          </cell>
          <cell r="F1167">
            <v>52.425494071146723</v>
          </cell>
          <cell r="G1167">
            <v>28.393873517785742</v>
          </cell>
          <cell r="H1167">
            <v>28.393873517785742</v>
          </cell>
          <cell r="I1167" t="e">
            <v>#N/A</v>
          </cell>
          <cell r="J1167" t="e">
            <v>#N/A</v>
          </cell>
          <cell r="K1167">
            <v>42</v>
          </cell>
          <cell r="L1167">
            <v>32</v>
          </cell>
          <cell r="M1167" t="e">
            <v>#N/A</v>
          </cell>
          <cell r="N1167">
            <v>37</v>
          </cell>
          <cell r="O1167" t="e">
            <v>#N/A</v>
          </cell>
          <cell r="P1167" t="str">
            <v/>
          </cell>
          <cell r="Q1167" t="str">
            <v/>
          </cell>
          <cell r="R1167" t="e">
            <v>#N/A</v>
          </cell>
        </row>
        <row r="1168">
          <cell r="A1168" t="str">
            <v/>
          </cell>
          <cell r="B1168" t="str">
            <v/>
          </cell>
          <cell r="C1168" t="str">
            <v>Future</v>
          </cell>
          <cell r="D1168" t="e">
            <v>#N/A</v>
          </cell>
          <cell r="E1168">
            <v>-48.64395256917004</v>
          </cell>
          <cell r="F1168">
            <v>52.45486166007953</v>
          </cell>
          <cell r="G1168">
            <v>28.383715415018944</v>
          </cell>
          <cell r="H1168">
            <v>28.383715415018944</v>
          </cell>
          <cell r="I1168" t="e">
            <v>#N/A</v>
          </cell>
          <cell r="J1168" t="e">
            <v>#N/A</v>
          </cell>
          <cell r="K1168">
            <v>42</v>
          </cell>
          <cell r="L1168">
            <v>32</v>
          </cell>
          <cell r="M1168" t="e">
            <v>#N/A</v>
          </cell>
          <cell r="N1168">
            <v>37</v>
          </cell>
          <cell r="O1168" t="e">
            <v>#N/A</v>
          </cell>
          <cell r="P1168" t="str">
            <v/>
          </cell>
          <cell r="Q1168" t="str">
            <v/>
          </cell>
          <cell r="R1168" t="e">
            <v>#N/A</v>
          </cell>
        </row>
        <row r="1169">
          <cell r="A1169" t="str">
            <v/>
          </cell>
          <cell r="B1169" t="str">
            <v/>
          </cell>
          <cell r="C1169" t="str">
            <v>Future</v>
          </cell>
          <cell r="D1169" t="e">
            <v>#N/A</v>
          </cell>
          <cell r="E1169">
            <v>-48.780592885375576</v>
          </cell>
          <cell r="F1169">
            <v>52.484229249012337</v>
          </cell>
          <cell r="G1169">
            <v>28.373557312252146</v>
          </cell>
          <cell r="H1169">
            <v>28.373557312252146</v>
          </cell>
          <cell r="I1169" t="e">
            <v>#N/A</v>
          </cell>
          <cell r="J1169" t="e">
            <v>#N/A</v>
          </cell>
          <cell r="K1169">
            <v>42</v>
          </cell>
          <cell r="L1169">
            <v>32</v>
          </cell>
          <cell r="M1169" t="e">
            <v>#N/A</v>
          </cell>
          <cell r="N1169">
            <v>37</v>
          </cell>
          <cell r="O1169" t="e">
            <v>#N/A</v>
          </cell>
          <cell r="P1169" t="str">
            <v/>
          </cell>
          <cell r="Q1169" t="str">
            <v/>
          </cell>
          <cell r="R1169" t="e">
            <v>#N/A</v>
          </cell>
        </row>
        <row r="1170">
          <cell r="A1170" t="str">
            <v/>
          </cell>
          <cell r="B1170" t="str">
            <v/>
          </cell>
          <cell r="C1170" t="str">
            <v>Future</v>
          </cell>
          <cell r="D1170" t="e">
            <v>#N/A</v>
          </cell>
          <cell r="E1170">
            <v>-48.917233201581112</v>
          </cell>
          <cell r="F1170">
            <v>52.513596837945144</v>
          </cell>
          <cell r="G1170">
            <v>28.363399209485348</v>
          </cell>
          <cell r="H1170">
            <v>28.363399209485348</v>
          </cell>
          <cell r="I1170" t="e">
            <v>#N/A</v>
          </cell>
          <cell r="J1170" t="e">
            <v>#N/A</v>
          </cell>
          <cell r="K1170">
            <v>42</v>
          </cell>
          <cell r="L1170">
            <v>32</v>
          </cell>
          <cell r="M1170" t="e">
            <v>#N/A</v>
          </cell>
          <cell r="N1170">
            <v>37</v>
          </cell>
          <cell r="O1170" t="e">
            <v>#N/A</v>
          </cell>
          <cell r="P1170" t="str">
            <v/>
          </cell>
          <cell r="Q1170" t="str">
            <v/>
          </cell>
          <cell r="R1170" t="e">
            <v>#N/A</v>
          </cell>
        </row>
        <row r="1171">
          <cell r="A1171" t="str">
            <v/>
          </cell>
          <cell r="B1171" t="str">
            <v/>
          </cell>
          <cell r="C1171" t="str">
            <v>Future</v>
          </cell>
          <cell r="D1171" t="e">
            <v>#N/A</v>
          </cell>
          <cell r="E1171">
            <v>-49.053873517786649</v>
          </cell>
          <cell r="F1171">
            <v>52.542964426877951</v>
          </cell>
          <cell r="G1171">
            <v>28.353241106718549</v>
          </cell>
          <cell r="H1171">
            <v>28.353241106718549</v>
          </cell>
          <cell r="I1171" t="e">
            <v>#N/A</v>
          </cell>
          <cell r="J1171" t="e">
            <v>#N/A</v>
          </cell>
          <cell r="K1171">
            <v>42</v>
          </cell>
          <cell r="L1171">
            <v>32</v>
          </cell>
          <cell r="M1171" t="e">
            <v>#N/A</v>
          </cell>
          <cell r="N1171">
            <v>37</v>
          </cell>
          <cell r="O1171" t="e">
            <v>#N/A</v>
          </cell>
          <cell r="P1171" t="str">
            <v/>
          </cell>
          <cell r="Q1171" t="str">
            <v/>
          </cell>
          <cell r="R1171" t="e">
            <v>#N/A</v>
          </cell>
        </row>
        <row r="1172">
          <cell r="A1172" t="str">
            <v/>
          </cell>
          <cell r="B1172" t="str">
            <v/>
          </cell>
          <cell r="C1172" t="str">
            <v>Future</v>
          </cell>
          <cell r="D1172" t="e">
            <v>#N/A</v>
          </cell>
          <cell r="E1172">
            <v>-49.190513833992185</v>
          </cell>
          <cell r="F1172">
            <v>52.572332015810758</v>
          </cell>
          <cell r="G1172">
            <v>28.343083003951751</v>
          </cell>
          <cell r="H1172">
            <v>28.343083003951751</v>
          </cell>
          <cell r="I1172" t="e">
            <v>#N/A</v>
          </cell>
          <cell r="J1172" t="e">
            <v>#N/A</v>
          </cell>
          <cell r="K1172">
            <v>42</v>
          </cell>
          <cell r="L1172">
            <v>32</v>
          </cell>
          <cell r="M1172" t="e">
            <v>#N/A</v>
          </cell>
          <cell r="N1172">
            <v>37</v>
          </cell>
          <cell r="O1172" t="e">
            <v>#N/A</v>
          </cell>
          <cell r="P1172" t="str">
            <v/>
          </cell>
          <cell r="Q1172" t="str">
            <v/>
          </cell>
          <cell r="R1172" t="e">
            <v>#N/A</v>
          </cell>
        </row>
        <row r="1173">
          <cell r="A1173" t="str">
            <v/>
          </cell>
          <cell r="B1173" t="str">
            <v/>
          </cell>
          <cell r="C1173" t="str">
            <v>Future</v>
          </cell>
          <cell r="D1173" t="e">
            <v>#N/A</v>
          </cell>
          <cell r="E1173">
            <v>-49.327154150197721</v>
          </cell>
          <cell r="F1173">
            <v>52.601699604743565</v>
          </cell>
          <cell r="G1173">
            <v>28.332924901184953</v>
          </cell>
          <cell r="H1173">
            <v>28.332924901184953</v>
          </cell>
          <cell r="I1173" t="e">
            <v>#N/A</v>
          </cell>
          <cell r="J1173" t="e">
            <v>#N/A</v>
          </cell>
          <cell r="K1173">
            <v>42</v>
          </cell>
          <cell r="L1173">
            <v>32</v>
          </cell>
          <cell r="M1173" t="e">
            <v>#N/A</v>
          </cell>
          <cell r="N1173">
            <v>37</v>
          </cell>
          <cell r="O1173" t="e">
            <v>#N/A</v>
          </cell>
          <cell r="P1173" t="str">
            <v/>
          </cell>
          <cell r="Q1173" t="str">
            <v/>
          </cell>
          <cell r="R1173" t="e">
            <v>#N/A</v>
          </cell>
        </row>
        <row r="1174">
          <cell r="A1174" t="str">
            <v/>
          </cell>
          <cell r="B1174" t="str">
            <v/>
          </cell>
          <cell r="C1174" t="str">
            <v>Future</v>
          </cell>
          <cell r="D1174" t="e">
            <v>#N/A</v>
          </cell>
          <cell r="E1174">
            <v>-49.463794466403257</v>
          </cell>
          <cell r="F1174">
            <v>52.631067193676373</v>
          </cell>
          <cell r="G1174">
            <v>28.322766798418154</v>
          </cell>
          <cell r="H1174">
            <v>28.322766798418154</v>
          </cell>
          <cell r="I1174" t="e">
            <v>#N/A</v>
          </cell>
          <cell r="J1174" t="e">
            <v>#N/A</v>
          </cell>
          <cell r="K1174">
            <v>42</v>
          </cell>
          <cell r="L1174">
            <v>32</v>
          </cell>
          <cell r="M1174" t="e">
            <v>#N/A</v>
          </cell>
          <cell r="N1174">
            <v>37</v>
          </cell>
          <cell r="O1174" t="e">
            <v>#N/A</v>
          </cell>
          <cell r="P1174" t="str">
            <v/>
          </cell>
          <cell r="Q1174" t="str">
            <v/>
          </cell>
          <cell r="R1174" t="e">
            <v>#N/A</v>
          </cell>
        </row>
        <row r="1175">
          <cell r="A1175" t="str">
            <v/>
          </cell>
          <cell r="B1175" t="str">
            <v/>
          </cell>
          <cell r="C1175" t="str">
            <v>Future</v>
          </cell>
          <cell r="D1175" t="e">
            <v>#N/A</v>
          </cell>
          <cell r="E1175">
            <v>-49.600434782608794</v>
          </cell>
          <cell r="F1175">
            <v>52.66043478260918</v>
          </cell>
          <cell r="G1175">
            <v>28.312608695651356</v>
          </cell>
          <cell r="H1175">
            <v>28.312608695651356</v>
          </cell>
          <cell r="I1175" t="e">
            <v>#N/A</v>
          </cell>
          <cell r="J1175" t="e">
            <v>#N/A</v>
          </cell>
          <cell r="K1175">
            <v>42</v>
          </cell>
          <cell r="L1175">
            <v>32</v>
          </cell>
          <cell r="M1175" t="e">
            <v>#N/A</v>
          </cell>
          <cell r="N1175">
            <v>37</v>
          </cell>
          <cell r="O1175" t="e">
            <v>#N/A</v>
          </cell>
          <cell r="P1175" t="str">
            <v/>
          </cell>
          <cell r="Q1175" t="str">
            <v/>
          </cell>
          <cell r="R1175" t="e">
            <v>#N/A</v>
          </cell>
        </row>
        <row r="1176">
          <cell r="A1176" t="str">
            <v/>
          </cell>
          <cell r="B1176" t="str">
            <v/>
          </cell>
          <cell r="C1176" t="str">
            <v>Future</v>
          </cell>
          <cell r="D1176" t="e">
            <v>#N/A</v>
          </cell>
          <cell r="E1176">
            <v>-49.73707509881433</v>
          </cell>
          <cell r="F1176">
            <v>52.689802371541987</v>
          </cell>
          <cell r="G1176">
            <v>28.302450592884558</v>
          </cell>
          <cell r="H1176">
            <v>28.302450592884558</v>
          </cell>
          <cell r="I1176" t="e">
            <v>#N/A</v>
          </cell>
          <cell r="J1176" t="e">
            <v>#N/A</v>
          </cell>
          <cell r="K1176">
            <v>42</v>
          </cell>
          <cell r="L1176">
            <v>32</v>
          </cell>
          <cell r="M1176" t="e">
            <v>#N/A</v>
          </cell>
          <cell r="N1176">
            <v>37</v>
          </cell>
          <cell r="O1176" t="e">
            <v>#N/A</v>
          </cell>
          <cell r="P1176" t="str">
            <v/>
          </cell>
          <cell r="Q1176" t="str">
            <v/>
          </cell>
          <cell r="R1176" t="e">
            <v>#N/A</v>
          </cell>
        </row>
        <row r="1177">
          <cell r="A1177" t="str">
            <v/>
          </cell>
          <cell r="B1177" t="str">
            <v/>
          </cell>
          <cell r="C1177" t="str">
            <v>Future</v>
          </cell>
          <cell r="D1177" t="e">
            <v>#N/A</v>
          </cell>
          <cell r="E1177">
            <v>-49.873715415019866</v>
          </cell>
          <cell r="F1177">
            <v>52.719169960474794</v>
          </cell>
          <cell r="G1177">
            <v>28.292292490117759</v>
          </cell>
          <cell r="H1177">
            <v>28.292292490117759</v>
          </cell>
          <cell r="I1177" t="e">
            <v>#N/A</v>
          </cell>
          <cell r="J1177" t="e">
            <v>#N/A</v>
          </cell>
          <cell r="K1177">
            <v>42</v>
          </cell>
          <cell r="L1177">
            <v>32</v>
          </cell>
          <cell r="M1177" t="e">
            <v>#N/A</v>
          </cell>
          <cell r="N1177">
            <v>37</v>
          </cell>
          <cell r="O1177" t="e">
            <v>#N/A</v>
          </cell>
          <cell r="P1177" t="str">
            <v/>
          </cell>
          <cell r="Q1177" t="str">
            <v/>
          </cell>
          <cell r="R1177" t="e">
            <v>#N/A</v>
          </cell>
        </row>
        <row r="1178">
          <cell r="A1178" t="str">
            <v/>
          </cell>
          <cell r="B1178" t="str">
            <v/>
          </cell>
          <cell r="C1178" t="str">
            <v>Future</v>
          </cell>
          <cell r="D1178" t="e">
            <v>#N/A</v>
          </cell>
          <cell r="E1178">
            <v>-50.010355731225403</v>
          </cell>
          <cell r="F1178">
            <v>52.748537549407601</v>
          </cell>
          <cell r="G1178">
            <v>28.282134387350961</v>
          </cell>
          <cell r="H1178">
            <v>28.282134387350961</v>
          </cell>
          <cell r="I1178" t="e">
            <v>#N/A</v>
          </cell>
          <cell r="J1178" t="e">
            <v>#N/A</v>
          </cell>
          <cell r="K1178">
            <v>42</v>
          </cell>
          <cell r="L1178">
            <v>32</v>
          </cell>
          <cell r="M1178" t="e">
            <v>#N/A</v>
          </cell>
          <cell r="N1178">
            <v>37</v>
          </cell>
          <cell r="O1178" t="e">
            <v>#N/A</v>
          </cell>
          <cell r="P1178" t="str">
            <v/>
          </cell>
          <cell r="Q1178" t="str">
            <v/>
          </cell>
          <cell r="R1178" t="e">
            <v>#N/A</v>
          </cell>
        </row>
        <row r="1179">
          <cell r="A1179" t="str">
            <v/>
          </cell>
          <cell r="B1179" t="str">
            <v/>
          </cell>
          <cell r="C1179" t="str">
            <v>Future</v>
          </cell>
          <cell r="D1179" t="e">
            <v>#N/A</v>
          </cell>
          <cell r="E1179">
            <v>-50.146996047430939</v>
          </cell>
          <cell r="F1179">
            <v>52.777905138340408</v>
          </cell>
          <cell r="G1179">
            <v>28.271976284584163</v>
          </cell>
          <cell r="H1179">
            <v>28.271976284584163</v>
          </cell>
          <cell r="I1179" t="e">
            <v>#N/A</v>
          </cell>
          <cell r="J1179" t="e">
            <v>#N/A</v>
          </cell>
          <cell r="K1179">
            <v>42</v>
          </cell>
          <cell r="L1179">
            <v>32</v>
          </cell>
          <cell r="M1179" t="e">
            <v>#N/A</v>
          </cell>
          <cell r="N1179">
            <v>37</v>
          </cell>
          <cell r="O1179" t="e">
            <v>#N/A</v>
          </cell>
          <cell r="P1179" t="str">
            <v/>
          </cell>
          <cell r="Q1179" t="str">
            <v/>
          </cell>
          <cell r="R1179" t="e">
            <v>#N/A</v>
          </cell>
        </row>
        <row r="1180">
          <cell r="A1180" t="str">
            <v/>
          </cell>
          <cell r="B1180" t="str">
            <v/>
          </cell>
          <cell r="C1180" t="str">
            <v>Future</v>
          </cell>
          <cell r="D1180" t="e">
            <v>#N/A</v>
          </cell>
          <cell r="E1180">
            <v>-50.283636363636475</v>
          </cell>
          <cell r="F1180">
            <v>52.807272727273215</v>
          </cell>
          <cell r="G1180">
            <v>28.261818181817365</v>
          </cell>
          <cell r="H1180">
            <v>28.261818181817365</v>
          </cell>
          <cell r="I1180" t="e">
            <v>#N/A</v>
          </cell>
          <cell r="J1180" t="e">
            <v>#N/A</v>
          </cell>
          <cell r="K1180">
            <v>42</v>
          </cell>
          <cell r="L1180">
            <v>32</v>
          </cell>
          <cell r="M1180" t="e">
            <v>#N/A</v>
          </cell>
          <cell r="N1180">
            <v>37</v>
          </cell>
          <cell r="O1180" t="e">
            <v>#N/A</v>
          </cell>
          <cell r="P1180" t="str">
            <v/>
          </cell>
          <cell r="Q1180" t="str">
            <v/>
          </cell>
          <cell r="R1180" t="e">
            <v>#N/A</v>
          </cell>
        </row>
        <row r="1181">
          <cell r="A1181" t="str">
            <v/>
          </cell>
          <cell r="B1181" t="str">
            <v/>
          </cell>
          <cell r="C1181" t="str">
            <v>Future</v>
          </cell>
          <cell r="D1181" t="e">
            <v>#N/A</v>
          </cell>
          <cell r="E1181">
            <v>-50.420276679842011</v>
          </cell>
          <cell r="F1181">
            <v>52.836640316206022</v>
          </cell>
          <cell r="G1181">
            <v>28.251660079050566</v>
          </cell>
          <cell r="H1181">
            <v>28.251660079050566</v>
          </cell>
          <cell r="I1181" t="e">
            <v>#N/A</v>
          </cell>
          <cell r="J1181" t="e">
            <v>#N/A</v>
          </cell>
          <cell r="K1181">
            <v>42</v>
          </cell>
          <cell r="L1181">
            <v>32</v>
          </cell>
          <cell r="M1181" t="e">
            <v>#N/A</v>
          </cell>
          <cell r="N1181">
            <v>37</v>
          </cell>
          <cell r="O1181" t="e">
            <v>#N/A</v>
          </cell>
          <cell r="P1181" t="str">
            <v/>
          </cell>
          <cell r="Q1181" t="str">
            <v/>
          </cell>
          <cell r="R1181" t="e">
            <v>#N/A</v>
          </cell>
        </row>
        <row r="1182">
          <cell r="A1182" t="str">
            <v/>
          </cell>
          <cell r="B1182" t="str">
            <v/>
          </cell>
          <cell r="C1182" t="str">
            <v>Future</v>
          </cell>
          <cell r="D1182" t="e">
            <v>#N/A</v>
          </cell>
          <cell r="E1182">
            <v>-50.556916996047548</v>
          </cell>
          <cell r="F1182">
            <v>52.866007905138829</v>
          </cell>
          <cell r="G1182">
            <v>28.241501976283768</v>
          </cell>
          <cell r="H1182">
            <v>28.241501976283768</v>
          </cell>
          <cell r="I1182" t="e">
            <v>#N/A</v>
          </cell>
          <cell r="J1182" t="e">
            <v>#N/A</v>
          </cell>
          <cell r="K1182">
            <v>42</v>
          </cell>
          <cell r="L1182">
            <v>32</v>
          </cell>
          <cell r="M1182" t="e">
            <v>#N/A</v>
          </cell>
          <cell r="N1182">
            <v>37</v>
          </cell>
          <cell r="O1182" t="e">
            <v>#N/A</v>
          </cell>
          <cell r="P1182" t="str">
            <v/>
          </cell>
          <cell r="Q1182" t="str">
            <v/>
          </cell>
          <cell r="R1182" t="e">
            <v>#N/A</v>
          </cell>
        </row>
        <row r="1183">
          <cell r="A1183" t="str">
            <v/>
          </cell>
          <cell r="B1183" t="str">
            <v/>
          </cell>
          <cell r="C1183" t="str">
            <v>Future</v>
          </cell>
          <cell r="D1183" t="e">
            <v>#N/A</v>
          </cell>
          <cell r="E1183">
            <v>-50.693557312253084</v>
          </cell>
          <cell r="F1183">
            <v>52.895375494071637</v>
          </cell>
          <cell r="G1183">
            <v>28.23134387351697</v>
          </cell>
          <cell r="H1183">
            <v>28.23134387351697</v>
          </cell>
          <cell r="I1183" t="e">
            <v>#N/A</v>
          </cell>
          <cell r="J1183" t="e">
            <v>#N/A</v>
          </cell>
          <cell r="K1183">
            <v>42</v>
          </cell>
          <cell r="L1183">
            <v>32</v>
          </cell>
          <cell r="M1183" t="e">
            <v>#N/A</v>
          </cell>
          <cell r="N1183">
            <v>37</v>
          </cell>
          <cell r="O1183" t="e">
            <v>#N/A</v>
          </cell>
          <cell r="P1183" t="str">
            <v/>
          </cell>
          <cell r="Q1183" t="str">
            <v/>
          </cell>
          <cell r="R1183" t="e">
            <v>#N/A</v>
          </cell>
        </row>
        <row r="1184">
          <cell r="A1184" t="str">
            <v/>
          </cell>
          <cell r="B1184" t="str">
            <v/>
          </cell>
          <cell r="C1184" t="str">
            <v>Future</v>
          </cell>
          <cell r="D1184" t="e">
            <v>#N/A</v>
          </cell>
          <cell r="E1184">
            <v>-50.83019762845862</v>
          </cell>
          <cell r="F1184">
            <v>52.924743083004444</v>
          </cell>
          <cell r="G1184">
            <v>28.221185770750171</v>
          </cell>
          <cell r="H1184">
            <v>28.221185770750171</v>
          </cell>
          <cell r="I1184" t="e">
            <v>#N/A</v>
          </cell>
          <cell r="J1184" t="e">
            <v>#N/A</v>
          </cell>
          <cell r="K1184">
            <v>42</v>
          </cell>
          <cell r="L1184">
            <v>32</v>
          </cell>
          <cell r="M1184" t="e">
            <v>#N/A</v>
          </cell>
          <cell r="N1184">
            <v>37</v>
          </cell>
          <cell r="O1184" t="e">
            <v>#N/A</v>
          </cell>
          <cell r="P1184" t="str">
            <v/>
          </cell>
          <cell r="Q1184" t="str">
            <v/>
          </cell>
          <cell r="R1184" t="e">
            <v>#N/A</v>
          </cell>
        </row>
        <row r="1185">
          <cell r="A1185" t="str">
            <v/>
          </cell>
          <cell r="B1185" t="str">
            <v/>
          </cell>
          <cell r="C1185" t="str">
            <v>Future</v>
          </cell>
          <cell r="D1185" t="e">
            <v>#N/A</v>
          </cell>
          <cell r="E1185">
            <v>-50.966837944664157</v>
          </cell>
          <cell r="F1185">
            <v>52.954110671937251</v>
          </cell>
          <cell r="G1185">
            <v>28.211027667983373</v>
          </cell>
          <cell r="H1185">
            <v>28.211027667983373</v>
          </cell>
          <cell r="I1185" t="e">
            <v>#N/A</v>
          </cell>
          <cell r="J1185" t="e">
            <v>#N/A</v>
          </cell>
          <cell r="K1185">
            <v>42</v>
          </cell>
          <cell r="L1185">
            <v>32</v>
          </cell>
          <cell r="M1185" t="e">
            <v>#N/A</v>
          </cell>
          <cell r="N1185">
            <v>37</v>
          </cell>
          <cell r="O1185" t="e">
            <v>#N/A</v>
          </cell>
          <cell r="P1185" t="str">
            <v/>
          </cell>
          <cell r="Q1185" t="str">
            <v/>
          </cell>
          <cell r="R1185" t="e">
            <v>#N/A</v>
          </cell>
        </row>
        <row r="1186">
          <cell r="A1186" t="str">
            <v/>
          </cell>
          <cell r="B1186" t="str">
            <v/>
          </cell>
          <cell r="C1186" t="str">
            <v>Future</v>
          </cell>
          <cell r="D1186" t="e">
            <v>#N/A</v>
          </cell>
          <cell r="E1186">
            <v>-51.103478260869693</v>
          </cell>
          <cell r="F1186">
            <v>52.983478260870058</v>
          </cell>
          <cell r="G1186">
            <v>28.200869565216575</v>
          </cell>
          <cell r="H1186">
            <v>28.200869565216575</v>
          </cell>
          <cell r="I1186" t="e">
            <v>#N/A</v>
          </cell>
          <cell r="J1186" t="e">
            <v>#N/A</v>
          </cell>
          <cell r="K1186">
            <v>42</v>
          </cell>
          <cell r="L1186">
            <v>32</v>
          </cell>
          <cell r="M1186" t="e">
            <v>#N/A</v>
          </cell>
          <cell r="N1186">
            <v>37</v>
          </cell>
          <cell r="O1186" t="e">
            <v>#N/A</v>
          </cell>
          <cell r="P1186" t="str">
            <v/>
          </cell>
          <cell r="Q1186" t="str">
            <v/>
          </cell>
          <cell r="R1186" t="e">
            <v>#N/A</v>
          </cell>
        </row>
        <row r="1187">
          <cell r="A1187" t="str">
            <v/>
          </cell>
          <cell r="B1187" t="str">
            <v/>
          </cell>
          <cell r="C1187" t="str">
            <v>Future</v>
          </cell>
          <cell r="D1187" t="e">
            <v>#N/A</v>
          </cell>
          <cell r="E1187">
            <v>-51.240118577075229</v>
          </cell>
          <cell r="F1187">
            <v>53.012845849802865</v>
          </cell>
          <cell r="G1187">
            <v>28.190711462449777</v>
          </cell>
          <cell r="H1187">
            <v>28.190711462449777</v>
          </cell>
          <cell r="I1187" t="e">
            <v>#N/A</v>
          </cell>
          <cell r="J1187" t="e">
            <v>#N/A</v>
          </cell>
          <cell r="K1187">
            <v>42</v>
          </cell>
          <cell r="L1187">
            <v>32</v>
          </cell>
          <cell r="M1187" t="e">
            <v>#N/A</v>
          </cell>
          <cell r="N1187">
            <v>37</v>
          </cell>
          <cell r="O1187" t="e">
            <v>#N/A</v>
          </cell>
          <cell r="P1187" t="str">
            <v/>
          </cell>
          <cell r="Q1187" t="str">
            <v/>
          </cell>
          <cell r="R1187" t="e">
            <v>#N/A</v>
          </cell>
        </row>
        <row r="1188">
          <cell r="A1188" t="str">
            <v/>
          </cell>
          <cell r="B1188" t="str">
            <v/>
          </cell>
          <cell r="C1188" t="str">
            <v>Future</v>
          </cell>
          <cell r="D1188" t="e">
            <v>#N/A</v>
          </cell>
          <cell r="E1188">
            <v>-51.376758893280766</v>
          </cell>
          <cell r="F1188">
            <v>53.042213438735672</v>
          </cell>
          <cell r="G1188">
            <v>28.180553359682978</v>
          </cell>
          <cell r="H1188">
            <v>28.180553359682978</v>
          </cell>
          <cell r="I1188" t="e">
            <v>#N/A</v>
          </cell>
          <cell r="J1188" t="e">
            <v>#N/A</v>
          </cell>
          <cell r="K1188">
            <v>42</v>
          </cell>
          <cell r="L1188">
            <v>32</v>
          </cell>
          <cell r="M1188" t="e">
            <v>#N/A</v>
          </cell>
          <cell r="N1188">
            <v>37</v>
          </cell>
          <cell r="O1188" t="e">
            <v>#N/A</v>
          </cell>
          <cell r="P1188" t="str">
            <v/>
          </cell>
          <cell r="Q1188" t="str">
            <v/>
          </cell>
          <cell r="R1188" t="e">
            <v>#N/A</v>
          </cell>
        </row>
        <row r="1189">
          <cell r="A1189" t="str">
            <v/>
          </cell>
          <cell r="B1189" t="str">
            <v/>
          </cell>
          <cell r="C1189" t="str">
            <v>Future</v>
          </cell>
          <cell r="D1189" t="e">
            <v>#N/A</v>
          </cell>
          <cell r="E1189">
            <v>-51.513399209486302</v>
          </cell>
          <cell r="F1189">
            <v>53.071581027668479</v>
          </cell>
          <cell r="G1189">
            <v>28.17039525691618</v>
          </cell>
          <cell r="H1189">
            <v>28.17039525691618</v>
          </cell>
          <cell r="I1189" t="e">
            <v>#N/A</v>
          </cell>
          <cell r="J1189" t="e">
            <v>#N/A</v>
          </cell>
          <cell r="K1189">
            <v>42</v>
          </cell>
          <cell r="L1189">
            <v>32</v>
          </cell>
          <cell r="M1189" t="e">
            <v>#N/A</v>
          </cell>
          <cell r="N1189">
            <v>37</v>
          </cell>
          <cell r="O1189" t="e">
            <v>#N/A</v>
          </cell>
          <cell r="P1189" t="str">
            <v/>
          </cell>
          <cell r="Q1189" t="str">
            <v/>
          </cell>
          <cell r="R1189" t="e">
            <v>#N/A</v>
          </cell>
        </row>
        <row r="1190">
          <cell r="A1190" t="str">
            <v/>
          </cell>
          <cell r="B1190" t="str">
            <v/>
          </cell>
          <cell r="C1190" t="str">
            <v>Future</v>
          </cell>
          <cell r="D1190" t="e">
            <v>#N/A</v>
          </cell>
          <cell r="E1190">
            <v>-51.650039525691838</v>
          </cell>
          <cell r="F1190">
            <v>53.100948616601286</v>
          </cell>
          <cell r="G1190">
            <v>28.160237154149382</v>
          </cell>
          <cell r="H1190">
            <v>28.160237154149382</v>
          </cell>
          <cell r="I1190" t="e">
            <v>#N/A</v>
          </cell>
          <cell r="J1190" t="e">
            <v>#N/A</v>
          </cell>
          <cell r="K1190">
            <v>42</v>
          </cell>
          <cell r="L1190">
            <v>32</v>
          </cell>
          <cell r="M1190" t="e">
            <v>#N/A</v>
          </cell>
          <cell r="N1190">
            <v>37</v>
          </cell>
          <cell r="O1190" t="e">
            <v>#N/A</v>
          </cell>
          <cell r="P1190" t="str">
            <v/>
          </cell>
          <cell r="Q1190" t="str">
            <v/>
          </cell>
          <cell r="R1190" t="e">
            <v>#N/A</v>
          </cell>
        </row>
        <row r="1191">
          <cell r="A1191" t="str">
            <v/>
          </cell>
          <cell r="B1191" t="str">
            <v/>
          </cell>
          <cell r="C1191" t="str">
            <v>Future</v>
          </cell>
          <cell r="D1191" t="e">
            <v>#N/A</v>
          </cell>
          <cell r="E1191">
            <v>-51.786679841897374</v>
          </cell>
          <cell r="F1191">
            <v>53.130316205534093</v>
          </cell>
          <cell r="G1191">
            <v>28.150079051382583</v>
          </cell>
          <cell r="H1191">
            <v>28.150079051382583</v>
          </cell>
          <cell r="I1191" t="e">
            <v>#N/A</v>
          </cell>
          <cell r="J1191" t="e">
            <v>#N/A</v>
          </cell>
          <cell r="K1191">
            <v>42</v>
          </cell>
          <cell r="L1191">
            <v>32</v>
          </cell>
          <cell r="M1191" t="e">
            <v>#N/A</v>
          </cell>
          <cell r="N1191">
            <v>37</v>
          </cell>
          <cell r="O1191" t="e">
            <v>#N/A</v>
          </cell>
          <cell r="P1191" t="str">
            <v/>
          </cell>
          <cell r="Q1191" t="str">
            <v/>
          </cell>
          <cell r="R1191" t="e">
            <v>#N/A</v>
          </cell>
        </row>
        <row r="1192">
          <cell r="A1192" t="str">
            <v/>
          </cell>
          <cell r="B1192" t="str">
            <v/>
          </cell>
          <cell r="C1192" t="str">
            <v>Future</v>
          </cell>
          <cell r="D1192" t="e">
            <v>#N/A</v>
          </cell>
          <cell r="E1192">
            <v>-51.923320158102911</v>
          </cell>
          <cell r="F1192">
            <v>53.159683794466901</v>
          </cell>
          <cell r="G1192">
            <v>28.139920948615785</v>
          </cell>
          <cell r="H1192">
            <v>28.139920948615785</v>
          </cell>
          <cell r="I1192" t="e">
            <v>#N/A</v>
          </cell>
          <cell r="J1192" t="e">
            <v>#N/A</v>
          </cell>
          <cell r="K1192">
            <v>42</v>
          </cell>
          <cell r="L1192">
            <v>32</v>
          </cell>
          <cell r="M1192" t="e">
            <v>#N/A</v>
          </cell>
          <cell r="N1192">
            <v>37</v>
          </cell>
          <cell r="O1192" t="e">
            <v>#N/A</v>
          </cell>
          <cell r="P1192" t="str">
            <v/>
          </cell>
          <cell r="Q1192" t="str">
            <v/>
          </cell>
          <cell r="R1192" t="e">
            <v>#N/A</v>
          </cell>
        </row>
        <row r="1193">
          <cell r="A1193" t="str">
            <v/>
          </cell>
          <cell r="B1193" t="str">
            <v/>
          </cell>
          <cell r="C1193" t="str">
            <v>Future</v>
          </cell>
          <cell r="D1193" t="e">
            <v>#N/A</v>
          </cell>
          <cell r="E1193">
            <v>-52.059960474308447</v>
          </cell>
          <cell r="F1193">
            <v>53.189051383399708</v>
          </cell>
          <cell r="G1193">
            <v>28.129762845848987</v>
          </cell>
          <cell r="H1193">
            <v>28.129762845848987</v>
          </cell>
          <cell r="I1193" t="e">
            <v>#N/A</v>
          </cell>
          <cell r="J1193" t="e">
            <v>#N/A</v>
          </cell>
          <cell r="K1193">
            <v>42</v>
          </cell>
          <cell r="L1193">
            <v>32</v>
          </cell>
          <cell r="M1193" t="e">
            <v>#N/A</v>
          </cell>
          <cell r="N1193">
            <v>37</v>
          </cell>
          <cell r="O1193" t="e">
            <v>#N/A</v>
          </cell>
          <cell r="P1193" t="str">
            <v/>
          </cell>
          <cell r="Q1193" t="str">
            <v/>
          </cell>
          <cell r="R1193" t="e">
            <v>#N/A</v>
          </cell>
        </row>
        <row r="1194">
          <cell r="A1194" t="str">
            <v/>
          </cell>
          <cell r="B1194" t="str">
            <v/>
          </cell>
          <cell r="C1194" t="str">
            <v>Future</v>
          </cell>
          <cell r="D1194" t="e">
            <v>#N/A</v>
          </cell>
          <cell r="E1194">
            <v>-52.196600790513983</v>
          </cell>
          <cell r="F1194">
            <v>53.218418972332515</v>
          </cell>
          <cell r="G1194">
            <v>28.119604743082188</v>
          </cell>
          <cell r="H1194">
            <v>28.119604743082188</v>
          </cell>
          <cell r="I1194" t="e">
            <v>#N/A</v>
          </cell>
          <cell r="J1194" t="e">
            <v>#N/A</v>
          </cell>
          <cell r="K1194">
            <v>42</v>
          </cell>
          <cell r="L1194">
            <v>32</v>
          </cell>
          <cell r="M1194" t="e">
            <v>#N/A</v>
          </cell>
          <cell r="N1194">
            <v>37</v>
          </cell>
          <cell r="O1194" t="e">
            <v>#N/A</v>
          </cell>
          <cell r="P1194" t="str">
            <v/>
          </cell>
          <cell r="Q1194" t="str">
            <v/>
          </cell>
          <cell r="R1194" t="e">
            <v>#N/A</v>
          </cell>
        </row>
        <row r="1195">
          <cell r="A1195" t="str">
            <v/>
          </cell>
          <cell r="B1195" t="str">
            <v/>
          </cell>
          <cell r="C1195" t="str">
            <v>Future</v>
          </cell>
          <cell r="D1195" t="e">
            <v>#N/A</v>
          </cell>
          <cell r="E1195">
            <v>-52.33324110671952</v>
          </cell>
          <cell r="F1195">
            <v>53.247786561265322</v>
          </cell>
          <cell r="G1195">
            <v>28.10944664031539</v>
          </cell>
          <cell r="H1195">
            <v>28.10944664031539</v>
          </cell>
          <cell r="I1195" t="e">
            <v>#N/A</v>
          </cell>
          <cell r="J1195" t="e">
            <v>#N/A</v>
          </cell>
          <cell r="K1195">
            <v>42</v>
          </cell>
          <cell r="L1195">
            <v>32</v>
          </cell>
          <cell r="M1195" t="e">
            <v>#N/A</v>
          </cell>
          <cell r="N1195">
            <v>37</v>
          </cell>
          <cell r="O1195" t="e">
            <v>#N/A</v>
          </cell>
          <cell r="P1195" t="str">
            <v/>
          </cell>
          <cell r="Q1195" t="str">
            <v/>
          </cell>
          <cell r="R1195" t="e">
            <v>#N/A</v>
          </cell>
        </row>
        <row r="1196">
          <cell r="A1196" t="str">
            <v/>
          </cell>
          <cell r="B1196" t="str">
            <v/>
          </cell>
          <cell r="C1196" t="str">
            <v>Future</v>
          </cell>
          <cell r="D1196" t="e">
            <v>#N/A</v>
          </cell>
          <cell r="E1196">
            <v>-52.469881422925056</v>
          </cell>
          <cell r="F1196">
            <v>53.277154150198129</v>
          </cell>
          <cell r="G1196">
            <v>28.099288537548592</v>
          </cell>
          <cell r="H1196">
            <v>28.099288537548592</v>
          </cell>
          <cell r="I1196" t="e">
            <v>#N/A</v>
          </cell>
          <cell r="J1196" t="e">
            <v>#N/A</v>
          </cell>
          <cell r="K1196">
            <v>42</v>
          </cell>
          <cell r="L1196">
            <v>32</v>
          </cell>
          <cell r="M1196" t="e">
            <v>#N/A</v>
          </cell>
          <cell r="N1196">
            <v>37</v>
          </cell>
          <cell r="O1196" t="e">
            <v>#N/A</v>
          </cell>
          <cell r="P1196" t="str">
            <v/>
          </cell>
          <cell r="Q1196" t="str">
            <v/>
          </cell>
          <cell r="R1196" t="e">
            <v>#N/A</v>
          </cell>
        </row>
        <row r="1197">
          <cell r="A1197" t="str">
            <v/>
          </cell>
          <cell r="B1197" t="str">
            <v/>
          </cell>
          <cell r="C1197" t="str">
            <v>Future</v>
          </cell>
          <cell r="D1197" t="e">
            <v>#N/A</v>
          </cell>
          <cell r="E1197">
            <v>-52.606521739130592</v>
          </cell>
          <cell r="F1197">
            <v>53.306521739130936</v>
          </cell>
          <cell r="G1197">
            <v>28.089130434781794</v>
          </cell>
          <cell r="H1197">
            <v>28.089130434781794</v>
          </cell>
          <cell r="I1197" t="e">
            <v>#N/A</v>
          </cell>
          <cell r="J1197" t="e">
            <v>#N/A</v>
          </cell>
          <cell r="K1197">
            <v>42</v>
          </cell>
          <cell r="L1197">
            <v>32</v>
          </cell>
          <cell r="M1197" t="e">
            <v>#N/A</v>
          </cell>
          <cell r="N1197">
            <v>37</v>
          </cell>
          <cell r="O1197" t="e">
            <v>#N/A</v>
          </cell>
          <cell r="P1197" t="str">
            <v/>
          </cell>
          <cell r="Q1197" t="str">
            <v/>
          </cell>
          <cell r="R1197" t="e">
            <v>#N/A</v>
          </cell>
        </row>
        <row r="1198">
          <cell r="A1198" t="str">
            <v/>
          </cell>
          <cell r="B1198" t="str">
            <v/>
          </cell>
          <cell r="C1198" t="str">
            <v>Future</v>
          </cell>
          <cell r="D1198" t="e">
            <v>#N/A</v>
          </cell>
          <cell r="E1198">
            <v>-52.743162055336128</v>
          </cell>
          <cell r="F1198">
            <v>53.335889328063743</v>
          </cell>
          <cell r="G1198">
            <v>28.078972332014995</v>
          </cell>
          <cell r="H1198">
            <v>28.078972332014995</v>
          </cell>
          <cell r="I1198" t="e">
            <v>#N/A</v>
          </cell>
          <cell r="J1198" t="e">
            <v>#N/A</v>
          </cell>
          <cell r="K1198">
            <v>42</v>
          </cell>
          <cell r="L1198">
            <v>32</v>
          </cell>
          <cell r="M1198" t="e">
            <v>#N/A</v>
          </cell>
          <cell r="N1198">
            <v>37</v>
          </cell>
          <cell r="O1198" t="e">
            <v>#N/A</v>
          </cell>
          <cell r="P1198" t="str">
            <v/>
          </cell>
          <cell r="Q1198" t="str">
            <v/>
          </cell>
          <cell r="R1198" t="e">
            <v>#N/A</v>
          </cell>
        </row>
        <row r="1199">
          <cell r="A1199" t="str">
            <v/>
          </cell>
          <cell r="B1199" t="str">
            <v/>
          </cell>
          <cell r="C1199" t="str">
            <v>Future</v>
          </cell>
          <cell r="D1199" t="e">
            <v>#N/A</v>
          </cell>
          <cell r="E1199">
            <v>-52.879802371541665</v>
          </cell>
          <cell r="F1199">
            <v>53.36525691699655</v>
          </cell>
          <cell r="G1199">
            <v>28.068814229248197</v>
          </cell>
          <cell r="H1199">
            <v>28.068814229248197</v>
          </cell>
          <cell r="I1199" t="e">
            <v>#N/A</v>
          </cell>
          <cell r="J1199" t="e">
            <v>#N/A</v>
          </cell>
          <cell r="K1199">
            <v>42</v>
          </cell>
          <cell r="L1199">
            <v>32</v>
          </cell>
          <cell r="M1199" t="e">
            <v>#N/A</v>
          </cell>
          <cell r="N1199">
            <v>37</v>
          </cell>
          <cell r="O1199" t="e">
            <v>#N/A</v>
          </cell>
          <cell r="P1199" t="str">
            <v/>
          </cell>
          <cell r="Q1199" t="str">
            <v/>
          </cell>
          <cell r="R1199" t="e">
            <v>#N/A</v>
          </cell>
        </row>
        <row r="1200">
          <cell r="A1200" t="str">
            <v/>
          </cell>
          <cell r="B1200" t="str">
            <v/>
          </cell>
          <cell r="C1200" t="str">
            <v>Future</v>
          </cell>
          <cell r="D1200" t="e">
            <v>#N/A</v>
          </cell>
          <cell r="E1200">
            <v>-53.016442687747201</v>
          </cell>
          <cell r="F1200">
            <v>53.394624505929357</v>
          </cell>
          <cell r="G1200">
            <v>28.058656126481399</v>
          </cell>
          <cell r="H1200">
            <v>28.058656126481399</v>
          </cell>
          <cell r="I1200" t="e">
            <v>#N/A</v>
          </cell>
          <cell r="J1200" t="e">
            <v>#N/A</v>
          </cell>
          <cell r="K1200">
            <v>42</v>
          </cell>
          <cell r="L1200">
            <v>32</v>
          </cell>
          <cell r="M1200" t="e">
            <v>#N/A</v>
          </cell>
          <cell r="N1200">
            <v>37</v>
          </cell>
          <cell r="O1200" t="e">
            <v>#N/A</v>
          </cell>
          <cell r="P1200" t="str">
            <v/>
          </cell>
          <cell r="Q1200" t="str">
            <v/>
          </cell>
          <cell r="R1200" t="e">
            <v>#N/A</v>
          </cell>
        </row>
        <row r="1201">
          <cell r="A1201" t="str">
            <v/>
          </cell>
          <cell r="B1201" t="str">
            <v/>
          </cell>
          <cell r="C1201" t="str">
            <v>Future</v>
          </cell>
          <cell r="D1201" t="e">
            <v>#N/A</v>
          </cell>
          <cell r="E1201">
            <v>-53.153083003952737</v>
          </cell>
          <cell r="F1201">
            <v>53.423992094862164</v>
          </cell>
          <cell r="G1201">
            <v>28.0484980237146</v>
          </cell>
          <cell r="H1201">
            <v>28.0484980237146</v>
          </cell>
          <cell r="I1201" t="e">
            <v>#N/A</v>
          </cell>
          <cell r="J1201" t="e">
            <v>#N/A</v>
          </cell>
          <cell r="K1201">
            <v>42</v>
          </cell>
          <cell r="L1201">
            <v>32</v>
          </cell>
          <cell r="M1201" t="e">
            <v>#N/A</v>
          </cell>
          <cell r="N1201">
            <v>37</v>
          </cell>
          <cell r="O1201" t="e">
            <v>#N/A</v>
          </cell>
          <cell r="P1201" t="str">
            <v/>
          </cell>
          <cell r="Q1201" t="str">
            <v/>
          </cell>
          <cell r="R1201" t="e">
            <v>#N/A</v>
          </cell>
        </row>
        <row r="1202">
          <cell r="A1202" t="str">
            <v/>
          </cell>
          <cell r="B1202" t="str">
            <v/>
          </cell>
          <cell r="C1202" t="str">
            <v>Future</v>
          </cell>
          <cell r="D1202" t="e">
            <v>#N/A</v>
          </cell>
          <cell r="E1202">
            <v>-53.289723320158274</v>
          </cell>
          <cell r="F1202">
            <v>53.453359683794972</v>
          </cell>
          <cell r="G1202">
            <v>28.038339920947802</v>
          </cell>
          <cell r="H1202">
            <v>28.038339920947802</v>
          </cell>
          <cell r="I1202" t="e">
            <v>#N/A</v>
          </cell>
          <cell r="J1202" t="e">
            <v>#N/A</v>
          </cell>
          <cell r="K1202">
            <v>42</v>
          </cell>
          <cell r="L1202">
            <v>32</v>
          </cell>
          <cell r="M1202" t="e">
            <v>#N/A</v>
          </cell>
          <cell r="N1202">
            <v>37</v>
          </cell>
          <cell r="O1202" t="e">
            <v>#N/A</v>
          </cell>
          <cell r="P1202" t="str">
            <v/>
          </cell>
          <cell r="Q1202" t="str">
            <v/>
          </cell>
          <cell r="R1202" t="e">
            <v>#N/A</v>
          </cell>
        </row>
        <row r="1203">
          <cell r="A1203" t="str">
            <v/>
          </cell>
          <cell r="B1203" t="str">
            <v/>
          </cell>
          <cell r="C1203" t="str">
            <v>Future</v>
          </cell>
          <cell r="D1203" t="e">
            <v>#N/A</v>
          </cell>
          <cell r="E1203">
            <v>-53.42636363636381</v>
          </cell>
          <cell r="F1203">
            <v>53.482727272727779</v>
          </cell>
          <cell r="G1203">
            <v>28.028181818181004</v>
          </cell>
          <cell r="H1203">
            <v>28.028181818181004</v>
          </cell>
          <cell r="I1203" t="e">
            <v>#N/A</v>
          </cell>
          <cell r="J1203" t="e">
            <v>#N/A</v>
          </cell>
          <cell r="K1203">
            <v>42</v>
          </cell>
          <cell r="L1203">
            <v>32</v>
          </cell>
          <cell r="M1203" t="e">
            <v>#N/A</v>
          </cell>
          <cell r="N1203">
            <v>37</v>
          </cell>
          <cell r="O1203" t="e">
            <v>#N/A</v>
          </cell>
          <cell r="P1203" t="str">
            <v/>
          </cell>
          <cell r="Q1203" t="str">
            <v/>
          </cell>
          <cell r="R1203" t="e">
            <v>#N/A</v>
          </cell>
        </row>
        <row r="1204">
          <cell r="A1204" t="str">
            <v/>
          </cell>
          <cell r="B1204" t="str">
            <v/>
          </cell>
          <cell r="C1204" t="str">
            <v>Future</v>
          </cell>
          <cell r="D1204" t="e">
            <v>#N/A</v>
          </cell>
          <cell r="E1204">
            <v>-53.563003952569346</v>
          </cell>
          <cell r="F1204">
            <v>53.512094861660586</v>
          </cell>
          <cell r="G1204">
            <v>28.018023715414206</v>
          </cell>
          <cell r="H1204">
            <v>28.018023715414206</v>
          </cell>
          <cell r="I1204" t="e">
            <v>#N/A</v>
          </cell>
          <cell r="J1204" t="e">
            <v>#N/A</v>
          </cell>
          <cell r="K1204">
            <v>42</v>
          </cell>
          <cell r="L1204">
            <v>32</v>
          </cell>
          <cell r="M1204" t="e">
            <v>#N/A</v>
          </cell>
          <cell r="N1204">
            <v>37</v>
          </cell>
          <cell r="O1204" t="e">
            <v>#N/A</v>
          </cell>
          <cell r="P1204" t="str">
            <v/>
          </cell>
          <cell r="Q1204" t="str">
            <v/>
          </cell>
          <cell r="R1204" t="e">
            <v>#N/A</v>
          </cell>
        </row>
        <row r="1205">
          <cell r="A1205" t="str">
            <v/>
          </cell>
          <cell r="B1205" t="str">
            <v/>
          </cell>
          <cell r="C1205" t="str">
            <v>Future</v>
          </cell>
          <cell r="D1205" t="e">
            <v>#N/A</v>
          </cell>
          <cell r="E1205">
            <v>-53.699644268774883</v>
          </cell>
          <cell r="F1205">
            <v>53.541462450593393</v>
          </cell>
          <cell r="G1205">
            <v>28.007865612647407</v>
          </cell>
          <cell r="H1205">
            <v>28.007865612647407</v>
          </cell>
          <cell r="I1205" t="e">
            <v>#N/A</v>
          </cell>
          <cell r="J1205" t="e">
            <v>#N/A</v>
          </cell>
          <cell r="K1205">
            <v>42</v>
          </cell>
          <cell r="L1205">
            <v>32</v>
          </cell>
          <cell r="M1205" t="e">
            <v>#N/A</v>
          </cell>
          <cell r="N1205">
            <v>37</v>
          </cell>
          <cell r="O1205" t="e">
            <v>#N/A</v>
          </cell>
          <cell r="P1205" t="str">
            <v/>
          </cell>
          <cell r="Q1205" t="str">
            <v/>
          </cell>
          <cell r="R1205" t="e">
            <v>#N/A</v>
          </cell>
        </row>
        <row r="1206">
          <cell r="A1206" t="str">
            <v/>
          </cell>
          <cell r="B1206" t="str">
            <v/>
          </cell>
          <cell r="C1206" t="str">
            <v>Future</v>
          </cell>
          <cell r="D1206" t="e">
            <v>#N/A</v>
          </cell>
          <cell r="E1206">
            <v>-53.836284584980419</v>
          </cell>
          <cell r="F1206">
            <v>53.5708300395262</v>
          </cell>
          <cell r="G1206">
            <v>27.997707509880609</v>
          </cell>
          <cell r="H1206">
            <v>27.997707509880609</v>
          </cell>
          <cell r="I1206" t="e">
            <v>#N/A</v>
          </cell>
          <cell r="J1206" t="e">
            <v>#N/A</v>
          </cell>
          <cell r="K1206">
            <v>42</v>
          </cell>
          <cell r="L1206">
            <v>32</v>
          </cell>
          <cell r="M1206" t="e">
            <v>#N/A</v>
          </cell>
          <cell r="N1206">
            <v>37</v>
          </cell>
          <cell r="O1206" t="e">
            <v>#N/A</v>
          </cell>
          <cell r="P1206" t="str">
            <v/>
          </cell>
          <cell r="Q1206" t="str">
            <v/>
          </cell>
          <cell r="R1206" t="e">
            <v>#N/A</v>
          </cell>
        </row>
        <row r="1207">
          <cell r="A1207" t="str">
            <v/>
          </cell>
          <cell r="B1207" t="str">
            <v/>
          </cell>
          <cell r="C1207" t="str">
            <v>Future</v>
          </cell>
          <cell r="D1207" t="e">
            <v>#N/A</v>
          </cell>
          <cell r="E1207">
            <v>-53.972924901185955</v>
          </cell>
          <cell r="F1207">
            <v>53.600197628459007</v>
          </cell>
          <cell r="G1207">
            <v>27.987549407113811</v>
          </cell>
          <cell r="H1207">
            <v>27.987549407113811</v>
          </cell>
          <cell r="I1207" t="e">
            <v>#N/A</v>
          </cell>
          <cell r="J1207" t="e">
            <v>#N/A</v>
          </cell>
          <cell r="K1207">
            <v>42</v>
          </cell>
          <cell r="L1207">
            <v>32</v>
          </cell>
          <cell r="M1207" t="e">
            <v>#N/A</v>
          </cell>
          <cell r="N1207">
            <v>37</v>
          </cell>
          <cell r="O1207" t="e">
            <v>#N/A</v>
          </cell>
          <cell r="P1207" t="str">
            <v/>
          </cell>
          <cell r="Q1207" t="str">
            <v/>
          </cell>
          <cell r="R1207" t="e">
            <v>#N/A</v>
          </cell>
        </row>
        <row r="1208">
          <cell r="A1208" t="str">
            <v/>
          </cell>
          <cell r="B1208" t="str">
            <v/>
          </cell>
          <cell r="C1208" t="str">
            <v>Future</v>
          </cell>
          <cell r="D1208" t="e">
            <v>#N/A</v>
          </cell>
          <cell r="E1208">
            <v>-54.109565217391491</v>
          </cell>
          <cell r="F1208">
            <v>53.629565217391814</v>
          </cell>
          <cell r="G1208">
            <v>27.977391304347012</v>
          </cell>
          <cell r="H1208">
            <v>27.977391304347012</v>
          </cell>
          <cell r="I1208" t="e">
            <v>#N/A</v>
          </cell>
          <cell r="J1208" t="e">
            <v>#N/A</v>
          </cell>
          <cell r="K1208">
            <v>42</v>
          </cell>
          <cell r="L1208">
            <v>32</v>
          </cell>
          <cell r="M1208" t="e">
            <v>#N/A</v>
          </cell>
          <cell r="N1208">
            <v>37</v>
          </cell>
          <cell r="O1208" t="e">
            <v>#N/A</v>
          </cell>
          <cell r="P1208" t="str">
            <v/>
          </cell>
          <cell r="Q1208" t="str">
            <v/>
          </cell>
          <cell r="R1208" t="e">
            <v>#N/A</v>
          </cell>
        </row>
        <row r="1209">
          <cell r="A1209" t="str">
            <v/>
          </cell>
          <cell r="B1209" t="str">
            <v/>
          </cell>
          <cell r="C1209" t="str">
            <v>Future</v>
          </cell>
          <cell r="D1209" t="e">
            <v>#N/A</v>
          </cell>
          <cell r="E1209">
            <v>-54.246205533597028</v>
          </cell>
          <cell r="F1209">
            <v>53.658932806324621</v>
          </cell>
          <cell r="G1209">
            <v>27.967233201580214</v>
          </cell>
          <cell r="H1209">
            <v>27.967233201580214</v>
          </cell>
          <cell r="I1209" t="e">
            <v>#N/A</v>
          </cell>
          <cell r="J1209" t="e">
            <v>#N/A</v>
          </cell>
          <cell r="K1209">
            <v>42</v>
          </cell>
          <cell r="L1209">
            <v>32</v>
          </cell>
          <cell r="M1209" t="e">
            <v>#N/A</v>
          </cell>
          <cell r="N1209">
            <v>37</v>
          </cell>
          <cell r="O1209" t="e">
            <v>#N/A</v>
          </cell>
          <cell r="P1209" t="str">
            <v/>
          </cell>
          <cell r="Q1209" t="str">
            <v/>
          </cell>
          <cell r="R1209" t="e">
            <v>#N/A</v>
          </cell>
        </row>
        <row r="1210">
          <cell r="A1210" t="str">
            <v/>
          </cell>
          <cell r="B1210" t="str">
            <v/>
          </cell>
          <cell r="C1210" t="str">
            <v>Future</v>
          </cell>
          <cell r="D1210" t="e">
            <v>#N/A</v>
          </cell>
          <cell r="E1210">
            <v>-54.382845849802564</v>
          </cell>
          <cell r="F1210">
            <v>53.688300395257428</v>
          </cell>
          <cell r="G1210">
            <v>27.957075098813416</v>
          </cell>
          <cell r="H1210">
            <v>27.957075098813416</v>
          </cell>
          <cell r="I1210" t="e">
            <v>#N/A</v>
          </cell>
          <cell r="J1210" t="e">
            <v>#N/A</v>
          </cell>
          <cell r="K1210">
            <v>42</v>
          </cell>
          <cell r="L1210">
            <v>32</v>
          </cell>
          <cell r="M1210" t="e">
            <v>#N/A</v>
          </cell>
          <cell r="N1210">
            <v>37</v>
          </cell>
          <cell r="O1210" t="e">
            <v>#N/A</v>
          </cell>
          <cell r="P1210" t="str">
            <v/>
          </cell>
          <cell r="Q1210" t="str">
            <v/>
          </cell>
          <cell r="R1210" t="e">
            <v>#N/A</v>
          </cell>
        </row>
        <row r="1211">
          <cell r="A1211" t="str">
            <v/>
          </cell>
          <cell r="B1211" t="str">
            <v/>
          </cell>
          <cell r="C1211" t="str">
            <v>Future</v>
          </cell>
          <cell r="D1211" t="e">
            <v>#N/A</v>
          </cell>
          <cell r="E1211">
            <v>-54.5194861660081</v>
          </cell>
          <cell r="F1211">
            <v>53.717667984190236</v>
          </cell>
          <cell r="G1211">
            <v>27.946916996046617</v>
          </cell>
          <cell r="H1211">
            <v>27.946916996046617</v>
          </cell>
          <cell r="I1211" t="e">
            <v>#N/A</v>
          </cell>
          <cell r="J1211" t="e">
            <v>#N/A</v>
          </cell>
          <cell r="K1211">
            <v>42</v>
          </cell>
          <cell r="L1211">
            <v>32</v>
          </cell>
          <cell r="M1211" t="e">
            <v>#N/A</v>
          </cell>
          <cell r="N1211">
            <v>37</v>
          </cell>
          <cell r="O1211" t="e">
            <v>#N/A</v>
          </cell>
          <cell r="P1211" t="str">
            <v/>
          </cell>
          <cell r="Q1211" t="str">
            <v/>
          </cell>
          <cell r="R1211" t="e">
            <v>#N/A</v>
          </cell>
        </row>
        <row r="1212">
          <cell r="A1212" t="str">
            <v/>
          </cell>
          <cell r="B1212" t="str">
            <v/>
          </cell>
          <cell r="C1212" t="str">
            <v>Future</v>
          </cell>
          <cell r="D1212" t="e">
            <v>#N/A</v>
          </cell>
          <cell r="E1212">
            <v>-54.656126482213637</v>
          </cell>
          <cell r="F1212">
            <v>53.747035573123043</v>
          </cell>
          <cell r="G1212">
            <v>27.936758893279819</v>
          </cell>
          <cell r="H1212">
            <v>27.936758893279819</v>
          </cell>
          <cell r="I1212" t="e">
            <v>#N/A</v>
          </cell>
          <cell r="J1212" t="e">
            <v>#N/A</v>
          </cell>
          <cell r="K1212">
            <v>42</v>
          </cell>
          <cell r="L1212">
            <v>32</v>
          </cell>
          <cell r="M1212" t="e">
            <v>#N/A</v>
          </cell>
          <cell r="N1212">
            <v>37</v>
          </cell>
          <cell r="O1212" t="e">
            <v>#N/A</v>
          </cell>
          <cell r="P1212" t="str">
            <v/>
          </cell>
          <cell r="Q1212" t="str">
            <v/>
          </cell>
          <cell r="R1212" t="e">
            <v>#N/A</v>
          </cell>
        </row>
        <row r="1213">
          <cell r="A1213" t="str">
            <v/>
          </cell>
          <cell r="B1213" t="str">
            <v/>
          </cell>
          <cell r="C1213" t="str">
            <v>Future</v>
          </cell>
          <cell r="D1213" t="e">
            <v>#N/A</v>
          </cell>
          <cell r="E1213">
            <v>-54.792766798419173</v>
          </cell>
          <cell r="F1213">
            <v>53.77640316205585</v>
          </cell>
          <cell r="G1213">
            <v>27.926600790513021</v>
          </cell>
          <cell r="H1213">
            <v>27.926600790513021</v>
          </cell>
          <cell r="I1213" t="e">
            <v>#N/A</v>
          </cell>
          <cell r="J1213" t="e">
            <v>#N/A</v>
          </cell>
          <cell r="K1213">
            <v>42</v>
          </cell>
          <cell r="L1213">
            <v>32</v>
          </cell>
          <cell r="M1213" t="e">
            <v>#N/A</v>
          </cell>
          <cell r="N1213">
            <v>37</v>
          </cell>
          <cell r="O1213" t="e">
            <v>#N/A</v>
          </cell>
          <cell r="P1213" t="str">
            <v/>
          </cell>
          <cell r="Q1213" t="str">
            <v/>
          </cell>
          <cell r="R1213" t="e">
            <v>#N/A</v>
          </cell>
        </row>
        <row r="1214">
          <cell r="A1214" t="str">
            <v/>
          </cell>
          <cell r="B1214" t="str">
            <v/>
          </cell>
          <cell r="C1214" t="str">
            <v>Future</v>
          </cell>
          <cell r="D1214" t="e">
            <v>#N/A</v>
          </cell>
          <cell r="E1214">
            <v>-54.929407114624709</v>
          </cell>
          <cell r="F1214">
            <v>53.805770750988657</v>
          </cell>
          <cell r="G1214">
            <v>27.916442687746223</v>
          </cell>
          <cell r="H1214">
            <v>27.916442687746223</v>
          </cell>
          <cell r="I1214" t="e">
            <v>#N/A</v>
          </cell>
          <cell r="J1214" t="e">
            <v>#N/A</v>
          </cell>
          <cell r="K1214">
            <v>42</v>
          </cell>
          <cell r="L1214">
            <v>32</v>
          </cell>
          <cell r="M1214" t="e">
            <v>#N/A</v>
          </cell>
          <cell r="N1214">
            <v>37</v>
          </cell>
          <cell r="O1214" t="e">
            <v>#N/A</v>
          </cell>
          <cell r="P1214" t="str">
            <v/>
          </cell>
          <cell r="Q1214" t="str">
            <v/>
          </cell>
          <cell r="R1214" t="e">
            <v>#N/A</v>
          </cell>
        </row>
        <row r="1215">
          <cell r="A1215" t="str">
            <v/>
          </cell>
          <cell r="B1215" t="str">
            <v/>
          </cell>
          <cell r="C1215" t="str">
            <v>Future</v>
          </cell>
          <cell r="D1215" t="e">
            <v>#N/A</v>
          </cell>
          <cell r="E1215">
            <v>-55.066047430830245</v>
          </cell>
          <cell r="F1215">
            <v>53.835138339921464</v>
          </cell>
          <cell r="G1215">
            <v>27.906284584979424</v>
          </cell>
          <cell r="H1215">
            <v>27.906284584979424</v>
          </cell>
          <cell r="I1215" t="e">
            <v>#N/A</v>
          </cell>
          <cell r="J1215" t="e">
            <v>#N/A</v>
          </cell>
          <cell r="K1215">
            <v>42</v>
          </cell>
          <cell r="L1215">
            <v>32</v>
          </cell>
          <cell r="M1215" t="e">
            <v>#N/A</v>
          </cell>
          <cell r="N1215">
            <v>37</v>
          </cell>
          <cell r="O1215" t="e">
            <v>#N/A</v>
          </cell>
          <cell r="P1215" t="str">
            <v/>
          </cell>
          <cell r="Q1215" t="str">
            <v/>
          </cell>
          <cell r="R1215" t="e">
            <v>#N/A</v>
          </cell>
        </row>
        <row r="1216">
          <cell r="A1216" t="str">
            <v/>
          </cell>
          <cell r="B1216" t="str">
            <v/>
          </cell>
          <cell r="C1216" t="str">
            <v>Future</v>
          </cell>
          <cell r="D1216" t="e">
            <v>#N/A</v>
          </cell>
          <cell r="E1216">
            <v>-55.202687747035782</v>
          </cell>
          <cell r="F1216">
            <v>53.864505928854271</v>
          </cell>
          <cell r="G1216">
            <v>27.896126482212626</v>
          </cell>
          <cell r="H1216">
            <v>27.896126482212626</v>
          </cell>
          <cell r="I1216" t="e">
            <v>#N/A</v>
          </cell>
          <cell r="J1216" t="e">
            <v>#N/A</v>
          </cell>
          <cell r="K1216">
            <v>42</v>
          </cell>
          <cell r="L1216">
            <v>32</v>
          </cell>
          <cell r="M1216" t="e">
            <v>#N/A</v>
          </cell>
          <cell r="N1216">
            <v>37</v>
          </cell>
          <cell r="O1216" t="e">
            <v>#N/A</v>
          </cell>
          <cell r="P1216" t="str">
            <v/>
          </cell>
          <cell r="Q1216" t="str">
            <v/>
          </cell>
          <cell r="R1216" t="e">
            <v>#N/A</v>
          </cell>
        </row>
        <row r="1217">
          <cell r="A1217" t="str">
            <v/>
          </cell>
          <cell r="B1217" t="str">
            <v/>
          </cell>
          <cell r="C1217" t="str">
            <v>Future</v>
          </cell>
          <cell r="D1217" t="e">
            <v>#N/A</v>
          </cell>
          <cell r="E1217">
            <v>-55.339328063241318</v>
          </cell>
          <cell r="F1217">
            <v>53.893873517787078</v>
          </cell>
          <cell r="G1217">
            <v>27.885968379445828</v>
          </cell>
          <cell r="H1217">
            <v>27.885968379445828</v>
          </cell>
          <cell r="I1217" t="e">
            <v>#N/A</v>
          </cell>
          <cell r="J1217" t="e">
            <v>#N/A</v>
          </cell>
          <cell r="K1217">
            <v>42</v>
          </cell>
          <cell r="L1217">
            <v>32</v>
          </cell>
          <cell r="M1217" t="e">
            <v>#N/A</v>
          </cell>
          <cell r="N1217">
            <v>37</v>
          </cell>
          <cell r="O1217" t="e">
            <v>#N/A</v>
          </cell>
          <cell r="P1217" t="str">
            <v/>
          </cell>
          <cell r="Q1217" t="str">
            <v/>
          </cell>
          <cell r="R1217" t="e">
            <v>#N/A</v>
          </cell>
        </row>
        <row r="1218">
          <cell r="A1218" t="str">
            <v/>
          </cell>
          <cell r="B1218" t="str">
            <v/>
          </cell>
          <cell r="C1218" t="str">
            <v>Future</v>
          </cell>
          <cell r="D1218" t="e">
            <v>#N/A</v>
          </cell>
          <cell r="E1218">
            <v>-55.475968379446854</v>
          </cell>
          <cell r="F1218">
            <v>53.923241106719885</v>
          </cell>
          <cell r="G1218">
            <v>27.875810276679029</v>
          </cell>
          <cell r="H1218">
            <v>27.875810276679029</v>
          </cell>
          <cell r="I1218" t="e">
            <v>#N/A</v>
          </cell>
          <cell r="J1218" t="e">
            <v>#N/A</v>
          </cell>
          <cell r="K1218">
            <v>42</v>
          </cell>
          <cell r="L1218">
            <v>32</v>
          </cell>
          <cell r="M1218" t="e">
            <v>#N/A</v>
          </cell>
          <cell r="N1218">
            <v>37</v>
          </cell>
          <cell r="O1218" t="e">
            <v>#N/A</v>
          </cell>
          <cell r="P1218" t="str">
            <v/>
          </cell>
          <cell r="Q1218" t="str">
            <v/>
          </cell>
          <cell r="R1218" t="e">
            <v>#N/A</v>
          </cell>
        </row>
        <row r="1219">
          <cell r="A1219" t="str">
            <v/>
          </cell>
          <cell r="B1219" t="str">
            <v/>
          </cell>
          <cell r="C1219" t="str">
            <v>Future</v>
          </cell>
          <cell r="D1219" t="e">
            <v>#N/A</v>
          </cell>
          <cell r="E1219">
            <v>-55.612608695652391</v>
          </cell>
          <cell r="F1219">
            <v>53.952608695652692</v>
          </cell>
          <cell r="G1219">
            <v>27.865652173912231</v>
          </cell>
          <cell r="H1219">
            <v>27.865652173912231</v>
          </cell>
          <cell r="I1219" t="e">
            <v>#N/A</v>
          </cell>
          <cell r="J1219" t="e">
            <v>#N/A</v>
          </cell>
          <cell r="K1219">
            <v>42</v>
          </cell>
          <cell r="L1219">
            <v>32</v>
          </cell>
          <cell r="M1219" t="e">
            <v>#N/A</v>
          </cell>
          <cell r="N1219">
            <v>37</v>
          </cell>
          <cell r="O1219" t="e">
            <v>#N/A</v>
          </cell>
          <cell r="P1219" t="str">
            <v/>
          </cell>
          <cell r="Q1219" t="str">
            <v/>
          </cell>
          <cell r="R1219" t="e">
            <v>#N/A</v>
          </cell>
        </row>
        <row r="1220">
          <cell r="A1220" t="str">
            <v/>
          </cell>
          <cell r="B1220" t="str">
            <v/>
          </cell>
          <cell r="C1220" t="str">
            <v>Future</v>
          </cell>
          <cell r="D1220" t="e">
            <v>#N/A</v>
          </cell>
          <cell r="E1220">
            <v>-55.749249011857927</v>
          </cell>
          <cell r="F1220">
            <v>53.9819762845855</v>
          </cell>
          <cell r="G1220">
            <v>27.855494071145433</v>
          </cell>
          <cell r="H1220">
            <v>27.855494071145433</v>
          </cell>
          <cell r="I1220" t="e">
            <v>#N/A</v>
          </cell>
          <cell r="J1220" t="e">
            <v>#N/A</v>
          </cell>
          <cell r="K1220">
            <v>42</v>
          </cell>
          <cell r="L1220">
            <v>32</v>
          </cell>
          <cell r="M1220" t="e">
            <v>#N/A</v>
          </cell>
          <cell r="N1220">
            <v>37</v>
          </cell>
          <cell r="O1220" t="e">
            <v>#N/A</v>
          </cell>
          <cell r="P1220" t="str">
            <v/>
          </cell>
          <cell r="Q1220" t="str">
            <v/>
          </cell>
          <cell r="R1220" t="e">
            <v>#N/A</v>
          </cell>
        </row>
        <row r="1221">
          <cell r="A1221" t="str">
            <v/>
          </cell>
          <cell r="B1221" t="str">
            <v/>
          </cell>
          <cell r="C1221" t="str">
            <v>Future</v>
          </cell>
          <cell r="D1221" t="e">
            <v>#N/A</v>
          </cell>
          <cell r="E1221">
            <v>-55.885889328063463</v>
          </cell>
          <cell r="F1221">
            <v>54.011343873518307</v>
          </cell>
          <cell r="G1221">
            <v>27.845335968378635</v>
          </cell>
          <cell r="H1221">
            <v>27.845335968378635</v>
          </cell>
          <cell r="I1221" t="e">
            <v>#N/A</v>
          </cell>
          <cell r="J1221" t="e">
            <v>#N/A</v>
          </cell>
          <cell r="K1221">
            <v>42</v>
          </cell>
          <cell r="L1221">
            <v>32</v>
          </cell>
          <cell r="M1221" t="e">
            <v>#N/A</v>
          </cell>
          <cell r="N1221">
            <v>37</v>
          </cell>
          <cell r="O1221" t="e">
            <v>#N/A</v>
          </cell>
          <cell r="P1221" t="str">
            <v/>
          </cell>
          <cell r="Q1221" t="str">
            <v/>
          </cell>
          <cell r="R1221" t="e">
            <v>#N/A</v>
          </cell>
        </row>
        <row r="1222">
          <cell r="A1222" t="str">
            <v/>
          </cell>
          <cell r="B1222" t="str">
            <v/>
          </cell>
          <cell r="C1222" t="str">
            <v>Future</v>
          </cell>
          <cell r="D1222" t="e">
            <v>#N/A</v>
          </cell>
          <cell r="E1222">
            <v>-56.022529644269</v>
          </cell>
          <cell r="F1222">
            <v>54.040711462451114</v>
          </cell>
          <cell r="G1222">
            <v>27.835177865611836</v>
          </cell>
          <cell r="H1222">
            <v>27.835177865611836</v>
          </cell>
          <cell r="I1222" t="e">
            <v>#N/A</v>
          </cell>
          <cell r="J1222" t="e">
            <v>#N/A</v>
          </cell>
          <cell r="K1222">
            <v>42</v>
          </cell>
          <cell r="L1222">
            <v>32</v>
          </cell>
          <cell r="M1222" t="e">
            <v>#N/A</v>
          </cell>
          <cell r="N1222">
            <v>37</v>
          </cell>
          <cell r="O1222" t="e">
            <v>#N/A</v>
          </cell>
          <cell r="P1222" t="str">
            <v/>
          </cell>
          <cell r="Q1222" t="str">
            <v/>
          </cell>
          <cell r="R1222" t="e">
            <v>#N/A</v>
          </cell>
        </row>
        <row r="1223">
          <cell r="A1223" t="str">
            <v/>
          </cell>
          <cell r="B1223" t="str">
            <v/>
          </cell>
          <cell r="C1223" t="str">
            <v>Future</v>
          </cell>
          <cell r="D1223" t="e">
            <v>#N/A</v>
          </cell>
          <cell r="E1223">
            <v>-56.159169960474536</v>
          </cell>
          <cell r="F1223">
            <v>54.070079051383921</v>
          </cell>
          <cell r="G1223">
            <v>27.825019762845038</v>
          </cell>
          <cell r="H1223">
            <v>27.825019762845038</v>
          </cell>
          <cell r="I1223" t="e">
            <v>#N/A</v>
          </cell>
          <cell r="J1223" t="e">
            <v>#N/A</v>
          </cell>
          <cell r="K1223">
            <v>42</v>
          </cell>
          <cell r="L1223">
            <v>32</v>
          </cell>
          <cell r="M1223" t="e">
            <v>#N/A</v>
          </cell>
          <cell r="N1223">
            <v>37</v>
          </cell>
          <cell r="O1223" t="e">
            <v>#N/A</v>
          </cell>
          <cell r="P1223" t="str">
            <v/>
          </cell>
          <cell r="Q1223" t="str">
            <v/>
          </cell>
          <cell r="R1223" t="e">
            <v>#N/A</v>
          </cell>
        </row>
        <row r="1224">
          <cell r="A1224" t="str">
            <v/>
          </cell>
          <cell r="B1224" t="str">
            <v/>
          </cell>
          <cell r="C1224" t="str">
            <v>Future</v>
          </cell>
          <cell r="D1224" t="e">
            <v>#N/A</v>
          </cell>
          <cell r="E1224">
            <v>-56.295810276680072</v>
          </cell>
          <cell r="F1224">
            <v>54.099446640316728</v>
          </cell>
          <cell r="G1224">
            <v>27.81486166007824</v>
          </cell>
          <cell r="H1224">
            <v>27.81486166007824</v>
          </cell>
          <cell r="I1224" t="e">
            <v>#N/A</v>
          </cell>
          <cell r="J1224" t="e">
            <v>#N/A</v>
          </cell>
          <cell r="K1224">
            <v>42</v>
          </cell>
          <cell r="L1224">
            <v>32</v>
          </cell>
          <cell r="M1224" t="e">
            <v>#N/A</v>
          </cell>
          <cell r="N1224">
            <v>37</v>
          </cell>
          <cell r="O1224" t="e">
            <v>#N/A</v>
          </cell>
          <cell r="P1224" t="str">
            <v/>
          </cell>
          <cell r="Q1224" t="str">
            <v/>
          </cell>
          <cell r="R1224" t="e">
            <v>#N/A</v>
          </cell>
        </row>
        <row r="1225">
          <cell r="A1225" t="str">
            <v/>
          </cell>
          <cell r="B1225" t="str">
            <v/>
          </cell>
          <cell r="C1225" t="str">
            <v>Future</v>
          </cell>
          <cell r="D1225" t="e">
            <v>#N/A</v>
          </cell>
          <cell r="E1225">
            <v>-56.432450592885608</v>
          </cell>
          <cell r="F1225">
            <v>54.128814229249535</v>
          </cell>
          <cell r="G1225">
            <v>27.804703557311441</v>
          </cell>
          <cell r="H1225">
            <v>27.804703557311441</v>
          </cell>
          <cell r="I1225" t="e">
            <v>#N/A</v>
          </cell>
          <cell r="J1225" t="e">
            <v>#N/A</v>
          </cell>
          <cell r="K1225">
            <v>42</v>
          </cell>
          <cell r="L1225">
            <v>32</v>
          </cell>
          <cell r="M1225" t="e">
            <v>#N/A</v>
          </cell>
          <cell r="N1225">
            <v>37</v>
          </cell>
          <cell r="O1225" t="e">
            <v>#N/A</v>
          </cell>
          <cell r="P1225" t="str">
            <v/>
          </cell>
          <cell r="Q1225" t="str">
            <v/>
          </cell>
          <cell r="R1225" t="e">
            <v>#N/A</v>
          </cell>
        </row>
        <row r="1226">
          <cell r="A1226" t="str">
            <v/>
          </cell>
          <cell r="B1226" t="str">
            <v/>
          </cell>
          <cell r="C1226" t="str">
            <v>Future</v>
          </cell>
          <cell r="D1226" t="e">
            <v>#N/A</v>
          </cell>
          <cell r="E1226">
            <v>-56.569090909091145</v>
          </cell>
          <cell r="F1226">
            <v>54.158181818182342</v>
          </cell>
          <cell r="G1226">
            <v>27.794545454544643</v>
          </cell>
          <cell r="H1226">
            <v>27.794545454544643</v>
          </cell>
          <cell r="I1226" t="e">
            <v>#N/A</v>
          </cell>
          <cell r="J1226" t="e">
            <v>#N/A</v>
          </cell>
          <cell r="K1226">
            <v>42</v>
          </cell>
          <cell r="L1226">
            <v>32</v>
          </cell>
          <cell r="M1226" t="e">
            <v>#N/A</v>
          </cell>
          <cell r="N1226">
            <v>37</v>
          </cell>
          <cell r="O1226" t="e">
            <v>#N/A</v>
          </cell>
          <cell r="P1226" t="str">
            <v/>
          </cell>
          <cell r="Q1226" t="str">
            <v/>
          </cell>
          <cell r="R1226" t="e">
            <v>#N/A</v>
          </cell>
        </row>
        <row r="1227">
          <cell r="A1227" t="str">
            <v/>
          </cell>
          <cell r="B1227" t="str">
            <v/>
          </cell>
          <cell r="C1227" t="str">
            <v>Future</v>
          </cell>
          <cell r="D1227" t="e">
            <v>#N/A</v>
          </cell>
          <cell r="E1227">
            <v>-56.705731225296681</v>
          </cell>
          <cell r="F1227">
            <v>54.187549407115149</v>
          </cell>
          <cell r="G1227">
            <v>27.784387351777845</v>
          </cell>
          <cell r="H1227">
            <v>27.784387351777845</v>
          </cell>
          <cell r="I1227" t="e">
            <v>#N/A</v>
          </cell>
          <cell r="J1227" t="e">
            <v>#N/A</v>
          </cell>
          <cell r="K1227">
            <v>42</v>
          </cell>
          <cell r="L1227">
            <v>32</v>
          </cell>
          <cell r="M1227" t="e">
            <v>#N/A</v>
          </cell>
          <cell r="N1227">
            <v>37</v>
          </cell>
          <cell r="O1227" t="e">
            <v>#N/A</v>
          </cell>
          <cell r="P1227" t="str">
            <v/>
          </cell>
          <cell r="Q1227" t="str">
            <v/>
          </cell>
          <cell r="R1227" t="e">
            <v>#N/A</v>
          </cell>
        </row>
        <row r="1228">
          <cell r="A1228" t="str">
            <v/>
          </cell>
          <cell r="B1228" t="str">
            <v/>
          </cell>
          <cell r="C1228" t="str">
            <v>Future</v>
          </cell>
          <cell r="D1228" t="e">
            <v>#N/A</v>
          </cell>
          <cell r="E1228">
            <v>-56.842371541502217</v>
          </cell>
          <cell r="F1228">
            <v>54.216916996047956</v>
          </cell>
          <cell r="G1228">
            <v>27.774229249011047</v>
          </cell>
          <cell r="H1228">
            <v>27.774229249011047</v>
          </cell>
          <cell r="I1228" t="e">
            <v>#N/A</v>
          </cell>
          <cell r="J1228" t="e">
            <v>#N/A</v>
          </cell>
          <cell r="K1228">
            <v>42</v>
          </cell>
          <cell r="L1228">
            <v>32</v>
          </cell>
          <cell r="M1228" t="e">
            <v>#N/A</v>
          </cell>
          <cell r="N1228">
            <v>37</v>
          </cell>
          <cell r="O1228" t="e">
            <v>#N/A</v>
          </cell>
          <cell r="P1228" t="str">
            <v/>
          </cell>
          <cell r="Q1228" t="str">
            <v/>
          </cell>
          <cell r="R1228" t="e">
            <v>#N/A</v>
          </cell>
        </row>
        <row r="1229">
          <cell r="A1229" t="str">
            <v/>
          </cell>
          <cell r="B1229" t="str">
            <v/>
          </cell>
          <cell r="C1229" t="str">
            <v>Future</v>
          </cell>
          <cell r="D1229" t="e">
            <v>#N/A</v>
          </cell>
          <cell r="E1229">
            <v>-56.979011857707754</v>
          </cell>
          <cell r="F1229">
            <v>54.246284584980764</v>
          </cell>
          <cell r="G1229">
            <v>27.764071146244248</v>
          </cell>
          <cell r="H1229">
            <v>27.764071146244248</v>
          </cell>
          <cell r="I1229" t="e">
            <v>#N/A</v>
          </cell>
          <cell r="J1229" t="e">
            <v>#N/A</v>
          </cell>
          <cell r="K1229">
            <v>42</v>
          </cell>
          <cell r="L1229">
            <v>32</v>
          </cell>
          <cell r="M1229" t="e">
            <v>#N/A</v>
          </cell>
          <cell r="N1229">
            <v>37</v>
          </cell>
          <cell r="O1229" t="e">
            <v>#N/A</v>
          </cell>
          <cell r="P1229" t="str">
            <v/>
          </cell>
          <cell r="Q1229" t="str">
            <v/>
          </cell>
          <cell r="R1229" t="e">
            <v>#N/A</v>
          </cell>
        </row>
        <row r="1230">
          <cell r="A1230" t="str">
            <v/>
          </cell>
          <cell r="B1230" t="str">
            <v/>
          </cell>
          <cell r="C1230" t="str">
            <v>Future</v>
          </cell>
          <cell r="D1230" t="e">
            <v>#N/A</v>
          </cell>
          <cell r="E1230">
            <v>-57.11565217391329</v>
          </cell>
          <cell r="F1230">
            <v>54.275652173913571</v>
          </cell>
          <cell r="G1230">
            <v>27.75391304347745</v>
          </cell>
          <cell r="H1230">
            <v>27.75391304347745</v>
          </cell>
          <cell r="I1230" t="e">
            <v>#N/A</v>
          </cell>
          <cell r="J1230" t="e">
            <v>#N/A</v>
          </cell>
          <cell r="K1230">
            <v>42</v>
          </cell>
          <cell r="L1230">
            <v>32</v>
          </cell>
          <cell r="M1230" t="e">
            <v>#N/A</v>
          </cell>
          <cell r="N1230">
            <v>37</v>
          </cell>
          <cell r="O1230" t="e">
            <v>#N/A</v>
          </cell>
          <cell r="P1230" t="str">
            <v/>
          </cell>
          <cell r="Q1230" t="str">
            <v/>
          </cell>
          <cell r="R1230" t="e">
            <v>#N/A</v>
          </cell>
        </row>
        <row r="1231">
          <cell r="A1231" t="str">
            <v/>
          </cell>
          <cell r="B1231" t="str">
            <v/>
          </cell>
          <cell r="C1231" t="str">
            <v>Future</v>
          </cell>
          <cell r="D1231" t="e">
            <v>#N/A</v>
          </cell>
          <cell r="E1231">
            <v>-57.252292490118826</v>
          </cell>
          <cell r="F1231">
            <v>54.305019762846378</v>
          </cell>
          <cell r="G1231">
            <v>27.743754940710652</v>
          </cell>
          <cell r="H1231">
            <v>27.743754940710652</v>
          </cell>
          <cell r="I1231" t="e">
            <v>#N/A</v>
          </cell>
          <cell r="J1231" t="e">
            <v>#N/A</v>
          </cell>
          <cell r="K1231">
            <v>42</v>
          </cell>
          <cell r="L1231">
            <v>32</v>
          </cell>
          <cell r="M1231" t="e">
            <v>#N/A</v>
          </cell>
          <cell r="N1231">
            <v>37</v>
          </cell>
          <cell r="O1231" t="e">
            <v>#N/A</v>
          </cell>
          <cell r="P1231" t="str">
            <v/>
          </cell>
          <cell r="Q1231" t="str">
            <v/>
          </cell>
          <cell r="R1231" t="e">
            <v>#N/A</v>
          </cell>
        </row>
        <row r="1232">
          <cell r="A1232" t="str">
            <v/>
          </cell>
          <cell r="B1232" t="str">
            <v/>
          </cell>
          <cell r="C1232" t="str">
            <v>Future</v>
          </cell>
          <cell r="D1232" t="e">
            <v>#N/A</v>
          </cell>
          <cell r="E1232">
            <v>-57.388932806324362</v>
          </cell>
          <cell r="F1232">
            <v>54.334387351779185</v>
          </cell>
          <cell r="G1232">
            <v>27.733596837943853</v>
          </cell>
          <cell r="H1232">
            <v>27.733596837943853</v>
          </cell>
          <cell r="I1232" t="e">
            <v>#N/A</v>
          </cell>
          <cell r="J1232" t="e">
            <v>#N/A</v>
          </cell>
          <cell r="K1232">
            <v>42</v>
          </cell>
          <cell r="L1232">
            <v>32</v>
          </cell>
          <cell r="M1232" t="e">
            <v>#N/A</v>
          </cell>
          <cell r="N1232">
            <v>37</v>
          </cell>
          <cell r="O1232" t="e">
            <v>#N/A</v>
          </cell>
          <cell r="P1232" t="str">
            <v/>
          </cell>
          <cell r="Q1232" t="str">
            <v/>
          </cell>
          <cell r="R1232" t="e">
            <v>#N/A</v>
          </cell>
        </row>
        <row r="1233">
          <cell r="A1233" t="str">
            <v/>
          </cell>
          <cell r="B1233" t="str">
            <v/>
          </cell>
          <cell r="C1233" t="str">
            <v>Future</v>
          </cell>
          <cell r="D1233" t="e">
            <v>#N/A</v>
          </cell>
          <cell r="E1233">
            <v>-57.525573122529899</v>
          </cell>
          <cell r="F1233">
            <v>54.363754940711992</v>
          </cell>
          <cell r="G1233">
            <v>27.723438735177055</v>
          </cell>
          <cell r="H1233">
            <v>27.723438735177055</v>
          </cell>
          <cell r="I1233" t="e">
            <v>#N/A</v>
          </cell>
          <cell r="J1233" t="e">
            <v>#N/A</v>
          </cell>
          <cell r="K1233">
            <v>42</v>
          </cell>
          <cell r="L1233">
            <v>32</v>
          </cell>
          <cell r="M1233" t="e">
            <v>#N/A</v>
          </cell>
          <cell r="N1233">
            <v>37</v>
          </cell>
          <cell r="O1233" t="e">
            <v>#N/A</v>
          </cell>
          <cell r="P1233" t="str">
            <v/>
          </cell>
          <cell r="Q1233" t="str">
            <v/>
          </cell>
          <cell r="R1233" t="e">
            <v>#N/A</v>
          </cell>
        </row>
        <row r="1234">
          <cell r="A1234" t="str">
            <v/>
          </cell>
          <cell r="B1234" t="str">
            <v/>
          </cell>
          <cell r="C1234" t="str">
            <v>Future</v>
          </cell>
          <cell r="D1234" t="e">
            <v>#N/A</v>
          </cell>
          <cell r="E1234">
            <v>-57.662213438735435</v>
          </cell>
          <cell r="F1234">
            <v>54.393122529644799</v>
          </cell>
          <cell r="G1234">
            <v>27.713280632410257</v>
          </cell>
          <cell r="H1234">
            <v>27.713280632410257</v>
          </cell>
          <cell r="I1234" t="e">
            <v>#N/A</v>
          </cell>
          <cell r="J1234" t="e">
            <v>#N/A</v>
          </cell>
          <cell r="K1234">
            <v>42</v>
          </cell>
          <cell r="L1234">
            <v>32</v>
          </cell>
          <cell r="M1234" t="e">
            <v>#N/A</v>
          </cell>
          <cell r="N1234">
            <v>37</v>
          </cell>
          <cell r="O1234" t="e">
            <v>#N/A</v>
          </cell>
          <cell r="P1234" t="str">
            <v/>
          </cell>
          <cell r="Q1234" t="str">
            <v/>
          </cell>
          <cell r="R1234" t="e">
            <v>#N/A</v>
          </cell>
        </row>
        <row r="1235">
          <cell r="A1235" t="str">
            <v/>
          </cell>
          <cell r="B1235" t="str">
            <v/>
          </cell>
          <cell r="C1235" t="str">
            <v>Future</v>
          </cell>
          <cell r="D1235" t="e">
            <v>#N/A</v>
          </cell>
          <cell r="E1235">
            <v>-57.798853754940971</v>
          </cell>
          <cell r="F1235">
            <v>54.422490118577606</v>
          </cell>
          <cell r="G1235">
            <v>27.703122529643458</v>
          </cell>
          <cell r="H1235">
            <v>27.703122529643458</v>
          </cell>
          <cell r="I1235" t="e">
            <v>#N/A</v>
          </cell>
          <cell r="J1235" t="e">
            <v>#N/A</v>
          </cell>
          <cell r="K1235">
            <v>42</v>
          </cell>
          <cell r="L1235">
            <v>32</v>
          </cell>
          <cell r="M1235" t="e">
            <v>#N/A</v>
          </cell>
          <cell r="N1235">
            <v>37</v>
          </cell>
          <cell r="O1235" t="e">
            <v>#N/A</v>
          </cell>
          <cell r="P1235" t="str">
            <v/>
          </cell>
          <cell r="Q1235" t="str">
            <v/>
          </cell>
          <cell r="R1235" t="e">
            <v>#N/A</v>
          </cell>
        </row>
        <row r="1236">
          <cell r="A1236" t="str">
            <v/>
          </cell>
          <cell r="B1236" t="str">
            <v/>
          </cell>
          <cell r="C1236" t="str">
            <v>Future</v>
          </cell>
          <cell r="D1236" t="e">
            <v>#N/A</v>
          </cell>
          <cell r="E1236">
            <v>-57.935494071146508</v>
          </cell>
          <cell r="F1236">
            <v>54.451857707510413</v>
          </cell>
          <cell r="G1236">
            <v>27.69296442687666</v>
          </cell>
          <cell r="H1236">
            <v>27.69296442687666</v>
          </cell>
          <cell r="I1236" t="e">
            <v>#N/A</v>
          </cell>
          <cell r="J1236" t="e">
            <v>#N/A</v>
          </cell>
          <cell r="K1236">
            <v>42</v>
          </cell>
          <cell r="L1236">
            <v>32</v>
          </cell>
          <cell r="M1236" t="e">
            <v>#N/A</v>
          </cell>
          <cell r="N1236">
            <v>37</v>
          </cell>
          <cell r="O1236" t="e">
            <v>#N/A</v>
          </cell>
          <cell r="P1236" t="str">
            <v/>
          </cell>
          <cell r="Q1236" t="str">
            <v/>
          </cell>
          <cell r="R1236" t="e">
            <v>#N/A</v>
          </cell>
        </row>
        <row r="1237">
          <cell r="A1237" t="str">
            <v/>
          </cell>
          <cell r="B1237" t="str">
            <v/>
          </cell>
          <cell r="C1237" t="str">
            <v>Future</v>
          </cell>
          <cell r="D1237" t="e">
            <v>#N/A</v>
          </cell>
          <cell r="E1237">
            <v>-58.072134387352044</v>
          </cell>
          <cell r="F1237">
            <v>54.48122529644322</v>
          </cell>
          <cell r="G1237">
            <v>27.682806324109862</v>
          </cell>
          <cell r="H1237">
            <v>27.682806324109862</v>
          </cell>
          <cell r="I1237" t="e">
            <v>#N/A</v>
          </cell>
          <cell r="J1237" t="e">
            <v>#N/A</v>
          </cell>
          <cell r="K1237">
            <v>42</v>
          </cell>
          <cell r="L1237">
            <v>32</v>
          </cell>
          <cell r="M1237" t="e">
            <v>#N/A</v>
          </cell>
          <cell r="N1237">
            <v>37</v>
          </cell>
          <cell r="O1237" t="e">
            <v>#N/A</v>
          </cell>
          <cell r="P1237" t="str">
            <v/>
          </cell>
          <cell r="Q1237" t="str">
            <v/>
          </cell>
          <cell r="R1237" t="e">
            <v>#N/A</v>
          </cell>
        </row>
        <row r="1238">
          <cell r="A1238" t="str">
            <v/>
          </cell>
          <cell r="B1238" t="str">
            <v/>
          </cell>
          <cell r="C1238" t="str">
            <v>Future</v>
          </cell>
          <cell r="D1238" t="e">
            <v>#N/A</v>
          </cell>
          <cell r="E1238">
            <v>-58.20877470355758</v>
          </cell>
          <cell r="F1238">
            <v>54.510592885376028</v>
          </cell>
          <cell r="G1238">
            <v>27.672648221343064</v>
          </cell>
          <cell r="H1238">
            <v>27.672648221343064</v>
          </cell>
          <cell r="I1238" t="e">
            <v>#N/A</v>
          </cell>
          <cell r="J1238" t="e">
            <v>#N/A</v>
          </cell>
          <cell r="K1238">
            <v>42</v>
          </cell>
          <cell r="L1238">
            <v>32</v>
          </cell>
          <cell r="M1238" t="e">
            <v>#N/A</v>
          </cell>
          <cell r="N1238">
            <v>37</v>
          </cell>
          <cell r="O1238" t="e">
            <v>#N/A</v>
          </cell>
          <cell r="P1238" t="str">
            <v/>
          </cell>
          <cell r="Q1238" t="str">
            <v/>
          </cell>
          <cell r="R1238" t="e">
            <v>#N/A</v>
          </cell>
        </row>
        <row r="1239">
          <cell r="A1239" t="str">
            <v/>
          </cell>
          <cell r="B1239" t="str">
            <v/>
          </cell>
          <cell r="C1239" t="str">
            <v>Future</v>
          </cell>
          <cell r="D1239" t="e">
            <v>#N/A</v>
          </cell>
          <cell r="E1239">
            <v>-58.345415019763117</v>
          </cell>
          <cell r="F1239">
            <v>54.539960474308835</v>
          </cell>
          <cell r="G1239">
            <v>27.662490118576265</v>
          </cell>
          <cell r="H1239">
            <v>27.662490118576265</v>
          </cell>
          <cell r="I1239" t="e">
            <v>#N/A</v>
          </cell>
          <cell r="J1239" t="e">
            <v>#N/A</v>
          </cell>
          <cell r="K1239">
            <v>42</v>
          </cell>
          <cell r="L1239">
            <v>32</v>
          </cell>
          <cell r="M1239" t="e">
            <v>#N/A</v>
          </cell>
          <cell r="N1239">
            <v>37</v>
          </cell>
          <cell r="O1239" t="e">
            <v>#N/A</v>
          </cell>
          <cell r="P1239" t="str">
            <v/>
          </cell>
          <cell r="Q1239" t="str">
            <v/>
          </cell>
          <cell r="R1239" t="e">
            <v>#N/A</v>
          </cell>
        </row>
        <row r="1240">
          <cell r="A1240" t="str">
            <v/>
          </cell>
          <cell r="B1240" t="str">
            <v/>
          </cell>
          <cell r="C1240" t="str">
            <v>Future</v>
          </cell>
          <cell r="D1240" t="e">
            <v>#N/A</v>
          </cell>
          <cell r="E1240">
            <v>-58.482055335968653</v>
          </cell>
          <cell r="F1240">
            <v>54.569328063241642</v>
          </cell>
          <cell r="G1240">
            <v>27.652332015809467</v>
          </cell>
          <cell r="H1240">
            <v>27.652332015809467</v>
          </cell>
          <cell r="I1240" t="e">
            <v>#N/A</v>
          </cell>
          <cell r="J1240" t="e">
            <v>#N/A</v>
          </cell>
          <cell r="K1240">
            <v>42</v>
          </cell>
          <cell r="L1240">
            <v>32</v>
          </cell>
          <cell r="M1240" t="e">
            <v>#N/A</v>
          </cell>
          <cell r="N1240">
            <v>37</v>
          </cell>
          <cell r="O1240" t="e">
            <v>#N/A</v>
          </cell>
          <cell r="P1240" t="str">
            <v/>
          </cell>
          <cell r="Q1240" t="str">
            <v/>
          </cell>
          <cell r="R1240" t="e">
            <v>#N/A</v>
          </cell>
        </row>
        <row r="1241">
          <cell r="A1241" t="str">
            <v/>
          </cell>
          <cell r="B1241" t="str">
            <v/>
          </cell>
          <cell r="C1241" t="str">
            <v>Future</v>
          </cell>
          <cell r="D1241" t="e">
            <v>#N/A</v>
          </cell>
          <cell r="E1241">
            <v>-58.618695652174189</v>
          </cell>
          <cell r="F1241">
            <v>54.598695652174449</v>
          </cell>
          <cell r="G1241">
            <v>27.642173913042669</v>
          </cell>
          <cell r="H1241">
            <v>27.642173913042669</v>
          </cell>
          <cell r="I1241" t="e">
            <v>#N/A</v>
          </cell>
          <cell r="J1241" t="e">
            <v>#N/A</v>
          </cell>
          <cell r="K1241">
            <v>42</v>
          </cell>
          <cell r="L1241">
            <v>32</v>
          </cell>
          <cell r="M1241" t="e">
            <v>#N/A</v>
          </cell>
          <cell r="N1241">
            <v>37</v>
          </cell>
          <cell r="O1241" t="e">
            <v>#N/A</v>
          </cell>
          <cell r="P1241" t="str">
            <v/>
          </cell>
          <cell r="Q1241" t="str">
            <v/>
          </cell>
          <cell r="R1241" t="e">
            <v>#N/A</v>
          </cell>
        </row>
        <row r="1242">
          <cell r="A1242" t="str">
            <v/>
          </cell>
          <cell r="B1242" t="str">
            <v/>
          </cell>
          <cell r="C1242" t="str">
            <v>Future</v>
          </cell>
          <cell r="D1242" t="e">
            <v>#N/A</v>
          </cell>
          <cell r="E1242">
            <v>-58.755335968379725</v>
          </cell>
          <cell r="F1242">
            <v>54.628063241107256</v>
          </cell>
          <cell r="G1242">
            <v>27.63201581027587</v>
          </cell>
          <cell r="H1242">
            <v>27.63201581027587</v>
          </cell>
          <cell r="I1242" t="e">
            <v>#N/A</v>
          </cell>
          <cell r="J1242" t="e">
            <v>#N/A</v>
          </cell>
          <cell r="K1242">
            <v>42</v>
          </cell>
          <cell r="L1242">
            <v>32</v>
          </cell>
          <cell r="M1242" t="e">
            <v>#N/A</v>
          </cell>
          <cell r="N1242">
            <v>37</v>
          </cell>
          <cell r="O1242" t="e">
            <v>#N/A</v>
          </cell>
          <cell r="P1242" t="str">
            <v/>
          </cell>
          <cell r="Q1242" t="str">
            <v/>
          </cell>
          <cell r="R1242" t="e">
            <v>#N/A</v>
          </cell>
        </row>
        <row r="1243">
          <cell r="A1243" t="str">
            <v/>
          </cell>
          <cell r="B1243" t="str">
            <v/>
          </cell>
          <cell r="C1243" t="str">
            <v>Future</v>
          </cell>
          <cell r="D1243" t="e">
            <v>#N/A</v>
          </cell>
          <cell r="E1243">
            <v>-58.891976284585262</v>
          </cell>
          <cell r="F1243">
            <v>54.657430830040063</v>
          </cell>
          <cell r="G1243">
            <v>27.621857707509072</v>
          </cell>
          <cell r="H1243">
            <v>27.621857707509072</v>
          </cell>
          <cell r="I1243" t="e">
            <v>#N/A</v>
          </cell>
          <cell r="J1243" t="e">
            <v>#N/A</v>
          </cell>
          <cell r="K1243">
            <v>42</v>
          </cell>
          <cell r="L1243">
            <v>32</v>
          </cell>
          <cell r="M1243" t="e">
            <v>#N/A</v>
          </cell>
          <cell r="N1243">
            <v>37</v>
          </cell>
          <cell r="O1243" t="e">
            <v>#N/A</v>
          </cell>
          <cell r="P1243" t="str">
            <v/>
          </cell>
          <cell r="Q1243" t="str">
            <v/>
          </cell>
          <cell r="R1243" t="e">
            <v>#N/A</v>
          </cell>
        </row>
        <row r="1244">
          <cell r="A1244" t="str">
            <v/>
          </cell>
          <cell r="B1244" t="str">
            <v/>
          </cell>
          <cell r="C1244" t="str">
            <v>Future</v>
          </cell>
          <cell r="D1244" t="e">
            <v>#N/A</v>
          </cell>
          <cell r="E1244">
            <v>-59.028616600790798</v>
          </cell>
          <cell r="F1244">
            <v>54.68679841897287</v>
          </cell>
          <cell r="G1244">
            <v>27.611699604742274</v>
          </cell>
          <cell r="H1244">
            <v>27.611699604742274</v>
          </cell>
          <cell r="I1244" t="e">
            <v>#N/A</v>
          </cell>
          <cell r="J1244" t="e">
            <v>#N/A</v>
          </cell>
          <cell r="K1244">
            <v>42</v>
          </cell>
          <cell r="L1244">
            <v>32</v>
          </cell>
          <cell r="M1244" t="e">
            <v>#N/A</v>
          </cell>
          <cell r="N1244">
            <v>37</v>
          </cell>
          <cell r="O1244" t="e">
            <v>#N/A</v>
          </cell>
          <cell r="P1244" t="str">
            <v/>
          </cell>
          <cell r="Q1244" t="str">
            <v/>
          </cell>
          <cell r="R1244" t="e">
            <v>#N/A</v>
          </cell>
        </row>
        <row r="1245">
          <cell r="A1245" t="str">
            <v/>
          </cell>
          <cell r="B1245" t="str">
            <v/>
          </cell>
          <cell r="C1245" t="str">
            <v>Future</v>
          </cell>
          <cell r="D1245" t="e">
            <v>#N/A</v>
          </cell>
          <cell r="E1245">
            <v>-59.165256916996334</v>
          </cell>
          <cell r="F1245">
            <v>54.716166007905677</v>
          </cell>
          <cell r="G1245">
            <v>27.601541501975476</v>
          </cell>
          <cell r="H1245">
            <v>27.601541501975476</v>
          </cell>
          <cell r="I1245" t="e">
            <v>#N/A</v>
          </cell>
          <cell r="J1245" t="e">
            <v>#N/A</v>
          </cell>
          <cell r="K1245">
            <v>42</v>
          </cell>
          <cell r="L1245">
            <v>32</v>
          </cell>
          <cell r="M1245" t="e">
            <v>#N/A</v>
          </cell>
          <cell r="N1245">
            <v>37</v>
          </cell>
          <cell r="O1245" t="e">
            <v>#N/A</v>
          </cell>
          <cell r="P1245" t="str">
            <v/>
          </cell>
          <cell r="Q1245" t="str">
            <v/>
          </cell>
          <cell r="R1245" t="e">
            <v>#N/A</v>
          </cell>
        </row>
        <row r="1246">
          <cell r="A1246" t="str">
            <v/>
          </cell>
          <cell r="B1246" t="str">
            <v/>
          </cell>
          <cell r="C1246" t="str">
            <v>Future</v>
          </cell>
          <cell r="D1246" t="e">
            <v>#N/A</v>
          </cell>
          <cell r="E1246">
            <v>-59.301897233201871</v>
          </cell>
          <cell r="F1246">
            <v>54.745533596838484</v>
          </cell>
          <cell r="G1246">
            <v>27.591383399208677</v>
          </cell>
          <cell r="H1246">
            <v>27.591383399208677</v>
          </cell>
          <cell r="I1246" t="e">
            <v>#N/A</v>
          </cell>
          <cell r="J1246" t="e">
            <v>#N/A</v>
          </cell>
          <cell r="K1246">
            <v>42</v>
          </cell>
          <cell r="L1246">
            <v>32</v>
          </cell>
          <cell r="M1246" t="e">
            <v>#N/A</v>
          </cell>
          <cell r="N1246">
            <v>37</v>
          </cell>
          <cell r="O1246" t="e">
            <v>#N/A</v>
          </cell>
          <cell r="P1246" t="str">
            <v/>
          </cell>
          <cell r="Q1246" t="str">
            <v/>
          </cell>
          <cell r="R1246" t="e">
            <v>#N/A</v>
          </cell>
        </row>
        <row r="1247">
          <cell r="A1247" t="str">
            <v/>
          </cell>
          <cell r="B1247" t="str">
            <v/>
          </cell>
          <cell r="C1247" t="str">
            <v>Future</v>
          </cell>
          <cell r="D1247" t="e">
            <v>#N/A</v>
          </cell>
          <cell r="E1247">
            <v>-59.438537549407407</v>
          </cell>
          <cell r="F1247">
            <v>54.774901185771292</v>
          </cell>
          <cell r="G1247">
            <v>27.581225296441879</v>
          </cell>
          <cell r="H1247">
            <v>27.581225296441879</v>
          </cell>
          <cell r="I1247" t="e">
            <v>#N/A</v>
          </cell>
          <cell r="J1247" t="e">
            <v>#N/A</v>
          </cell>
          <cell r="K1247">
            <v>42</v>
          </cell>
          <cell r="L1247">
            <v>32</v>
          </cell>
          <cell r="M1247" t="e">
            <v>#N/A</v>
          </cell>
          <cell r="N1247">
            <v>37</v>
          </cell>
          <cell r="O1247" t="e">
            <v>#N/A</v>
          </cell>
          <cell r="P1247" t="str">
            <v/>
          </cell>
          <cell r="Q1247" t="str">
            <v/>
          </cell>
          <cell r="R1247" t="e">
            <v>#N/A</v>
          </cell>
        </row>
        <row r="1248">
          <cell r="A1248" t="str">
            <v/>
          </cell>
          <cell r="B1248" t="str">
            <v/>
          </cell>
          <cell r="C1248" t="str">
            <v>Future</v>
          </cell>
          <cell r="D1248" t="e">
            <v>#N/A</v>
          </cell>
          <cell r="E1248">
            <v>-59.575177865612943</v>
          </cell>
          <cell r="F1248">
            <v>54.804268774704099</v>
          </cell>
          <cell r="G1248">
            <v>27.571067193675081</v>
          </cell>
          <cell r="H1248">
            <v>27.571067193675081</v>
          </cell>
          <cell r="I1248" t="e">
            <v>#N/A</v>
          </cell>
          <cell r="J1248" t="e">
            <v>#N/A</v>
          </cell>
          <cell r="K1248">
            <v>42</v>
          </cell>
          <cell r="L1248">
            <v>32</v>
          </cell>
          <cell r="M1248" t="e">
            <v>#N/A</v>
          </cell>
          <cell r="N1248">
            <v>37</v>
          </cell>
          <cell r="O1248" t="e">
            <v>#N/A</v>
          </cell>
          <cell r="P1248" t="str">
            <v/>
          </cell>
          <cell r="Q1248" t="str">
            <v/>
          </cell>
          <cell r="R1248" t="e">
            <v>#N/A</v>
          </cell>
        </row>
        <row r="1249">
          <cell r="A1249" t="str">
            <v/>
          </cell>
          <cell r="B1249" t="str">
            <v/>
          </cell>
          <cell r="C1249" t="str">
            <v>Future</v>
          </cell>
          <cell r="D1249" t="e">
            <v>#N/A</v>
          </cell>
          <cell r="E1249">
            <v>-59.711818181818479</v>
          </cell>
          <cell r="F1249">
            <v>54.833636363636906</v>
          </cell>
          <cell r="G1249">
            <v>27.560909090908282</v>
          </cell>
          <cell r="H1249">
            <v>27.560909090908282</v>
          </cell>
          <cell r="I1249" t="e">
            <v>#N/A</v>
          </cell>
          <cell r="J1249" t="e">
            <v>#N/A</v>
          </cell>
          <cell r="K1249">
            <v>42</v>
          </cell>
          <cell r="L1249">
            <v>32</v>
          </cell>
          <cell r="M1249" t="e">
            <v>#N/A</v>
          </cell>
          <cell r="N1249">
            <v>37</v>
          </cell>
          <cell r="O1249" t="e">
            <v>#N/A</v>
          </cell>
          <cell r="P1249" t="str">
            <v/>
          </cell>
          <cell r="Q1249" t="str">
            <v/>
          </cell>
          <cell r="R1249" t="e">
            <v>#N/A</v>
          </cell>
        </row>
        <row r="1250">
          <cell r="A1250" t="str">
            <v/>
          </cell>
          <cell r="B1250" t="str">
            <v/>
          </cell>
          <cell r="C1250" t="str">
            <v>Future</v>
          </cell>
          <cell r="D1250" t="e">
            <v>#N/A</v>
          </cell>
          <cell r="E1250">
            <v>-59.848458498024016</v>
          </cell>
          <cell r="F1250">
            <v>54.863003952569713</v>
          </cell>
          <cell r="G1250">
            <v>27.550750988141484</v>
          </cell>
          <cell r="H1250">
            <v>27.550750988141484</v>
          </cell>
          <cell r="I1250" t="e">
            <v>#N/A</v>
          </cell>
          <cell r="J1250" t="e">
            <v>#N/A</v>
          </cell>
          <cell r="K1250">
            <v>42</v>
          </cell>
          <cell r="L1250">
            <v>32</v>
          </cell>
          <cell r="M1250" t="e">
            <v>#N/A</v>
          </cell>
          <cell r="N1250">
            <v>37</v>
          </cell>
          <cell r="O1250" t="e">
            <v>#N/A</v>
          </cell>
          <cell r="P1250" t="str">
            <v/>
          </cell>
          <cell r="Q1250" t="str">
            <v/>
          </cell>
          <cell r="R1250" t="e">
            <v>#N/A</v>
          </cell>
        </row>
        <row r="1251">
          <cell r="A1251" t="str">
            <v/>
          </cell>
          <cell r="B1251" t="str">
            <v/>
          </cell>
          <cell r="C1251" t="str">
            <v>Future</v>
          </cell>
          <cell r="D1251" t="e">
            <v>#N/A</v>
          </cell>
          <cell r="E1251">
            <v>-59.985098814229552</v>
          </cell>
          <cell r="F1251">
            <v>54.89237154150252</v>
          </cell>
          <cell r="G1251">
            <v>27.540592885374686</v>
          </cell>
          <cell r="H1251">
            <v>27.540592885374686</v>
          </cell>
          <cell r="I1251" t="e">
            <v>#N/A</v>
          </cell>
          <cell r="J1251" t="e">
            <v>#N/A</v>
          </cell>
          <cell r="K1251">
            <v>42</v>
          </cell>
          <cell r="L1251">
            <v>32</v>
          </cell>
          <cell r="M1251" t="e">
            <v>#N/A</v>
          </cell>
          <cell r="N1251">
            <v>37</v>
          </cell>
          <cell r="O1251" t="e">
            <v>#N/A</v>
          </cell>
          <cell r="P1251" t="str">
            <v/>
          </cell>
          <cell r="Q1251" t="str">
            <v/>
          </cell>
          <cell r="R1251" t="e">
            <v>#N/A</v>
          </cell>
        </row>
        <row r="1252">
          <cell r="A1252" t="str">
            <v/>
          </cell>
          <cell r="B1252" t="str">
            <v/>
          </cell>
          <cell r="C1252" t="str">
            <v>Future</v>
          </cell>
          <cell r="D1252" t="e">
            <v>#N/A</v>
          </cell>
          <cell r="E1252">
            <v>-60.121739130435088</v>
          </cell>
          <cell r="F1252">
            <v>54.921739130435327</v>
          </cell>
          <cell r="G1252">
            <v>27.530434782607887</v>
          </cell>
          <cell r="H1252">
            <v>27.530434782607887</v>
          </cell>
          <cell r="I1252" t="e">
            <v>#N/A</v>
          </cell>
          <cell r="J1252" t="e">
            <v>#N/A</v>
          </cell>
          <cell r="K1252">
            <v>42</v>
          </cell>
          <cell r="L1252">
            <v>32</v>
          </cell>
          <cell r="M1252" t="e">
            <v>#N/A</v>
          </cell>
          <cell r="N1252">
            <v>37</v>
          </cell>
          <cell r="O1252" t="e">
            <v>#N/A</v>
          </cell>
          <cell r="P1252" t="str">
            <v/>
          </cell>
          <cell r="Q1252" t="str">
            <v/>
          </cell>
          <cell r="R1252" t="e">
            <v>#N/A</v>
          </cell>
        </row>
        <row r="1253">
          <cell r="A1253" t="str">
            <v/>
          </cell>
          <cell r="P1253" t="str">
            <v/>
          </cell>
          <cell r="Q1253" t="str">
            <v/>
          </cell>
        </row>
      </sheetData>
      <sheetData sheetId="28"/>
      <sheetData sheetId="29"/>
      <sheetData sheetId="30"/>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sheetData sheetId="43"/>
      <sheetData sheetId="44"/>
      <sheetData sheetId="45"/>
      <sheetData sheetId="46"/>
      <sheetData sheetId="47" refreshError="1"/>
      <sheetData sheetId="48"/>
      <sheetData sheetId="49" refreshError="1"/>
      <sheetData sheetId="50" refreshError="1"/>
      <sheetData sheetId="51" refreshError="1"/>
      <sheetData sheetId="52" refreshError="1"/>
      <sheetData sheetId="5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 contribution analysis"/>
      <sheetName val="rev change analysis"/>
      <sheetName val="2015 rev change"/>
    </sheetNames>
    <sheetDataSet>
      <sheetData sheetId="0"/>
      <sheetData sheetId="1">
        <row r="1">
          <cell r="R1" t="str">
            <v>SmartCharts</v>
          </cell>
          <cell r="BA1" t="str">
            <v>.</v>
          </cell>
        </row>
        <row r="2">
          <cell r="BA2" t="str">
            <v>.</v>
          </cell>
        </row>
        <row r="3">
          <cell r="BA3" t="str">
            <v>.</v>
          </cell>
        </row>
        <row r="4">
          <cell r="BA4" t="str">
            <v>.</v>
          </cell>
        </row>
        <row r="5">
          <cell r="C5" t="str">
            <v>Define value axis here:</v>
          </cell>
        </row>
        <row r="6">
          <cell r="C6" t="str">
            <v>WYE YOY revenue change 2010E-2015E</v>
          </cell>
        </row>
        <row r="10">
          <cell r="C10" t="str">
            <v>Input your data here:</v>
          </cell>
          <cell r="BA10" t="str">
            <v>.</v>
          </cell>
        </row>
        <row r="11">
          <cell r="C11" t="str">
            <v>Sales ($M)</v>
          </cell>
          <cell r="D11" t="str">
            <v>2011E</v>
          </cell>
          <cell r="E11" t="str">
            <v>2012E</v>
          </cell>
          <cell r="F11" t="str">
            <v>2013E</v>
          </cell>
          <cell r="G11" t="str">
            <v>2014E</v>
          </cell>
          <cell r="H11" t="str">
            <v>2015E</v>
          </cell>
          <cell r="BA11" t="str">
            <v>.</v>
          </cell>
        </row>
        <row r="12">
          <cell r="C12" t="str">
            <v>In-line products</v>
          </cell>
          <cell r="D12">
            <v>777.7528584280044</v>
          </cell>
          <cell r="E12">
            <v>801.12416082795426</v>
          </cell>
          <cell r="F12">
            <v>480.32922347793647</v>
          </cell>
          <cell r="G12">
            <v>302.52535042870295</v>
          </cell>
          <cell r="H12">
            <v>-140.85209419635794</v>
          </cell>
          <cell r="BA12" t="str">
            <v>.</v>
          </cell>
        </row>
        <row r="13">
          <cell r="C13" t="str">
            <v>Pipeline products launching 2010–2015</v>
          </cell>
          <cell r="D13">
            <v>336.15000000000003</v>
          </cell>
          <cell r="E13">
            <v>486.05249999999995</v>
          </cell>
          <cell r="F13">
            <v>643.90925000000004</v>
          </cell>
          <cell r="G13">
            <v>903.77877650000028</v>
          </cell>
          <cell r="H13">
            <v>877.75910161390948</v>
          </cell>
          <cell r="BA13" t="str">
            <v>.</v>
          </cell>
        </row>
        <row r="14">
          <cell r="C14" t="str">
            <v>Products expiring 2010–15</v>
          </cell>
          <cell r="D14">
            <v>-1897.5856368349996</v>
          </cell>
          <cell r="E14">
            <v>-405.26704991404949</v>
          </cell>
          <cell r="F14">
            <v>-247.4564255044188</v>
          </cell>
          <cell r="G14">
            <v>-486.45018457921105</v>
          </cell>
          <cell r="H14">
            <v>-467.41580692871912</v>
          </cell>
          <cell r="BA14" t="str">
            <v>.</v>
          </cell>
        </row>
        <row r="15">
          <cell r="C15" t="str">
            <v>Net YOY change</v>
          </cell>
          <cell r="D15">
            <v>-783.68277840699375</v>
          </cell>
          <cell r="E15">
            <v>881.90961091390272</v>
          </cell>
          <cell r="F15">
            <v>876.78204797351646</v>
          </cell>
          <cell r="G15">
            <v>719.85394234949126</v>
          </cell>
          <cell r="H15">
            <v>269.4912004888356</v>
          </cell>
          <cell r="BA15" t="str">
            <v>.</v>
          </cell>
        </row>
        <row r="16">
          <cell r="BA16" t="str">
            <v>.</v>
          </cell>
        </row>
        <row r="17">
          <cell r="BA17" t="str">
            <v>.</v>
          </cell>
        </row>
        <row r="18">
          <cell r="BA18"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J35" t="str">
            <v>Do not change the width of the exhibit or font sizes (they are optimized for export to Word).</v>
          </cell>
          <cell r="BA35" t="str">
            <v>.</v>
          </cell>
        </row>
        <row r="36">
          <cell r="BA36" t="str">
            <v>.</v>
          </cell>
        </row>
        <row r="37">
          <cell r="J37" t="str">
            <v>Do not delete any rows or columns (some gray cells are used for calculations).</v>
          </cell>
          <cell r="BA37" t="str">
            <v>.</v>
          </cell>
        </row>
        <row r="38">
          <cell r="BA38" t="str">
            <v>.</v>
          </cell>
        </row>
        <row r="39">
          <cell r="BA39" t="str">
            <v>.</v>
          </cell>
        </row>
        <row r="40">
          <cell r="BA40" t="str">
            <v>.</v>
          </cell>
        </row>
        <row r="41">
          <cell r="BA41" t="str">
            <v>.</v>
          </cell>
        </row>
        <row r="42">
          <cell r="BA42" t="str">
            <v>.</v>
          </cell>
        </row>
        <row r="43">
          <cell r="BA43" t="str">
            <v>.</v>
          </cell>
        </row>
        <row r="44">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BA996" t="str">
            <v>.</v>
          </cell>
        </row>
        <row r="997">
          <cell r="A997" t="str">
            <v>.</v>
          </cell>
          <cell r="B997" t="str">
            <v>.</v>
          </cell>
          <cell r="C997" t="str">
            <v>.</v>
          </cell>
          <cell r="D997" t="str">
            <v>.</v>
          </cell>
          <cell r="E997" t="str">
            <v>.</v>
          </cell>
          <cell r="F997" t="str">
            <v>.</v>
          </cell>
          <cell r="G997" t="str">
            <v>.</v>
          </cell>
          <cell r="H997" t="str">
            <v>.</v>
          </cell>
          <cell r="S997" t="str">
            <v>.</v>
          </cell>
          <cell r="T997" t="str">
            <v>.</v>
          </cell>
          <cell r="U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row>
      </sheetData>
      <sheetData sheetId="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 contribution analysis"/>
      <sheetName val="rev change analysis"/>
      <sheetName val="2015 rev change"/>
      <sheetName val="Product Mix 100%"/>
      <sheetName val="Traditional &amp; Other"/>
      <sheetName val="Per Pharma Traditional &amp; Biolog"/>
      <sheetName val="MW-Cache"/>
      <sheetName val="__FDSCACHE__"/>
      <sheetName val="2010PE"/>
      <sheetName val="2010PE_Ex BMY"/>
      <sheetName val="2012PE"/>
      <sheetName val="2012PE_Ex BMY"/>
      <sheetName val="short IS"/>
      <sheetName val="cost savings"/>
      <sheetName val="2015 top 10"/>
      <sheetName val="2010 top 10"/>
    </sheetNames>
    <sheetDataSet>
      <sheetData sheetId="0"/>
      <sheetData sheetId="1">
        <row r="1">
          <cell r="R1" t="str">
            <v>SmartCharts</v>
          </cell>
          <cell r="BA1" t="str">
            <v>.</v>
          </cell>
        </row>
        <row r="2">
          <cell r="BA2" t="str">
            <v>.</v>
          </cell>
        </row>
        <row r="3">
          <cell r="BA3" t="str">
            <v>.</v>
          </cell>
        </row>
        <row r="4">
          <cell r="BA4" t="str">
            <v>.</v>
          </cell>
        </row>
        <row r="5">
          <cell r="C5" t="str">
            <v>Define value axis here:</v>
          </cell>
        </row>
        <row r="6">
          <cell r="C6" t="str">
            <v>PFE YOY revenue change 2010E-2015E</v>
          </cell>
        </row>
        <row r="10">
          <cell r="C10" t="str">
            <v>Input your data here:</v>
          </cell>
          <cell r="BA10" t="str">
            <v>.</v>
          </cell>
        </row>
        <row r="11">
          <cell r="C11" t="str">
            <v>Sales ($M)</v>
          </cell>
          <cell r="D11" t="str">
            <v>2011E</v>
          </cell>
          <cell r="E11" t="str">
            <v>2012E</v>
          </cell>
          <cell r="F11" t="str">
            <v>2013E</v>
          </cell>
          <cell r="G11" t="str">
            <v>2014E</v>
          </cell>
          <cell r="H11" t="str">
            <v>2015E</v>
          </cell>
          <cell r="BA11" t="str">
            <v>.</v>
          </cell>
        </row>
        <row r="12">
          <cell r="C12" t="str">
            <v>In-line products</v>
          </cell>
          <cell r="D12">
            <v>932.42080930800876</v>
          </cell>
          <cell r="E12">
            <v>1421.1035914094464</v>
          </cell>
          <cell r="F12">
            <v>1765.8870921994021</v>
          </cell>
          <cell r="G12">
            <v>1055.7675672663318</v>
          </cell>
          <cell r="H12">
            <v>577.39612356401631</v>
          </cell>
          <cell r="BA12" t="str">
            <v>.</v>
          </cell>
        </row>
        <row r="13">
          <cell r="C13" t="str">
            <v>Pipeline products launching 2010–2015</v>
          </cell>
          <cell r="D13">
            <v>488.88851560750004</v>
          </cell>
          <cell r="E13">
            <v>1032.6222136879819</v>
          </cell>
          <cell r="F13">
            <v>1194.3879881319788</v>
          </cell>
          <cell r="G13">
            <v>1586.9809373847056</v>
          </cell>
          <cell r="H13">
            <v>1912.159684759381</v>
          </cell>
          <cell r="BA13" t="str">
            <v>.</v>
          </cell>
        </row>
        <row r="14">
          <cell r="C14" t="str">
            <v>Products expiring 2010–15</v>
          </cell>
          <cell r="D14">
            <v>-3093.4238533699972</v>
          </cell>
          <cell r="E14">
            <v>-9244.3086322740019</v>
          </cell>
          <cell r="F14">
            <v>-2500.25038596167</v>
          </cell>
          <cell r="G14">
            <v>-2111.4680686893898</v>
          </cell>
          <cell r="H14">
            <v>-2273.0544201852699</v>
          </cell>
          <cell r="BA14" t="str">
            <v>.</v>
          </cell>
        </row>
        <row r="15">
          <cell r="C15" t="str">
            <v>Net YOY change</v>
          </cell>
          <cell r="D15">
            <v>-1672.1145284544909</v>
          </cell>
          <cell r="E15">
            <v>-6790.582827176564</v>
          </cell>
          <cell r="F15">
            <v>460.02469436970568</v>
          </cell>
          <cell r="G15">
            <v>531.28043596164935</v>
          </cell>
          <cell r="H15">
            <v>216.50138813813101</v>
          </cell>
          <cell r="BA15" t="str">
            <v>.</v>
          </cell>
        </row>
        <row r="16">
          <cell r="BA16" t="str">
            <v>.</v>
          </cell>
        </row>
        <row r="17">
          <cell r="BA17" t="str">
            <v>.</v>
          </cell>
        </row>
        <row r="18">
          <cell r="BA18"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J35" t="str">
            <v>Do not change the width of the exhibit or font sizes (they are optimized for export to Word).</v>
          </cell>
          <cell r="BA35" t="str">
            <v>.</v>
          </cell>
        </row>
        <row r="36">
          <cell r="BA36" t="str">
            <v>.</v>
          </cell>
        </row>
        <row r="37">
          <cell r="J37" t="str">
            <v>Do not delete any rows or columns (some gray cells are used for calculations).</v>
          </cell>
          <cell r="BA37" t="str">
            <v>.</v>
          </cell>
        </row>
        <row r="38">
          <cell r="BA38" t="str">
            <v>.</v>
          </cell>
        </row>
        <row r="39">
          <cell r="BA39" t="str">
            <v>.</v>
          </cell>
        </row>
        <row r="40">
          <cell r="BA40" t="str">
            <v>.</v>
          </cell>
        </row>
        <row r="41">
          <cell r="BA41" t="str">
            <v>.</v>
          </cell>
        </row>
        <row r="42">
          <cell r="BA42" t="str">
            <v>.</v>
          </cell>
        </row>
        <row r="43">
          <cell r="BA43" t="str">
            <v>.</v>
          </cell>
        </row>
        <row r="44">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BA996" t="str">
            <v>.</v>
          </cell>
        </row>
        <row r="997">
          <cell r="A997" t="str">
            <v>.</v>
          </cell>
          <cell r="B997" t="str">
            <v>.</v>
          </cell>
          <cell r="C997" t="str">
            <v>.</v>
          </cell>
          <cell r="D997" t="str">
            <v>.</v>
          </cell>
          <cell r="E997" t="str">
            <v>.</v>
          </cell>
          <cell r="F997" t="str">
            <v>.</v>
          </cell>
          <cell r="G997" t="str">
            <v>.</v>
          </cell>
          <cell r="H997" t="str">
            <v>.</v>
          </cell>
          <cell r="S997" t="str">
            <v>.</v>
          </cell>
          <cell r="T997" t="str">
            <v>.</v>
          </cell>
          <cell r="U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row>
      </sheetData>
      <sheetData sheetId="2">
        <row r="1">
          <cell r="Y1" t="str">
            <v>SmartCharts</v>
          </cell>
          <cell r="BH1" t="str">
            <v>.</v>
          </cell>
        </row>
        <row r="2">
          <cell r="BH2" t="str">
            <v>.</v>
          </cell>
        </row>
        <row r="3">
          <cell r="BH3" t="str">
            <v>.</v>
          </cell>
        </row>
        <row r="6">
          <cell r="C6" t="str">
            <v>Input starting data point here:</v>
          </cell>
        </row>
        <row r="7">
          <cell r="C7" t="str">
            <v>2010E</v>
          </cell>
          <cell r="D7">
            <v>67.2</v>
          </cell>
        </row>
        <row r="8">
          <cell r="M8" t="str">
            <v>inv series</v>
          </cell>
          <cell r="P8" t="str">
            <v>clean labels</v>
          </cell>
        </row>
        <row r="9">
          <cell r="M9" t="str">
            <v>for labels</v>
          </cell>
        </row>
        <row r="10">
          <cell r="C10" t="str">
            <v>Input increments here:</v>
          </cell>
          <cell r="G10">
            <v>3</v>
          </cell>
          <cell r="H10" t="str">
            <v>Invisible</v>
          </cell>
          <cell r="I10" t="str">
            <v>Final</v>
          </cell>
          <cell r="J10" t="str">
            <v>Minus</v>
          </cell>
          <cell r="K10" t="str">
            <v>Plus</v>
          </cell>
          <cell r="L10" t="str">
            <v>Initial</v>
          </cell>
          <cell r="M10" t="str">
            <v>inside1</v>
          </cell>
          <cell r="N10" t="str">
            <v>inside2</v>
          </cell>
          <cell r="O10" t="str">
            <v>outside</v>
          </cell>
          <cell r="P10" t="str">
            <v>labfinal</v>
          </cell>
          <cell r="Q10" t="str">
            <v>labminus</v>
          </cell>
          <cell r="R10" t="str">
            <v>labplus</v>
          </cell>
          <cell r="S10" t="str">
            <v>labinitial</v>
          </cell>
          <cell r="T10" t="str">
            <v>labinside1</v>
          </cell>
          <cell r="U10" t="str">
            <v>labinside2</v>
          </cell>
        </row>
        <row r="11">
          <cell r="H11">
            <v>0</v>
          </cell>
        </row>
        <row r="12">
          <cell r="L12">
            <v>67.2</v>
          </cell>
          <cell r="M12">
            <v>0</v>
          </cell>
          <cell r="N12">
            <v>0</v>
          </cell>
          <cell r="O12">
            <v>0</v>
          </cell>
          <cell r="P12" t="str">
            <v/>
          </cell>
          <cell r="Q12" t="str">
            <v/>
          </cell>
          <cell r="R12" t="str">
            <v/>
          </cell>
          <cell r="S12">
            <v>67.2</v>
          </cell>
          <cell r="T12" t="str">
            <v>2010E</v>
          </cell>
        </row>
        <row r="13">
          <cell r="C13" t="str">
            <v>In-Line Products</v>
          </cell>
          <cell r="D13">
            <v>5.8</v>
          </cell>
          <cell r="G13">
            <v>1</v>
          </cell>
          <cell r="H13">
            <v>67.2</v>
          </cell>
          <cell r="I13" t="str">
            <v/>
          </cell>
          <cell r="J13">
            <v>0</v>
          </cell>
          <cell r="K13">
            <v>5.8</v>
          </cell>
          <cell r="M13">
            <v>0</v>
          </cell>
          <cell r="N13">
            <v>0</v>
          </cell>
          <cell r="O13">
            <v>0</v>
          </cell>
          <cell r="P13" t="str">
            <v/>
          </cell>
          <cell r="Q13" t="str">
            <v/>
          </cell>
          <cell r="R13">
            <v>5.8</v>
          </cell>
          <cell r="S13" t="str">
            <v/>
          </cell>
          <cell r="T13" t="str">
            <v/>
          </cell>
          <cell r="U13" t="str">
            <v>In-Line Products</v>
          </cell>
        </row>
        <row r="14">
          <cell r="C14" t="str">
            <v>Pipeline</v>
          </cell>
          <cell r="D14">
            <v>6.2</v>
          </cell>
          <cell r="G14">
            <v>2</v>
          </cell>
          <cell r="H14">
            <v>73</v>
          </cell>
          <cell r="I14" t="str">
            <v/>
          </cell>
          <cell r="J14">
            <v>0</v>
          </cell>
          <cell r="K14">
            <v>6.2</v>
          </cell>
          <cell r="M14">
            <v>0</v>
          </cell>
          <cell r="N14">
            <v>0</v>
          </cell>
          <cell r="O14">
            <v>0</v>
          </cell>
          <cell r="P14" t="str">
            <v/>
          </cell>
          <cell r="Q14" t="str">
            <v/>
          </cell>
          <cell r="R14">
            <v>6.2</v>
          </cell>
          <cell r="S14" t="str">
            <v/>
          </cell>
          <cell r="T14" t="str">
            <v/>
          </cell>
          <cell r="U14" t="str">
            <v>Pipeline</v>
          </cell>
        </row>
        <row r="15">
          <cell r="C15" t="str">
            <v>Expirations</v>
          </cell>
          <cell r="D15">
            <v>-19.2</v>
          </cell>
          <cell r="G15">
            <v>3</v>
          </cell>
          <cell r="H15">
            <v>60</v>
          </cell>
          <cell r="I15" t="str">
            <v/>
          </cell>
          <cell r="J15">
            <v>19.2</v>
          </cell>
          <cell r="K15">
            <v>0</v>
          </cell>
          <cell r="M15">
            <v>0</v>
          </cell>
          <cell r="N15">
            <v>0</v>
          </cell>
          <cell r="O15">
            <v>0</v>
          </cell>
          <cell r="P15" t="str">
            <v/>
          </cell>
          <cell r="Q15">
            <v>-19.2</v>
          </cell>
          <cell r="R15" t="str">
            <v/>
          </cell>
          <cell r="S15" t="str">
            <v/>
          </cell>
          <cell r="T15" t="str">
            <v/>
          </cell>
          <cell r="U15" t="str">
            <v>Expirations</v>
          </cell>
        </row>
        <row r="16">
          <cell r="G16">
            <v>4</v>
          </cell>
          <cell r="H16" t="str">
            <v/>
          </cell>
          <cell r="I16">
            <v>60</v>
          </cell>
          <cell r="J16">
            <v>0</v>
          </cell>
          <cell r="K16">
            <v>0</v>
          </cell>
          <cell r="M16">
            <v>0</v>
          </cell>
          <cell r="N16">
            <v>0</v>
          </cell>
          <cell r="O16">
            <v>0</v>
          </cell>
          <cell r="P16">
            <v>60</v>
          </cell>
          <cell r="Q16" t="str">
            <v/>
          </cell>
          <cell r="R16" t="str">
            <v/>
          </cell>
          <cell r="S16" t="str">
            <v/>
          </cell>
          <cell r="T16" t="str">
            <v>2015E</v>
          </cell>
          <cell r="U16" t="str">
            <v/>
          </cell>
        </row>
        <row r="17">
          <cell r="G17">
            <v>5</v>
          </cell>
          <cell r="H17" t="str">
            <v/>
          </cell>
          <cell r="I17" t="str">
            <v/>
          </cell>
          <cell r="J17">
            <v>0</v>
          </cell>
          <cell r="K17">
            <v>0</v>
          </cell>
          <cell r="M17">
            <v>0</v>
          </cell>
          <cell r="N17">
            <v>0</v>
          </cell>
          <cell r="O17">
            <v>0</v>
          </cell>
          <cell r="P17" t="str">
            <v/>
          </cell>
          <cell r="Q17" t="str">
            <v/>
          </cell>
          <cell r="R17" t="str">
            <v/>
          </cell>
          <cell r="S17" t="str">
            <v/>
          </cell>
          <cell r="T17" t="str">
            <v/>
          </cell>
          <cell r="U17" t="str">
            <v/>
          </cell>
        </row>
        <row r="18">
          <cell r="G18">
            <v>6</v>
          </cell>
          <cell r="H18" t="str">
            <v/>
          </cell>
          <cell r="I18" t="str">
            <v/>
          </cell>
          <cell r="J18">
            <v>0</v>
          </cell>
          <cell r="K18">
            <v>0</v>
          </cell>
          <cell r="M18">
            <v>0</v>
          </cell>
          <cell r="N18">
            <v>0</v>
          </cell>
          <cell r="O18">
            <v>0</v>
          </cell>
          <cell r="P18" t="str">
            <v/>
          </cell>
          <cell r="Q18" t="str">
            <v/>
          </cell>
          <cell r="R18" t="str">
            <v/>
          </cell>
          <cell r="S18" t="str">
            <v/>
          </cell>
          <cell r="T18" t="str">
            <v/>
          </cell>
          <cell r="U18" t="str">
            <v/>
          </cell>
        </row>
        <row r="19">
          <cell r="G19">
            <v>7</v>
          </cell>
          <cell r="H19" t="str">
            <v/>
          </cell>
          <cell r="I19" t="str">
            <v/>
          </cell>
          <cell r="J19">
            <v>0</v>
          </cell>
          <cell r="K19">
            <v>0</v>
          </cell>
          <cell r="M19">
            <v>0</v>
          </cell>
          <cell r="N19">
            <v>0</v>
          </cell>
          <cell r="O19">
            <v>0</v>
          </cell>
          <cell r="P19" t="str">
            <v/>
          </cell>
          <cell r="Q19" t="str">
            <v/>
          </cell>
          <cell r="R19" t="str">
            <v/>
          </cell>
          <cell r="S19" t="str">
            <v/>
          </cell>
          <cell r="T19" t="str">
            <v/>
          </cell>
          <cell r="U19" t="str">
            <v/>
          </cell>
        </row>
        <row r="20">
          <cell r="G20">
            <v>8</v>
          </cell>
          <cell r="H20" t="str">
            <v/>
          </cell>
          <cell r="I20" t="str">
            <v/>
          </cell>
          <cell r="J20">
            <v>0</v>
          </cell>
          <cell r="K20">
            <v>0</v>
          </cell>
          <cell r="M20">
            <v>0</v>
          </cell>
          <cell r="N20">
            <v>0</v>
          </cell>
          <cell r="O20">
            <v>0</v>
          </cell>
          <cell r="P20" t="str">
            <v/>
          </cell>
          <cell r="Q20" t="str">
            <v/>
          </cell>
          <cell r="R20" t="str">
            <v/>
          </cell>
          <cell r="S20" t="str">
            <v/>
          </cell>
          <cell r="T20" t="str">
            <v/>
          </cell>
          <cell r="U20" t="str">
            <v/>
          </cell>
        </row>
        <row r="21">
          <cell r="G21">
            <v>9</v>
          </cell>
          <cell r="H21" t="str">
            <v/>
          </cell>
          <cell r="I21" t="str">
            <v/>
          </cell>
          <cell r="J21">
            <v>0</v>
          </cell>
          <cell r="K21">
            <v>0</v>
          </cell>
          <cell r="M21">
            <v>0</v>
          </cell>
          <cell r="N21">
            <v>0</v>
          </cell>
          <cell r="O21">
            <v>0</v>
          </cell>
          <cell r="P21" t="str">
            <v/>
          </cell>
          <cell r="Q21" t="str">
            <v/>
          </cell>
          <cell r="R21" t="str">
            <v/>
          </cell>
          <cell r="S21" t="str">
            <v/>
          </cell>
          <cell r="T21" t="str">
            <v/>
          </cell>
          <cell r="U21" t="str">
            <v/>
          </cell>
        </row>
        <row r="22">
          <cell r="G22">
            <v>10</v>
          </cell>
          <cell r="H22" t="str">
            <v/>
          </cell>
          <cell r="I22" t="str">
            <v/>
          </cell>
          <cell r="J22">
            <v>0</v>
          </cell>
          <cell r="K22">
            <v>0</v>
          </cell>
          <cell r="M22">
            <v>0</v>
          </cell>
          <cell r="N22">
            <v>0</v>
          </cell>
          <cell r="O22">
            <v>0</v>
          </cell>
          <cell r="P22" t="str">
            <v/>
          </cell>
          <cell r="Q22" t="str">
            <v/>
          </cell>
          <cell r="R22" t="str">
            <v/>
          </cell>
          <cell r="S22" t="str">
            <v/>
          </cell>
          <cell r="T22" t="str">
            <v/>
          </cell>
          <cell r="U22" t="str">
            <v/>
          </cell>
        </row>
        <row r="23">
          <cell r="G23">
            <v>11</v>
          </cell>
          <cell r="H23" t="str">
            <v/>
          </cell>
          <cell r="I23" t="str">
            <v/>
          </cell>
          <cell r="M23">
            <v>0</v>
          </cell>
          <cell r="N23">
            <v>0</v>
          </cell>
          <cell r="O23">
            <v>0</v>
          </cell>
          <cell r="P23" t="str">
            <v/>
          </cell>
          <cell r="Q23" t="str">
            <v/>
          </cell>
          <cell r="R23" t="str">
            <v/>
          </cell>
          <cell r="S23" t="str">
            <v/>
          </cell>
          <cell r="T23" t="str">
            <v/>
          </cell>
          <cell r="U23" t="str">
            <v/>
          </cell>
        </row>
        <row r="24">
          <cell r="G24">
            <v>12</v>
          </cell>
          <cell r="H24">
            <v>0</v>
          </cell>
          <cell r="I24" t="str">
            <v/>
          </cell>
          <cell r="M24">
            <v>0</v>
          </cell>
          <cell r="N24">
            <v>0</v>
          </cell>
          <cell r="O24">
            <v>0</v>
          </cell>
          <cell r="P24" t="str">
            <v/>
          </cell>
          <cell r="Q24" t="str">
            <v/>
          </cell>
          <cell r="R24" t="str">
            <v/>
          </cell>
          <cell r="S24" t="str">
            <v/>
          </cell>
          <cell r="T24" t="str">
            <v/>
          </cell>
          <cell r="U24" t="str">
            <v/>
          </cell>
        </row>
        <row r="25">
          <cell r="H25" t="str">
            <v>net chg</v>
          </cell>
          <cell r="I25">
            <v>-7.2</v>
          </cell>
        </row>
        <row r="27">
          <cell r="C27" t="str">
            <v>Input label for end point here:</v>
          </cell>
        </row>
        <row r="28">
          <cell r="C28" t="str">
            <v>2015E</v>
          </cell>
        </row>
        <row r="30">
          <cell r="C30" t="str">
            <v xml:space="preserve">End data value 
</v>
          </cell>
          <cell r="D30" t="str">
            <v/>
          </cell>
        </row>
        <row r="31">
          <cell r="C31" t="str">
            <v>is calculated</v>
          </cell>
        </row>
        <row r="32">
          <cell r="C32" t="str">
            <v>automatically</v>
          </cell>
        </row>
        <row r="1002">
          <cell r="A1002" t="str">
            <v>.</v>
          </cell>
          <cell r="B1002" t="str">
            <v>.</v>
          </cell>
          <cell r="C1002" t="str">
            <v>.</v>
          </cell>
        </row>
      </sheetData>
      <sheetData sheetId="3">
        <row r="1">
          <cell r="S1" t="str">
            <v>SmartCharts</v>
          </cell>
          <cell r="BB1" t="str">
            <v>.</v>
          </cell>
        </row>
        <row r="2">
          <cell r="BB2" t="str">
            <v>.</v>
          </cell>
        </row>
        <row r="3">
          <cell r="BB3" t="str">
            <v>.</v>
          </cell>
        </row>
        <row r="4">
          <cell r="BB4" t="str">
            <v>.</v>
          </cell>
        </row>
        <row r="5">
          <cell r="C5" t="str">
            <v>Define value axis here:</v>
          </cell>
        </row>
        <row r="6">
          <cell r="C6" t="str">
            <v>PFE/WYE Revenue Contribution per Segment</v>
          </cell>
        </row>
        <row r="10">
          <cell r="C10" t="str">
            <v>Input your data here:</v>
          </cell>
          <cell r="BB10" t="str">
            <v>.</v>
          </cell>
        </row>
        <row r="11">
          <cell r="D11" t="str">
            <v>Other</v>
          </cell>
          <cell r="E11" t="str">
            <v>Nutritionals</v>
          </cell>
          <cell r="F11" t="str">
            <v>Animal</v>
          </cell>
          <cell r="G11" t="str">
            <v>CHC</v>
          </cell>
          <cell r="H11" t="str">
            <v>Biologic</v>
          </cell>
          <cell r="I11" t="str">
            <v>Traditional</v>
          </cell>
          <cell r="BB11" t="str">
            <v>.</v>
          </cell>
        </row>
        <row r="12">
          <cell r="C12">
            <v>2010</v>
          </cell>
          <cell r="D12">
            <v>7.3922836848778701E-3</v>
          </cell>
          <cell r="E12">
            <v>3.9694505637046879E-2</v>
          </cell>
          <cell r="F12">
            <v>4.9542591862029917E-2</v>
          </cell>
          <cell r="G12">
            <v>4.5134290951814274E-2</v>
          </cell>
          <cell r="H12">
            <v>0.15079210822131184</v>
          </cell>
          <cell r="I12">
            <v>0.70744421964291904</v>
          </cell>
          <cell r="BB12" t="str">
            <v>.</v>
          </cell>
        </row>
        <row r="13">
          <cell r="C13">
            <v>2011</v>
          </cell>
          <cell r="D13">
            <v>7.8621358780429015E-3</v>
          </cell>
          <cell r="E13">
            <v>4.3501848606407156E-2</v>
          </cell>
          <cell r="F13">
            <v>5.2892461739374758E-2</v>
          </cell>
          <cell r="G13">
            <v>4.7788394858716006E-2</v>
          </cell>
          <cell r="H13">
            <v>0.16335309234331286</v>
          </cell>
          <cell r="I13">
            <v>0.68460206657414613</v>
          </cell>
          <cell r="BB13" t="str">
            <v>.</v>
          </cell>
        </row>
        <row r="14">
          <cell r="C14">
            <v>2012</v>
          </cell>
          <cell r="D14">
            <v>9.0894156599119914E-3</v>
          </cell>
          <cell r="E14">
            <v>5.1809888445371488E-2</v>
          </cell>
          <cell r="F14">
            <v>6.1361732478238944E-2</v>
          </cell>
          <cell r="G14">
            <v>5.4948172167998723E-2</v>
          </cell>
          <cell r="H14">
            <v>0.2064642573378605</v>
          </cell>
          <cell r="I14">
            <v>0.61632653391061831</v>
          </cell>
          <cell r="BB14" t="str">
            <v>.</v>
          </cell>
        </row>
        <row r="15">
          <cell r="C15">
            <v>2013</v>
          </cell>
          <cell r="D15">
            <v>9.3639207719231066E-3</v>
          </cell>
          <cell r="E15">
            <v>5.4972084194039497E-2</v>
          </cell>
          <cell r="F15">
            <v>6.3414379086380118E-2</v>
          </cell>
          <cell r="G15">
            <v>5.6314339157607203E-2</v>
          </cell>
          <cell r="H15">
            <v>0.22546494243949647</v>
          </cell>
          <cell r="I15">
            <v>0.59047033435055385</v>
          </cell>
          <cell r="BB15" t="str">
            <v>.</v>
          </cell>
        </row>
        <row r="16">
          <cell r="C16">
            <v>2014</v>
          </cell>
          <cell r="D16">
            <v>9.6393304601885728E-3</v>
          </cell>
          <cell r="E16">
            <v>5.826952701183119E-2</v>
          </cell>
          <cell r="F16">
            <v>6.5465107357308594E-2</v>
          </cell>
          <cell r="G16">
            <v>5.766814515501012E-2</v>
          </cell>
          <cell r="H16">
            <v>0.23925277361350805</v>
          </cell>
          <cell r="I16">
            <v>0.56970511640215349</v>
          </cell>
          <cell r="BB16" t="str">
            <v>.</v>
          </cell>
        </row>
        <row r="17">
          <cell r="C17">
            <v>2015</v>
          </cell>
          <cell r="D17">
            <v>9.9799761432740278E-3</v>
          </cell>
          <cell r="E17">
            <v>6.2107028447675697E-2</v>
          </cell>
          <cell r="F17">
            <v>6.7950841022483971E-2</v>
          </cell>
          <cell r="G17">
            <v>5.9392717383289405E-2</v>
          </cell>
          <cell r="H17">
            <v>0.25421323458932704</v>
          </cell>
          <cell r="I17">
            <v>0.54635620241394955</v>
          </cell>
          <cell r="BB17" t="str">
            <v>.</v>
          </cell>
        </row>
        <row r="18">
          <cell r="BB18" t="str">
            <v>.</v>
          </cell>
        </row>
        <row r="20">
          <cell r="BB20" t="str">
            <v>.</v>
          </cell>
        </row>
        <row r="21">
          <cell r="BB21" t="str">
            <v>.</v>
          </cell>
        </row>
        <row r="22">
          <cell r="BB22" t="str">
            <v>.</v>
          </cell>
        </row>
        <row r="23">
          <cell r="BB23" t="str">
            <v>.</v>
          </cell>
        </row>
        <row r="24">
          <cell r="BB24" t="str">
            <v>.</v>
          </cell>
        </row>
        <row r="25">
          <cell r="BB25" t="str">
            <v>.</v>
          </cell>
        </row>
        <row r="26">
          <cell r="BB26" t="str">
            <v>.</v>
          </cell>
        </row>
        <row r="27">
          <cell r="BB27" t="str">
            <v>.</v>
          </cell>
        </row>
        <row r="28">
          <cell r="BB28" t="str">
            <v>.</v>
          </cell>
        </row>
        <row r="29">
          <cell r="BB29" t="str">
            <v>.</v>
          </cell>
        </row>
        <row r="30">
          <cell r="BB30" t="str">
            <v>.</v>
          </cell>
        </row>
        <row r="31">
          <cell r="BB31" t="str">
            <v>.</v>
          </cell>
        </row>
        <row r="32">
          <cell r="BB32" t="str">
            <v>.</v>
          </cell>
        </row>
        <row r="33">
          <cell r="BB33" t="str">
            <v>.</v>
          </cell>
        </row>
        <row r="34">
          <cell r="BB34" t="str">
            <v>.</v>
          </cell>
        </row>
        <row r="35">
          <cell r="BB35" t="str">
            <v>.</v>
          </cell>
        </row>
        <row r="36">
          <cell r="BB36" t="str">
            <v>.</v>
          </cell>
        </row>
        <row r="37">
          <cell r="K37" t="str">
            <v>Do not change the width of the exhibit or font sizes (they are optimized for export to Word).</v>
          </cell>
          <cell r="BB37" t="str">
            <v>.</v>
          </cell>
        </row>
        <row r="38">
          <cell r="BB38" t="str">
            <v>.</v>
          </cell>
        </row>
        <row r="39">
          <cell r="K39" t="str">
            <v>Do not delete any rows or columns (some gray cells are used for calculations).</v>
          </cell>
          <cell r="BB39" t="str">
            <v>.</v>
          </cell>
        </row>
        <row r="40">
          <cell r="BB40" t="str">
            <v>.</v>
          </cell>
        </row>
        <row r="41">
          <cell r="BB41" t="str">
            <v>.</v>
          </cell>
        </row>
        <row r="42">
          <cell r="BB42" t="str">
            <v>.</v>
          </cell>
        </row>
        <row r="43">
          <cell r="BB43" t="str">
            <v>.</v>
          </cell>
        </row>
        <row r="44">
          <cell r="BB44" t="str">
            <v>.</v>
          </cell>
        </row>
        <row r="45">
          <cell r="BB45" t="str">
            <v>.</v>
          </cell>
        </row>
        <row r="46">
          <cell r="BB46" t="str">
            <v>.</v>
          </cell>
        </row>
        <row r="47">
          <cell r="BB47" t="str">
            <v>.</v>
          </cell>
        </row>
        <row r="48">
          <cell r="BB48" t="str">
            <v>.</v>
          </cell>
        </row>
        <row r="49">
          <cell r="BB49" t="str">
            <v>.</v>
          </cell>
        </row>
        <row r="50">
          <cell r="BB50" t="str">
            <v>.</v>
          </cell>
        </row>
        <row r="51">
          <cell r="BB51" t="str">
            <v>.</v>
          </cell>
        </row>
        <row r="52">
          <cell r="BB52" t="str">
            <v>.</v>
          </cell>
        </row>
        <row r="53">
          <cell r="BB53" t="str">
            <v>.</v>
          </cell>
        </row>
        <row r="54">
          <cell r="BB54" t="str">
            <v>.</v>
          </cell>
        </row>
        <row r="55">
          <cell r="BB55" t="str">
            <v>.</v>
          </cell>
        </row>
        <row r="56">
          <cell r="BB56" t="str">
            <v>.</v>
          </cell>
        </row>
        <row r="57">
          <cell r="BB57" t="str">
            <v>.</v>
          </cell>
        </row>
        <row r="58">
          <cell r="BB58" t="str">
            <v>.</v>
          </cell>
        </row>
        <row r="59">
          <cell r="BB59" t="str">
            <v>.</v>
          </cell>
        </row>
        <row r="60">
          <cell r="BB60" t="str">
            <v>.</v>
          </cell>
        </row>
        <row r="61">
          <cell r="BB61" t="str">
            <v>.</v>
          </cell>
        </row>
        <row r="62">
          <cell r="BB62" t="str">
            <v>.</v>
          </cell>
        </row>
        <row r="63">
          <cell r="BB63" t="str">
            <v>.</v>
          </cell>
        </row>
        <row r="64">
          <cell r="BB64" t="str">
            <v>.</v>
          </cell>
        </row>
        <row r="65">
          <cell r="BB65" t="str">
            <v>.</v>
          </cell>
        </row>
        <row r="66">
          <cell r="BB66" t="str">
            <v>.</v>
          </cell>
        </row>
        <row r="67">
          <cell r="BB67" t="str">
            <v>.</v>
          </cell>
        </row>
        <row r="68">
          <cell r="BB68" t="str">
            <v>.</v>
          </cell>
        </row>
        <row r="69">
          <cell r="BB69" t="str">
            <v>.</v>
          </cell>
        </row>
        <row r="70">
          <cell r="BB70" t="str">
            <v>.</v>
          </cell>
        </row>
        <row r="71">
          <cell r="BB71" t="str">
            <v>.</v>
          </cell>
        </row>
        <row r="72">
          <cell r="BB72" t="str">
            <v>.</v>
          </cell>
        </row>
        <row r="73">
          <cell r="BB73" t="str">
            <v>.</v>
          </cell>
        </row>
        <row r="74">
          <cell r="BB74" t="str">
            <v>.</v>
          </cell>
        </row>
        <row r="75">
          <cell r="BB75" t="str">
            <v>.</v>
          </cell>
        </row>
        <row r="76">
          <cell r="BB76" t="str">
            <v>.</v>
          </cell>
        </row>
        <row r="77">
          <cell r="BB77" t="str">
            <v>.</v>
          </cell>
        </row>
        <row r="78">
          <cell r="BB78" t="str">
            <v>.</v>
          </cell>
        </row>
        <row r="79">
          <cell r="BB79" t="str">
            <v>.</v>
          </cell>
        </row>
        <row r="80">
          <cell r="BB80" t="str">
            <v>.</v>
          </cell>
        </row>
        <row r="81">
          <cell r="BB81" t="str">
            <v>.</v>
          </cell>
        </row>
        <row r="82">
          <cell r="BB82" t="str">
            <v>.</v>
          </cell>
        </row>
        <row r="83">
          <cell r="BB83" t="str">
            <v>.</v>
          </cell>
        </row>
        <row r="84">
          <cell r="BB84" t="str">
            <v>.</v>
          </cell>
        </row>
        <row r="85">
          <cell r="BB85" t="str">
            <v>.</v>
          </cell>
        </row>
        <row r="86">
          <cell r="BB86" t="str">
            <v>.</v>
          </cell>
        </row>
        <row r="87">
          <cell r="BB87" t="str">
            <v>.</v>
          </cell>
        </row>
        <row r="88">
          <cell r="BB88" t="str">
            <v>.</v>
          </cell>
        </row>
        <row r="89">
          <cell r="BB89" t="str">
            <v>.</v>
          </cell>
        </row>
        <row r="90">
          <cell r="BB90" t="str">
            <v>.</v>
          </cell>
        </row>
        <row r="91">
          <cell r="BB91" t="str">
            <v>.</v>
          </cell>
        </row>
        <row r="92">
          <cell r="BB92" t="str">
            <v>.</v>
          </cell>
        </row>
        <row r="93">
          <cell r="BB93" t="str">
            <v>.</v>
          </cell>
        </row>
        <row r="94">
          <cell r="BB94" t="str">
            <v>.</v>
          </cell>
        </row>
        <row r="95">
          <cell r="BB95" t="str">
            <v>.</v>
          </cell>
        </row>
        <row r="96">
          <cell r="BB96" t="str">
            <v>.</v>
          </cell>
        </row>
        <row r="97">
          <cell r="BB97" t="str">
            <v>.</v>
          </cell>
        </row>
        <row r="98">
          <cell r="BB98" t="str">
            <v>.</v>
          </cell>
        </row>
        <row r="99">
          <cell r="BB99" t="str">
            <v>.</v>
          </cell>
        </row>
        <row r="100">
          <cell r="BB100" t="str">
            <v>.</v>
          </cell>
        </row>
        <row r="101">
          <cell r="BB101" t="str">
            <v>.</v>
          </cell>
        </row>
        <row r="102">
          <cell r="BB102" t="str">
            <v>.</v>
          </cell>
        </row>
        <row r="103">
          <cell r="BB103" t="str">
            <v>.</v>
          </cell>
        </row>
        <row r="104">
          <cell r="BB104" t="str">
            <v>.</v>
          </cell>
        </row>
        <row r="105">
          <cell r="BB105" t="str">
            <v>.</v>
          </cell>
        </row>
        <row r="106">
          <cell r="BB106" t="str">
            <v>.</v>
          </cell>
        </row>
        <row r="107">
          <cell r="BB107" t="str">
            <v>.</v>
          </cell>
        </row>
        <row r="108">
          <cell r="BB108" t="str">
            <v>.</v>
          </cell>
        </row>
        <row r="109">
          <cell r="BB109" t="str">
            <v>.</v>
          </cell>
        </row>
        <row r="110">
          <cell r="BB110" t="str">
            <v>.</v>
          </cell>
        </row>
        <row r="111">
          <cell r="BB111" t="str">
            <v>.</v>
          </cell>
        </row>
        <row r="112">
          <cell r="BB112" t="str">
            <v>.</v>
          </cell>
        </row>
        <row r="113">
          <cell r="BB113" t="str">
            <v>.</v>
          </cell>
        </row>
        <row r="114">
          <cell r="BB114" t="str">
            <v>.</v>
          </cell>
        </row>
        <row r="115">
          <cell r="BB115" t="str">
            <v>.</v>
          </cell>
        </row>
        <row r="116">
          <cell r="BB116" t="str">
            <v>.</v>
          </cell>
        </row>
        <row r="117">
          <cell r="BB117" t="str">
            <v>.</v>
          </cell>
        </row>
        <row r="118">
          <cell r="BB118" t="str">
            <v>.</v>
          </cell>
        </row>
        <row r="119">
          <cell r="BB119" t="str">
            <v>.</v>
          </cell>
        </row>
        <row r="120">
          <cell r="BB120" t="str">
            <v>.</v>
          </cell>
        </row>
        <row r="121">
          <cell r="BB121" t="str">
            <v>.</v>
          </cell>
        </row>
        <row r="122">
          <cell r="BB122" t="str">
            <v>.</v>
          </cell>
        </row>
        <row r="123">
          <cell r="BB123" t="str">
            <v>.</v>
          </cell>
        </row>
        <row r="124">
          <cell r="BB124" t="str">
            <v>.</v>
          </cell>
        </row>
        <row r="125">
          <cell r="BB125" t="str">
            <v>.</v>
          </cell>
        </row>
        <row r="126">
          <cell r="BB126" t="str">
            <v>.</v>
          </cell>
        </row>
        <row r="127">
          <cell r="BB127" t="str">
            <v>.</v>
          </cell>
        </row>
        <row r="128">
          <cell r="BB128" t="str">
            <v>.</v>
          </cell>
        </row>
        <row r="129">
          <cell r="BB129" t="str">
            <v>.</v>
          </cell>
        </row>
        <row r="130">
          <cell r="BB130" t="str">
            <v>.</v>
          </cell>
        </row>
        <row r="131">
          <cell r="BB131" t="str">
            <v>.</v>
          </cell>
        </row>
        <row r="132">
          <cell r="BB132" t="str">
            <v>.</v>
          </cell>
        </row>
        <row r="133">
          <cell r="BB133" t="str">
            <v>.</v>
          </cell>
        </row>
        <row r="134">
          <cell r="BB134" t="str">
            <v>.</v>
          </cell>
        </row>
        <row r="135">
          <cell r="BB135" t="str">
            <v>.</v>
          </cell>
        </row>
        <row r="136">
          <cell r="BB136" t="str">
            <v>.</v>
          </cell>
        </row>
        <row r="137">
          <cell r="BB137" t="str">
            <v>.</v>
          </cell>
        </row>
        <row r="138">
          <cell r="BB138" t="str">
            <v>.</v>
          </cell>
        </row>
        <row r="139">
          <cell r="BB139" t="str">
            <v>.</v>
          </cell>
        </row>
        <row r="140">
          <cell r="BB140" t="str">
            <v>.</v>
          </cell>
        </row>
        <row r="141">
          <cell r="BB141" t="str">
            <v>.</v>
          </cell>
        </row>
        <row r="142">
          <cell r="BB142" t="str">
            <v>.</v>
          </cell>
        </row>
        <row r="143">
          <cell r="BB143" t="str">
            <v>.</v>
          </cell>
        </row>
        <row r="144">
          <cell r="BB144" t="str">
            <v>.</v>
          </cell>
        </row>
        <row r="145">
          <cell r="BB145" t="str">
            <v>.</v>
          </cell>
        </row>
        <row r="146">
          <cell r="BB146" t="str">
            <v>.</v>
          </cell>
        </row>
        <row r="147">
          <cell r="BB147" t="str">
            <v>.</v>
          </cell>
        </row>
        <row r="148">
          <cell r="BB148" t="str">
            <v>.</v>
          </cell>
        </row>
        <row r="149">
          <cell r="BB149" t="str">
            <v>.</v>
          </cell>
        </row>
        <row r="150">
          <cell r="BB150" t="str">
            <v>.</v>
          </cell>
        </row>
        <row r="151">
          <cell r="BB151" t="str">
            <v>.</v>
          </cell>
        </row>
        <row r="152">
          <cell r="BB152" t="str">
            <v>.</v>
          </cell>
        </row>
        <row r="153">
          <cell r="BB153" t="str">
            <v>.</v>
          </cell>
        </row>
        <row r="154">
          <cell r="BB154" t="str">
            <v>.</v>
          </cell>
        </row>
        <row r="155">
          <cell r="BB155" t="str">
            <v>.</v>
          </cell>
        </row>
        <row r="156">
          <cell r="BB156" t="str">
            <v>.</v>
          </cell>
        </row>
        <row r="157">
          <cell r="BB157" t="str">
            <v>.</v>
          </cell>
        </row>
        <row r="158">
          <cell r="BB158" t="str">
            <v>.</v>
          </cell>
        </row>
        <row r="159">
          <cell r="BB159" t="str">
            <v>.</v>
          </cell>
        </row>
        <row r="160">
          <cell r="BB160" t="str">
            <v>.</v>
          </cell>
        </row>
        <row r="161">
          <cell r="BB161" t="str">
            <v>.</v>
          </cell>
        </row>
        <row r="162">
          <cell r="BB162" t="str">
            <v>.</v>
          </cell>
        </row>
        <row r="163">
          <cell r="BB163" t="str">
            <v>.</v>
          </cell>
        </row>
        <row r="164">
          <cell r="BB164" t="str">
            <v>.</v>
          </cell>
        </row>
        <row r="165">
          <cell r="BB165" t="str">
            <v>.</v>
          </cell>
        </row>
        <row r="166">
          <cell r="BB166" t="str">
            <v>.</v>
          </cell>
        </row>
        <row r="167">
          <cell r="BB167" t="str">
            <v>.</v>
          </cell>
        </row>
        <row r="168">
          <cell r="BB168" t="str">
            <v>.</v>
          </cell>
        </row>
        <row r="169">
          <cell r="BB169" t="str">
            <v>.</v>
          </cell>
        </row>
        <row r="170">
          <cell r="BB170" t="str">
            <v>.</v>
          </cell>
        </row>
        <row r="171">
          <cell r="BB171" t="str">
            <v>.</v>
          </cell>
        </row>
        <row r="172">
          <cell r="BB172" t="str">
            <v>.</v>
          </cell>
        </row>
        <row r="173">
          <cell r="BB173" t="str">
            <v>.</v>
          </cell>
        </row>
        <row r="174">
          <cell r="BB174" t="str">
            <v>.</v>
          </cell>
        </row>
        <row r="175">
          <cell r="BB175" t="str">
            <v>.</v>
          </cell>
        </row>
        <row r="176">
          <cell r="BB176" t="str">
            <v>.</v>
          </cell>
        </row>
        <row r="177">
          <cell r="BB177" t="str">
            <v>.</v>
          </cell>
        </row>
        <row r="178">
          <cell r="BB178" t="str">
            <v>.</v>
          </cell>
        </row>
        <row r="179">
          <cell r="BB179" t="str">
            <v>.</v>
          </cell>
        </row>
        <row r="180">
          <cell r="BB180" t="str">
            <v>.</v>
          </cell>
        </row>
        <row r="181">
          <cell r="BB181" t="str">
            <v>.</v>
          </cell>
        </row>
        <row r="182">
          <cell r="BB182" t="str">
            <v>.</v>
          </cell>
        </row>
        <row r="183">
          <cell r="BB183" t="str">
            <v>.</v>
          </cell>
        </row>
        <row r="184">
          <cell r="BB184" t="str">
            <v>.</v>
          </cell>
        </row>
        <row r="185">
          <cell r="BB185" t="str">
            <v>.</v>
          </cell>
        </row>
        <row r="186">
          <cell r="BB186" t="str">
            <v>.</v>
          </cell>
        </row>
        <row r="187">
          <cell r="BB187" t="str">
            <v>.</v>
          </cell>
        </row>
        <row r="188">
          <cell r="BB188" t="str">
            <v>.</v>
          </cell>
        </row>
        <row r="189">
          <cell r="BB189" t="str">
            <v>.</v>
          </cell>
        </row>
        <row r="190">
          <cell r="BB190" t="str">
            <v>.</v>
          </cell>
        </row>
        <row r="191">
          <cell r="BB191" t="str">
            <v>.</v>
          </cell>
        </row>
        <row r="192">
          <cell r="BB192" t="str">
            <v>.</v>
          </cell>
        </row>
        <row r="193">
          <cell r="BB193" t="str">
            <v>.</v>
          </cell>
        </row>
        <row r="194">
          <cell r="BB194" t="str">
            <v>.</v>
          </cell>
        </row>
        <row r="195">
          <cell r="BB195" t="str">
            <v>.</v>
          </cell>
        </row>
        <row r="196">
          <cell r="BB196" t="str">
            <v>.</v>
          </cell>
        </row>
        <row r="197">
          <cell r="BB197" t="str">
            <v>.</v>
          </cell>
        </row>
        <row r="198">
          <cell r="BB198" t="str">
            <v>.</v>
          </cell>
        </row>
        <row r="199">
          <cell r="BB199" t="str">
            <v>.</v>
          </cell>
        </row>
        <row r="200">
          <cell r="BB200" t="str">
            <v>.</v>
          </cell>
        </row>
        <row r="201">
          <cell r="BB201" t="str">
            <v>.</v>
          </cell>
        </row>
        <row r="202">
          <cell r="BB202" t="str">
            <v>.</v>
          </cell>
        </row>
        <row r="203">
          <cell r="BB203" t="str">
            <v>.</v>
          </cell>
        </row>
        <row r="204">
          <cell r="BB204" t="str">
            <v>.</v>
          </cell>
        </row>
        <row r="205">
          <cell r="BB205" t="str">
            <v>.</v>
          </cell>
        </row>
        <row r="206">
          <cell r="BB206" t="str">
            <v>.</v>
          </cell>
        </row>
        <row r="207">
          <cell r="BB207" t="str">
            <v>.</v>
          </cell>
        </row>
        <row r="208">
          <cell r="BB208" t="str">
            <v>.</v>
          </cell>
        </row>
        <row r="209">
          <cell r="BB209" t="str">
            <v>.</v>
          </cell>
        </row>
        <row r="210">
          <cell r="BB210" t="str">
            <v>.</v>
          </cell>
        </row>
        <row r="211">
          <cell r="BB211" t="str">
            <v>.</v>
          </cell>
        </row>
        <row r="212">
          <cell r="BB212" t="str">
            <v>.</v>
          </cell>
        </row>
        <row r="213">
          <cell r="BB213" t="str">
            <v>.</v>
          </cell>
        </row>
        <row r="214">
          <cell r="BB214" t="str">
            <v>.</v>
          </cell>
        </row>
        <row r="215">
          <cell r="BB215" t="str">
            <v>.</v>
          </cell>
        </row>
        <row r="216">
          <cell r="BB216" t="str">
            <v>.</v>
          </cell>
        </row>
        <row r="217">
          <cell r="BB217" t="str">
            <v>.</v>
          </cell>
        </row>
        <row r="218">
          <cell r="BB218" t="str">
            <v>.</v>
          </cell>
        </row>
        <row r="219">
          <cell r="BB219" t="str">
            <v>.</v>
          </cell>
        </row>
        <row r="220">
          <cell r="BB220" t="str">
            <v>.</v>
          </cell>
        </row>
        <row r="221">
          <cell r="BB221" t="str">
            <v>.</v>
          </cell>
        </row>
        <row r="222">
          <cell r="BB222" t="str">
            <v>.</v>
          </cell>
        </row>
        <row r="223">
          <cell r="BB223" t="str">
            <v>.</v>
          </cell>
        </row>
        <row r="224">
          <cell r="BB224" t="str">
            <v>.</v>
          </cell>
        </row>
        <row r="225">
          <cell r="BB225" t="str">
            <v>.</v>
          </cell>
        </row>
        <row r="226">
          <cell r="BB226" t="str">
            <v>.</v>
          </cell>
        </row>
        <row r="227">
          <cell r="BB227" t="str">
            <v>.</v>
          </cell>
        </row>
        <row r="228">
          <cell r="BB228" t="str">
            <v>.</v>
          </cell>
        </row>
        <row r="229">
          <cell r="BB229" t="str">
            <v>.</v>
          </cell>
        </row>
        <row r="230">
          <cell r="BB230" t="str">
            <v>.</v>
          </cell>
        </row>
        <row r="231">
          <cell r="BB231" t="str">
            <v>.</v>
          </cell>
        </row>
        <row r="232">
          <cell r="BB232" t="str">
            <v>.</v>
          </cell>
        </row>
        <row r="233">
          <cell r="BB233" t="str">
            <v>.</v>
          </cell>
        </row>
        <row r="234">
          <cell r="BB234" t="str">
            <v>.</v>
          </cell>
        </row>
        <row r="235">
          <cell r="BB235" t="str">
            <v>.</v>
          </cell>
        </row>
        <row r="236">
          <cell r="BB236" t="str">
            <v>.</v>
          </cell>
        </row>
        <row r="237">
          <cell r="BB237" t="str">
            <v>.</v>
          </cell>
        </row>
        <row r="238">
          <cell r="BB238" t="str">
            <v>.</v>
          </cell>
        </row>
        <row r="239">
          <cell r="BB239" t="str">
            <v>.</v>
          </cell>
        </row>
        <row r="240">
          <cell r="BB240" t="str">
            <v>.</v>
          </cell>
        </row>
        <row r="241">
          <cell r="BB241" t="str">
            <v>.</v>
          </cell>
        </row>
        <row r="242">
          <cell r="BB242" t="str">
            <v>.</v>
          </cell>
        </row>
        <row r="243">
          <cell r="BB243" t="str">
            <v>.</v>
          </cell>
        </row>
        <row r="244">
          <cell r="BB244" t="str">
            <v>.</v>
          </cell>
        </row>
        <row r="245">
          <cell r="BB245" t="str">
            <v>.</v>
          </cell>
        </row>
        <row r="246">
          <cell r="BB246" t="str">
            <v>.</v>
          </cell>
        </row>
        <row r="247">
          <cell r="BB247" t="str">
            <v>.</v>
          </cell>
        </row>
        <row r="248">
          <cell r="BB248" t="str">
            <v>.</v>
          </cell>
        </row>
        <row r="249">
          <cell r="BB249" t="str">
            <v>.</v>
          </cell>
        </row>
        <row r="250">
          <cell r="BB250" t="str">
            <v>.</v>
          </cell>
        </row>
        <row r="251">
          <cell r="BB251" t="str">
            <v>.</v>
          </cell>
        </row>
        <row r="252">
          <cell r="BB252" t="str">
            <v>.</v>
          </cell>
        </row>
        <row r="253">
          <cell r="BB253" t="str">
            <v>.</v>
          </cell>
        </row>
        <row r="254">
          <cell r="BB254" t="str">
            <v>.</v>
          </cell>
        </row>
        <row r="255">
          <cell r="BB255" t="str">
            <v>.</v>
          </cell>
        </row>
        <row r="256">
          <cell r="BB256" t="str">
            <v>.</v>
          </cell>
        </row>
        <row r="257">
          <cell r="BB257" t="str">
            <v>.</v>
          </cell>
        </row>
        <row r="258">
          <cell r="BB258" t="str">
            <v>.</v>
          </cell>
        </row>
        <row r="259">
          <cell r="BB259" t="str">
            <v>.</v>
          </cell>
        </row>
        <row r="260">
          <cell r="BB260" t="str">
            <v>.</v>
          </cell>
        </row>
        <row r="261">
          <cell r="BB261" t="str">
            <v>.</v>
          </cell>
        </row>
        <row r="262">
          <cell r="BB262" t="str">
            <v>.</v>
          </cell>
        </row>
        <row r="263">
          <cell r="BB263" t="str">
            <v>.</v>
          </cell>
        </row>
        <row r="264">
          <cell r="BB264" t="str">
            <v>.</v>
          </cell>
        </row>
        <row r="265">
          <cell r="BB265" t="str">
            <v>.</v>
          </cell>
        </row>
        <row r="266">
          <cell r="BB266" t="str">
            <v>.</v>
          </cell>
        </row>
        <row r="267">
          <cell r="BB267" t="str">
            <v>.</v>
          </cell>
        </row>
        <row r="268">
          <cell r="BB268" t="str">
            <v>.</v>
          </cell>
        </row>
        <row r="269">
          <cell r="BB269" t="str">
            <v>.</v>
          </cell>
        </row>
        <row r="270">
          <cell r="BB270" t="str">
            <v>.</v>
          </cell>
        </row>
        <row r="271">
          <cell r="BB271" t="str">
            <v>.</v>
          </cell>
        </row>
        <row r="272">
          <cell r="BB272" t="str">
            <v>.</v>
          </cell>
        </row>
        <row r="273">
          <cell r="BB273" t="str">
            <v>.</v>
          </cell>
        </row>
        <row r="274">
          <cell r="BB274" t="str">
            <v>.</v>
          </cell>
        </row>
        <row r="275">
          <cell r="BB275" t="str">
            <v>.</v>
          </cell>
        </row>
        <row r="276">
          <cell r="BB276" t="str">
            <v>.</v>
          </cell>
        </row>
        <row r="277">
          <cell r="BB277" t="str">
            <v>.</v>
          </cell>
        </row>
        <row r="278">
          <cell r="BB278" t="str">
            <v>.</v>
          </cell>
        </row>
        <row r="279">
          <cell r="BB279" t="str">
            <v>.</v>
          </cell>
        </row>
        <row r="280">
          <cell r="BB280" t="str">
            <v>.</v>
          </cell>
        </row>
        <row r="281">
          <cell r="BB281" t="str">
            <v>.</v>
          </cell>
        </row>
        <row r="282">
          <cell r="BB282" t="str">
            <v>.</v>
          </cell>
        </row>
        <row r="283">
          <cell r="BB283" t="str">
            <v>.</v>
          </cell>
        </row>
        <row r="284">
          <cell r="BB284" t="str">
            <v>.</v>
          </cell>
        </row>
        <row r="285">
          <cell r="BB285" t="str">
            <v>.</v>
          </cell>
        </row>
        <row r="286">
          <cell r="BB286" t="str">
            <v>.</v>
          </cell>
        </row>
        <row r="287">
          <cell r="BB287" t="str">
            <v>.</v>
          </cell>
        </row>
        <row r="288">
          <cell r="BB288" t="str">
            <v>.</v>
          </cell>
        </row>
        <row r="289">
          <cell r="BB289" t="str">
            <v>.</v>
          </cell>
        </row>
        <row r="290">
          <cell r="BB290" t="str">
            <v>.</v>
          </cell>
        </row>
        <row r="291">
          <cell r="BB291" t="str">
            <v>.</v>
          </cell>
        </row>
        <row r="292">
          <cell r="BB292" t="str">
            <v>.</v>
          </cell>
        </row>
        <row r="293">
          <cell r="BB293" t="str">
            <v>.</v>
          </cell>
        </row>
        <row r="294">
          <cell r="BB294" t="str">
            <v>.</v>
          </cell>
        </row>
        <row r="295">
          <cell r="BB295" t="str">
            <v>.</v>
          </cell>
        </row>
        <row r="296">
          <cell r="BB296" t="str">
            <v>.</v>
          </cell>
        </row>
        <row r="297">
          <cell r="BB297" t="str">
            <v>.</v>
          </cell>
        </row>
        <row r="298">
          <cell r="BB298" t="str">
            <v>.</v>
          </cell>
        </row>
        <row r="299">
          <cell r="BB299" t="str">
            <v>.</v>
          </cell>
        </row>
        <row r="300">
          <cell r="BB300" t="str">
            <v>.</v>
          </cell>
        </row>
        <row r="301">
          <cell r="BB301" t="str">
            <v>.</v>
          </cell>
        </row>
        <row r="302">
          <cell r="BB302" t="str">
            <v>.</v>
          </cell>
        </row>
        <row r="303">
          <cell r="BB303" t="str">
            <v>.</v>
          </cell>
        </row>
        <row r="304">
          <cell r="BB304" t="str">
            <v>.</v>
          </cell>
        </row>
        <row r="305">
          <cell r="BB305" t="str">
            <v>.</v>
          </cell>
        </row>
        <row r="306">
          <cell r="BB306" t="str">
            <v>.</v>
          </cell>
        </row>
        <row r="307">
          <cell r="BB307" t="str">
            <v>.</v>
          </cell>
        </row>
        <row r="308">
          <cell r="BB308" t="str">
            <v>.</v>
          </cell>
        </row>
        <row r="309">
          <cell r="BB309" t="str">
            <v>.</v>
          </cell>
        </row>
        <row r="310">
          <cell r="BB310" t="str">
            <v>.</v>
          </cell>
        </row>
        <row r="311">
          <cell r="BB311" t="str">
            <v>.</v>
          </cell>
        </row>
        <row r="312">
          <cell r="BB312" t="str">
            <v>.</v>
          </cell>
        </row>
        <row r="313">
          <cell r="BB313" t="str">
            <v>.</v>
          </cell>
        </row>
        <row r="314">
          <cell r="BB314" t="str">
            <v>.</v>
          </cell>
        </row>
        <row r="315">
          <cell r="BB315" t="str">
            <v>.</v>
          </cell>
        </row>
        <row r="316">
          <cell r="BB316" t="str">
            <v>.</v>
          </cell>
        </row>
        <row r="317">
          <cell r="BB317" t="str">
            <v>.</v>
          </cell>
        </row>
        <row r="318">
          <cell r="BB318" t="str">
            <v>.</v>
          </cell>
        </row>
        <row r="319">
          <cell r="BB319" t="str">
            <v>.</v>
          </cell>
        </row>
        <row r="320">
          <cell r="BB320" t="str">
            <v>.</v>
          </cell>
        </row>
        <row r="321">
          <cell r="BB321" t="str">
            <v>.</v>
          </cell>
        </row>
        <row r="322">
          <cell r="BB322" t="str">
            <v>.</v>
          </cell>
        </row>
        <row r="323">
          <cell r="BB323" t="str">
            <v>.</v>
          </cell>
        </row>
        <row r="324">
          <cell r="BB324" t="str">
            <v>.</v>
          </cell>
        </row>
        <row r="325">
          <cell r="BB325" t="str">
            <v>.</v>
          </cell>
        </row>
        <row r="326">
          <cell r="BB326" t="str">
            <v>.</v>
          </cell>
        </row>
        <row r="327">
          <cell r="BB327" t="str">
            <v>.</v>
          </cell>
        </row>
        <row r="328">
          <cell r="BB328" t="str">
            <v>.</v>
          </cell>
        </row>
        <row r="329">
          <cell r="BB329" t="str">
            <v>.</v>
          </cell>
        </row>
        <row r="330">
          <cell r="BB330" t="str">
            <v>.</v>
          </cell>
        </row>
        <row r="331">
          <cell r="BB331" t="str">
            <v>.</v>
          </cell>
        </row>
        <row r="332">
          <cell r="BB332" t="str">
            <v>.</v>
          </cell>
        </row>
        <row r="333">
          <cell r="BB333" t="str">
            <v>.</v>
          </cell>
        </row>
        <row r="334">
          <cell r="BB334" t="str">
            <v>.</v>
          </cell>
        </row>
        <row r="335">
          <cell r="BB335" t="str">
            <v>.</v>
          </cell>
        </row>
        <row r="336">
          <cell r="BB336" t="str">
            <v>.</v>
          </cell>
        </row>
        <row r="337">
          <cell r="BB337" t="str">
            <v>.</v>
          </cell>
        </row>
        <row r="338">
          <cell r="BB338" t="str">
            <v>.</v>
          </cell>
        </row>
        <row r="339">
          <cell r="BB339" t="str">
            <v>.</v>
          </cell>
        </row>
        <row r="340">
          <cell r="BB340" t="str">
            <v>.</v>
          </cell>
        </row>
        <row r="341">
          <cell r="BB341" t="str">
            <v>.</v>
          </cell>
        </row>
        <row r="342">
          <cell r="BB342" t="str">
            <v>.</v>
          </cell>
        </row>
        <row r="343">
          <cell r="BB343" t="str">
            <v>.</v>
          </cell>
        </row>
        <row r="344">
          <cell r="BB344" t="str">
            <v>.</v>
          </cell>
        </row>
        <row r="345">
          <cell r="BB345" t="str">
            <v>.</v>
          </cell>
        </row>
        <row r="346">
          <cell r="BB346" t="str">
            <v>.</v>
          </cell>
        </row>
        <row r="347">
          <cell r="BB347" t="str">
            <v>.</v>
          </cell>
        </row>
        <row r="348">
          <cell r="BB348" t="str">
            <v>.</v>
          </cell>
        </row>
        <row r="349">
          <cell r="BB349" t="str">
            <v>.</v>
          </cell>
        </row>
        <row r="350">
          <cell r="BB350" t="str">
            <v>.</v>
          </cell>
        </row>
        <row r="351">
          <cell r="BB351" t="str">
            <v>.</v>
          </cell>
        </row>
        <row r="352">
          <cell r="BB352" t="str">
            <v>.</v>
          </cell>
        </row>
        <row r="353">
          <cell r="BB353" t="str">
            <v>.</v>
          </cell>
        </row>
        <row r="354">
          <cell r="BB354" t="str">
            <v>.</v>
          </cell>
        </row>
        <row r="355">
          <cell r="BB355" t="str">
            <v>.</v>
          </cell>
        </row>
        <row r="356">
          <cell r="BB356" t="str">
            <v>.</v>
          </cell>
        </row>
        <row r="357">
          <cell r="BB357" t="str">
            <v>.</v>
          </cell>
        </row>
        <row r="358">
          <cell r="BB358" t="str">
            <v>.</v>
          </cell>
        </row>
        <row r="359">
          <cell r="BB359" t="str">
            <v>.</v>
          </cell>
        </row>
        <row r="360">
          <cell r="BB360" t="str">
            <v>.</v>
          </cell>
        </row>
        <row r="361">
          <cell r="BB361" t="str">
            <v>.</v>
          </cell>
        </row>
        <row r="362">
          <cell r="BB362" t="str">
            <v>.</v>
          </cell>
        </row>
        <row r="363">
          <cell r="BB363" t="str">
            <v>.</v>
          </cell>
        </row>
        <row r="364">
          <cell r="BB364" t="str">
            <v>.</v>
          </cell>
        </row>
        <row r="365">
          <cell r="BB365" t="str">
            <v>.</v>
          </cell>
        </row>
        <row r="366">
          <cell r="BB366" t="str">
            <v>.</v>
          </cell>
        </row>
        <row r="367">
          <cell r="BB367" t="str">
            <v>.</v>
          </cell>
        </row>
        <row r="368">
          <cell r="BB368" t="str">
            <v>.</v>
          </cell>
        </row>
        <row r="369">
          <cell r="BB369" t="str">
            <v>.</v>
          </cell>
        </row>
        <row r="370">
          <cell r="BB370" t="str">
            <v>.</v>
          </cell>
        </row>
        <row r="371">
          <cell r="BB371" t="str">
            <v>.</v>
          </cell>
        </row>
        <row r="372">
          <cell r="BB372" t="str">
            <v>.</v>
          </cell>
        </row>
        <row r="373">
          <cell r="BB373" t="str">
            <v>.</v>
          </cell>
        </row>
        <row r="374">
          <cell r="BB374" t="str">
            <v>.</v>
          </cell>
        </row>
        <row r="375">
          <cell r="BB375" t="str">
            <v>.</v>
          </cell>
        </row>
        <row r="376">
          <cell r="BB376" t="str">
            <v>.</v>
          </cell>
        </row>
        <row r="377">
          <cell r="BB377" t="str">
            <v>.</v>
          </cell>
        </row>
        <row r="378">
          <cell r="BB378" t="str">
            <v>.</v>
          </cell>
        </row>
        <row r="379">
          <cell r="BB379" t="str">
            <v>.</v>
          </cell>
        </row>
        <row r="380">
          <cell r="BB380" t="str">
            <v>.</v>
          </cell>
        </row>
        <row r="381">
          <cell r="BB381" t="str">
            <v>.</v>
          </cell>
        </row>
        <row r="382">
          <cell r="BB382" t="str">
            <v>.</v>
          </cell>
        </row>
        <row r="383">
          <cell r="BB383" t="str">
            <v>.</v>
          </cell>
        </row>
        <row r="384">
          <cell r="BB384" t="str">
            <v>.</v>
          </cell>
        </row>
        <row r="385">
          <cell r="BB385" t="str">
            <v>.</v>
          </cell>
        </row>
        <row r="386">
          <cell r="BB386" t="str">
            <v>.</v>
          </cell>
        </row>
        <row r="387">
          <cell r="BB387" t="str">
            <v>.</v>
          </cell>
        </row>
        <row r="388">
          <cell r="BB388" t="str">
            <v>.</v>
          </cell>
        </row>
        <row r="389">
          <cell r="BB389" t="str">
            <v>.</v>
          </cell>
        </row>
        <row r="390">
          <cell r="BB390" t="str">
            <v>.</v>
          </cell>
        </row>
        <row r="391">
          <cell r="BB391" t="str">
            <v>.</v>
          </cell>
        </row>
        <row r="392">
          <cell r="BB392" t="str">
            <v>.</v>
          </cell>
        </row>
        <row r="393">
          <cell r="BB393" t="str">
            <v>.</v>
          </cell>
        </row>
        <row r="394">
          <cell r="BB394" t="str">
            <v>.</v>
          </cell>
        </row>
        <row r="395">
          <cell r="BB395" t="str">
            <v>.</v>
          </cell>
        </row>
        <row r="396">
          <cell r="BB396" t="str">
            <v>.</v>
          </cell>
        </row>
        <row r="397">
          <cell r="BB397" t="str">
            <v>.</v>
          </cell>
        </row>
        <row r="398">
          <cell r="BB398" t="str">
            <v>.</v>
          </cell>
        </row>
        <row r="399">
          <cell r="BB399" t="str">
            <v>.</v>
          </cell>
        </row>
        <row r="400">
          <cell r="BB400" t="str">
            <v>.</v>
          </cell>
        </row>
        <row r="401">
          <cell r="BB401" t="str">
            <v>.</v>
          </cell>
        </row>
        <row r="402">
          <cell r="BB402" t="str">
            <v>.</v>
          </cell>
        </row>
        <row r="403">
          <cell r="BB403" t="str">
            <v>.</v>
          </cell>
        </row>
        <row r="404">
          <cell r="BB404" t="str">
            <v>.</v>
          </cell>
        </row>
        <row r="405">
          <cell r="BB405" t="str">
            <v>.</v>
          </cell>
        </row>
        <row r="406">
          <cell r="BB406" t="str">
            <v>.</v>
          </cell>
        </row>
        <row r="407">
          <cell r="BB407" t="str">
            <v>.</v>
          </cell>
        </row>
        <row r="408">
          <cell r="BB408" t="str">
            <v>.</v>
          </cell>
        </row>
        <row r="409">
          <cell r="BB409" t="str">
            <v>.</v>
          </cell>
        </row>
        <row r="410">
          <cell r="BB410" t="str">
            <v>.</v>
          </cell>
        </row>
        <row r="411">
          <cell r="BB411" t="str">
            <v>.</v>
          </cell>
        </row>
        <row r="412">
          <cell r="BB412" t="str">
            <v>.</v>
          </cell>
        </row>
        <row r="413">
          <cell r="BB413" t="str">
            <v>.</v>
          </cell>
        </row>
        <row r="414">
          <cell r="BB414" t="str">
            <v>.</v>
          </cell>
        </row>
        <row r="415">
          <cell r="BB415" t="str">
            <v>.</v>
          </cell>
        </row>
        <row r="416">
          <cell r="BB416" t="str">
            <v>.</v>
          </cell>
        </row>
        <row r="417">
          <cell r="BB417" t="str">
            <v>.</v>
          </cell>
        </row>
        <row r="418">
          <cell r="BB418" t="str">
            <v>.</v>
          </cell>
        </row>
        <row r="419">
          <cell r="BB419" t="str">
            <v>.</v>
          </cell>
        </row>
        <row r="420">
          <cell r="BB420" t="str">
            <v>.</v>
          </cell>
        </row>
        <row r="421">
          <cell r="BB421" t="str">
            <v>.</v>
          </cell>
        </row>
        <row r="422">
          <cell r="BB422" t="str">
            <v>.</v>
          </cell>
        </row>
        <row r="423">
          <cell r="BB423" t="str">
            <v>.</v>
          </cell>
        </row>
        <row r="424">
          <cell r="BB424" t="str">
            <v>.</v>
          </cell>
        </row>
        <row r="425">
          <cell r="BB425" t="str">
            <v>.</v>
          </cell>
        </row>
        <row r="426">
          <cell r="BB426" t="str">
            <v>.</v>
          </cell>
        </row>
        <row r="427">
          <cell r="BB427" t="str">
            <v>.</v>
          </cell>
        </row>
        <row r="428">
          <cell r="BB428" t="str">
            <v>.</v>
          </cell>
        </row>
        <row r="429">
          <cell r="BB429" t="str">
            <v>.</v>
          </cell>
        </row>
        <row r="430">
          <cell r="BB430" t="str">
            <v>.</v>
          </cell>
        </row>
        <row r="431">
          <cell r="BB431" t="str">
            <v>.</v>
          </cell>
        </row>
        <row r="432">
          <cell r="BB432" t="str">
            <v>.</v>
          </cell>
        </row>
        <row r="433">
          <cell r="BB433" t="str">
            <v>.</v>
          </cell>
        </row>
        <row r="434">
          <cell r="BB434" t="str">
            <v>.</v>
          </cell>
        </row>
        <row r="435">
          <cell r="BB435" t="str">
            <v>.</v>
          </cell>
        </row>
        <row r="436">
          <cell r="BB436" t="str">
            <v>.</v>
          </cell>
        </row>
        <row r="437">
          <cell r="BB437" t="str">
            <v>.</v>
          </cell>
        </row>
        <row r="438">
          <cell r="BB438" t="str">
            <v>.</v>
          </cell>
        </row>
        <row r="439">
          <cell r="BB439" t="str">
            <v>.</v>
          </cell>
        </row>
        <row r="440">
          <cell r="BB440" t="str">
            <v>.</v>
          </cell>
        </row>
        <row r="441">
          <cell r="BB441" t="str">
            <v>.</v>
          </cell>
        </row>
        <row r="442">
          <cell r="BB442" t="str">
            <v>.</v>
          </cell>
        </row>
        <row r="443">
          <cell r="BB443" t="str">
            <v>.</v>
          </cell>
        </row>
        <row r="444">
          <cell r="BB444" t="str">
            <v>.</v>
          </cell>
        </row>
        <row r="445">
          <cell r="BB445" t="str">
            <v>.</v>
          </cell>
        </row>
        <row r="446">
          <cell r="BB446" t="str">
            <v>.</v>
          </cell>
        </row>
        <row r="447">
          <cell r="BB447" t="str">
            <v>.</v>
          </cell>
        </row>
        <row r="448">
          <cell r="BB448" t="str">
            <v>.</v>
          </cell>
        </row>
        <row r="449">
          <cell r="BB449" t="str">
            <v>.</v>
          </cell>
        </row>
        <row r="450">
          <cell r="BB450" t="str">
            <v>.</v>
          </cell>
        </row>
        <row r="451">
          <cell r="BB451" t="str">
            <v>.</v>
          </cell>
        </row>
        <row r="452">
          <cell r="BB452" t="str">
            <v>.</v>
          </cell>
        </row>
        <row r="453">
          <cell r="BB453" t="str">
            <v>.</v>
          </cell>
        </row>
        <row r="454">
          <cell r="BB454" t="str">
            <v>.</v>
          </cell>
        </row>
        <row r="455">
          <cell r="BB455" t="str">
            <v>.</v>
          </cell>
        </row>
        <row r="456">
          <cell r="BB456" t="str">
            <v>.</v>
          </cell>
        </row>
        <row r="457">
          <cell r="BB457" t="str">
            <v>.</v>
          </cell>
        </row>
        <row r="458">
          <cell r="BB458" t="str">
            <v>.</v>
          </cell>
        </row>
        <row r="459">
          <cell r="BB459" t="str">
            <v>.</v>
          </cell>
        </row>
        <row r="460">
          <cell r="BB460" t="str">
            <v>.</v>
          </cell>
        </row>
        <row r="461">
          <cell r="BB461" t="str">
            <v>.</v>
          </cell>
        </row>
        <row r="462">
          <cell r="BB462" t="str">
            <v>.</v>
          </cell>
        </row>
        <row r="463">
          <cell r="BB463" t="str">
            <v>.</v>
          </cell>
        </row>
        <row r="464">
          <cell r="BB464" t="str">
            <v>.</v>
          </cell>
        </row>
        <row r="465">
          <cell r="BB465" t="str">
            <v>.</v>
          </cell>
        </row>
        <row r="466">
          <cell r="BB466" t="str">
            <v>.</v>
          </cell>
        </row>
        <row r="467">
          <cell r="BB467" t="str">
            <v>.</v>
          </cell>
        </row>
        <row r="468">
          <cell r="BB468" t="str">
            <v>.</v>
          </cell>
        </row>
        <row r="469">
          <cell r="BB469" t="str">
            <v>.</v>
          </cell>
        </row>
        <row r="470">
          <cell r="BB470" t="str">
            <v>.</v>
          </cell>
        </row>
        <row r="471">
          <cell r="BB471" t="str">
            <v>.</v>
          </cell>
        </row>
        <row r="472">
          <cell r="BB472" t="str">
            <v>.</v>
          </cell>
        </row>
        <row r="473">
          <cell r="BB473" t="str">
            <v>.</v>
          </cell>
        </row>
        <row r="474">
          <cell r="BB474" t="str">
            <v>.</v>
          </cell>
        </row>
        <row r="475">
          <cell r="BB475" t="str">
            <v>.</v>
          </cell>
        </row>
        <row r="476">
          <cell r="BB476" t="str">
            <v>.</v>
          </cell>
        </row>
        <row r="477">
          <cell r="BB477" t="str">
            <v>.</v>
          </cell>
        </row>
        <row r="478">
          <cell r="BB478" t="str">
            <v>.</v>
          </cell>
        </row>
        <row r="479">
          <cell r="BB479" t="str">
            <v>.</v>
          </cell>
        </row>
        <row r="480">
          <cell r="BB480" t="str">
            <v>.</v>
          </cell>
        </row>
        <row r="481">
          <cell r="BB481" t="str">
            <v>.</v>
          </cell>
        </row>
        <row r="482">
          <cell r="BB482" t="str">
            <v>.</v>
          </cell>
        </row>
        <row r="483">
          <cell r="BB483" t="str">
            <v>.</v>
          </cell>
        </row>
        <row r="484">
          <cell r="BB484" t="str">
            <v>.</v>
          </cell>
        </row>
        <row r="485">
          <cell r="BB485" t="str">
            <v>.</v>
          </cell>
        </row>
        <row r="486">
          <cell r="BB486" t="str">
            <v>.</v>
          </cell>
        </row>
        <row r="487">
          <cell r="BB487" t="str">
            <v>.</v>
          </cell>
        </row>
        <row r="488">
          <cell r="BB488" t="str">
            <v>.</v>
          </cell>
        </row>
        <row r="489">
          <cell r="BB489" t="str">
            <v>.</v>
          </cell>
        </row>
        <row r="490">
          <cell r="BB490" t="str">
            <v>.</v>
          </cell>
        </row>
        <row r="491">
          <cell r="BB491" t="str">
            <v>.</v>
          </cell>
        </row>
        <row r="492">
          <cell r="BB492" t="str">
            <v>.</v>
          </cell>
        </row>
        <row r="493">
          <cell r="BB493" t="str">
            <v>.</v>
          </cell>
        </row>
        <row r="494">
          <cell r="BB494" t="str">
            <v>.</v>
          </cell>
        </row>
        <row r="495">
          <cell r="BB495" t="str">
            <v>.</v>
          </cell>
        </row>
        <row r="496">
          <cell r="BB496" t="str">
            <v>.</v>
          </cell>
        </row>
        <row r="497">
          <cell r="BB497" t="str">
            <v>.</v>
          </cell>
        </row>
        <row r="498">
          <cell r="BB498" t="str">
            <v>.</v>
          </cell>
        </row>
        <row r="499">
          <cell r="BB499" t="str">
            <v>.</v>
          </cell>
        </row>
        <row r="500">
          <cell r="BB500" t="str">
            <v>.</v>
          </cell>
        </row>
        <row r="501">
          <cell r="BB501" t="str">
            <v>.</v>
          </cell>
        </row>
        <row r="502">
          <cell r="BB502" t="str">
            <v>.</v>
          </cell>
        </row>
        <row r="503">
          <cell r="BB503" t="str">
            <v>.</v>
          </cell>
        </row>
        <row r="504">
          <cell r="BB504" t="str">
            <v>.</v>
          </cell>
        </row>
        <row r="505">
          <cell r="BB505" t="str">
            <v>.</v>
          </cell>
        </row>
        <row r="506">
          <cell r="BB506" t="str">
            <v>.</v>
          </cell>
        </row>
        <row r="507">
          <cell r="BB507" t="str">
            <v>.</v>
          </cell>
        </row>
        <row r="508">
          <cell r="BB508" t="str">
            <v>.</v>
          </cell>
        </row>
        <row r="509">
          <cell r="BB509" t="str">
            <v>.</v>
          </cell>
        </row>
        <row r="510">
          <cell r="BB510" t="str">
            <v>.</v>
          </cell>
        </row>
        <row r="511">
          <cell r="BB511" t="str">
            <v>.</v>
          </cell>
        </row>
        <row r="512">
          <cell r="BB512" t="str">
            <v>.</v>
          </cell>
        </row>
        <row r="513">
          <cell r="BB513" t="str">
            <v>.</v>
          </cell>
        </row>
        <row r="514">
          <cell r="BB514" t="str">
            <v>.</v>
          </cell>
        </row>
        <row r="515">
          <cell r="BB515" t="str">
            <v>.</v>
          </cell>
        </row>
        <row r="516">
          <cell r="BB516" t="str">
            <v>.</v>
          </cell>
        </row>
        <row r="517">
          <cell r="BB517" t="str">
            <v>.</v>
          </cell>
        </row>
        <row r="518">
          <cell r="BB518" t="str">
            <v>.</v>
          </cell>
        </row>
        <row r="519">
          <cell r="BB519" t="str">
            <v>.</v>
          </cell>
        </row>
        <row r="520">
          <cell r="BB520" t="str">
            <v>.</v>
          </cell>
        </row>
        <row r="521">
          <cell r="BB521" t="str">
            <v>.</v>
          </cell>
        </row>
        <row r="522">
          <cell r="BB522" t="str">
            <v>.</v>
          </cell>
        </row>
        <row r="523">
          <cell r="BB523" t="str">
            <v>.</v>
          </cell>
        </row>
        <row r="524">
          <cell r="BB524" t="str">
            <v>.</v>
          </cell>
        </row>
        <row r="525">
          <cell r="BB525" t="str">
            <v>.</v>
          </cell>
        </row>
        <row r="526">
          <cell r="BB526" t="str">
            <v>.</v>
          </cell>
        </row>
        <row r="527">
          <cell r="BB527" t="str">
            <v>.</v>
          </cell>
        </row>
        <row r="528">
          <cell r="BB528" t="str">
            <v>.</v>
          </cell>
        </row>
        <row r="529">
          <cell r="BB529" t="str">
            <v>.</v>
          </cell>
        </row>
        <row r="530">
          <cell r="BB530" t="str">
            <v>.</v>
          </cell>
        </row>
        <row r="531">
          <cell r="BB531" t="str">
            <v>.</v>
          </cell>
        </row>
        <row r="532">
          <cell r="BB532" t="str">
            <v>.</v>
          </cell>
        </row>
        <row r="533">
          <cell r="BB533" t="str">
            <v>.</v>
          </cell>
        </row>
        <row r="534">
          <cell r="BB534" t="str">
            <v>.</v>
          </cell>
        </row>
        <row r="535">
          <cell r="BB535" t="str">
            <v>.</v>
          </cell>
        </row>
        <row r="536">
          <cell r="BB536" t="str">
            <v>.</v>
          </cell>
        </row>
        <row r="537">
          <cell r="BB537" t="str">
            <v>.</v>
          </cell>
        </row>
        <row r="538">
          <cell r="BB538" t="str">
            <v>.</v>
          </cell>
        </row>
        <row r="539">
          <cell r="BB539" t="str">
            <v>.</v>
          </cell>
        </row>
        <row r="540">
          <cell r="BB540" t="str">
            <v>.</v>
          </cell>
        </row>
        <row r="541">
          <cell r="BB541" t="str">
            <v>.</v>
          </cell>
        </row>
        <row r="542">
          <cell r="BB542" t="str">
            <v>.</v>
          </cell>
        </row>
        <row r="543">
          <cell r="BB543" t="str">
            <v>.</v>
          </cell>
        </row>
        <row r="544">
          <cell r="BB544" t="str">
            <v>.</v>
          </cell>
        </row>
        <row r="545">
          <cell r="BB545" t="str">
            <v>.</v>
          </cell>
        </row>
        <row r="546">
          <cell r="BB546" t="str">
            <v>.</v>
          </cell>
        </row>
        <row r="547">
          <cell r="BB547" t="str">
            <v>.</v>
          </cell>
        </row>
        <row r="548">
          <cell r="BB548" t="str">
            <v>.</v>
          </cell>
        </row>
        <row r="549">
          <cell r="BB549" t="str">
            <v>.</v>
          </cell>
        </row>
        <row r="550">
          <cell r="BB550" t="str">
            <v>.</v>
          </cell>
        </row>
        <row r="551">
          <cell r="BB551" t="str">
            <v>.</v>
          </cell>
        </row>
        <row r="552">
          <cell r="BB552" t="str">
            <v>.</v>
          </cell>
        </row>
        <row r="553">
          <cell r="BB553" t="str">
            <v>.</v>
          </cell>
        </row>
        <row r="554">
          <cell r="BB554" t="str">
            <v>.</v>
          </cell>
        </row>
        <row r="555">
          <cell r="BB555" t="str">
            <v>.</v>
          </cell>
        </row>
        <row r="556">
          <cell r="BB556" t="str">
            <v>.</v>
          </cell>
        </row>
        <row r="557">
          <cell r="BB557" t="str">
            <v>.</v>
          </cell>
        </row>
        <row r="558">
          <cell r="BB558" t="str">
            <v>.</v>
          </cell>
        </row>
        <row r="559">
          <cell r="BB559" t="str">
            <v>.</v>
          </cell>
        </row>
        <row r="560">
          <cell r="BB560" t="str">
            <v>.</v>
          </cell>
        </row>
        <row r="561">
          <cell r="BB561" t="str">
            <v>.</v>
          </cell>
        </row>
        <row r="562">
          <cell r="BB562" t="str">
            <v>.</v>
          </cell>
        </row>
        <row r="563">
          <cell r="BB563" t="str">
            <v>.</v>
          </cell>
        </row>
        <row r="564">
          <cell r="BB564" t="str">
            <v>.</v>
          </cell>
        </row>
        <row r="565">
          <cell r="BB565" t="str">
            <v>.</v>
          </cell>
        </row>
        <row r="566">
          <cell r="BB566" t="str">
            <v>.</v>
          </cell>
        </row>
        <row r="567">
          <cell r="BB567" t="str">
            <v>.</v>
          </cell>
        </row>
        <row r="568">
          <cell r="BB568" t="str">
            <v>.</v>
          </cell>
        </row>
        <row r="569">
          <cell r="BB569" t="str">
            <v>.</v>
          </cell>
        </row>
        <row r="570">
          <cell r="BB570" t="str">
            <v>.</v>
          </cell>
        </row>
        <row r="571">
          <cell r="BB571" t="str">
            <v>.</v>
          </cell>
        </row>
        <row r="572">
          <cell r="BB572" t="str">
            <v>.</v>
          </cell>
        </row>
        <row r="573">
          <cell r="BB573" t="str">
            <v>.</v>
          </cell>
        </row>
        <row r="574">
          <cell r="BB574" t="str">
            <v>.</v>
          </cell>
        </row>
        <row r="575">
          <cell r="BB575" t="str">
            <v>.</v>
          </cell>
        </row>
        <row r="576">
          <cell r="BB576" t="str">
            <v>.</v>
          </cell>
        </row>
        <row r="577">
          <cell r="BB577" t="str">
            <v>.</v>
          </cell>
        </row>
        <row r="578">
          <cell r="BB578" t="str">
            <v>.</v>
          </cell>
        </row>
        <row r="579">
          <cell r="BB579" t="str">
            <v>.</v>
          </cell>
        </row>
        <row r="580">
          <cell r="BB580" t="str">
            <v>.</v>
          </cell>
        </row>
        <row r="581">
          <cell r="BB581" t="str">
            <v>.</v>
          </cell>
        </row>
        <row r="582">
          <cell r="BB582" t="str">
            <v>.</v>
          </cell>
        </row>
        <row r="583">
          <cell r="BB583" t="str">
            <v>.</v>
          </cell>
        </row>
        <row r="584">
          <cell r="BB584" t="str">
            <v>.</v>
          </cell>
        </row>
        <row r="585">
          <cell r="BB585" t="str">
            <v>.</v>
          </cell>
        </row>
        <row r="586">
          <cell r="BB586" t="str">
            <v>.</v>
          </cell>
        </row>
        <row r="587">
          <cell r="BB587" t="str">
            <v>.</v>
          </cell>
        </row>
        <row r="588">
          <cell r="BB588" t="str">
            <v>.</v>
          </cell>
        </row>
        <row r="589">
          <cell r="BB589" t="str">
            <v>.</v>
          </cell>
        </row>
        <row r="590">
          <cell r="BB590" t="str">
            <v>.</v>
          </cell>
        </row>
        <row r="591">
          <cell r="BB591" t="str">
            <v>.</v>
          </cell>
        </row>
        <row r="592">
          <cell r="BB592" t="str">
            <v>.</v>
          </cell>
        </row>
        <row r="593">
          <cell r="BB593" t="str">
            <v>.</v>
          </cell>
        </row>
        <row r="594">
          <cell r="BB594" t="str">
            <v>.</v>
          </cell>
        </row>
        <row r="595">
          <cell r="BB595" t="str">
            <v>.</v>
          </cell>
        </row>
        <row r="596">
          <cell r="BB596" t="str">
            <v>.</v>
          </cell>
        </row>
        <row r="597">
          <cell r="BB597" t="str">
            <v>.</v>
          </cell>
        </row>
        <row r="598">
          <cell r="BB598" t="str">
            <v>.</v>
          </cell>
        </row>
        <row r="599">
          <cell r="BB599" t="str">
            <v>.</v>
          </cell>
        </row>
        <row r="600">
          <cell r="BB600" t="str">
            <v>.</v>
          </cell>
        </row>
        <row r="601">
          <cell r="BB601" t="str">
            <v>.</v>
          </cell>
        </row>
        <row r="602">
          <cell r="BB602" t="str">
            <v>.</v>
          </cell>
        </row>
        <row r="603">
          <cell r="BB603" t="str">
            <v>.</v>
          </cell>
        </row>
        <row r="604">
          <cell r="BB604" t="str">
            <v>.</v>
          </cell>
        </row>
        <row r="605">
          <cell r="BB605" t="str">
            <v>.</v>
          </cell>
        </row>
        <row r="606">
          <cell r="BB606" t="str">
            <v>.</v>
          </cell>
        </row>
        <row r="607">
          <cell r="BB607" t="str">
            <v>.</v>
          </cell>
        </row>
        <row r="608">
          <cell r="BB608" t="str">
            <v>.</v>
          </cell>
        </row>
        <row r="609">
          <cell r="BB609" t="str">
            <v>.</v>
          </cell>
        </row>
        <row r="610">
          <cell r="BB610" t="str">
            <v>.</v>
          </cell>
        </row>
        <row r="611">
          <cell r="BB611" t="str">
            <v>.</v>
          </cell>
        </row>
        <row r="612">
          <cell r="BB612" t="str">
            <v>.</v>
          </cell>
        </row>
        <row r="613">
          <cell r="BB613" t="str">
            <v>.</v>
          </cell>
        </row>
        <row r="614">
          <cell r="BB614" t="str">
            <v>.</v>
          </cell>
        </row>
        <row r="615">
          <cell r="BB615" t="str">
            <v>.</v>
          </cell>
        </row>
        <row r="616">
          <cell r="BB616" t="str">
            <v>.</v>
          </cell>
        </row>
        <row r="617">
          <cell r="BB617" t="str">
            <v>.</v>
          </cell>
        </row>
        <row r="618">
          <cell r="BB618" t="str">
            <v>.</v>
          </cell>
        </row>
        <row r="619">
          <cell r="BB619" t="str">
            <v>.</v>
          </cell>
        </row>
        <row r="620">
          <cell r="BB620" t="str">
            <v>.</v>
          </cell>
        </row>
        <row r="621">
          <cell r="BB621" t="str">
            <v>.</v>
          </cell>
        </row>
        <row r="622">
          <cell r="BB622" t="str">
            <v>.</v>
          </cell>
        </row>
        <row r="623">
          <cell r="BB623" t="str">
            <v>.</v>
          </cell>
        </row>
        <row r="624">
          <cell r="BB624" t="str">
            <v>.</v>
          </cell>
        </row>
        <row r="625">
          <cell r="BB625" t="str">
            <v>.</v>
          </cell>
        </row>
        <row r="626">
          <cell r="BB626" t="str">
            <v>.</v>
          </cell>
        </row>
        <row r="627">
          <cell r="BB627" t="str">
            <v>.</v>
          </cell>
        </row>
        <row r="628">
          <cell r="BB628" t="str">
            <v>.</v>
          </cell>
        </row>
        <row r="629">
          <cell r="BB629" t="str">
            <v>.</v>
          </cell>
        </row>
        <row r="630">
          <cell r="BB630" t="str">
            <v>.</v>
          </cell>
        </row>
        <row r="631">
          <cell r="BB631" t="str">
            <v>.</v>
          </cell>
        </row>
        <row r="632">
          <cell r="BB632" t="str">
            <v>.</v>
          </cell>
        </row>
        <row r="633">
          <cell r="BB633" t="str">
            <v>.</v>
          </cell>
        </row>
        <row r="634">
          <cell r="BB634" t="str">
            <v>.</v>
          </cell>
        </row>
        <row r="635">
          <cell r="BB635" t="str">
            <v>.</v>
          </cell>
        </row>
        <row r="636">
          <cell r="BB636" t="str">
            <v>.</v>
          </cell>
        </row>
        <row r="637">
          <cell r="BB637" t="str">
            <v>.</v>
          </cell>
        </row>
        <row r="638">
          <cell r="BB638" t="str">
            <v>.</v>
          </cell>
        </row>
        <row r="639">
          <cell r="BB639" t="str">
            <v>.</v>
          </cell>
        </row>
        <row r="640">
          <cell r="BB640" t="str">
            <v>.</v>
          </cell>
        </row>
        <row r="641">
          <cell r="BB641" t="str">
            <v>.</v>
          </cell>
        </row>
        <row r="642">
          <cell r="BB642" t="str">
            <v>.</v>
          </cell>
        </row>
        <row r="643">
          <cell r="BB643" t="str">
            <v>.</v>
          </cell>
        </row>
        <row r="644">
          <cell r="BB644" t="str">
            <v>.</v>
          </cell>
        </row>
        <row r="645">
          <cell r="BB645" t="str">
            <v>.</v>
          </cell>
        </row>
        <row r="646">
          <cell r="BB646" t="str">
            <v>.</v>
          </cell>
        </row>
        <row r="647">
          <cell r="BB647" t="str">
            <v>.</v>
          </cell>
        </row>
        <row r="648">
          <cell r="BB648" t="str">
            <v>.</v>
          </cell>
        </row>
        <row r="649">
          <cell r="BB649" t="str">
            <v>.</v>
          </cell>
        </row>
        <row r="650">
          <cell r="BB650" t="str">
            <v>.</v>
          </cell>
        </row>
        <row r="651">
          <cell r="BB651" t="str">
            <v>.</v>
          </cell>
        </row>
        <row r="652">
          <cell r="BB652" t="str">
            <v>.</v>
          </cell>
        </row>
        <row r="653">
          <cell r="BB653" t="str">
            <v>.</v>
          </cell>
        </row>
        <row r="654">
          <cell r="BB654" t="str">
            <v>.</v>
          </cell>
        </row>
        <row r="655">
          <cell r="BB655" t="str">
            <v>.</v>
          </cell>
        </row>
        <row r="656">
          <cell r="BB656" t="str">
            <v>.</v>
          </cell>
        </row>
        <row r="657">
          <cell r="BB657" t="str">
            <v>.</v>
          </cell>
        </row>
        <row r="658">
          <cell r="BB658" t="str">
            <v>.</v>
          </cell>
        </row>
        <row r="659">
          <cell r="BB659" t="str">
            <v>.</v>
          </cell>
        </row>
        <row r="660">
          <cell r="BB660" t="str">
            <v>.</v>
          </cell>
        </row>
        <row r="661">
          <cell r="BB661" t="str">
            <v>.</v>
          </cell>
        </row>
        <row r="662">
          <cell r="BB662" t="str">
            <v>.</v>
          </cell>
        </row>
        <row r="663">
          <cell r="BB663" t="str">
            <v>.</v>
          </cell>
        </row>
        <row r="664">
          <cell r="BB664" t="str">
            <v>.</v>
          </cell>
        </row>
        <row r="665">
          <cell r="BB665" t="str">
            <v>.</v>
          </cell>
        </row>
        <row r="666">
          <cell r="BB666" t="str">
            <v>.</v>
          </cell>
        </row>
        <row r="667">
          <cell r="BB667" t="str">
            <v>.</v>
          </cell>
        </row>
        <row r="668">
          <cell r="BB668" t="str">
            <v>.</v>
          </cell>
        </row>
        <row r="669">
          <cell r="BB669" t="str">
            <v>.</v>
          </cell>
        </row>
        <row r="670">
          <cell r="BB670" t="str">
            <v>.</v>
          </cell>
        </row>
        <row r="671">
          <cell r="BB671" t="str">
            <v>.</v>
          </cell>
        </row>
        <row r="672">
          <cell r="BB672" t="str">
            <v>.</v>
          </cell>
        </row>
        <row r="673">
          <cell r="BB673" t="str">
            <v>.</v>
          </cell>
        </row>
        <row r="674">
          <cell r="BB674" t="str">
            <v>.</v>
          </cell>
        </row>
        <row r="675">
          <cell r="BB675" t="str">
            <v>.</v>
          </cell>
        </row>
        <row r="676">
          <cell r="BB676" t="str">
            <v>.</v>
          </cell>
        </row>
        <row r="677">
          <cell r="BB677" t="str">
            <v>.</v>
          </cell>
        </row>
        <row r="678">
          <cell r="BB678" t="str">
            <v>.</v>
          </cell>
        </row>
        <row r="679">
          <cell r="BB679" t="str">
            <v>.</v>
          </cell>
        </row>
        <row r="680">
          <cell r="BB680" t="str">
            <v>.</v>
          </cell>
        </row>
        <row r="681">
          <cell r="BB681" t="str">
            <v>.</v>
          </cell>
        </row>
        <row r="682">
          <cell r="BB682" t="str">
            <v>.</v>
          </cell>
        </row>
        <row r="683">
          <cell r="BB683" t="str">
            <v>.</v>
          </cell>
        </row>
        <row r="684">
          <cell r="BB684" t="str">
            <v>.</v>
          </cell>
        </row>
        <row r="685">
          <cell r="BB685" t="str">
            <v>.</v>
          </cell>
        </row>
        <row r="686">
          <cell r="BB686" t="str">
            <v>.</v>
          </cell>
        </row>
        <row r="687">
          <cell r="BB687" t="str">
            <v>.</v>
          </cell>
        </row>
        <row r="688">
          <cell r="BB688" t="str">
            <v>.</v>
          </cell>
        </row>
        <row r="689">
          <cell r="BB689" t="str">
            <v>.</v>
          </cell>
        </row>
        <row r="690">
          <cell r="BB690" t="str">
            <v>.</v>
          </cell>
        </row>
        <row r="691">
          <cell r="BB691" t="str">
            <v>.</v>
          </cell>
        </row>
        <row r="692">
          <cell r="BB692" t="str">
            <v>.</v>
          </cell>
        </row>
        <row r="693">
          <cell r="BB693" t="str">
            <v>.</v>
          </cell>
        </row>
        <row r="694">
          <cell r="BB694" t="str">
            <v>.</v>
          </cell>
        </row>
        <row r="695">
          <cell r="BB695" t="str">
            <v>.</v>
          </cell>
        </row>
        <row r="696">
          <cell r="BB696" t="str">
            <v>.</v>
          </cell>
        </row>
        <row r="697">
          <cell r="BB697" t="str">
            <v>.</v>
          </cell>
        </row>
        <row r="698">
          <cell r="BB698" t="str">
            <v>.</v>
          </cell>
        </row>
        <row r="699">
          <cell r="BB699" t="str">
            <v>.</v>
          </cell>
        </row>
        <row r="700">
          <cell r="BB700" t="str">
            <v>.</v>
          </cell>
        </row>
        <row r="701">
          <cell r="BB701" t="str">
            <v>.</v>
          </cell>
        </row>
        <row r="702">
          <cell r="BB702" t="str">
            <v>.</v>
          </cell>
        </row>
        <row r="703">
          <cell r="BB703" t="str">
            <v>.</v>
          </cell>
        </row>
        <row r="704">
          <cell r="BB704" t="str">
            <v>.</v>
          </cell>
        </row>
        <row r="705">
          <cell r="BB705" t="str">
            <v>.</v>
          </cell>
        </row>
        <row r="706">
          <cell r="BB706" t="str">
            <v>.</v>
          </cell>
        </row>
        <row r="707">
          <cell r="BB707" t="str">
            <v>.</v>
          </cell>
        </row>
        <row r="708">
          <cell r="BB708" t="str">
            <v>.</v>
          </cell>
        </row>
        <row r="709">
          <cell r="BB709" t="str">
            <v>.</v>
          </cell>
        </row>
        <row r="710">
          <cell r="BB710" t="str">
            <v>.</v>
          </cell>
        </row>
        <row r="711">
          <cell r="BB711" t="str">
            <v>.</v>
          </cell>
        </row>
        <row r="712">
          <cell r="BB712" t="str">
            <v>.</v>
          </cell>
        </row>
        <row r="713">
          <cell r="BB713" t="str">
            <v>.</v>
          </cell>
        </row>
        <row r="714">
          <cell r="BB714" t="str">
            <v>.</v>
          </cell>
        </row>
        <row r="715">
          <cell r="BB715" t="str">
            <v>.</v>
          </cell>
        </row>
        <row r="716">
          <cell r="BB716" t="str">
            <v>.</v>
          </cell>
        </row>
        <row r="717">
          <cell r="BB717" t="str">
            <v>.</v>
          </cell>
        </row>
        <row r="718">
          <cell r="BB718" t="str">
            <v>.</v>
          </cell>
        </row>
        <row r="719">
          <cell r="BB719" t="str">
            <v>.</v>
          </cell>
        </row>
        <row r="720">
          <cell r="BB720" t="str">
            <v>.</v>
          </cell>
        </row>
        <row r="721">
          <cell r="BB721" t="str">
            <v>.</v>
          </cell>
        </row>
        <row r="722">
          <cell r="BB722" t="str">
            <v>.</v>
          </cell>
        </row>
        <row r="723">
          <cell r="BB723" t="str">
            <v>.</v>
          </cell>
        </row>
        <row r="724">
          <cell r="BB724" t="str">
            <v>.</v>
          </cell>
        </row>
        <row r="725">
          <cell r="BB725" t="str">
            <v>.</v>
          </cell>
        </row>
        <row r="726">
          <cell r="BB726" t="str">
            <v>.</v>
          </cell>
        </row>
        <row r="727">
          <cell r="BB727" t="str">
            <v>.</v>
          </cell>
        </row>
        <row r="728">
          <cell r="BB728" t="str">
            <v>.</v>
          </cell>
        </row>
        <row r="729">
          <cell r="BB729" t="str">
            <v>.</v>
          </cell>
        </row>
        <row r="730">
          <cell r="BB730" t="str">
            <v>.</v>
          </cell>
        </row>
        <row r="731">
          <cell r="BB731" t="str">
            <v>.</v>
          </cell>
        </row>
        <row r="732">
          <cell r="BB732" t="str">
            <v>.</v>
          </cell>
        </row>
        <row r="733">
          <cell r="BB733" t="str">
            <v>.</v>
          </cell>
        </row>
        <row r="734">
          <cell r="BB734" t="str">
            <v>.</v>
          </cell>
        </row>
        <row r="735">
          <cell r="BB735" t="str">
            <v>.</v>
          </cell>
        </row>
        <row r="736">
          <cell r="BB736" t="str">
            <v>.</v>
          </cell>
        </row>
        <row r="737">
          <cell r="BB737" t="str">
            <v>.</v>
          </cell>
        </row>
        <row r="738">
          <cell r="BB738" t="str">
            <v>.</v>
          </cell>
        </row>
        <row r="739">
          <cell r="BB739" t="str">
            <v>.</v>
          </cell>
        </row>
        <row r="740">
          <cell r="BB740" t="str">
            <v>.</v>
          </cell>
        </row>
        <row r="741">
          <cell r="BB741" t="str">
            <v>.</v>
          </cell>
        </row>
        <row r="742">
          <cell r="BB742" t="str">
            <v>.</v>
          </cell>
        </row>
        <row r="743">
          <cell r="BB743" t="str">
            <v>.</v>
          </cell>
        </row>
        <row r="744">
          <cell r="BB744" t="str">
            <v>.</v>
          </cell>
        </row>
        <row r="745">
          <cell r="BB745" t="str">
            <v>.</v>
          </cell>
        </row>
        <row r="746">
          <cell r="BB746" t="str">
            <v>.</v>
          </cell>
        </row>
        <row r="747">
          <cell r="BB747" t="str">
            <v>.</v>
          </cell>
        </row>
        <row r="748">
          <cell r="BB748" t="str">
            <v>.</v>
          </cell>
        </row>
        <row r="749">
          <cell r="BB749" t="str">
            <v>.</v>
          </cell>
        </row>
        <row r="750">
          <cell r="BB750" t="str">
            <v>.</v>
          </cell>
        </row>
        <row r="751">
          <cell r="BB751" t="str">
            <v>.</v>
          </cell>
        </row>
        <row r="752">
          <cell r="BB752" t="str">
            <v>.</v>
          </cell>
        </row>
        <row r="753">
          <cell r="BB753" t="str">
            <v>.</v>
          </cell>
        </row>
        <row r="754">
          <cell r="BB754" t="str">
            <v>.</v>
          </cell>
        </row>
        <row r="755">
          <cell r="BB755" t="str">
            <v>.</v>
          </cell>
        </row>
        <row r="756">
          <cell r="BB756" t="str">
            <v>.</v>
          </cell>
        </row>
        <row r="757">
          <cell r="BB757" t="str">
            <v>.</v>
          </cell>
        </row>
        <row r="758">
          <cell r="BB758" t="str">
            <v>.</v>
          </cell>
        </row>
        <row r="759">
          <cell r="BB759" t="str">
            <v>.</v>
          </cell>
        </row>
        <row r="760">
          <cell r="BB760" t="str">
            <v>.</v>
          </cell>
        </row>
        <row r="761">
          <cell r="BB761" t="str">
            <v>.</v>
          </cell>
        </row>
        <row r="762">
          <cell r="BB762" t="str">
            <v>.</v>
          </cell>
        </row>
        <row r="763">
          <cell r="BB763" t="str">
            <v>.</v>
          </cell>
        </row>
        <row r="764">
          <cell r="BB764" t="str">
            <v>.</v>
          </cell>
        </row>
        <row r="765">
          <cell r="BB765" t="str">
            <v>.</v>
          </cell>
        </row>
        <row r="766">
          <cell r="BB766" t="str">
            <v>.</v>
          </cell>
        </row>
        <row r="767">
          <cell r="BB767" t="str">
            <v>.</v>
          </cell>
        </row>
        <row r="768">
          <cell r="BB768" t="str">
            <v>.</v>
          </cell>
        </row>
        <row r="769">
          <cell r="BB769" t="str">
            <v>.</v>
          </cell>
        </row>
        <row r="770">
          <cell r="BB770" t="str">
            <v>.</v>
          </cell>
        </row>
        <row r="771">
          <cell r="BB771" t="str">
            <v>.</v>
          </cell>
        </row>
        <row r="772">
          <cell r="BB772" t="str">
            <v>.</v>
          </cell>
        </row>
        <row r="773">
          <cell r="BB773" t="str">
            <v>.</v>
          </cell>
        </row>
        <row r="774">
          <cell r="BB774" t="str">
            <v>.</v>
          </cell>
        </row>
        <row r="775">
          <cell r="BB775" t="str">
            <v>.</v>
          </cell>
        </row>
        <row r="776">
          <cell r="BB776" t="str">
            <v>.</v>
          </cell>
        </row>
        <row r="777">
          <cell r="BB777" t="str">
            <v>.</v>
          </cell>
        </row>
        <row r="778">
          <cell r="BB778" t="str">
            <v>.</v>
          </cell>
        </row>
        <row r="779">
          <cell r="BB779" t="str">
            <v>.</v>
          </cell>
        </row>
        <row r="780">
          <cell r="BB780" t="str">
            <v>.</v>
          </cell>
        </row>
        <row r="781">
          <cell r="BB781" t="str">
            <v>.</v>
          </cell>
        </row>
        <row r="782">
          <cell r="BB782" t="str">
            <v>.</v>
          </cell>
        </row>
        <row r="783">
          <cell r="BB783" t="str">
            <v>.</v>
          </cell>
        </row>
        <row r="784">
          <cell r="BB784" t="str">
            <v>.</v>
          </cell>
        </row>
        <row r="785">
          <cell r="BB785" t="str">
            <v>.</v>
          </cell>
        </row>
        <row r="786">
          <cell r="BB786" t="str">
            <v>.</v>
          </cell>
        </row>
        <row r="787">
          <cell r="BB787" t="str">
            <v>.</v>
          </cell>
        </row>
        <row r="788">
          <cell r="BB788" t="str">
            <v>.</v>
          </cell>
        </row>
        <row r="789">
          <cell r="BB789" t="str">
            <v>.</v>
          </cell>
        </row>
        <row r="790">
          <cell r="BB790" t="str">
            <v>.</v>
          </cell>
        </row>
        <row r="791">
          <cell r="BB791" t="str">
            <v>.</v>
          </cell>
        </row>
        <row r="792">
          <cell r="BB792" t="str">
            <v>.</v>
          </cell>
        </row>
        <row r="793">
          <cell r="BB793" t="str">
            <v>.</v>
          </cell>
        </row>
        <row r="794">
          <cell r="BB794" t="str">
            <v>.</v>
          </cell>
        </row>
        <row r="795">
          <cell r="BB795" t="str">
            <v>.</v>
          </cell>
        </row>
        <row r="796">
          <cell r="BB796" t="str">
            <v>.</v>
          </cell>
        </row>
        <row r="797">
          <cell r="BB797" t="str">
            <v>.</v>
          </cell>
        </row>
        <row r="798">
          <cell r="BB798" t="str">
            <v>.</v>
          </cell>
        </row>
        <row r="799">
          <cell r="BB799" t="str">
            <v>.</v>
          </cell>
        </row>
        <row r="800">
          <cell r="BB800" t="str">
            <v>.</v>
          </cell>
        </row>
        <row r="801">
          <cell r="BB801" t="str">
            <v>.</v>
          </cell>
        </row>
        <row r="802">
          <cell r="BB802" t="str">
            <v>.</v>
          </cell>
        </row>
        <row r="803">
          <cell r="BB803" t="str">
            <v>.</v>
          </cell>
        </row>
        <row r="804">
          <cell r="BB804" t="str">
            <v>.</v>
          </cell>
        </row>
        <row r="805">
          <cell r="BB805" t="str">
            <v>.</v>
          </cell>
        </row>
        <row r="806">
          <cell r="BB806" t="str">
            <v>.</v>
          </cell>
        </row>
        <row r="807">
          <cell r="BB807" t="str">
            <v>.</v>
          </cell>
        </row>
        <row r="808">
          <cell r="BB808" t="str">
            <v>.</v>
          </cell>
        </row>
        <row r="809">
          <cell r="BB809" t="str">
            <v>.</v>
          </cell>
        </row>
        <row r="810">
          <cell r="BB810" t="str">
            <v>.</v>
          </cell>
        </row>
        <row r="811">
          <cell r="BB811" t="str">
            <v>.</v>
          </cell>
        </row>
        <row r="812">
          <cell r="BB812" t="str">
            <v>.</v>
          </cell>
        </row>
        <row r="813">
          <cell r="BB813" t="str">
            <v>.</v>
          </cell>
        </row>
        <row r="814">
          <cell r="BB814" t="str">
            <v>.</v>
          </cell>
        </row>
        <row r="815">
          <cell r="BB815" t="str">
            <v>.</v>
          </cell>
        </row>
        <row r="816">
          <cell r="BB816" t="str">
            <v>.</v>
          </cell>
        </row>
        <row r="817">
          <cell r="BB817" t="str">
            <v>.</v>
          </cell>
        </row>
        <row r="818">
          <cell r="BB818" t="str">
            <v>.</v>
          </cell>
        </row>
        <row r="819">
          <cell r="BB819" t="str">
            <v>.</v>
          </cell>
        </row>
        <row r="820">
          <cell r="BB820" t="str">
            <v>.</v>
          </cell>
        </row>
        <row r="821">
          <cell r="BB821" t="str">
            <v>.</v>
          </cell>
        </row>
        <row r="822">
          <cell r="BB822" t="str">
            <v>.</v>
          </cell>
        </row>
        <row r="823">
          <cell r="BB823" t="str">
            <v>.</v>
          </cell>
        </row>
        <row r="824">
          <cell r="BB824" t="str">
            <v>.</v>
          </cell>
        </row>
        <row r="825">
          <cell r="BB825" t="str">
            <v>.</v>
          </cell>
        </row>
        <row r="826">
          <cell r="BB826" t="str">
            <v>.</v>
          </cell>
        </row>
        <row r="827">
          <cell r="BB827" t="str">
            <v>.</v>
          </cell>
        </row>
        <row r="828">
          <cell r="BB828" t="str">
            <v>.</v>
          </cell>
        </row>
        <row r="829">
          <cell r="BB829" t="str">
            <v>.</v>
          </cell>
        </row>
        <row r="830">
          <cell r="BB830" t="str">
            <v>.</v>
          </cell>
        </row>
        <row r="831">
          <cell r="BB831" t="str">
            <v>.</v>
          </cell>
        </row>
        <row r="832">
          <cell r="BB832" t="str">
            <v>.</v>
          </cell>
        </row>
        <row r="833">
          <cell r="BB833" t="str">
            <v>.</v>
          </cell>
        </row>
        <row r="834">
          <cell r="BB834" t="str">
            <v>.</v>
          </cell>
        </row>
        <row r="835">
          <cell r="BB835" t="str">
            <v>.</v>
          </cell>
        </row>
        <row r="836">
          <cell r="BB836" t="str">
            <v>.</v>
          </cell>
        </row>
        <row r="837">
          <cell r="BB837" t="str">
            <v>.</v>
          </cell>
        </row>
        <row r="838">
          <cell r="BB838" t="str">
            <v>.</v>
          </cell>
        </row>
        <row r="839">
          <cell r="BB839" t="str">
            <v>.</v>
          </cell>
        </row>
        <row r="840">
          <cell r="BB840" t="str">
            <v>.</v>
          </cell>
        </row>
        <row r="841">
          <cell r="BB841" t="str">
            <v>.</v>
          </cell>
        </row>
        <row r="842">
          <cell r="BB842" t="str">
            <v>.</v>
          </cell>
        </row>
        <row r="843">
          <cell r="BB843" t="str">
            <v>.</v>
          </cell>
        </row>
        <row r="844">
          <cell r="BB844" t="str">
            <v>.</v>
          </cell>
        </row>
        <row r="845">
          <cell r="BB845" t="str">
            <v>.</v>
          </cell>
        </row>
        <row r="846">
          <cell r="BB846" t="str">
            <v>.</v>
          </cell>
        </row>
        <row r="847">
          <cell r="BB847" t="str">
            <v>.</v>
          </cell>
        </row>
        <row r="848">
          <cell r="BB848" t="str">
            <v>.</v>
          </cell>
        </row>
        <row r="849">
          <cell r="BB849" t="str">
            <v>.</v>
          </cell>
        </row>
        <row r="850">
          <cell r="BB850" t="str">
            <v>.</v>
          </cell>
        </row>
        <row r="851">
          <cell r="BB851" t="str">
            <v>.</v>
          </cell>
        </row>
        <row r="852">
          <cell r="BB852" t="str">
            <v>.</v>
          </cell>
        </row>
        <row r="853">
          <cell r="BB853" t="str">
            <v>.</v>
          </cell>
        </row>
        <row r="854">
          <cell r="BB854" t="str">
            <v>.</v>
          </cell>
        </row>
        <row r="855">
          <cell r="BB855" t="str">
            <v>.</v>
          </cell>
        </row>
        <row r="856">
          <cell r="BB856" t="str">
            <v>.</v>
          </cell>
        </row>
        <row r="857">
          <cell r="BB857" t="str">
            <v>.</v>
          </cell>
        </row>
        <row r="858">
          <cell r="BB858" t="str">
            <v>.</v>
          </cell>
        </row>
        <row r="859">
          <cell r="BB859" t="str">
            <v>.</v>
          </cell>
        </row>
        <row r="860">
          <cell r="BB860" t="str">
            <v>.</v>
          </cell>
        </row>
        <row r="861">
          <cell r="BB861" t="str">
            <v>.</v>
          </cell>
        </row>
        <row r="862">
          <cell r="BB862" t="str">
            <v>.</v>
          </cell>
        </row>
        <row r="863">
          <cell r="BB863" t="str">
            <v>.</v>
          </cell>
        </row>
        <row r="864">
          <cell r="BB864" t="str">
            <v>.</v>
          </cell>
        </row>
        <row r="865">
          <cell r="BB865" t="str">
            <v>.</v>
          </cell>
        </row>
        <row r="866">
          <cell r="BB866" t="str">
            <v>.</v>
          </cell>
        </row>
        <row r="867">
          <cell r="BB867" t="str">
            <v>.</v>
          </cell>
        </row>
        <row r="868">
          <cell r="BB868" t="str">
            <v>.</v>
          </cell>
        </row>
        <row r="869">
          <cell r="BB869" t="str">
            <v>.</v>
          </cell>
        </row>
        <row r="870">
          <cell r="BB870" t="str">
            <v>.</v>
          </cell>
        </row>
        <row r="871">
          <cell r="BB871" t="str">
            <v>.</v>
          </cell>
        </row>
        <row r="872">
          <cell r="BB872" t="str">
            <v>.</v>
          </cell>
        </row>
        <row r="873">
          <cell r="BB873" t="str">
            <v>.</v>
          </cell>
        </row>
        <row r="874">
          <cell r="BB874" t="str">
            <v>.</v>
          </cell>
        </row>
        <row r="875">
          <cell r="BB875" t="str">
            <v>.</v>
          </cell>
        </row>
        <row r="876">
          <cell r="BB876" t="str">
            <v>.</v>
          </cell>
        </row>
        <row r="877">
          <cell r="BB877" t="str">
            <v>.</v>
          </cell>
        </row>
        <row r="878">
          <cell r="BB878" t="str">
            <v>.</v>
          </cell>
        </row>
        <row r="879">
          <cell r="BB879" t="str">
            <v>.</v>
          </cell>
        </row>
        <row r="880">
          <cell r="BB880" t="str">
            <v>.</v>
          </cell>
        </row>
        <row r="881">
          <cell r="BB881" t="str">
            <v>.</v>
          </cell>
        </row>
        <row r="882">
          <cell r="BB882" t="str">
            <v>.</v>
          </cell>
        </row>
        <row r="883">
          <cell r="BB883" t="str">
            <v>.</v>
          </cell>
        </row>
        <row r="884">
          <cell r="BB884" t="str">
            <v>.</v>
          </cell>
        </row>
        <row r="885">
          <cell r="BB885" t="str">
            <v>.</v>
          </cell>
        </row>
        <row r="886">
          <cell r="BB886" t="str">
            <v>.</v>
          </cell>
        </row>
        <row r="887">
          <cell r="BB887" t="str">
            <v>.</v>
          </cell>
        </row>
        <row r="888">
          <cell r="BB888" t="str">
            <v>.</v>
          </cell>
        </row>
        <row r="889">
          <cell r="BB889" t="str">
            <v>.</v>
          </cell>
        </row>
        <row r="890">
          <cell r="BB890" t="str">
            <v>.</v>
          </cell>
        </row>
        <row r="891">
          <cell r="BB891" t="str">
            <v>.</v>
          </cell>
        </row>
        <row r="892">
          <cell r="BB892" t="str">
            <v>.</v>
          </cell>
        </row>
        <row r="893">
          <cell r="BB893" t="str">
            <v>.</v>
          </cell>
        </row>
        <row r="894">
          <cell r="BB894" t="str">
            <v>.</v>
          </cell>
        </row>
        <row r="895">
          <cell r="BB895" t="str">
            <v>.</v>
          </cell>
        </row>
        <row r="896">
          <cell r="BB896" t="str">
            <v>.</v>
          </cell>
        </row>
        <row r="897">
          <cell r="BB897" t="str">
            <v>.</v>
          </cell>
        </row>
        <row r="898">
          <cell r="BB898" t="str">
            <v>.</v>
          </cell>
        </row>
        <row r="899">
          <cell r="BB899" t="str">
            <v>.</v>
          </cell>
        </row>
        <row r="900">
          <cell r="BB900" t="str">
            <v>.</v>
          </cell>
        </row>
        <row r="901">
          <cell r="BB901" t="str">
            <v>.</v>
          </cell>
        </row>
        <row r="902">
          <cell r="BB902" t="str">
            <v>.</v>
          </cell>
        </row>
        <row r="903">
          <cell r="BB903" t="str">
            <v>.</v>
          </cell>
        </row>
        <row r="904">
          <cell r="BB904" t="str">
            <v>.</v>
          </cell>
        </row>
        <row r="905">
          <cell r="BB905" t="str">
            <v>.</v>
          </cell>
        </row>
        <row r="906">
          <cell r="BB906" t="str">
            <v>.</v>
          </cell>
        </row>
        <row r="907">
          <cell r="BB907" t="str">
            <v>.</v>
          </cell>
        </row>
        <row r="908">
          <cell r="BB908" t="str">
            <v>.</v>
          </cell>
        </row>
        <row r="909">
          <cell r="BB909" t="str">
            <v>.</v>
          </cell>
        </row>
        <row r="910">
          <cell r="BB910" t="str">
            <v>.</v>
          </cell>
        </row>
        <row r="911">
          <cell r="BB911" t="str">
            <v>.</v>
          </cell>
        </row>
        <row r="912">
          <cell r="BB912" t="str">
            <v>.</v>
          </cell>
        </row>
        <row r="913">
          <cell r="BB913" t="str">
            <v>.</v>
          </cell>
        </row>
        <row r="914">
          <cell r="BB914" t="str">
            <v>.</v>
          </cell>
        </row>
        <row r="915">
          <cell r="BB915" t="str">
            <v>.</v>
          </cell>
        </row>
        <row r="916">
          <cell r="BB916" t="str">
            <v>.</v>
          </cell>
        </row>
        <row r="917">
          <cell r="BB917" t="str">
            <v>.</v>
          </cell>
        </row>
        <row r="918">
          <cell r="BB918" t="str">
            <v>.</v>
          </cell>
        </row>
        <row r="919">
          <cell r="BB919" t="str">
            <v>.</v>
          </cell>
        </row>
        <row r="920">
          <cell r="BB920" t="str">
            <v>.</v>
          </cell>
        </row>
        <row r="921">
          <cell r="BB921" t="str">
            <v>.</v>
          </cell>
        </row>
        <row r="922">
          <cell r="BB922" t="str">
            <v>.</v>
          </cell>
        </row>
        <row r="923">
          <cell r="BB923" t="str">
            <v>.</v>
          </cell>
        </row>
        <row r="924">
          <cell r="BB924" t="str">
            <v>.</v>
          </cell>
        </row>
        <row r="925">
          <cell r="BB925" t="str">
            <v>.</v>
          </cell>
        </row>
        <row r="926">
          <cell r="BB926" t="str">
            <v>.</v>
          </cell>
        </row>
        <row r="927">
          <cell r="BB927" t="str">
            <v>.</v>
          </cell>
        </row>
        <row r="928">
          <cell r="BB928" t="str">
            <v>.</v>
          </cell>
        </row>
        <row r="929">
          <cell r="BB929" t="str">
            <v>.</v>
          </cell>
        </row>
        <row r="930">
          <cell r="BB930" t="str">
            <v>.</v>
          </cell>
        </row>
        <row r="931">
          <cell r="BB931" t="str">
            <v>.</v>
          </cell>
        </row>
        <row r="932">
          <cell r="BB932" t="str">
            <v>.</v>
          </cell>
        </row>
        <row r="933">
          <cell r="BB933" t="str">
            <v>.</v>
          </cell>
        </row>
        <row r="934">
          <cell r="BB934" t="str">
            <v>.</v>
          </cell>
        </row>
        <row r="935">
          <cell r="BB935" t="str">
            <v>.</v>
          </cell>
        </row>
        <row r="936">
          <cell r="BB936" t="str">
            <v>.</v>
          </cell>
        </row>
        <row r="937">
          <cell r="BB937" t="str">
            <v>.</v>
          </cell>
        </row>
        <row r="938">
          <cell r="BB938" t="str">
            <v>.</v>
          </cell>
        </row>
        <row r="939">
          <cell r="BB939" t="str">
            <v>.</v>
          </cell>
        </row>
        <row r="940">
          <cell r="BB940" t="str">
            <v>.</v>
          </cell>
        </row>
        <row r="941">
          <cell r="BB941" t="str">
            <v>.</v>
          </cell>
        </row>
        <row r="942">
          <cell r="BB942" t="str">
            <v>.</v>
          </cell>
        </row>
        <row r="943">
          <cell r="BB943" t="str">
            <v>.</v>
          </cell>
        </row>
        <row r="944">
          <cell r="BB944" t="str">
            <v>.</v>
          </cell>
        </row>
        <row r="945">
          <cell r="BB945" t="str">
            <v>.</v>
          </cell>
        </row>
        <row r="946">
          <cell r="BB946" t="str">
            <v>.</v>
          </cell>
        </row>
        <row r="947">
          <cell r="BB947" t="str">
            <v>.</v>
          </cell>
        </row>
        <row r="948">
          <cell r="BB948" t="str">
            <v>.</v>
          </cell>
        </row>
        <row r="949">
          <cell r="BB949" t="str">
            <v>.</v>
          </cell>
        </row>
        <row r="950">
          <cell r="BB950" t="str">
            <v>.</v>
          </cell>
        </row>
        <row r="951">
          <cell r="BB951" t="str">
            <v>.</v>
          </cell>
        </row>
        <row r="952">
          <cell r="BB952" t="str">
            <v>.</v>
          </cell>
        </row>
        <row r="953">
          <cell r="BB953" t="str">
            <v>.</v>
          </cell>
        </row>
        <row r="954">
          <cell r="BB954" t="str">
            <v>.</v>
          </cell>
        </row>
        <row r="955">
          <cell r="BB955" t="str">
            <v>.</v>
          </cell>
        </row>
        <row r="956">
          <cell r="BB956" t="str">
            <v>.</v>
          </cell>
        </row>
        <row r="957">
          <cell r="BB957" t="str">
            <v>.</v>
          </cell>
        </row>
        <row r="958">
          <cell r="BB958" t="str">
            <v>.</v>
          </cell>
        </row>
        <row r="959">
          <cell r="BB959" t="str">
            <v>.</v>
          </cell>
        </row>
        <row r="960">
          <cell r="BB960" t="str">
            <v>.</v>
          </cell>
        </row>
        <row r="961">
          <cell r="BB961" t="str">
            <v>.</v>
          </cell>
        </row>
        <row r="962">
          <cell r="BB962" t="str">
            <v>.</v>
          </cell>
        </row>
        <row r="963">
          <cell r="BB963" t="str">
            <v>.</v>
          </cell>
        </row>
        <row r="964">
          <cell r="BB964" t="str">
            <v>.</v>
          </cell>
        </row>
        <row r="965">
          <cell r="BB965" t="str">
            <v>.</v>
          </cell>
        </row>
        <row r="966">
          <cell r="BB966" t="str">
            <v>.</v>
          </cell>
        </row>
        <row r="967">
          <cell r="BB967" t="str">
            <v>.</v>
          </cell>
        </row>
        <row r="968">
          <cell r="BB968" t="str">
            <v>.</v>
          </cell>
        </row>
        <row r="969">
          <cell r="BB969" t="str">
            <v>.</v>
          </cell>
        </row>
        <row r="970">
          <cell r="BB970" t="str">
            <v>.</v>
          </cell>
        </row>
        <row r="971">
          <cell r="BB971" t="str">
            <v>.</v>
          </cell>
        </row>
        <row r="972">
          <cell r="BB972" t="str">
            <v>.</v>
          </cell>
        </row>
        <row r="973">
          <cell r="BB973" t="str">
            <v>.</v>
          </cell>
        </row>
        <row r="974">
          <cell r="BB974" t="str">
            <v>.</v>
          </cell>
        </row>
        <row r="975">
          <cell r="BB975" t="str">
            <v>.</v>
          </cell>
        </row>
        <row r="976">
          <cell r="BB976" t="str">
            <v>.</v>
          </cell>
        </row>
        <row r="977">
          <cell r="BB977" t="str">
            <v>.</v>
          </cell>
        </row>
        <row r="978">
          <cell r="BB978" t="str">
            <v>.</v>
          </cell>
        </row>
        <row r="979">
          <cell r="BB979" t="str">
            <v>.</v>
          </cell>
        </row>
        <row r="980">
          <cell r="BB980" t="str">
            <v>.</v>
          </cell>
        </row>
        <row r="981">
          <cell r="BB981" t="str">
            <v>.</v>
          </cell>
        </row>
        <row r="982">
          <cell r="BB982" t="str">
            <v>.</v>
          </cell>
        </row>
        <row r="983">
          <cell r="BB983" t="str">
            <v>.</v>
          </cell>
        </row>
        <row r="984">
          <cell r="BB984" t="str">
            <v>.</v>
          </cell>
        </row>
        <row r="985">
          <cell r="BB985" t="str">
            <v>.</v>
          </cell>
        </row>
        <row r="986">
          <cell r="BB986" t="str">
            <v>.</v>
          </cell>
        </row>
        <row r="987">
          <cell r="BB987" t="str">
            <v>.</v>
          </cell>
        </row>
        <row r="988">
          <cell r="BB988" t="str">
            <v>.</v>
          </cell>
        </row>
        <row r="989">
          <cell r="BB989" t="str">
            <v>.</v>
          </cell>
        </row>
        <row r="990">
          <cell r="BB990" t="str">
            <v>.</v>
          </cell>
        </row>
        <row r="991">
          <cell r="BB991" t="str">
            <v>.</v>
          </cell>
        </row>
        <row r="992">
          <cell r="BB992" t="str">
            <v>.</v>
          </cell>
        </row>
        <row r="993">
          <cell r="BB993" t="str">
            <v>.</v>
          </cell>
        </row>
        <row r="994">
          <cell r="BB994" t="str">
            <v>.</v>
          </cell>
        </row>
        <row r="995">
          <cell r="BB995" t="str">
            <v>.</v>
          </cell>
        </row>
        <row r="996">
          <cell r="BB996" t="str">
            <v>.</v>
          </cell>
        </row>
        <row r="997">
          <cell r="A997" t="str">
            <v>.</v>
          </cell>
          <cell r="B997" t="str">
            <v>.</v>
          </cell>
          <cell r="C997" t="str">
            <v>.</v>
          </cell>
          <cell r="D997" t="str">
            <v>.</v>
          </cell>
          <cell r="E997" t="str">
            <v>.</v>
          </cell>
          <cell r="F997" t="str">
            <v>.</v>
          </cell>
          <cell r="G997" t="str">
            <v>.</v>
          </cell>
          <cell r="I997" t="str">
            <v>.</v>
          </cell>
          <cell r="T997" t="str">
            <v>.</v>
          </cell>
          <cell r="U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cell r="BB997" t="str">
            <v>.</v>
          </cell>
        </row>
      </sheetData>
      <sheetData sheetId="4"/>
      <sheetData sheetId="5">
        <row r="1">
          <cell r="S1" t="str">
            <v>SmartCharts</v>
          </cell>
          <cell r="BB1" t="str">
            <v>.</v>
          </cell>
        </row>
        <row r="2">
          <cell r="BB2" t="str">
            <v>.</v>
          </cell>
        </row>
        <row r="3">
          <cell r="BB3" t="str">
            <v>.</v>
          </cell>
        </row>
        <row r="4">
          <cell r="BB4" t="str">
            <v>.</v>
          </cell>
        </row>
        <row r="5">
          <cell r="C5" t="str">
            <v>Define value axis here:</v>
          </cell>
        </row>
        <row r="6">
          <cell r="C6" t="str">
            <v>Pharmaceutical Revenue Contribution</v>
          </cell>
        </row>
        <row r="10">
          <cell r="C10" t="str">
            <v>Input your data here:</v>
          </cell>
          <cell r="BB10" t="str">
            <v>.</v>
          </cell>
        </row>
        <row r="11">
          <cell r="D11" t="str">
            <v>Traditional</v>
          </cell>
          <cell r="E11" t="str">
            <v>Biologic</v>
          </cell>
          <cell r="BB11" t="str">
            <v>.</v>
          </cell>
        </row>
        <row r="12">
          <cell r="C12">
            <v>2010</v>
          </cell>
          <cell r="D12">
            <v>0.82430001699349376</v>
          </cell>
          <cell r="E12">
            <v>0.17569998300650647</v>
          </cell>
          <cell r="BB12" t="str">
            <v>.</v>
          </cell>
        </row>
        <row r="13">
          <cell r="C13">
            <v>2011</v>
          </cell>
          <cell r="D13">
            <v>0.80735644965960518</v>
          </cell>
          <cell r="E13">
            <v>0.19264355034039463</v>
          </cell>
          <cell r="BB13" t="str">
            <v>.</v>
          </cell>
        </row>
        <row r="14">
          <cell r="C14">
            <v>2012</v>
          </cell>
          <cell r="D14">
            <v>0.74906834211819795</v>
          </cell>
          <cell r="E14">
            <v>0.25093165788180211</v>
          </cell>
          <cell r="BB14" t="str">
            <v>.</v>
          </cell>
        </row>
        <row r="15">
          <cell r="C15">
            <v>2013</v>
          </cell>
          <cell r="D15">
            <v>0.72367300587064676</v>
          </cell>
          <cell r="E15">
            <v>0.27632699412935324</v>
          </cell>
          <cell r="BB15" t="str">
            <v>.</v>
          </cell>
        </row>
        <row r="16">
          <cell r="C16">
            <v>2014</v>
          </cell>
          <cell r="D16">
            <v>0.70424570108479179</v>
          </cell>
          <cell r="E16">
            <v>0.29575429891520816</v>
          </cell>
          <cell r="BB16" t="str">
            <v>.</v>
          </cell>
        </row>
        <row r="17">
          <cell r="C17">
            <v>2015</v>
          </cell>
          <cell r="D17">
            <v>0.68245948091534925</v>
          </cell>
          <cell r="E17">
            <v>0.3175405190846507</v>
          </cell>
          <cell r="BB17" t="str">
            <v>.</v>
          </cell>
        </row>
        <row r="18">
          <cell r="BB18" t="str">
            <v>.</v>
          </cell>
        </row>
        <row r="20">
          <cell r="BB20" t="str">
            <v>.</v>
          </cell>
        </row>
        <row r="21">
          <cell r="BB21" t="str">
            <v>.</v>
          </cell>
        </row>
        <row r="22">
          <cell r="BB22" t="str">
            <v>.</v>
          </cell>
        </row>
        <row r="23">
          <cell r="BB23" t="str">
            <v>.</v>
          </cell>
        </row>
        <row r="24">
          <cell r="BB24" t="str">
            <v>.</v>
          </cell>
        </row>
        <row r="25">
          <cell r="BB25" t="str">
            <v>.</v>
          </cell>
        </row>
        <row r="26">
          <cell r="BB26" t="str">
            <v>.</v>
          </cell>
        </row>
        <row r="27">
          <cell r="BB27" t="str">
            <v>.</v>
          </cell>
        </row>
        <row r="28">
          <cell r="BB28" t="str">
            <v>.</v>
          </cell>
        </row>
        <row r="29">
          <cell r="BB29" t="str">
            <v>.</v>
          </cell>
        </row>
        <row r="30">
          <cell r="BB30" t="str">
            <v>.</v>
          </cell>
        </row>
        <row r="31">
          <cell r="BB31" t="str">
            <v>.</v>
          </cell>
        </row>
        <row r="32">
          <cell r="BB32" t="str">
            <v>.</v>
          </cell>
        </row>
        <row r="33">
          <cell r="BB33" t="str">
            <v>.</v>
          </cell>
        </row>
        <row r="34">
          <cell r="BB34" t="str">
            <v>.</v>
          </cell>
        </row>
        <row r="35">
          <cell r="BB35" t="str">
            <v>.</v>
          </cell>
        </row>
        <row r="36">
          <cell r="BB36" t="str">
            <v>.</v>
          </cell>
        </row>
        <row r="37">
          <cell r="K37" t="str">
            <v>Do not change the width of the exhibit or font sizes (they are optimized for export to Word).</v>
          </cell>
          <cell r="BB37" t="str">
            <v>.</v>
          </cell>
        </row>
        <row r="38">
          <cell r="BB38" t="str">
            <v>.</v>
          </cell>
        </row>
        <row r="39">
          <cell r="K39" t="str">
            <v>Do not delete any rows or columns (some gray cells are used for calculations).</v>
          </cell>
          <cell r="BB39" t="str">
            <v>.</v>
          </cell>
        </row>
        <row r="40">
          <cell r="BB40" t="str">
            <v>.</v>
          </cell>
        </row>
        <row r="41">
          <cell r="BB41" t="str">
            <v>.</v>
          </cell>
        </row>
        <row r="42">
          <cell r="BB42" t="str">
            <v>.</v>
          </cell>
        </row>
        <row r="43">
          <cell r="BB43" t="str">
            <v>.</v>
          </cell>
        </row>
        <row r="44">
          <cell r="BB44" t="str">
            <v>.</v>
          </cell>
        </row>
        <row r="45">
          <cell r="BB45" t="str">
            <v>.</v>
          </cell>
        </row>
        <row r="46">
          <cell r="BB46" t="str">
            <v>.</v>
          </cell>
        </row>
        <row r="47">
          <cell r="BB47" t="str">
            <v>.</v>
          </cell>
        </row>
        <row r="48">
          <cell r="BB48" t="str">
            <v>.</v>
          </cell>
        </row>
        <row r="49">
          <cell r="BB49" t="str">
            <v>.</v>
          </cell>
        </row>
        <row r="50">
          <cell r="BB50" t="str">
            <v>.</v>
          </cell>
        </row>
        <row r="51">
          <cell r="BB51" t="str">
            <v>.</v>
          </cell>
        </row>
        <row r="52">
          <cell r="BB52" t="str">
            <v>.</v>
          </cell>
        </row>
        <row r="53">
          <cell r="BB53" t="str">
            <v>.</v>
          </cell>
        </row>
        <row r="54">
          <cell r="BB54" t="str">
            <v>.</v>
          </cell>
        </row>
        <row r="55">
          <cell r="BB55" t="str">
            <v>.</v>
          </cell>
        </row>
        <row r="56">
          <cell r="BB56" t="str">
            <v>.</v>
          </cell>
        </row>
        <row r="57">
          <cell r="BB57" t="str">
            <v>.</v>
          </cell>
        </row>
        <row r="58">
          <cell r="BB58" t="str">
            <v>.</v>
          </cell>
        </row>
        <row r="59">
          <cell r="BB59" t="str">
            <v>.</v>
          </cell>
        </row>
        <row r="60">
          <cell r="BB60" t="str">
            <v>.</v>
          </cell>
        </row>
        <row r="61">
          <cell r="BB61" t="str">
            <v>.</v>
          </cell>
        </row>
        <row r="62">
          <cell r="BB62" t="str">
            <v>.</v>
          </cell>
        </row>
        <row r="63">
          <cell r="BB63" t="str">
            <v>.</v>
          </cell>
        </row>
        <row r="64">
          <cell r="BB64" t="str">
            <v>.</v>
          </cell>
        </row>
        <row r="65">
          <cell r="BB65" t="str">
            <v>.</v>
          </cell>
        </row>
        <row r="66">
          <cell r="BB66" t="str">
            <v>.</v>
          </cell>
        </row>
        <row r="67">
          <cell r="BB67" t="str">
            <v>.</v>
          </cell>
        </row>
        <row r="68">
          <cell r="BB68" t="str">
            <v>.</v>
          </cell>
        </row>
        <row r="69">
          <cell r="BB69" t="str">
            <v>.</v>
          </cell>
        </row>
        <row r="70">
          <cell r="BB70" t="str">
            <v>.</v>
          </cell>
        </row>
        <row r="71">
          <cell r="BB71" t="str">
            <v>.</v>
          </cell>
        </row>
        <row r="72">
          <cell r="BB72" t="str">
            <v>.</v>
          </cell>
        </row>
        <row r="73">
          <cell r="BB73" t="str">
            <v>.</v>
          </cell>
        </row>
        <row r="74">
          <cell r="BB74" t="str">
            <v>.</v>
          </cell>
        </row>
        <row r="75">
          <cell r="BB75" t="str">
            <v>.</v>
          </cell>
        </row>
        <row r="76">
          <cell r="BB76" t="str">
            <v>.</v>
          </cell>
        </row>
        <row r="77">
          <cell r="BB77" t="str">
            <v>.</v>
          </cell>
        </row>
        <row r="78">
          <cell r="BB78" t="str">
            <v>.</v>
          </cell>
        </row>
        <row r="79">
          <cell r="BB79" t="str">
            <v>.</v>
          </cell>
        </row>
        <row r="80">
          <cell r="BB80" t="str">
            <v>.</v>
          </cell>
        </row>
        <row r="81">
          <cell r="BB81" t="str">
            <v>.</v>
          </cell>
        </row>
        <row r="82">
          <cell r="BB82" t="str">
            <v>.</v>
          </cell>
        </row>
        <row r="83">
          <cell r="BB83" t="str">
            <v>.</v>
          </cell>
        </row>
        <row r="84">
          <cell r="BB84" t="str">
            <v>.</v>
          </cell>
        </row>
        <row r="85">
          <cell r="BB85" t="str">
            <v>.</v>
          </cell>
        </row>
        <row r="86">
          <cell r="BB86" t="str">
            <v>.</v>
          </cell>
        </row>
        <row r="87">
          <cell r="BB87" t="str">
            <v>.</v>
          </cell>
        </row>
        <row r="88">
          <cell r="BB88" t="str">
            <v>.</v>
          </cell>
        </row>
        <row r="89">
          <cell r="BB89" t="str">
            <v>.</v>
          </cell>
        </row>
        <row r="90">
          <cell r="BB90" t="str">
            <v>.</v>
          </cell>
        </row>
        <row r="91">
          <cell r="BB91" t="str">
            <v>.</v>
          </cell>
        </row>
        <row r="92">
          <cell r="BB92" t="str">
            <v>.</v>
          </cell>
        </row>
        <row r="93">
          <cell r="BB93" t="str">
            <v>.</v>
          </cell>
        </row>
        <row r="94">
          <cell r="BB94" t="str">
            <v>.</v>
          </cell>
        </row>
        <row r="95">
          <cell r="BB95" t="str">
            <v>.</v>
          </cell>
        </row>
        <row r="96">
          <cell r="BB96" t="str">
            <v>.</v>
          </cell>
        </row>
        <row r="97">
          <cell r="BB97" t="str">
            <v>.</v>
          </cell>
        </row>
        <row r="98">
          <cell r="BB98" t="str">
            <v>.</v>
          </cell>
        </row>
        <row r="99">
          <cell r="BB99" t="str">
            <v>.</v>
          </cell>
        </row>
        <row r="100">
          <cell r="BB100" t="str">
            <v>.</v>
          </cell>
        </row>
        <row r="101">
          <cell r="BB101" t="str">
            <v>.</v>
          </cell>
        </row>
        <row r="102">
          <cell r="BB102" t="str">
            <v>.</v>
          </cell>
        </row>
        <row r="103">
          <cell r="BB103" t="str">
            <v>.</v>
          </cell>
        </row>
        <row r="104">
          <cell r="BB104" t="str">
            <v>.</v>
          </cell>
        </row>
        <row r="105">
          <cell r="BB105" t="str">
            <v>.</v>
          </cell>
        </row>
        <row r="106">
          <cell r="BB106" t="str">
            <v>.</v>
          </cell>
        </row>
        <row r="107">
          <cell r="BB107" t="str">
            <v>.</v>
          </cell>
        </row>
        <row r="108">
          <cell r="BB108" t="str">
            <v>.</v>
          </cell>
        </row>
        <row r="109">
          <cell r="BB109" t="str">
            <v>.</v>
          </cell>
        </row>
        <row r="110">
          <cell r="BB110" t="str">
            <v>.</v>
          </cell>
        </row>
        <row r="111">
          <cell r="BB111" t="str">
            <v>.</v>
          </cell>
        </row>
        <row r="112">
          <cell r="BB112" t="str">
            <v>.</v>
          </cell>
        </row>
        <row r="113">
          <cell r="BB113" t="str">
            <v>.</v>
          </cell>
        </row>
        <row r="114">
          <cell r="BB114" t="str">
            <v>.</v>
          </cell>
        </row>
        <row r="115">
          <cell r="BB115" t="str">
            <v>.</v>
          </cell>
        </row>
        <row r="116">
          <cell r="BB116" t="str">
            <v>.</v>
          </cell>
        </row>
        <row r="117">
          <cell r="BB117" t="str">
            <v>.</v>
          </cell>
        </row>
        <row r="118">
          <cell r="BB118" t="str">
            <v>.</v>
          </cell>
        </row>
        <row r="119">
          <cell r="BB119" t="str">
            <v>.</v>
          </cell>
        </row>
        <row r="120">
          <cell r="BB120" t="str">
            <v>.</v>
          </cell>
        </row>
        <row r="121">
          <cell r="BB121" t="str">
            <v>.</v>
          </cell>
        </row>
        <row r="122">
          <cell r="BB122" t="str">
            <v>.</v>
          </cell>
        </row>
        <row r="123">
          <cell r="BB123" t="str">
            <v>.</v>
          </cell>
        </row>
        <row r="124">
          <cell r="BB124" t="str">
            <v>.</v>
          </cell>
        </row>
        <row r="125">
          <cell r="BB125" t="str">
            <v>.</v>
          </cell>
        </row>
        <row r="126">
          <cell r="BB126" t="str">
            <v>.</v>
          </cell>
        </row>
        <row r="127">
          <cell r="BB127" t="str">
            <v>.</v>
          </cell>
        </row>
        <row r="128">
          <cell r="BB128" t="str">
            <v>.</v>
          </cell>
        </row>
        <row r="129">
          <cell r="BB129" t="str">
            <v>.</v>
          </cell>
        </row>
        <row r="130">
          <cell r="BB130" t="str">
            <v>.</v>
          </cell>
        </row>
        <row r="131">
          <cell r="BB131" t="str">
            <v>.</v>
          </cell>
        </row>
        <row r="132">
          <cell r="BB132" t="str">
            <v>.</v>
          </cell>
        </row>
        <row r="133">
          <cell r="BB133" t="str">
            <v>.</v>
          </cell>
        </row>
        <row r="134">
          <cell r="BB134" t="str">
            <v>.</v>
          </cell>
        </row>
        <row r="135">
          <cell r="BB135" t="str">
            <v>.</v>
          </cell>
        </row>
        <row r="136">
          <cell r="BB136" t="str">
            <v>.</v>
          </cell>
        </row>
        <row r="137">
          <cell r="BB137" t="str">
            <v>.</v>
          </cell>
        </row>
        <row r="138">
          <cell r="BB138" t="str">
            <v>.</v>
          </cell>
        </row>
        <row r="139">
          <cell r="BB139" t="str">
            <v>.</v>
          </cell>
        </row>
        <row r="140">
          <cell r="BB140" t="str">
            <v>.</v>
          </cell>
        </row>
        <row r="141">
          <cell r="BB141" t="str">
            <v>.</v>
          </cell>
        </row>
        <row r="142">
          <cell r="BB142" t="str">
            <v>.</v>
          </cell>
        </row>
        <row r="143">
          <cell r="BB143" t="str">
            <v>.</v>
          </cell>
        </row>
        <row r="144">
          <cell r="BB144" t="str">
            <v>.</v>
          </cell>
        </row>
        <row r="145">
          <cell r="BB145" t="str">
            <v>.</v>
          </cell>
        </row>
        <row r="146">
          <cell r="BB146" t="str">
            <v>.</v>
          </cell>
        </row>
        <row r="147">
          <cell r="BB147" t="str">
            <v>.</v>
          </cell>
        </row>
        <row r="148">
          <cell r="BB148" t="str">
            <v>.</v>
          </cell>
        </row>
        <row r="149">
          <cell r="BB149" t="str">
            <v>.</v>
          </cell>
        </row>
        <row r="150">
          <cell r="BB150" t="str">
            <v>.</v>
          </cell>
        </row>
        <row r="151">
          <cell r="BB151" t="str">
            <v>.</v>
          </cell>
        </row>
        <row r="152">
          <cell r="BB152" t="str">
            <v>.</v>
          </cell>
        </row>
        <row r="153">
          <cell r="BB153" t="str">
            <v>.</v>
          </cell>
        </row>
        <row r="154">
          <cell r="BB154" t="str">
            <v>.</v>
          </cell>
        </row>
        <row r="155">
          <cell r="BB155" t="str">
            <v>.</v>
          </cell>
        </row>
        <row r="156">
          <cell r="BB156" t="str">
            <v>.</v>
          </cell>
        </row>
        <row r="157">
          <cell r="BB157" t="str">
            <v>.</v>
          </cell>
        </row>
        <row r="158">
          <cell r="BB158" t="str">
            <v>.</v>
          </cell>
        </row>
        <row r="159">
          <cell r="BB159" t="str">
            <v>.</v>
          </cell>
        </row>
        <row r="160">
          <cell r="BB160" t="str">
            <v>.</v>
          </cell>
        </row>
        <row r="161">
          <cell r="BB161" t="str">
            <v>.</v>
          </cell>
        </row>
        <row r="162">
          <cell r="BB162" t="str">
            <v>.</v>
          </cell>
        </row>
        <row r="163">
          <cell r="BB163" t="str">
            <v>.</v>
          </cell>
        </row>
        <row r="164">
          <cell r="BB164" t="str">
            <v>.</v>
          </cell>
        </row>
        <row r="165">
          <cell r="BB165" t="str">
            <v>.</v>
          </cell>
        </row>
        <row r="166">
          <cell r="BB166" t="str">
            <v>.</v>
          </cell>
        </row>
        <row r="167">
          <cell r="BB167" t="str">
            <v>.</v>
          </cell>
        </row>
        <row r="168">
          <cell r="BB168" t="str">
            <v>.</v>
          </cell>
        </row>
        <row r="169">
          <cell r="BB169" t="str">
            <v>.</v>
          </cell>
        </row>
        <row r="170">
          <cell r="BB170" t="str">
            <v>.</v>
          </cell>
        </row>
        <row r="171">
          <cell r="BB171" t="str">
            <v>.</v>
          </cell>
        </row>
        <row r="172">
          <cell r="BB172" t="str">
            <v>.</v>
          </cell>
        </row>
        <row r="173">
          <cell r="BB173" t="str">
            <v>.</v>
          </cell>
        </row>
        <row r="174">
          <cell r="BB174" t="str">
            <v>.</v>
          </cell>
        </row>
        <row r="175">
          <cell r="BB175" t="str">
            <v>.</v>
          </cell>
        </row>
        <row r="176">
          <cell r="BB176" t="str">
            <v>.</v>
          </cell>
        </row>
        <row r="177">
          <cell r="BB177" t="str">
            <v>.</v>
          </cell>
        </row>
        <row r="178">
          <cell r="BB178" t="str">
            <v>.</v>
          </cell>
        </row>
        <row r="179">
          <cell r="BB179" t="str">
            <v>.</v>
          </cell>
        </row>
        <row r="180">
          <cell r="BB180" t="str">
            <v>.</v>
          </cell>
        </row>
        <row r="181">
          <cell r="BB181" t="str">
            <v>.</v>
          </cell>
        </row>
        <row r="182">
          <cell r="BB182" t="str">
            <v>.</v>
          </cell>
        </row>
        <row r="183">
          <cell r="BB183" t="str">
            <v>.</v>
          </cell>
        </row>
        <row r="184">
          <cell r="BB184" t="str">
            <v>.</v>
          </cell>
        </row>
        <row r="185">
          <cell r="BB185" t="str">
            <v>.</v>
          </cell>
        </row>
        <row r="186">
          <cell r="BB186" t="str">
            <v>.</v>
          </cell>
        </row>
        <row r="187">
          <cell r="BB187" t="str">
            <v>.</v>
          </cell>
        </row>
        <row r="188">
          <cell r="BB188" t="str">
            <v>.</v>
          </cell>
        </row>
        <row r="189">
          <cell r="BB189" t="str">
            <v>.</v>
          </cell>
        </row>
        <row r="190">
          <cell r="BB190" t="str">
            <v>.</v>
          </cell>
        </row>
        <row r="191">
          <cell r="BB191" t="str">
            <v>.</v>
          </cell>
        </row>
        <row r="192">
          <cell r="BB192" t="str">
            <v>.</v>
          </cell>
        </row>
        <row r="193">
          <cell r="BB193" t="str">
            <v>.</v>
          </cell>
        </row>
        <row r="194">
          <cell r="BB194" t="str">
            <v>.</v>
          </cell>
        </row>
        <row r="195">
          <cell r="BB195" t="str">
            <v>.</v>
          </cell>
        </row>
        <row r="196">
          <cell r="BB196" t="str">
            <v>.</v>
          </cell>
        </row>
        <row r="197">
          <cell r="BB197" t="str">
            <v>.</v>
          </cell>
        </row>
        <row r="198">
          <cell r="BB198" t="str">
            <v>.</v>
          </cell>
        </row>
        <row r="199">
          <cell r="BB199" t="str">
            <v>.</v>
          </cell>
        </row>
        <row r="200">
          <cell r="BB200" t="str">
            <v>.</v>
          </cell>
        </row>
        <row r="201">
          <cell r="BB201" t="str">
            <v>.</v>
          </cell>
        </row>
        <row r="202">
          <cell r="BB202" t="str">
            <v>.</v>
          </cell>
        </row>
        <row r="203">
          <cell r="BB203" t="str">
            <v>.</v>
          </cell>
        </row>
        <row r="204">
          <cell r="BB204" t="str">
            <v>.</v>
          </cell>
        </row>
        <row r="205">
          <cell r="BB205" t="str">
            <v>.</v>
          </cell>
        </row>
        <row r="206">
          <cell r="BB206" t="str">
            <v>.</v>
          </cell>
        </row>
        <row r="207">
          <cell r="BB207" t="str">
            <v>.</v>
          </cell>
        </row>
        <row r="208">
          <cell r="BB208" t="str">
            <v>.</v>
          </cell>
        </row>
        <row r="209">
          <cell r="BB209" t="str">
            <v>.</v>
          </cell>
        </row>
        <row r="210">
          <cell r="BB210" t="str">
            <v>.</v>
          </cell>
        </row>
        <row r="211">
          <cell r="BB211" t="str">
            <v>.</v>
          </cell>
        </row>
        <row r="212">
          <cell r="BB212" t="str">
            <v>.</v>
          </cell>
        </row>
        <row r="213">
          <cell r="BB213" t="str">
            <v>.</v>
          </cell>
        </row>
        <row r="214">
          <cell r="BB214" t="str">
            <v>.</v>
          </cell>
        </row>
        <row r="215">
          <cell r="BB215" t="str">
            <v>.</v>
          </cell>
        </row>
        <row r="216">
          <cell r="BB216" t="str">
            <v>.</v>
          </cell>
        </row>
        <row r="217">
          <cell r="BB217" t="str">
            <v>.</v>
          </cell>
        </row>
        <row r="218">
          <cell r="BB218" t="str">
            <v>.</v>
          </cell>
        </row>
        <row r="219">
          <cell r="BB219" t="str">
            <v>.</v>
          </cell>
        </row>
        <row r="220">
          <cell r="BB220" t="str">
            <v>.</v>
          </cell>
        </row>
        <row r="221">
          <cell r="BB221" t="str">
            <v>.</v>
          </cell>
        </row>
        <row r="222">
          <cell r="BB222" t="str">
            <v>.</v>
          </cell>
        </row>
        <row r="223">
          <cell r="BB223" t="str">
            <v>.</v>
          </cell>
        </row>
        <row r="224">
          <cell r="BB224" t="str">
            <v>.</v>
          </cell>
        </row>
        <row r="225">
          <cell r="BB225" t="str">
            <v>.</v>
          </cell>
        </row>
        <row r="226">
          <cell r="BB226" t="str">
            <v>.</v>
          </cell>
        </row>
        <row r="227">
          <cell r="BB227" t="str">
            <v>.</v>
          </cell>
        </row>
        <row r="228">
          <cell r="BB228" t="str">
            <v>.</v>
          </cell>
        </row>
        <row r="229">
          <cell r="BB229" t="str">
            <v>.</v>
          </cell>
        </row>
        <row r="230">
          <cell r="BB230" t="str">
            <v>.</v>
          </cell>
        </row>
        <row r="231">
          <cell r="BB231" t="str">
            <v>.</v>
          </cell>
        </row>
        <row r="232">
          <cell r="BB232" t="str">
            <v>.</v>
          </cell>
        </row>
        <row r="233">
          <cell r="BB233" t="str">
            <v>.</v>
          </cell>
        </row>
        <row r="234">
          <cell r="BB234" t="str">
            <v>.</v>
          </cell>
        </row>
        <row r="235">
          <cell r="BB235" t="str">
            <v>.</v>
          </cell>
        </row>
        <row r="236">
          <cell r="BB236" t="str">
            <v>.</v>
          </cell>
        </row>
        <row r="237">
          <cell r="BB237" t="str">
            <v>.</v>
          </cell>
        </row>
        <row r="238">
          <cell r="BB238" t="str">
            <v>.</v>
          </cell>
        </row>
        <row r="239">
          <cell r="BB239" t="str">
            <v>.</v>
          </cell>
        </row>
        <row r="240">
          <cell r="BB240" t="str">
            <v>.</v>
          </cell>
        </row>
        <row r="241">
          <cell r="BB241" t="str">
            <v>.</v>
          </cell>
        </row>
        <row r="242">
          <cell r="BB242" t="str">
            <v>.</v>
          </cell>
        </row>
        <row r="243">
          <cell r="BB243" t="str">
            <v>.</v>
          </cell>
        </row>
        <row r="244">
          <cell r="BB244" t="str">
            <v>.</v>
          </cell>
        </row>
        <row r="245">
          <cell r="BB245" t="str">
            <v>.</v>
          </cell>
        </row>
        <row r="246">
          <cell r="BB246" t="str">
            <v>.</v>
          </cell>
        </row>
        <row r="247">
          <cell r="BB247" t="str">
            <v>.</v>
          </cell>
        </row>
        <row r="248">
          <cell r="BB248" t="str">
            <v>.</v>
          </cell>
        </row>
        <row r="249">
          <cell r="BB249" t="str">
            <v>.</v>
          </cell>
        </row>
        <row r="250">
          <cell r="BB250" t="str">
            <v>.</v>
          </cell>
        </row>
        <row r="251">
          <cell r="BB251" t="str">
            <v>.</v>
          </cell>
        </row>
        <row r="252">
          <cell r="BB252" t="str">
            <v>.</v>
          </cell>
        </row>
        <row r="253">
          <cell r="BB253" t="str">
            <v>.</v>
          </cell>
        </row>
        <row r="254">
          <cell r="BB254" t="str">
            <v>.</v>
          </cell>
        </row>
        <row r="255">
          <cell r="BB255" t="str">
            <v>.</v>
          </cell>
        </row>
        <row r="256">
          <cell r="BB256" t="str">
            <v>.</v>
          </cell>
        </row>
        <row r="257">
          <cell r="BB257" t="str">
            <v>.</v>
          </cell>
        </row>
        <row r="258">
          <cell r="BB258" t="str">
            <v>.</v>
          </cell>
        </row>
        <row r="259">
          <cell r="BB259" t="str">
            <v>.</v>
          </cell>
        </row>
        <row r="260">
          <cell r="BB260" t="str">
            <v>.</v>
          </cell>
        </row>
        <row r="261">
          <cell r="BB261" t="str">
            <v>.</v>
          </cell>
        </row>
        <row r="262">
          <cell r="BB262" t="str">
            <v>.</v>
          </cell>
        </row>
        <row r="263">
          <cell r="BB263" t="str">
            <v>.</v>
          </cell>
        </row>
        <row r="264">
          <cell r="BB264" t="str">
            <v>.</v>
          </cell>
        </row>
        <row r="265">
          <cell r="BB265" t="str">
            <v>.</v>
          </cell>
        </row>
        <row r="266">
          <cell r="BB266" t="str">
            <v>.</v>
          </cell>
        </row>
        <row r="267">
          <cell r="BB267" t="str">
            <v>.</v>
          </cell>
        </row>
        <row r="268">
          <cell r="BB268" t="str">
            <v>.</v>
          </cell>
        </row>
        <row r="269">
          <cell r="BB269" t="str">
            <v>.</v>
          </cell>
        </row>
        <row r="270">
          <cell r="BB270" t="str">
            <v>.</v>
          </cell>
        </row>
        <row r="271">
          <cell r="BB271" t="str">
            <v>.</v>
          </cell>
        </row>
        <row r="272">
          <cell r="BB272" t="str">
            <v>.</v>
          </cell>
        </row>
        <row r="273">
          <cell r="BB273" t="str">
            <v>.</v>
          </cell>
        </row>
        <row r="274">
          <cell r="BB274" t="str">
            <v>.</v>
          </cell>
        </row>
        <row r="275">
          <cell r="BB275" t="str">
            <v>.</v>
          </cell>
        </row>
        <row r="276">
          <cell r="BB276" t="str">
            <v>.</v>
          </cell>
        </row>
        <row r="277">
          <cell r="BB277" t="str">
            <v>.</v>
          </cell>
        </row>
        <row r="278">
          <cell r="BB278" t="str">
            <v>.</v>
          </cell>
        </row>
        <row r="279">
          <cell r="BB279" t="str">
            <v>.</v>
          </cell>
        </row>
        <row r="280">
          <cell r="BB280" t="str">
            <v>.</v>
          </cell>
        </row>
        <row r="281">
          <cell r="BB281" t="str">
            <v>.</v>
          </cell>
        </row>
        <row r="282">
          <cell r="BB282" t="str">
            <v>.</v>
          </cell>
        </row>
        <row r="283">
          <cell r="BB283" t="str">
            <v>.</v>
          </cell>
        </row>
        <row r="284">
          <cell r="BB284" t="str">
            <v>.</v>
          </cell>
        </row>
        <row r="285">
          <cell r="BB285" t="str">
            <v>.</v>
          </cell>
        </row>
        <row r="286">
          <cell r="BB286" t="str">
            <v>.</v>
          </cell>
        </row>
        <row r="287">
          <cell r="BB287" t="str">
            <v>.</v>
          </cell>
        </row>
        <row r="288">
          <cell r="BB288" t="str">
            <v>.</v>
          </cell>
        </row>
        <row r="289">
          <cell r="BB289" t="str">
            <v>.</v>
          </cell>
        </row>
        <row r="290">
          <cell r="BB290" t="str">
            <v>.</v>
          </cell>
        </row>
        <row r="291">
          <cell r="BB291" t="str">
            <v>.</v>
          </cell>
        </row>
        <row r="292">
          <cell r="BB292" t="str">
            <v>.</v>
          </cell>
        </row>
        <row r="293">
          <cell r="BB293" t="str">
            <v>.</v>
          </cell>
        </row>
        <row r="294">
          <cell r="BB294" t="str">
            <v>.</v>
          </cell>
        </row>
        <row r="295">
          <cell r="BB295" t="str">
            <v>.</v>
          </cell>
        </row>
        <row r="296">
          <cell r="BB296" t="str">
            <v>.</v>
          </cell>
        </row>
        <row r="297">
          <cell r="BB297" t="str">
            <v>.</v>
          </cell>
        </row>
        <row r="298">
          <cell r="BB298" t="str">
            <v>.</v>
          </cell>
        </row>
        <row r="299">
          <cell r="BB299" t="str">
            <v>.</v>
          </cell>
        </row>
        <row r="300">
          <cell r="BB300" t="str">
            <v>.</v>
          </cell>
        </row>
        <row r="301">
          <cell r="BB301" t="str">
            <v>.</v>
          </cell>
        </row>
        <row r="302">
          <cell r="BB302" t="str">
            <v>.</v>
          </cell>
        </row>
        <row r="303">
          <cell r="BB303" t="str">
            <v>.</v>
          </cell>
        </row>
        <row r="304">
          <cell r="BB304" t="str">
            <v>.</v>
          </cell>
        </row>
        <row r="305">
          <cell r="BB305" t="str">
            <v>.</v>
          </cell>
        </row>
        <row r="306">
          <cell r="BB306" t="str">
            <v>.</v>
          </cell>
        </row>
        <row r="307">
          <cell r="BB307" t="str">
            <v>.</v>
          </cell>
        </row>
        <row r="308">
          <cell r="BB308" t="str">
            <v>.</v>
          </cell>
        </row>
        <row r="309">
          <cell r="BB309" t="str">
            <v>.</v>
          </cell>
        </row>
        <row r="310">
          <cell r="BB310" t="str">
            <v>.</v>
          </cell>
        </row>
        <row r="311">
          <cell r="BB311" t="str">
            <v>.</v>
          </cell>
        </row>
        <row r="312">
          <cell r="BB312" t="str">
            <v>.</v>
          </cell>
        </row>
        <row r="313">
          <cell r="BB313" t="str">
            <v>.</v>
          </cell>
        </row>
        <row r="314">
          <cell r="BB314" t="str">
            <v>.</v>
          </cell>
        </row>
        <row r="315">
          <cell r="BB315" t="str">
            <v>.</v>
          </cell>
        </row>
        <row r="316">
          <cell r="BB316" t="str">
            <v>.</v>
          </cell>
        </row>
        <row r="317">
          <cell r="BB317" t="str">
            <v>.</v>
          </cell>
        </row>
        <row r="318">
          <cell r="BB318" t="str">
            <v>.</v>
          </cell>
        </row>
        <row r="319">
          <cell r="BB319" t="str">
            <v>.</v>
          </cell>
        </row>
        <row r="320">
          <cell r="BB320" t="str">
            <v>.</v>
          </cell>
        </row>
        <row r="321">
          <cell r="BB321" t="str">
            <v>.</v>
          </cell>
        </row>
        <row r="322">
          <cell r="BB322" t="str">
            <v>.</v>
          </cell>
        </row>
        <row r="323">
          <cell r="BB323" t="str">
            <v>.</v>
          </cell>
        </row>
        <row r="324">
          <cell r="BB324" t="str">
            <v>.</v>
          </cell>
        </row>
        <row r="325">
          <cell r="BB325" t="str">
            <v>.</v>
          </cell>
        </row>
        <row r="326">
          <cell r="BB326" t="str">
            <v>.</v>
          </cell>
        </row>
        <row r="327">
          <cell r="BB327" t="str">
            <v>.</v>
          </cell>
        </row>
        <row r="328">
          <cell r="BB328" t="str">
            <v>.</v>
          </cell>
        </row>
        <row r="329">
          <cell r="BB329" t="str">
            <v>.</v>
          </cell>
        </row>
        <row r="330">
          <cell r="BB330" t="str">
            <v>.</v>
          </cell>
        </row>
        <row r="331">
          <cell r="BB331" t="str">
            <v>.</v>
          </cell>
        </row>
        <row r="332">
          <cell r="BB332" t="str">
            <v>.</v>
          </cell>
        </row>
        <row r="333">
          <cell r="BB333" t="str">
            <v>.</v>
          </cell>
        </row>
        <row r="334">
          <cell r="BB334" t="str">
            <v>.</v>
          </cell>
        </row>
        <row r="335">
          <cell r="BB335" t="str">
            <v>.</v>
          </cell>
        </row>
        <row r="336">
          <cell r="BB336" t="str">
            <v>.</v>
          </cell>
        </row>
        <row r="337">
          <cell r="BB337" t="str">
            <v>.</v>
          </cell>
        </row>
        <row r="338">
          <cell r="BB338" t="str">
            <v>.</v>
          </cell>
        </row>
        <row r="339">
          <cell r="BB339" t="str">
            <v>.</v>
          </cell>
        </row>
        <row r="340">
          <cell r="BB340" t="str">
            <v>.</v>
          </cell>
        </row>
        <row r="341">
          <cell r="BB341" t="str">
            <v>.</v>
          </cell>
        </row>
        <row r="342">
          <cell r="BB342" t="str">
            <v>.</v>
          </cell>
        </row>
        <row r="343">
          <cell r="BB343" t="str">
            <v>.</v>
          </cell>
        </row>
        <row r="344">
          <cell r="BB344" t="str">
            <v>.</v>
          </cell>
        </row>
        <row r="345">
          <cell r="BB345" t="str">
            <v>.</v>
          </cell>
        </row>
        <row r="346">
          <cell r="BB346" t="str">
            <v>.</v>
          </cell>
        </row>
        <row r="347">
          <cell r="BB347" t="str">
            <v>.</v>
          </cell>
        </row>
        <row r="348">
          <cell r="BB348" t="str">
            <v>.</v>
          </cell>
        </row>
        <row r="349">
          <cell r="BB349" t="str">
            <v>.</v>
          </cell>
        </row>
        <row r="350">
          <cell r="BB350" t="str">
            <v>.</v>
          </cell>
        </row>
        <row r="351">
          <cell r="BB351" t="str">
            <v>.</v>
          </cell>
        </row>
        <row r="352">
          <cell r="BB352" t="str">
            <v>.</v>
          </cell>
        </row>
        <row r="353">
          <cell r="BB353" t="str">
            <v>.</v>
          </cell>
        </row>
        <row r="354">
          <cell r="BB354" t="str">
            <v>.</v>
          </cell>
        </row>
        <row r="355">
          <cell r="BB355" t="str">
            <v>.</v>
          </cell>
        </row>
        <row r="356">
          <cell r="BB356" t="str">
            <v>.</v>
          </cell>
        </row>
        <row r="357">
          <cell r="BB357" t="str">
            <v>.</v>
          </cell>
        </row>
        <row r="358">
          <cell r="BB358" t="str">
            <v>.</v>
          </cell>
        </row>
        <row r="359">
          <cell r="BB359" t="str">
            <v>.</v>
          </cell>
        </row>
        <row r="360">
          <cell r="BB360" t="str">
            <v>.</v>
          </cell>
        </row>
        <row r="361">
          <cell r="BB361" t="str">
            <v>.</v>
          </cell>
        </row>
        <row r="362">
          <cell r="BB362" t="str">
            <v>.</v>
          </cell>
        </row>
        <row r="363">
          <cell r="BB363" t="str">
            <v>.</v>
          </cell>
        </row>
        <row r="364">
          <cell r="BB364" t="str">
            <v>.</v>
          </cell>
        </row>
        <row r="365">
          <cell r="BB365" t="str">
            <v>.</v>
          </cell>
        </row>
        <row r="366">
          <cell r="BB366" t="str">
            <v>.</v>
          </cell>
        </row>
        <row r="367">
          <cell r="BB367" t="str">
            <v>.</v>
          </cell>
        </row>
        <row r="368">
          <cell r="BB368" t="str">
            <v>.</v>
          </cell>
        </row>
        <row r="369">
          <cell r="BB369" t="str">
            <v>.</v>
          </cell>
        </row>
        <row r="370">
          <cell r="BB370" t="str">
            <v>.</v>
          </cell>
        </row>
        <row r="371">
          <cell r="BB371" t="str">
            <v>.</v>
          </cell>
        </row>
        <row r="372">
          <cell r="BB372" t="str">
            <v>.</v>
          </cell>
        </row>
        <row r="373">
          <cell r="BB373" t="str">
            <v>.</v>
          </cell>
        </row>
        <row r="374">
          <cell r="BB374" t="str">
            <v>.</v>
          </cell>
        </row>
        <row r="375">
          <cell r="BB375" t="str">
            <v>.</v>
          </cell>
        </row>
        <row r="376">
          <cell r="BB376" t="str">
            <v>.</v>
          </cell>
        </row>
        <row r="377">
          <cell r="BB377" t="str">
            <v>.</v>
          </cell>
        </row>
        <row r="378">
          <cell r="BB378" t="str">
            <v>.</v>
          </cell>
        </row>
        <row r="379">
          <cell r="BB379" t="str">
            <v>.</v>
          </cell>
        </row>
        <row r="380">
          <cell r="BB380" t="str">
            <v>.</v>
          </cell>
        </row>
        <row r="381">
          <cell r="BB381" t="str">
            <v>.</v>
          </cell>
        </row>
        <row r="382">
          <cell r="BB382" t="str">
            <v>.</v>
          </cell>
        </row>
        <row r="383">
          <cell r="BB383" t="str">
            <v>.</v>
          </cell>
        </row>
        <row r="384">
          <cell r="BB384" t="str">
            <v>.</v>
          </cell>
        </row>
        <row r="385">
          <cell r="BB385" t="str">
            <v>.</v>
          </cell>
        </row>
        <row r="386">
          <cell r="BB386" t="str">
            <v>.</v>
          </cell>
        </row>
        <row r="387">
          <cell r="BB387" t="str">
            <v>.</v>
          </cell>
        </row>
        <row r="388">
          <cell r="BB388" t="str">
            <v>.</v>
          </cell>
        </row>
        <row r="389">
          <cell r="BB389" t="str">
            <v>.</v>
          </cell>
        </row>
        <row r="390">
          <cell r="BB390" t="str">
            <v>.</v>
          </cell>
        </row>
        <row r="391">
          <cell r="BB391" t="str">
            <v>.</v>
          </cell>
        </row>
        <row r="392">
          <cell r="BB392" t="str">
            <v>.</v>
          </cell>
        </row>
        <row r="393">
          <cell r="BB393" t="str">
            <v>.</v>
          </cell>
        </row>
        <row r="394">
          <cell r="BB394" t="str">
            <v>.</v>
          </cell>
        </row>
        <row r="395">
          <cell r="BB395" t="str">
            <v>.</v>
          </cell>
        </row>
        <row r="396">
          <cell r="BB396" t="str">
            <v>.</v>
          </cell>
        </row>
        <row r="397">
          <cell r="BB397" t="str">
            <v>.</v>
          </cell>
        </row>
        <row r="398">
          <cell r="BB398" t="str">
            <v>.</v>
          </cell>
        </row>
        <row r="399">
          <cell r="BB399" t="str">
            <v>.</v>
          </cell>
        </row>
        <row r="400">
          <cell r="BB400" t="str">
            <v>.</v>
          </cell>
        </row>
        <row r="401">
          <cell r="BB401" t="str">
            <v>.</v>
          </cell>
        </row>
        <row r="402">
          <cell r="BB402" t="str">
            <v>.</v>
          </cell>
        </row>
        <row r="403">
          <cell r="BB403" t="str">
            <v>.</v>
          </cell>
        </row>
        <row r="404">
          <cell r="BB404" t="str">
            <v>.</v>
          </cell>
        </row>
        <row r="405">
          <cell r="BB405" t="str">
            <v>.</v>
          </cell>
        </row>
        <row r="406">
          <cell r="BB406" t="str">
            <v>.</v>
          </cell>
        </row>
        <row r="407">
          <cell r="BB407" t="str">
            <v>.</v>
          </cell>
        </row>
        <row r="408">
          <cell r="BB408" t="str">
            <v>.</v>
          </cell>
        </row>
        <row r="409">
          <cell r="BB409" t="str">
            <v>.</v>
          </cell>
        </row>
        <row r="410">
          <cell r="BB410" t="str">
            <v>.</v>
          </cell>
        </row>
        <row r="411">
          <cell r="BB411" t="str">
            <v>.</v>
          </cell>
        </row>
        <row r="412">
          <cell r="BB412" t="str">
            <v>.</v>
          </cell>
        </row>
        <row r="413">
          <cell r="BB413" t="str">
            <v>.</v>
          </cell>
        </row>
        <row r="414">
          <cell r="BB414" t="str">
            <v>.</v>
          </cell>
        </row>
        <row r="415">
          <cell r="BB415" t="str">
            <v>.</v>
          </cell>
        </row>
        <row r="416">
          <cell r="BB416" t="str">
            <v>.</v>
          </cell>
        </row>
        <row r="417">
          <cell r="BB417" t="str">
            <v>.</v>
          </cell>
        </row>
        <row r="418">
          <cell r="BB418" t="str">
            <v>.</v>
          </cell>
        </row>
        <row r="419">
          <cell r="BB419" t="str">
            <v>.</v>
          </cell>
        </row>
        <row r="420">
          <cell r="BB420" t="str">
            <v>.</v>
          </cell>
        </row>
        <row r="421">
          <cell r="BB421" t="str">
            <v>.</v>
          </cell>
        </row>
        <row r="422">
          <cell r="BB422" t="str">
            <v>.</v>
          </cell>
        </row>
        <row r="423">
          <cell r="BB423" t="str">
            <v>.</v>
          </cell>
        </row>
        <row r="424">
          <cell r="BB424" t="str">
            <v>.</v>
          </cell>
        </row>
        <row r="425">
          <cell r="BB425" t="str">
            <v>.</v>
          </cell>
        </row>
        <row r="426">
          <cell r="BB426" t="str">
            <v>.</v>
          </cell>
        </row>
        <row r="427">
          <cell r="BB427" t="str">
            <v>.</v>
          </cell>
        </row>
        <row r="428">
          <cell r="BB428" t="str">
            <v>.</v>
          </cell>
        </row>
        <row r="429">
          <cell r="BB429" t="str">
            <v>.</v>
          </cell>
        </row>
        <row r="430">
          <cell r="BB430" t="str">
            <v>.</v>
          </cell>
        </row>
        <row r="431">
          <cell r="BB431" t="str">
            <v>.</v>
          </cell>
        </row>
        <row r="432">
          <cell r="BB432" t="str">
            <v>.</v>
          </cell>
        </row>
        <row r="433">
          <cell r="BB433" t="str">
            <v>.</v>
          </cell>
        </row>
        <row r="434">
          <cell r="BB434" t="str">
            <v>.</v>
          </cell>
        </row>
        <row r="435">
          <cell r="BB435" t="str">
            <v>.</v>
          </cell>
        </row>
        <row r="436">
          <cell r="BB436" t="str">
            <v>.</v>
          </cell>
        </row>
        <row r="437">
          <cell r="BB437" t="str">
            <v>.</v>
          </cell>
        </row>
        <row r="438">
          <cell r="BB438" t="str">
            <v>.</v>
          </cell>
        </row>
        <row r="439">
          <cell r="BB439" t="str">
            <v>.</v>
          </cell>
        </row>
        <row r="440">
          <cell r="BB440" t="str">
            <v>.</v>
          </cell>
        </row>
        <row r="441">
          <cell r="BB441" t="str">
            <v>.</v>
          </cell>
        </row>
        <row r="442">
          <cell r="BB442" t="str">
            <v>.</v>
          </cell>
        </row>
        <row r="443">
          <cell r="BB443" t="str">
            <v>.</v>
          </cell>
        </row>
        <row r="444">
          <cell r="BB444" t="str">
            <v>.</v>
          </cell>
        </row>
        <row r="445">
          <cell r="BB445" t="str">
            <v>.</v>
          </cell>
        </row>
        <row r="446">
          <cell r="BB446" t="str">
            <v>.</v>
          </cell>
        </row>
        <row r="447">
          <cell r="BB447" t="str">
            <v>.</v>
          </cell>
        </row>
        <row r="448">
          <cell r="BB448" t="str">
            <v>.</v>
          </cell>
        </row>
        <row r="449">
          <cell r="BB449" t="str">
            <v>.</v>
          </cell>
        </row>
        <row r="450">
          <cell r="BB450" t="str">
            <v>.</v>
          </cell>
        </row>
        <row r="451">
          <cell r="BB451" t="str">
            <v>.</v>
          </cell>
        </row>
        <row r="452">
          <cell r="BB452" t="str">
            <v>.</v>
          </cell>
        </row>
        <row r="453">
          <cell r="BB453" t="str">
            <v>.</v>
          </cell>
        </row>
        <row r="454">
          <cell r="BB454" t="str">
            <v>.</v>
          </cell>
        </row>
        <row r="455">
          <cell r="BB455" t="str">
            <v>.</v>
          </cell>
        </row>
        <row r="456">
          <cell r="BB456" t="str">
            <v>.</v>
          </cell>
        </row>
        <row r="457">
          <cell r="BB457" t="str">
            <v>.</v>
          </cell>
        </row>
        <row r="458">
          <cell r="BB458" t="str">
            <v>.</v>
          </cell>
        </row>
        <row r="459">
          <cell r="BB459" t="str">
            <v>.</v>
          </cell>
        </row>
        <row r="460">
          <cell r="BB460" t="str">
            <v>.</v>
          </cell>
        </row>
        <row r="461">
          <cell r="BB461" t="str">
            <v>.</v>
          </cell>
        </row>
        <row r="462">
          <cell r="BB462" t="str">
            <v>.</v>
          </cell>
        </row>
        <row r="463">
          <cell r="BB463" t="str">
            <v>.</v>
          </cell>
        </row>
        <row r="464">
          <cell r="BB464" t="str">
            <v>.</v>
          </cell>
        </row>
        <row r="465">
          <cell r="BB465" t="str">
            <v>.</v>
          </cell>
        </row>
        <row r="466">
          <cell r="BB466" t="str">
            <v>.</v>
          </cell>
        </row>
        <row r="467">
          <cell r="BB467" t="str">
            <v>.</v>
          </cell>
        </row>
        <row r="468">
          <cell r="BB468" t="str">
            <v>.</v>
          </cell>
        </row>
        <row r="469">
          <cell r="BB469" t="str">
            <v>.</v>
          </cell>
        </row>
        <row r="470">
          <cell r="BB470" t="str">
            <v>.</v>
          </cell>
        </row>
        <row r="471">
          <cell r="BB471" t="str">
            <v>.</v>
          </cell>
        </row>
        <row r="472">
          <cell r="BB472" t="str">
            <v>.</v>
          </cell>
        </row>
        <row r="473">
          <cell r="BB473" t="str">
            <v>.</v>
          </cell>
        </row>
        <row r="474">
          <cell r="BB474" t="str">
            <v>.</v>
          </cell>
        </row>
        <row r="475">
          <cell r="BB475" t="str">
            <v>.</v>
          </cell>
        </row>
        <row r="476">
          <cell r="BB476" t="str">
            <v>.</v>
          </cell>
        </row>
        <row r="477">
          <cell r="BB477" t="str">
            <v>.</v>
          </cell>
        </row>
        <row r="478">
          <cell r="BB478" t="str">
            <v>.</v>
          </cell>
        </row>
        <row r="479">
          <cell r="BB479" t="str">
            <v>.</v>
          </cell>
        </row>
        <row r="480">
          <cell r="BB480" t="str">
            <v>.</v>
          </cell>
        </row>
        <row r="481">
          <cell r="BB481" t="str">
            <v>.</v>
          </cell>
        </row>
        <row r="482">
          <cell r="BB482" t="str">
            <v>.</v>
          </cell>
        </row>
        <row r="483">
          <cell r="BB483" t="str">
            <v>.</v>
          </cell>
        </row>
        <row r="484">
          <cell r="BB484" t="str">
            <v>.</v>
          </cell>
        </row>
        <row r="485">
          <cell r="BB485" t="str">
            <v>.</v>
          </cell>
        </row>
        <row r="486">
          <cell r="BB486" t="str">
            <v>.</v>
          </cell>
        </row>
        <row r="487">
          <cell r="BB487" t="str">
            <v>.</v>
          </cell>
        </row>
        <row r="488">
          <cell r="BB488" t="str">
            <v>.</v>
          </cell>
        </row>
        <row r="489">
          <cell r="BB489" t="str">
            <v>.</v>
          </cell>
        </row>
        <row r="490">
          <cell r="BB490" t="str">
            <v>.</v>
          </cell>
        </row>
        <row r="491">
          <cell r="BB491" t="str">
            <v>.</v>
          </cell>
        </row>
        <row r="492">
          <cell r="BB492" t="str">
            <v>.</v>
          </cell>
        </row>
        <row r="493">
          <cell r="BB493" t="str">
            <v>.</v>
          </cell>
        </row>
        <row r="494">
          <cell r="BB494" t="str">
            <v>.</v>
          </cell>
        </row>
        <row r="495">
          <cell r="BB495" t="str">
            <v>.</v>
          </cell>
        </row>
        <row r="496">
          <cell r="BB496" t="str">
            <v>.</v>
          </cell>
        </row>
        <row r="497">
          <cell r="BB497" t="str">
            <v>.</v>
          </cell>
        </row>
        <row r="498">
          <cell r="BB498" t="str">
            <v>.</v>
          </cell>
        </row>
        <row r="499">
          <cell r="BB499" t="str">
            <v>.</v>
          </cell>
        </row>
        <row r="500">
          <cell r="BB500" t="str">
            <v>.</v>
          </cell>
        </row>
        <row r="501">
          <cell r="BB501" t="str">
            <v>.</v>
          </cell>
        </row>
        <row r="502">
          <cell r="BB502" t="str">
            <v>.</v>
          </cell>
        </row>
        <row r="503">
          <cell r="BB503" t="str">
            <v>.</v>
          </cell>
        </row>
        <row r="504">
          <cell r="BB504" t="str">
            <v>.</v>
          </cell>
        </row>
        <row r="505">
          <cell r="BB505" t="str">
            <v>.</v>
          </cell>
        </row>
        <row r="506">
          <cell r="BB506" t="str">
            <v>.</v>
          </cell>
        </row>
        <row r="507">
          <cell r="BB507" t="str">
            <v>.</v>
          </cell>
        </row>
        <row r="508">
          <cell r="BB508" t="str">
            <v>.</v>
          </cell>
        </row>
        <row r="509">
          <cell r="BB509" t="str">
            <v>.</v>
          </cell>
        </row>
        <row r="510">
          <cell r="BB510" t="str">
            <v>.</v>
          </cell>
        </row>
        <row r="511">
          <cell r="BB511" t="str">
            <v>.</v>
          </cell>
        </row>
        <row r="512">
          <cell r="BB512" t="str">
            <v>.</v>
          </cell>
        </row>
        <row r="513">
          <cell r="BB513" t="str">
            <v>.</v>
          </cell>
        </row>
        <row r="514">
          <cell r="BB514" t="str">
            <v>.</v>
          </cell>
        </row>
        <row r="515">
          <cell r="BB515" t="str">
            <v>.</v>
          </cell>
        </row>
        <row r="516">
          <cell r="BB516" t="str">
            <v>.</v>
          </cell>
        </row>
        <row r="517">
          <cell r="BB517" t="str">
            <v>.</v>
          </cell>
        </row>
        <row r="518">
          <cell r="BB518" t="str">
            <v>.</v>
          </cell>
        </row>
        <row r="519">
          <cell r="BB519" t="str">
            <v>.</v>
          </cell>
        </row>
        <row r="520">
          <cell r="BB520" t="str">
            <v>.</v>
          </cell>
        </row>
        <row r="521">
          <cell r="BB521" t="str">
            <v>.</v>
          </cell>
        </row>
        <row r="522">
          <cell r="BB522" t="str">
            <v>.</v>
          </cell>
        </row>
        <row r="523">
          <cell r="BB523" t="str">
            <v>.</v>
          </cell>
        </row>
        <row r="524">
          <cell r="BB524" t="str">
            <v>.</v>
          </cell>
        </row>
        <row r="525">
          <cell r="BB525" t="str">
            <v>.</v>
          </cell>
        </row>
        <row r="526">
          <cell r="BB526" t="str">
            <v>.</v>
          </cell>
        </row>
        <row r="527">
          <cell r="BB527" t="str">
            <v>.</v>
          </cell>
        </row>
        <row r="528">
          <cell r="BB528" t="str">
            <v>.</v>
          </cell>
        </row>
        <row r="529">
          <cell r="BB529" t="str">
            <v>.</v>
          </cell>
        </row>
        <row r="530">
          <cell r="BB530" t="str">
            <v>.</v>
          </cell>
        </row>
        <row r="531">
          <cell r="BB531" t="str">
            <v>.</v>
          </cell>
        </row>
        <row r="532">
          <cell r="BB532" t="str">
            <v>.</v>
          </cell>
        </row>
        <row r="533">
          <cell r="BB533" t="str">
            <v>.</v>
          </cell>
        </row>
        <row r="534">
          <cell r="BB534" t="str">
            <v>.</v>
          </cell>
        </row>
        <row r="535">
          <cell r="BB535" t="str">
            <v>.</v>
          </cell>
        </row>
        <row r="536">
          <cell r="BB536" t="str">
            <v>.</v>
          </cell>
        </row>
        <row r="537">
          <cell r="BB537" t="str">
            <v>.</v>
          </cell>
        </row>
        <row r="538">
          <cell r="BB538" t="str">
            <v>.</v>
          </cell>
        </row>
        <row r="539">
          <cell r="BB539" t="str">
            <v>.</v>
          </cell>
        </row>
        <row r="540">
          <cell r="BB540" t="str">
            <v>.</v>
          </cell>
        </row>
        <row r="541">
          <cell r="BB541" t="str">
            <v>.</v>
          </cell>
        </row>
        <row r="542">
          <cell r="BB542" t="str">
            <v>.</v>
          </cell>
        </row>
        <row r="543">
          <cell r="BB543" t="str">
            <v>.</v>
          </cell>
        </row>
        <row r="544">
          <cell r="BB544" t="str">
            <v>.</v>
          </cell>
        </row>
        <row r="545">
          <cell r="BB545" t="str">
            <v>.</v>
          </cell>
        </row>
        <row r="546">
          <cell r="BB546" t="str">
            <v>.</v>
          </cell>
        </row>
        <row r="547">
          <cell r="BB547" t="str">
            <v>.</v>
          </cell>
        </row>
        <row r="548">
          <cell r="BB548" t="str">
            <v>.</v>
          </cell>
        </row>
        <row r="549">
          <cell r="BB549" t="str">
            <v>.</v>
          </cell>
        </row>
        <row r="550">
          <cell r="BB550" t="str">
            <v>.</v>
          </cell>
        </row>
        <row r="551">
          <cell r="BB551" t="str">
            <v>.</v>
          </cell>
        </row>
        <row r="552">
          <cell r="BB552" t="str">
            <v>.</v>
          </cell>
        </row>
        <row r="553">
          <cell r="BB553" t="str">
            <v>.</v>
          </cell>
        </row>
        <row r="554">
          <cell r="BB554" t="str">
            <v>.</v>
          </cell>
        </row>
        <row r="555">
          <cell r="BB555" t="str">
            <v>.</v>
          </cell>
        </row>
        <row r="556">
          <cell r="BB556" t="str">
            <v>.</v>
          </cell>
        </row>
        <row r="557">
          <cell r="BB557" t="str">
            <v>.</v>
          </cell>
        </row>
        <row r="558">
          <cell r="BB558" t="str">
            <v>.</v>
          </cell>
        </row>
        <row r="559">
          <cell r="BB559" t="str">
            <v>.</v>
          </cell>
        </row>
        <row r="560">
          <cell r="BB560" t="str">
            <v>.</v>
          </cell>
        </row>
        <row r="561">
          <cell r="BB561" t="str">
            <v>.</v>
          </cell>
        </row>
        <row r="562">
          <cell r="BB562" t="str">
            <v>.</v>
          </cell>
        </row>
        <row r="563">
          <cell r="BB563" t="str">
            <v>.</v>
          </cell>
        </row>
        <row r="564">
          <cell r="BB564" t="str">
            <v>.</v>
          </cell>
        </row>
        <row r="565">
          <cell r="BB565" t="str">
            <v>.</v>
          </cell>
        </row>
        <row r="566">
          <cell r="BB566" t="str">
            <v>.</v>
          </cell>
        </row>
        <row r="567">
          <cell r="BB567" t="str">
            <v>.</v>
          </cell>
        </row>
        <row r="568">
          <cell r="BB568" t="str">
            <v>.</v>
          </cell>
        </row>
        <row r="569">
          <cell r="BB569" t="str">
            <v>.</v>
          </cell>
        </row>
        <row r="570">
          <cell r="BB570" t="str">
            <v>.</v>
          </cell>
        </row>
        <row r="571">
          <cell r="BB571" t="str">
            <v>.</v>
          </cell>
        </row>
        <row r="572">
          <cell r="BB572" t="str">
            <v>.</v>
          </cell>
        </row>
        <row r="573">
          <cell r="BB573" t="str">
            <v>.</v>
          </cell>
        </row>
        <row r="574">
          <cell r="BB574" t="str">
            <v>.</v>
          </cell>
        </row>
        <row r="575">
          <cell r="BB575" t="str">
            <v>.</v>
          </cell>
        </row>
        <row r="576">
          <cell r="BB576" t="str">
            <v>.</v>
          </cell>
        </row>
        <row r="577">
          <cell r="BB577" t="str">
            <v>.</v>
          </cell>
        </row>
        <row r="578">
          <cell r="BB578" t="str">
            <v>.</v>
          </cell>
        </row>
        <row r="579">
          <cell r="BB579" t="str">
            <v>.</v>
          </cell>
        </row>
        <row r="580">
          <cell r="BB580" t="str">
            <v>.</v>
          </cell>
        </row>
        <row r="581">
          <cell r="BB581" t="str">
            <v>.</v>
          </cell>
        </row>
        <row r="582">
          <cell r="BB582" t="str">
            <v>.</v>
          </cell>
        </row>
        <row r="583">
          <cell r="BB583" t="str">
            <v>.</v>
          </cell>
        </row>
        <row r="584">
          <cell r="BB584" t="str">
            <v>.</v>
          </cell>
        </row>
        <row r="585">
          <cell r="BB585" t="str">
            <v>.</v>
          </cell>
        </row>
        <row r="586">
          <cell r="BB586" t="str">
            <v>.</v>
          </cell>
        </row>
        <row r="587">
          <cell r="BB587" t="str">
            <v>.</v>
          </cell>
        </row>
        <row r="588">
          <cell r="BB588" t="str">
            <v>.</v>
          </cell>
        </row>
        <row r="589">
          <cell r="BB589" t="str">
            <v>.</v>
          </cell>
        </row>
        <row r="590">
          <cell r="BB590" t="str">
            <v>.</v>
          </cell>
        </row>
        <row r="591">
          <cell r="BB591" t="str">
            <v>.</v>
          </cell>
        </row>
        <row r="592">
          <cell r="BB592" t="str">
            <v>.</v>
          </cell>
        </row>
        <row r="593">
          <cell r="BB593" t="str">
            <v>.</v>
          </cell>
        </row>
        <row r="594">
          <cell r="BB594" t="str">
            <v>.</v>
          </cell>
        </row>
        <row r="595">
          <cell r="BB595" t="str">
            <v>.</v>
          </cell>
        </row>
        <row r="596">
          <cell r="BB596" t="str">
            <v>.</v>
          </cell>
        </row>
        <row r="597">
          <cell r="BB597" t="str">
            <v>.</v>
          </cell>
        </row>
        <row r="598">
          <cell r="BB598" t="str">
            <v>.</v>
          </cell>
        </row>
        <row r="599">
          <cell r="BB599" t="str">
            <v>.</v>
          </cell>
        </row>
        <row r="600">
          <cell r="BB600" t="str">
            <v>.</v>
          </cell>
        </row>
        <row r="601">
          <cell r="BB601" t="str">
            <v>.</v>
          </cell>
        </row>
        <row r="602">
          <cell r="BB602" t="str">
            <v>.</v>
          </cell>
        </row>
        <row r="603">
          <cell r="BB603" t="str">
            <v>.</v>
          </cell>
        </row>
        <row r="604">
          <cell r="BB604" t="str">
            <v>.</v>
          </cell>
        </row>
        <row r="605">
          <cell r="BB605" t="str">
            <v>.</v>
          </cell>
        </row>
        <row r="606">
          <cell r="BB606" t="str">
            <v>.</v>
          </cell>
        </row>
        <row r="607">
          <cell r="BB607" t="str">
            <v>.</v>
          </cell>
        </row>
        <row r="608">
          <cell r="BB608" t="str">
            <v>.</v>
          </cell>
        </row>
        <row r="609">
          <cell r="BB609" t="str">
            <v>.</v>
          </cell>
        </row>
        <row r="610">
          <cell r="BB610" t="str">
            <v>.</v>
          </cell>
        </row>
        <row r="611">
          <cell r="BB611" t="str">
            <v>.</v>
          </cell>
        </row>
        <row r="612">
          <cell r="BB612" t="str">
            <v>.</v>
          </cell>
        </row>
        <row r="613">
          <cell r="BB613" t="str">
            <v>.</v>
          </cell>
        </row>
        <row r="614">
          <cell r="BB614" t="str">
            <v>.</v>
          </cell>
        </row>
        <row r="615">
          <cell r="BB615" t="str">
            <v>.</v>
          </cell>
        </row>
        <row r="616">
          <cell r="BB616" t="str">
            <v>.</v>
          </cell>
        </row>
        <row r="617">
          <cell r="BB617" t="str">
            <v>.</v>
          </cell>
        </row>
        <row r="618">
          <cell r="BB618" t="str">
            <v>.</v>
          </cell>
        </row>
        <row r="619">
          <cell r="BB619" t="str">
            <v>.</v>
          </cell>
        </row>
        <row r="620">
          <cell r="BB620" t="str">
            <v>.</v>
          </cell>
        </row>
        <row r="621">
          <cell r="BB621" t="str">
            <v>.</v>
          </cell>
        </row>
        <row r="622">
          <cell r="BB622" t="str">
            <v>.</v>
          </cell>
        </row>
        <row r="623">
          <cell r="BB623" t="str">
            <v>.</v>
          </cell>
        </row>
        <row r="624">
          <cell r="BB624" t="str">
            <v>.</v>
          </cell>
        </row>
        <row r="625">
          <cell r="BB625" t="str">
            <v>.</v>
          </cell>
        </row>
        <row r="626">
          <cell r="BB626" t="str">
            <v>.</v>
          </cell>
        </row>
        <row r="627">
          <cell r="BB627" t="str">
            <v>.</v>
          </cell>
        </row>
        <row r="628">
          <cell r="BB628" t="str">
            <v>.</v>
          </cell>
        </row>
        <row r="629">
          <cell r="BB629" t="str">
            <v>.</v>
          </cell>
        </row>
        <row r="630">
          <cell r="BB630" t="str">
            <v>.</v>
          </cell>
        </row>
        <row r="631">
          <cell r="BB631" t="str">
            <v>.</v>
          </cell>
        </row>
        <row r="632">
          <cell r="BB632" t="str">
            <v>.</v>
          </cell>
        </row>
        <row r="633">
          <cell r="BB633" t="str">
            <v>.</v>
          </cell>
        </row>
        <row r="634">
          <cell r="BB634" t="str">
            <v>.</v>
          </cell>
        </row>
        <row r="635">
          <cell r="BB635" t="str">
            <v>.</v>
          </cell>
        </row>
        <row r="636">
          <cell r="BB636" t="str">
            <v>.</v>
          </cell>
        </row>
        <row r="637">
          <cell r="BB637" t="str">
            <v>.</v>
          </cell>
        </row>
        <row r="638">
          <cell r="BB638" t="str">
            <v>.</v>
          </cell>
        </row>
        <row r="639">
          <cell r="BB639" t="str">
            <v>.</v>
          </cell>
        </row>
        <row r="640">
          <cell r="BB640" t="str">
            <v>.</v>
          </cell>
        </row>
        <row r="641">
          <cell r="BB641" t="str">
            <v>.</v>
          </cell>
        </row>
        <row r="642">
          <cell r="BB642" t="str">
            <v>.</v>
          </cell>
        </row>
        <row r="643">
          <cell r="BB643" t="str">
            <v>.</v>
          </cell>
        </row>
        <row r="644">
          <cell r="BB644" t="str">
            <v>.</v>
          </cell>
        </row>
        <row r="645">
          <cell r="BB645" t="str">
            <v>.</v>
          </cell>
        </row>
        <row r="646">
          <cell r="BB646" t="str">
            <v>.</v>
          </cell>
        </row>
        <row r="647">
          <cell r="BB647" t="str">
            <v>.</v>
          </cell>
        </row>
        <row r="648">
          <cell r="BB648" t="str">
            <v>.</v>
          </cell>
        </row>
        <row r="649">
          <cell r="BB649" t="str">
            <v>.</v>
          </cell>
        </row>
        <row r="650">
          <cell r="BB650" t="str">
            <v>.</v>
          </cell>
        </row>
        <row r="651">
          <cell r="BB651" t="str">
            <v>.</v>
          </cell>
        </row>
        <row r="652">
          <cell r="BB652" t="str">
            <v>.</v>
          </cell>
        </row>
        <row r="653">
          <cell r="BB653" t="str">
            <v>.</v>
          </cell>
        </row>
        <row r="654">
          <cell r="BB654" t="str">
            <v>.</v>
          </cell>
        </row>
        <row r="655">
          <cell r="BB655" t="str">
            <v>.</v>
          </cell>
        </row>
        <row r="656">
          <cell r="BB656" t="str">
            <v>.</v>
          </cell>
        </row>
        <row r="657">
          <cell r="BB657" t="str">
            <v>.</v>
          </cell>
        </row>
        <row r="658">
          <cell r="BB658" t="str">
            <v>.</v>
          </cell>
        </row>
        <row r="659">
          <cell r="BB659" t="str">
            <v>.</v>
          </cell>
        </row>
        <row r="660">
          <cell r="BB660" t="str">
            <v>.</v>
          </cell>
        </row>
        <row r="661">
          <cell r="BB661" t="str">
            <v>.</v>
          </cell>
        </row>
        <row r="662">
          <cell r="BB662" t="str">
            <v>.</v>
          </cell>
        </row>
        <row r="663">
          <cell r="BB663" t="str">
            <v>.</v>
          </cell>
        </row>
        <row r="664">
          <cell r="BB664" t="str">
            <v>.</v>
          </cell>
        </row>
        <row r="665">
          <cell r="BB665" t="str">
            <v>.</v>
          </cell>
        </row>
        <row r="666">
          <cell r="BB666" t="str">
            <v>.</v>
          </cell>
        </row>
        <row r="667">
          <cell r="BB667" t="str">
            <v>.</v>
          </cell>
        </row>
        <row r="668">
          <cell r="BB668" t="str">
            <v>.</v>
          </cell>
        </row>
        <row r="669">
          <cell r="BB669" t="str">
            <v>.</v>
          </cell>
        </row>
        <row r="670">
          <cell r="BB670" t="str">
            <v>.</v>
          </cell>
        </row>
        <row r="671">
          <cell r="BB671" t="str">
            <v>.</v>
          </cell>
        </row>
        <row r="672">
          <cell r="BB672" t="str">
            <v>.</v>
          </cell>
        </row>
        <row r="673">
          <cell r="BB673" t="str">
            <v>.</v>
          </cell>
        </row>
        <row r="674">
          <cell r="BB674" t="str">
            <v>.</v>
          </cell>
        </row>
        <row r="675">
          <cell r="BB675" t="str">
            <v>.</v>
          </cell>
        </row>
        <row r="676">
          <cell r="BB676" t="str">
            <v>.</v>
          </cell>
        </row>
        <row r="677">
          <cell r="BB677" t="str">
            <v>.</v>
          </cell>
        </row>
        <row r="678">
          <cell r="BB678" t="str">
            <v>.</v>
          </cell>
        </row>
        <row r="679">
          <cell r="BB679" t="str">
            <v>.</v>
          </cell>
        </row>
        <row r="680">
          <cell r="BB680" t="str">
            <v>.</v>
          </cell>
        </row>
        <row r="681">
          <cell r="BB681" t="str">
            <v>.</v>
          </cell>
        </row>
        <row r="682">
          <cell r="BB682" t="str">
            <v>.</v>
          </cell>
        </row>
        <row r="683">
          <cell r="BB683" t="str">
            <v>.</v>
          </cell>
        </row>
        <row r="684">
          <cell r="BB684" t="str">
            <v>.</v>
          </cell>
        </row>
        <row r="685">
          <cell r="BB685" t="str">
            <v>.</v>
          </cell>
        </row>
        <row r="686">
          <cell r="BB686" t="str">
            <v>.</v>
          </cell>
        </row>
        <row r="687">
          <cell r="BB687" t="str">
            <v>.</v>
          </cell>
        </row>
        <row r="688">
          <cell r="BB688" t="str">
            <v>.</v>
          </cell>
        </row>
        <row r="689">
          <cell r="BB689" t="str">
            <v>.</v>
          </cell>
        </row>
        <row r="690">
          <cell r="BB690" t="str">
            <v>.</v>
          </cell>
        </row>
        <row r="691">
          <cell r="BB691" t="str">
            <v>.</v>
          </cell>
        </row>
        <row r="692">
          <cell r="BB692" t="str">
            <v>.</v>
          </cell>
        </row>
        <row r="693">
          <cell r="BB693" t="str">
            <v>.</v>
          </cell>
        </row>
        <row r="694">
          <cell r="BB694" t="str">
            <v>.</v>
          </cell>
        </row>
        <row r="695">
          <cell r="BB695" t="str">
            <v>.</v>
          </cell>
        </row>
        <row r="696">
          <cell r="BB696" t="str">
            <v>.</v>
          </cell>
        </row>
        <row r="697">
          <cell r="BB697" t="str">
            <v>.</v>
          </cell>
        </row>
        <row r="698">
          <cell r="BB698" t="str">
            <v>.</v>
          </cell>
        </row>
        <row r="699">
          <cell r="BB699" t="str">
            <v>.</v>
          </cell>
        </row>
        <row r="700">
          <cell r="BB700" t="str">
            <v>.</v>
          </cell>
        </row>
        <row r="701">
          <cell r="BB701" t="str">
            <v>.</v>
          </cell>
        </row>
        <row r="702">
          <cell r="BB702" t="str">
            <v>.</v>
          </cell>
        </row>
        <row r="703">
          <cell r="BB703" t="str">
            <v>.</v>
          </cell>
        </row>
        <row r="704">
          <cell r="BB704" t="str">
            <v>.</v>
          </cell>
        </row>
        <row r="705">
          <cell r="BB705" t="str">
            <v>.</v>
          </cell>
        </row>
        <row r="706">
          <cell r="BB706" t="str">
            <v>.</v>
          </cell>
        </row>
        <row r="707">
          <cell r="BB707" t="str">
            <v>.</v>
          </cell>
        </row>
        <row r="708">
          <cell r="BB708" t="str">
            <v>.</v>
          </cell>
        </row>
        <row r="709">
          <cell r="BB709" t="str">
            <v>.</v>
          </cell>
        </row>
        <row r="710">
          <cell r="BB710" t="str">
            <v>.</v>
          </cell>
        </row>
        <row r="711">
          <cell r="BB711" t="str">
            <v>.</v>
          </cell>
        </row>
        <row r="712">
          <cell r="BB712" t="str">
            <v>.</v>
          </cell>
        </row>
        <row r="713">
          <cell r="BB713" t="str">
            <v>.</v>
          </cell>
        </row>
        <row r="714">
          <cell r="BB714" t="str">
            <v>.</v>
          </cell>
        </row>
        <row r="715">
          <cell r="BB715" t="str">
            <v>.</v>
          </cell>
        </row>
        <row r="716">
          <cell r="BB716" t="str">
            <v>.</v>
          </cell>
        </row>
        <row r="717">
          <cell r="BB717" t="str">
            <v>.</v>
          </cell>
        </row>
        <row r="718">
          <cell r="BB718" t="str">
            <v>.</v>
          </cell>
        </row>
        <row r="719">
          <cell r="BB719" t="str">
            <v>.</v>
          </cell>
        </row>
        <row r="720">
          <cell r="BB720" t="str">
            <v>.</v>
          </cell>
        </row>
        <row r="721">
          <cell r="BB721" t="str">
            <v>.</v>
          </cell>
        </row>
        <row r="722">
          <cell r="BB722" t="str">
            <v>.</v>
          </cell>
        </row>
        <row r="723">
          <cell r="BB723" t="str">
            <v>.</v>
          </cell>
        </row>
        <row r="724">
          <cell r="BB724" t="str">
            <v>.</v>
          </cell>
        </row>
        <row r="725">
          <cell r="BB725" t="str">
            <v>.</v>
          </cell>
        </row>
        <row r="726">
          <cell r="BB726" t="str">
            <v>.</v>
          </cell>
        </row>
        <row r="727">
          <cell r="BB727" t="str">
            <v>.</v>
          </cell>
        </row>
        <row r="728">
          <cell r="BB728" t="str">
            <v>.</v>
          </cell>
        </row>
        <row r="729">
          <cell r="BB729" t="str">
            <v>.</v>
          </cell>
        </row>
        <row r="730">
          <cell r="BB730" t="str">
            <v>.</v>
          </cell>
        </row>
        <row r="731">
          <cell r="BB731" t="str">
            <v>.</v>
          </cell>
        </row>
        <row r="732">
          <cell r="BB732" t="str">
            <v>.</v>
          </cell>
        </row>
        <row r="733">
          <cell r="BB733" t="str">
            <v>.</v>
          </cell>
        </row>
        <row r="734">
          <cell r="BB734" t="str">
            <v>.</v>
          </cell>
        </row>
        <row r="735">
          <cell r="BB735" t="str">
            <v>.</v>
          </cell>
        </row>
        <row r="736">
          <cell r="BB736" t="str">
            <v>.</v>
          </cell>
        </row>
        <row r="737">
          <cell r="BB737" t="str">
            <v>.</v>
          </cell>
        </row>
        <row r="738">
          <cell r="BB738" t="str">
            <v>.</v>
          </cell>
        </row>
        <row r="739">
          <cell r="BB739" t="str">
            <v>.</v>
          </cell>
        </row>
        <row r="740">
          <cell r="BB740" t="str">
            <v>.</v>
          </cell>
        </row>
        <row r="741">
          <cell r="BB741" t="str">
            <v>.</v>
          </cell>
        </row>
        <row r="742">
          <cell r="BB742" t="str">
            <v>.</v>
          </cell>
        </row>
        <row r="743">
          <cell r="BB743" t="str">
            <v>.</v>
          </cell>
        </row>
        <row r="744">
          <cell r="BB744" t="str">
            <v>.</v>
          </cell>
        </row>
        <row r="745">
          <cell r="BB745" t="str">
            <v>.</v>
          </cell>
        </row>
        <row r="746">
          <cell r="BB746" t="str">
            <v>.</v>
          </cell>
        </row>
        <row r="747">
          <cell r="BB747" t="str">
            <v>.</v>
          </cell>
        </row>
        <row r="748">
          <cell r="BB748" t="str">
            <v>.</v>
          </cell>
        </row>
        <row r="749">
          <cell r="BB749" t="str">
            <v>.</v>
          </cell>
        </row>
        <row r="750">
          <cell r="BB750" t="str">
            <v>.</v>
          </cell>
        </row>
        <row r="751">
          <cell r="BB751" t="str">
            <v>.</v>
          </cell>
        </row>
        <row r="752">
          <cell r="BB752" t="str">
            <v>.</v>
          </cell>
        </row>
        <row r="753">
          <cell r="BB753" t="str">
            <v>.</v>
          </cell>
        </row>
        <row r="754">
          <cell r="BB754" t="str">
            <v>.</v>
          </cell>
        </row>
        <row r="755">
          <cell r="BB755" t="str">
            <v>.</v>
          </cell>
        </row>
        <row r="756">
          <cell r="BB756" t="str">
            <v>.</v>
          </cell>
        </row>
        <row r="757">
          <cell r="BB757" t="str">
            <v>.</v>
          </cell>
        </row>
        <row r="758">
          <cell r="BB758" t="str">
            <v>.</v>
          </cell>
        </row>
        <row r="759">
          <cell r="BB759" t="str">
            <v>.</v>
          </cell>
        </row>
        <row r="760">
          <cell r="BB760" t="str">
            <v>.</v>
          </cell>
        </row>
        <row r="761">
          <cell r="BB761" t="str">
            <v>.</v>
          </cell>
        </row>
        <row r="762">
          <cell r="BB762" t="str">
            <v>.</v>
          </cell>
        </row>
        <row r="763">
          <cell r="BB763" t="str">
            <v>.</v>
          </cell>
        </row>
        <row r="764">
          <cell r="BB764" t="str">
            <v>.</v>
          </cell>
        </row>
        <row r="765">
          <cell r="BB765" t="str">
            <v>.</v>
          </cell>
        </row>
        <row r="766">
          <cell r="BB766" t="str">
            <v>.</v>
          </cell>
        </row>
        <row r="767">
          <cell r="BB767" t="str">
            <v>.</v>
          </cell>
        </row>
        <row r="768">
          <cell r="BB768" t="str">
            <v>.</v>
          </cell>
        </row>
        <row r="769">
          <cell r="BB769" t="str">
            <v>.</v>
          </cell>
        </row>
        <row r="770">
          <cell r="BB770" t="str">
            <v>.</v>
          </cell>
        </row>
        <row r="771">
          <cell r="BB771" t="str">
            <v>.</v>
          </cell>
        </row>
        <row r="772">
          <cell r="BB772" t="str">
            <v>.</v>
          </cell>
        </row>
        <row r="773">
          <cell r="BB773" t="str">
            <v>.</v>
          </cell>
        </row>
        <row r="774">
          <cell r="BB774" t="str">
            <v>.</v>
          </cell>
        </row>
        <row r="775">
          <cell r="BB775" t="str">
            <v>.</v>
          </cell>
        </row>
        <row r="776">
          <cell r="BB776" t="str">
            <v>.</v>
          </cell>
        </row>
        <row r="777">
          <cell r="BB777" t="str">
            <v>.</v>
          </cell>
        </row>
        <row r="778">
          <cell r="BB778" t="str">
            <v>.</v>
          </cell>
        </row>
        <row r="779">
          <cell r="BB779" t="str">
            <v>.</v>
          </cell>
        </row>
        <row r="780">
          <cell r="BB780" t="str">
            <v>.</v>
          </cell>
        </row>
        <row r="781">
          <cell r="BB781" t="str">
            <v>.</v>
          </cell>
        </row>
        <row r="782">
          <cell r="BB782" t="str">
            <v>.</v>
          </cell>
        </row>
        <row r="783">
          <cell r="BB783" t="str">
            <v>.</v>
          </cell>
        </row>
        <row r="784">
          <cell r="BB784" t="str">
            <v>.</v>
          </cell>
        </row>
        <row r="785">
          <cell r="BB785" t="str">
            <v>.</v>
          </cell>
        </row>
        <row r="786">
          <cell r="BB786" t="str">
            <v>.</v>
          </cell>
        </row>
        <row r="787">
          <cell r="BB787" t="str">
            <v>.</v>
          </cell>
        </row>
        <row r="788">
          <cell r="BB788" t="str">
            <v>.</v>
          </cell>
        </row>
        <row r="789">
          <cell r="BB789" t="str">
            <v>.</v>
          </cell>
        </row>
        <row r="790">
          <cell r="BB790" t="str">
            <v>.</v>
          </cell>
        </row>
        <row r="791">
          <cell r="BB791" t="str">
            <v>.</v>
          </cell>
        </row>
        <row r="792">
          <cell r="BB792" t="str">
            <v>.</v>
          </cell>
        </row>
        <row r="793">
          <cell r="BB793" t="str">
            <v>.</v>
          </cell>
        </row>
        <row r="794">
          <cell r="BB794" t="str">
            <v>.</v>
          </cell>
        </row>
        <row r="795">
          <cell r="BB795" t="str">
            <v>.</v>
          </cell>
        </row>
        <row r="796">
          <cell r="BB796" t="str">
            <v>.</v>
          </cell>
        </row>
        <row r="797">
          <cell r="BB797" t="str">
            <v>.</v>
          </cell>
        </row>
        <row r="798">
          <cell r="BB798" t="str">
            <v>.</v>
          </cell>
        </row>
        <row r="799">
          <cell r="BB799" t="str">
            <v>.</v>
          </cell>
        </row>
        <row r="800">
          <cell r="BB800" t="str">
            <v>.</v>
          </cell>
        </row>
        <row r="801">
          <cell r="BB801" t="str">
            <v>.</v>
          </cell>
        </row>
        <row r="802">
          <cell r="BB802" t="str">
            <v>.</v>
          </cell>
        </row>
        <row r="803">
          <cell r="BB803" t="str">
            <v>.</v>
          </cell>
        </row>
        <row r="804">
          <cell r="BB804" t="str">
            <v>.</v>
          </cell>
        </row>
        <row r="805">
          <cell r="BB805" t="str">
            <v>.</v>
          </cell>
        </row>
        <row r="806">
          <cell r="BB806" t="str">
            <v>.</v>
          </cell>
        </row>
        <row r="807">
          <cell r="BB807" t="str">
            <v>.</v>
          </cell>
        </row>
        <row r="808">
          <cell r="BB808" t="str">
            <v>.</v>
          </cell>
        </row>
        <row r="809">
          <cell r="BB809" t="str">
            <v>.</v>
          </cell>
        </row>
        <row r="810">
          <cell r="BB810" t="str">
            <v>.</v>
          </cell>
        </row>
        <row r="811">
          <cell r="BB811" t="str">
            <v>.</v>
          </cell>
        </row>
        <row r="812">
          <cell r="BB812" t="str">
            <v>.</v>
          </cell>
        </row>
        <row r="813">
          <cell r="BB813" t="str">
            <v>.</v>
          </cell>
        </row>
        <row r="814">
          <cell r="BB814" t="str">
            <v>.</v>
          </cell>
        </row>
        <row r="815">
          <cell r="BB815" t="str">
            <v>.</v>
          </cell>
        </row>
        <row r="816">
          <cell r="BB816" t="str">
            <v>.</v>
          </cell>
        </row>
        <row r="817">
          <cell r="BB817" t="str">
            <v>.</v>
          </cell>
        </row>
        <row r="818">
          <cell r="BB818" t="str">
            <v>.</v>
          </cell>
        </row>
        <row r="819">
          <cell r="BB819" t="str">
            <v>.</v>
          </cell>
        </row>
        <row r="820">
          <cell r="BB820" t="str">
            <v>.</v>
          </cell>
        </row>
        <row r="821">
          <cell r="BB821" t="str">
            <v>.</v>
          </cell>
        </row>
        <row r="822">
          <cell r="BB822" t="str">
            <v>.</v>
          </cell>
        </row>
        <row r="823">
          <cell r="BB823" t="str">
            <v>.</v>
          </cell>
        </row>
        <row r="824">
          <cell r="BB824" t="str">
            <v>.</v>
          </cell>
        </row>
        <row r="825">
          <cell r="BB825" t="str">
            <v>.</v>
          </cell>
        </row>
        <row r="826">
          <cell r="BB826" t="str">
            <v>.</v>
          </cell>
        </row>
        <row r="827">
          <cell r="BB827" t="str">
            <v>.</v>
          </cell>
        </row>
        <row r="828">
          <cell r="BB828" t="str">
            <v>.</v>
          </cell>
        </row>
        <row r="829">
          <cell r="BB829" t="str">
            <v>.</v>
          </cell>
        </row>
        <row r="830">
          <cell r="BB830" t="str">
            <v>.</v>
          </cell>
        </row>
        <row r="831">
          <cell r="BB831" t="str">
            <v>.</v>
          </cell>
        </row>
        <row r="832">
          <cell r="BB832" t="str">
            <v>.</v>
          </cell>
        </row>
        <row r="833">
          <cell r="BB833" t="str">
            <v>.</v>
          </cell>
        </row>
        <row r="834">
          <cell r="BB834" t="str">
            <v>.</v>
          </cell>
        </row>
        <row r="835">
          <cell r="BB835" t="str">
            <v>.</v>
          </cell>
        </row>
        <row r="836">
          <cell r="BB836" t="str">
            <v>.</v>
          </cell>
        </row>
        <row r="837">
          <cell r="BB837" t="str">
            <v>.</v>
          </cell>
        </row>
        <row r="838">
          <cell r="BB838" t="str">
            <v>.</v>
          </cell>
        </row>
        <row r="839">
          <cell r="BB839" t="str">
            <v>.</v>
          </cell>
        </row>
        <row r="840">
          <cell r="BB840" t="str">
            <v>.</v>
          </cell>
        </row>
        <row r="841">
          <cell r="BB841" t="str">
            <v>.</v>
          </cell>
        </row>
        <row r="842">
          <cell r="BB842" t="str">
            <v>.</v>
          </cell>
        </row>
        <row r="843">
          <cell r="BB843" t="str">
            <v>.</v>
          </cell>
        </row>
        <row r="844">
          <cell r="BB844" t="str">
            <v>.</v>
          </cell>
        </row>
        <row r="845">
          <cell r="BB845" t="str">
            <v>.</v>
          </cell>
        </row>
        <row r="846">
          <cell r="BB846" t="str">
            <v>.</v>
          </cell>
        </row>
        <row r="847">
          <cell r="BB847" t="str">
            <v>.</v>
          </cell>
        </row>
        <row r="848">
          <cell r="BB848" t="str">
            <v>.</v>
          </cell>
        </row>
        <row r="849">
          <cell r="BB849" t="str">
            <v>.</v>
          </cell>
        </row>
        <row r="850">
          <cell r="BB850" t="str">
            <v>.</v>
          </cell>
        </row>
        <row r="851">
          <cell r="BB851" t="str">
            <v>.</v>
          </cell>
        </row>
        <row r="852">
          <cell r="BB852" t="str">
            <v>.</v>
          </cell>
        </row>
        <row r="853">
          <cell r="BB853" t="str">
            <v>.</v>
          </cell>
        </row>
        <row r="854">
          <cell r="BB854" t="str">
            <v>.</v>
          </cell>
        </row>
        <row r="855">
          <cell r="BB855" t="str">
            <v>.</v>
          </cell>
        </row>
        <row r="856">
          <cell r="BB856" t="str">
            <v>.</v>
          </cell>
        </row>
        <row r="857">
          <cell r="BB857" t="str">
            <v>.</v>
          </cell>
        </row>
        <row r="858">
          <cell r="BB858" t="str">
            <v>.</v>
          </cell>
        </row>
        <row r="859">
          <cell r="BB859" t="str">
            <v>.</v>
          </cell>
        </row>
        <row r="860">
          <cell r="BB860" t="str">
            <v>.</v>
          </cell>
        </row>
        <row r="861">
          <cell r="BB861" t="str">
            <v>.</v>
          </cell>
        </row>
        <row r="862">
          <cell r="BB862" t="str">
            <v>.</v>
          </cell>
        </row>
        <row r="863">
          <cell r="BB863" t="str">
            <v>.</v>
          </cell>
        </row>
        <row r="864">
          <cell r="BB864" t="str">
            <v>.</v>
          </cell>
        </row>
        <row r="865">
          <cell r="BB865" t="str">
            <v>.</v>
          </cell>
        </row>
        <row r="866">
          <cell r="BB866" t="str">
            <v>.</v>
          </cell>
        </row>
        <row r="867">
          <cell r="BB867" t="str">
            <v>.</v>
          </cell>
        </row>
        <row r="868">
          <cell r="BB868" t="str">
            <v>.</v>
          </cell>
        </row>
        <row r="869">
          <cell r="BB869" t="str">
            <v>.</v>
          </cell>
        </row>
        <row r="870">
          <cell r="BB870" t="str">
            <v>.</v>
          </cell>
        </row>
        <row r="871">
          <cell r="BB871" t="str">
            <v>.</v>
          </cell>
        </row>
        <row r="872">
          <cell r="BB872" t="str">
            <v>.</v>
          </cell>
        </row>
        <row r="873">
          <cell r="BB873" t="str">
            <v>.</v>
          </cell>
        </row>
        <row r="874">
          <cell r="BB874" t="str">
            <v>.</v>
          </cell>
        </row>
        <row r="875">
          <cell r="BB875" t="str">
            <v>.</v>
          </cell>
        </row>
        <row r="876">
          <cell r="BB876" t="str">
            <v>.</v>
          </cell>
        </row>
        <row r="877">
          <cell r="BB877" t="str">
            <v>.</v>
          </cell>
        </row>
        <row r="878">
          <cell r="BB878" t="str">
            <v>.</v>
          </cell>
        </row>
        <row r="879">
          <cell r="BB879" t="str">
            <v>.</v>
          </cell>
        </row>
        <row r="880">
          <cell r="BB880" t="str">
            <v>.</v>
          </cell>
        </row>
        <row r="881">
          <cell r="BB881" t="str">
            <v>.</v>
          </cell>
        </row>
        <row r="882">
          <cell r="BB882" t="str">
            <v>.</v>
          </cell>
        </row>
        <row r="883">
          <cell r="BB883" t="str">
            <v>.</v>
          </cell>
        </row>
        <row r="884">
          <cell r="BB884" t="str">
            <v>.</v>
          </cell>
        </row>
        <row r="885">
          <cell r="BB885" t="str">
            <v>.</v>
          </cell>
        </row>
        <row r="886">
          <cell r="BB886" t="str">
            <v>.</v>
          </cell>
        </row>
        <row r="887">
          <cell r="BB887" t="str">
            <v>.</v>
          </cell>
        </row>
        <row r="888">
          <cell r="BB888" t="str">
            <v>.</v>
          </cell>
        </row>
        <row r="889">
          <cell r="BB889" t="str">
            <v>.</v>
          </cell>
        </row>
        <row r="890">
          <cell r="BB890" t="str">
            <v>.</v>
          </cell>
        </row>
        <row r="891">
          <cell r="BB891" t="str">
            <v>.</v>
          </cell>
        </row>
        <row r="892">
          <cell r="BB892" t="str">
            <v>.</v>
          </cell>
        </row>
        <row r="893">
          <cell r="BB893" t="str">
            <v>.</v>
          </cell>
        </row>
        <row r="894">
          <cell r="BB894" t="str">
            <v>.</v>
          </cell>
        </row>
        <row r="895">
          <cell r="BB895" t="str">
            <v>.</v>
          </cell>
        </row>
        <row r="896">
          <cell r="BB896" t="str">
            <v>.</v>
          </cell>
        </row>
        <row r="897">
          <cell r="BB897" t="str">
            <v>.</v>
          </cell>
        </row>
        <row r="898">
          <cell r="BB898" t="str">
            <v>.</v>
          </cell>
        </row>
        <row r="899">
          <cell r="BB899" t="str">
            <v>.</v>
          </cell>
        </row>
        <row r="900">
          <cell r="BB900" t="str">
            <v>.</v>
          </cell>
        </row>
        <row r="901">
          <cell r="BB901" t="str">
            <v>.</v>
          </cell>
        </row>
        <row r="902">
          <cell r="BB902" t="str">
            <v>.</v>
          </cell>
        </row>
        <row r="903">
          <cell r="BB903" t="str">
            <v>.</v>
          </cell>
        </row>
        <row r="904">
          <cell r="BB904" t="str">
            <v>.</v>
          </cell>
        </row>
        <row r="905">
          <cell r="BB905" t="str">
            <v>.</v>
          </cell>
        </row>
        <row r="906">
          <cell r="BB906" t="str">
            <v>.</v>
          </cell>
        </row>
        <row r="907">
          <cell r="BB907" t="str">
            <v>.</v>
          </cell>
        </row>
        <row r="908">
          <cell r="BB908" t="str">
            <v>.</v>
          </cell>
        </row>
        <row r="909">
          <cell r="BB909" t="str">
            <v>.</v>
          </cell>
        </row>
        <row r="910">
          <cell r="BB910" t="str">
            <v>.</v>
          </cell>
        </row>
        <row r="911">
          <cell r="BB911" t="str">
            <v>.</v>
          </cell>
        </row>
        <row r="912">
          <cell r="BB912" t="str">
            <v>.</v>
          </cell>
        </row>
        <row r="913">
          <cell r="BB913" t="str">
            <v>.</v>
          </cell>
        </row>
        <row r="914">
          <cell r="BB914" t="str">
            <v>.</v>
          </cell>
        </row>
        <row r="915">
          <cell r="BB915" t="str">
            <v>.</v>
          </cell>
        </row>
        <row r="916">
          <cell r="BB916" t="str">
            <v>.</v>
          </cell>
        </row>
        <row r="917">
          <cell r="BB917" t="str">
            <v>.</v>
          </cell>
        </row>
        <row r="918">
          <cell r="BB918" t="str">
            <v>.</v>
          </cell>
        </row>
        <row r="919">
          <cell r="BB919" t="str">
            <v>.</v>
          </cell>
        </row>
        <row r="920">
          <cell r="BB920" t="str">
            <v>.</v>
          </cell>
        </row>
        <row r="921">
          <cell r="BB921" t="str">
            <v>.</v>
          </cell>
        </row>
        <row r="922">
          <cell r="BB922" t="str">
            <v>.</v>
          </cell>
        </row>
        <row r="923">
          <cell r="BB923" t="str">
            <v>.</v>
          </cell>
        </row>
        <row r="924">
          <cell r="BB924" t="str">
            <v>.</v>
          </cell>
        </row>
        <row r="925">
          <cell r="BB925" t="str">
            <v>.</v>
          </cell>
        </row>
        <row r="926">
          <cell r="BB926" t="str">
            <v>.</v>
          </cell>
        </row>
        <row r="927">
          <cell r="BB927" t="str">
            <v>.</v>
          </cell>
        </row>
        <row r="928">
          <cell r="BB928" t="str">
            <v>.</v>
          </cell>
        </row>
        <row r="929">
          <cell r="BB929" t="str">
            <v>.</v>
          </cell>
        </row>
        <row r="930">
          <cell r="BB930" t="str">
            <v>.</v>
          </cell>
        </row>
        <row r="931">
          <cell r="BB931" t="str">
            <v>.</v>
          </cell>
        </row>
        <row r="932">
          <cell r="BB932" t="str">
            <v>.</v>
          </cell>
        </row>
        <row r="933">
          <cell r="BB933" t="str">
            <v>.</v>
          </cell>
        </row>
        <row r="934">
          <cell r="BB934" t="str">
            <v>.</v>
          </cell>
        </row>
        <row r="935">
          <cell r="BB935" t="str">
            <v>.</v>
          </cell>
        </row>
        <row r="936">
          <cell r="BB936" t="str">
            <v>.</v>
          </cell>
        </row>
        <row r="937">
          <cell r="BB937" t="str">
            <v>.</v>
          </cell>
        </row>
        <row r="938">
          <cell r="BB938" t="str">
            <v>.</v>
          </cell>
        </row>
        <row r="939">
          <cell r="BB939" t="str">
            <v>.</v>
          </cell>
        </row>
        <row r="940">
          <cell r="BB940" t="str">
            <v>.</v>
          </cell>
        </row>
        <row r="941">
          <cell r="BB941" t="str">
            <v>.</v>
          </cell>
        </row>
        <row r="942">
          <cell r="BB942" t="str">
            <v>.</v>
          </cell>
        </row>
        <row r="943">
          <cell r="BB943" t="str">
            <v>.</v>
          </cell>
        </row>
        <row r="944">
          <cell r="BB944" t="str">
            <v>.</v>
          </cell>
        </row>
        <row r="945">
          <cell r="BB945" t="str">
            <v>.</v>
          </cell>
        </row>
        <row r="946">
          <cell r="BB946" t="str">
            <v>.</v>
          </cell>
        </row>
        <row r="947">
          <cell r="BB947" t="str">
            <v>.</v>
          </cell>
        </row>
        <row r="948">
          <cell r="BB948" t="str">
            <v>.</v>
          </cell>
        </row>
        <row r="949">
          <cell r="BB949" t="str">
            <v>.</v>
          </cell>
        </row>
        <row r="950">
          <cell r="BB950" t="str">
            <v>.</v>
          </cell>
        </row>
        <row r="951">
          <cell r="BB951" t="str">
            <v>.</v>
          </cell>
        </row>
        <row r="952">
          <cell r="BB952" t="str">
            <v>.</v>
          </cell>
        </row>
        <row r="953">
          <cell r="BB953" t="str">
            <v>.</v>
          </cell>
        </row>
        <row r="954">
          <cell r="BB954" t="str">
            <v>.</v>
          </cell>
        </row>
        <row r="955">
          <cell r="BB955" t="str">
            <v>.</v>
          </cell>
        </row>
        <row r="956">
          <cell r="BB956" t="str">
            <v>.</v>
          </cell>
        </row>
        <row r="957">
          <cell r="BB957" t="str">
            <v>.</v>
          </cell>
        </row>
        <row r="958">
          <cell r="BB958" t="str">
            <v>.</v>
          </cell>
        </row>
        <row r="959">
          <cell r="BB959" t="str">
            <v>.</v>
          </cell>
        </row>
        <row r="960">
          <cell r="BB960" t="str">
            <v>.</v>
          </cell>
        </row>
        <row r="961">
          <cell r="BB961" t="str">
            <v>.</v>
          </cell>
        </row>
        <row r="962">
          <cell r="BB962" t="str">
            <v>.</v>
          </cell>
        </row>
        <row r="963">
          <cell r="BB963" t="str">
            <v>.</v>
          </cell>
        </row>
        <row r="964">
          <cell r="BB964" t="str">
            <v>.</v>
          </cell>
        </row>
        <row r="965">
          <cell r="BB965" t="str">
            <v>.</v>
          </cell>
        </row>
        <row r="966">
          <cell r="BB966" t="str">
            <v>.</v>
          </cell>
        </row>
        <row r="967">
          <cell r="BB967" t="str">
            <v>.</v>
          </cell>
        </row>
        <row r="968">
          <cell r="BB968" t="str">
            <v>.</v>
          </cell>
        </row>
        <row r="969">
          <cell r="BB969" t="str">
            <v>.</v>
          </cell>
        </row>
        <row r="970">
          <cell r="BB970" t="str">
            <v>.</v>
          </cell>
        </row>
        <row r="971">
          <cell r="BB971" t="str">
            <v>.</v>
          </cell>
        </row>
        <row r="972">
          <cell r="BB972" t="str">
            <v>.</v>
          </cell>
        </row>
        <row r="973">
          <cell r="BB973" t="str">
            <v>.</v>
          </cell>
        </row>
        <row r="974">
          <cell r="BB974" t="str">
            <v>.</v>
          </cell>
        </row>
        <row r="975">
          <cell r="BB975" t="str">
            <v>.</v>
          </cell>
        </row>
        <row r="976">
          <cell r="BB976" t="str">
            <v>.</v>
          </cell>
        </row>
        <row r="977">
          <cell r="BB977" t="str">
            <v>.</v>
          </cell>
        </row>
        <row r="978">
          <cell r="BB978" t="str">
            <v>.</v>
          </cell>
        </row>
        <row r="979">
          <cell r="BB979" t="str">
            <v>.</v>
          </cell>
        </row>
        <row r="980">
          <cell r="BB980" t="str">
            <v>.</v>
          </cell>
        </row>
        <row r="981">
          <cell r="BB981" t="str">
            <v>.</v>
          </cell>
        </row>
        <row r="982">
          <cell r="BB982" t="str">
            <v>.</v>
          </cell>
        </row>
        <row r="983">
          <cell r="BB983" t="str">
            <v>.</v>
          </cell>
        </row>
        <row r="984">
          <cell r="BB984" t="str">
            <v>.</v>
          </cell>
        </row>
        <row r="985">
          <cell r="BB985" t="str">
            <v>.</v>
          </cell>
        </row>
        <row r="986">
          <cell r="BB986" t="str">
            <v>.</v>
          </cell>
        </row>
        <row r="987">
          <cell r="BB987" t="str">
            <v>.</v>
          </cell>
        </row>
        <row r="988">
          <cell r="BB988" t="str">
            <v>.</v>
          </cell>
        </row>
        <row r="989">
          <cell r="BB989" t="str">
            <v>.</v>
          </cell>
        </row>
        <row r="990">
          <cell r="BB990" t="str">
            <v>.</v>
          </cell>
        </row>
        <row r="991">
          <cell r="BB991" t="str">
            <v>.</v>
          </cell>
        </row>
        <row r="992">
          <cell r="BB992" t="str">
            <v>.</v>
          </cell>
        </row>
        <row r="993">
          <cell r="BB993" t="str">
            <v>.</v>
          </cell>
        </row>
        <row r="994">
          <cell r="BB994" t="str">
            <v>.</v>
          </cell>
        </row>
        <row r="995">
          <cell r="BB995" t="str">
            <v>.</v>
          </cell>
        </row>
        <row r="996">
          <cell r="BB996" t="str">
            <v>.</v>
          </cell>
        </row>
        <row r="997">
          <cell r="A997" t="str">
            <v>.</v>
          </cell>
          <cell r="B997" t="str">
            <v>.</v>
          </cell>
          <cell r="C997" t="str">
            <v>.</v>
          </cell>
          <cell r="D997" t="str">
            <v>.</v>
          </cell>
          <cell r="E997" t="str">
            <v>.</v>
          </cell>
          <cell r="F997" t="str">
            <v>.</v>
          </cell>
          <cell r="G997" t="str">
            <v>.</v>
          </cell>
          <cell r="I997" t="str">
            <v>.</v>
          </cell>
          <cell r="T997" t="str">
            <v>.</v>
          </cell>
          <cell r="U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cell r="BB997" t="str">
            <v>.</v>
          </cell>
        </row>
      </sheetData>
      <sheetData sheetId="6"/>
      <sheetData sheetId="7"/>
      <sheetData sheetId="8"/>
      <sheetData sheetId="9"/>
      <sheetData sheetId="10"/>
      <sheetData sheetId="11"/>
      <sheetData sheetId="12">
        <row r="2">
          <cell r="B2" t="str">
            <v>($M)</v>
          </cell>
          <cell r="C2" t="str">
            <v>2009E</v>
          </cell>
          <cell r="D2" t="str">
            <v>2010E</v>
          </cell>
          <cell r="E2" t="str">
            <v>2011E</v>
          </cell>
          <cell r="F2" t="str">
            <v>2012E</v>
          </cell>
          <cell r="G2" t="str">
            <v>2013E</v>
          </cell>
          <cell r="H2" t="str">
            <v>2014E</v>
          </cell>
          <cell r="I2" t="str">
            <v>2015E</v>
          </cell>
        </row>
        <row r="3">
          <cell r="B3" t="str">
            <v>Revenue</v>
          </cell>
          <cell r="C3">
            <v>46664.590000000004</v>
          </cell>
          <cell r="D3">
            <v>59490.450000000004</v>
          </cell>
          <cell r="E3">
            <v>57134.93</v>
          </cell>
          <cell r="F3">
            <v>58779.911381268947</v>
          </cell>
          <cell r="G3">
            <v>59239.936075638652</v>
          </cell>
          <cell r="H3">
            <v>59771.216511600302</v>
          </cell>
          <cell r="I3">
            <v>59987.717899738433</v>
          </cell>
        </row>
        <row r="4">
          <cell r="B4" t="str">
            <v>Op. Income</v>
          </cell>
          <cell r="C4">
            <v>7540</v>
          </cell>
          <cell r="D4">
            <v>10000</v>
          </cell>
          <cell r="E4">
            <v>9200</v>
          </cell>
          <cell r="F4">
            <v>23420.697731424829</v>
          </cell>
          <cell r="G4">
            <v>24062.427582023694</v>
          </cell>
          <cell r="H4">
            <v>24252.934339512249</v>
          </cell>
          <cell r="I4">
            <v>24182.870845785517</v>
          </cell>
        </row>
        <row r="5">
          <cell r="B5" t="str">
            <v>Op. Margin</v>
          </cell>
          <cell r="C5">
            <v>0.15271279077999245</v>
          </cell>
          <cell r="D5">
            <v>0.14871522964147593</v>
          </cell>
          <cell r="E5">
            <v>0.14030701020421829</v>
          </cell>
          <cell r="F5">
            <v>0.39844731271384948</v>
          </cell>
          <cell r="G5">
            <v>0.40618591403104048</v>
          </cell>
          <cell r="H5">
            <v>0.40576276935580319</v>
          </cell>
          <cell r="I5">
            <v>0.40313036888991177</v>
          </cell>
        </row>
        <row r="6">
          <cell r="B6" t="str">
            <v>EPS</v>
          </cell>
          <cell r="C6">
            <v>0</v>
          </cell>
          <cell r="D6">
            <v>0</v>
          </cell>
          <cell r="E6">
            <v>0</v>
          </cell>
          <cell r="F6">
            <v>2.1029587057701495</v>
          </cell>
          <cell r="G6">
            <v>2.2372166055191349</v>
          </cell>
          <cell r="H6">
            <v>2.3276533306404867</v>
          </cell>
          <cell r="I6">
            <v>2.3911545965022829</v>
          </cell>
        </row>
      </sheetData>
      <sheetData sheetId="13">
        <row r="1">
          <cell r="B1" t="str">
            <v>Historical Planned vs. Realized Cost Savings</v>
          </cell>
        </row>
        <row r="3">
          <cell r="B3" t="str">
            <v>($B)</v>
          </cell>
          <cell r="C3" t="str">
            <v>Warner-Lambert</v>
          </cell>
          <cell r="D3" t="str">
            <v>Pharmacia</v>
          </cell>
          <cell r="E3" t="str">
            <v>Adapting to Scale (AtS)</v>
          </cell>
          <cell r="F3" t="str">
            <v>2007/2008 Plan</v>
          </cell>
        </row>
        <row r="4">
          <cell r="B4" t="str">
            <v>Original Goal</v>
          </cell>
          <cell r="C4">
            <v>1.6</v>
          </cell>
          <cell r="D4">
            <v>3.8</v>
          </cell>
          <cell r="E4">
            <v>2</v>
          </cell>
          <cell r="F4" t="str">
            <v>1.5-2.0</v>
          </cell>
        </row>
        <row r="5">
          <cell r="B5" t="str">
            <v>Actual Savings</v>
          </cell>
          <cell r="C5">
            <v>1.8</v>
          </cell>
          <cell r="D5">
            <v>4.2</v>
          </cell>
          <cell r="E5">
            <v>2.6</v>
          </cell>
          <cell r="F5">
            <v>2.8</v>
          </cell>
        </row>
        <row r="6">
          <cell r="B6" t="str">
            <v>% Upside</v>
          </cell>
          <cell r="C6">
            <v>0.12499999999999997</v>
          </cell>
          <cell r="D6">
            <v>0.10526315789473695</v>
          </cell>
          <cell r="E6">
            <v>0.30000000000000004</v>
          </cell>
          <cell r="F6" t="str">
            <v>40%-87%</v>
          </cell>
        </row>
      </sheetData>
      <sheetData sheetId="14"/>
      <sheetData sheetId="15"/>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ood 2-32"/>
      <sheetName val="Good 12-00 (3)"/>
      <sheetName val="Good 12-43"/>
      <sheetName val="Good 12-07"/>
      <sheetName val="Good 12-00 (2)"/>
      <sheetName val="Good 12-00"/>
      <sheetName val="Good 11-50"/>
      <sheetName val="Good 11-40"/>
      <sheetName val="Good 11-36"/>
      <sheetName val="Good 11-18"/>
      <sheetName val="Good 10-48 pm (2)"/>
      <sheetName val="Samples"/>
      <sheetName val="Good 10-48 pm"/>
      <sheetName val="Good 11-04 pm"/>
      <sheetName val="Sheet3 (6)"/>
      <sheetName val="Sheet3 (5)"/>
      <sheetName val="Sheet3 (3)"/>
      <sheetName val="Sheet3 (2)"/>
      <sheetName val="Sheet1"/>
      <sheetName val="Sheet2"/>
      <sheetName val="Sheet3"/>
      <sheetName val="Sheet3 (4)"/>
      <sheetName val="Good 12-22_tbnt"/>
    </sheetNames>
    <sheetDataSet>
      <sheetData sheetId="0" refreshError="1"/>
      <sheetData sheetId="1" refreshError="1"/>
      <sheetData sheetId="2" refreshError="1"/>
      <sheetData sheetId="3" refreshError="1"/>
      <sheetData sheetId="4">
        <row r="3">
          <cell r="A3" t="str">
            <v>Base</v>
          </cell>
          <cell r="B3">
            <v>40</v>
          </cell>
        </row>
        <row r="4">
          <cell r="A4" t="str">
            <v>Price Target</v>
          </cell>
          <cell r="B4">
            <v>40</v>
          </cell>
          <cell r="S4" t="str">
            <v>Bear</v>
          </cell>
          <cell r="U4" t="str">
            <v>Base</v>
          </cell>
          <cell r="X4" t="str">
            <v>Bull</v>
          </cell>
        </row>
        <row r="5">
          <cell r="R5">
            <v>-30</v>
          </cell>
          <cell r="S5">
            <v>-30</v>
          </cell>
          <cell r="U5">
            <v>40</v>
          </cell>
          <cell r="X5">
            <v>17</v>
          </cell>
          <cell r="Z5">
            <v>17</v>
          </cell>
        </row>
        <row r="6">
          <cell r="C6" t="str">
            <v>Bear</v>
          </cell>
          <cell r="S6" t="str">
            <v>-space2</v>
          </cell>
          <cell r="T6" t="str">
            <v>-bear</v>
          </cell>
          <cell r="U6" t="str">
            <v>-space1</v>
          </cell>
          <cell r="V6" t="str">
            <v>+space1</v>
          </cell>
          <cell r="W6" t="str">
            <v>+bull</v>
          </cell>
          <cell r="X6" t="str">
            <v>+space2</v>
          </cell>
        </row>
        <row r="7">
          <cell r="A7" t="str">
            <v>Binary driver one</v>
          </cell>
          <cell r="C7">
            <v>-5</v>
          </cell>
          <cell r="S7">
            <v>-23</v>
          </cell>
          <cell r="T7">
            <v>-7</v>
          </cell>
          <cell r="U7">
            <v>0</v>
          </cell>
          <cell r="V7">
            <v>0</v>
          </cell>
          <cell r="W7">
            <v>3</v>
          </cell>
          <cell r="X7">
            <v>14</v>
          </cell>
          <cell r="Y7">
            <v>17</v>
          </cell>
        </row>
        <row r="8">
          <cell r="A8" t="str">
            <v>Binary driver two</v>
          </cell>
          <cell r="C8">
            <v>-5</v>
          </cell>
          <cell r="S8">
            <v>-18</v>
          </cell>
          <cell r="T8">
            <v>-5</v>
          </cell>
          <cell r="U8">
            <v>-7</v>
          </cell>
          <cell r="V8">
            <v>3</v>
          </cell>
          <cell r="W8">
            <v>2</v>
          </cell>
          <cell r="X8">
            <v>12</v>
          </cell>
          <cell r="Y8">
            <v>17</v>
          </cell>
        </row>
        <row r="9">
          <cell r="A9" t="str">
            <v>Binary driver three</v>
          </cell>
          <cell r="C9">
            <v>-6</v>
          </cell>
          <cell r="S9">
            <v>-12</v>
          </cell>
          <cell r="T9">
            <v>-6</v>
          </cell>
          <cell r="U9">
            <v>-12</v>
          </cell>
          <cell r="V9">
            <v>5</v>
          </cell>
          <cell r="W9">
            <v>3</v>
          </cell>
          <cell r="X9">
            <v>9</v>
          </cell>
          <cell r="Y9">
            <v>17</v>
          </cell>
        </row>
        <row r="10">
          <cell r="A10" t="str">
            <v>Bull only driver one</v>
          </cell>
          <cell r="C10">
            <v>0</v>
          </cell>
          <cell r="S10">
            <v>-12</v>
          </cell>
          <cell r="U10">
            <v>-18</v>
          </cell>
          <cell r="V10">
            <v>8</v>
          </cell>
          <cell r="W10">
            <v>4</v>
          </cell>
          <cell r="X10">
            <v>5</v>
          </cell>
          <cell r="Y10">
            <v>17</v>
          </cell>
        </row>
        <row r="11">
          <cell r="A11" t="str">
            <v>Bull only driver two</v>
          </cell>
          <cell r="C11">
            <v>0</v>
          </cell>
          <cell r="S11">
            <v>-12</v>
          </cell>
          <cell r="U11">
            <v>-18</v>
          </cell>
          <cell r="V11">
            <v>12</v>
          </cell>
          <cell r="W11">
            <v>5</v>
          </cell>
          <cell r="X11">
            <v>0</v>
          </cell>
          <cell r="Y11">
            <v>17</v>
          </cell>
        </row>
        <row r="12">
          <cell r="A12" t="str">
            <v>Bear only driver one</v>
          </cell>
          <cell r="C12">
            <v>-4</v>
          </cell>
          <cell r="S12">
            <v>-8</v>
          </cell>
          <cell r="T12">
            <v>-4</v>
          </cell>
          <cell r="U12">
            <v>-18</v>
          </cell>
          <cell r="V12">
            <v>17</v>
          </cell>
          <cell r="X12">
            <v>0</v>
          </cell>
          <cell r="Y12">
            <v>17</v>
          </cell>
        </row>
        <row r="13">
          <cell r="A13" t="str">
            <v>Bear only driver two</v>
          </cell>
          <cell r="C13">
            <v>-3</v>
          </cell>
          <cell r="S13">
            <v>-5</v>
          </cell>
          <cell r="T13">
            <v>-3</v>
          </cell>
          <cell r="U13">
            <v>-22</v>
          </cell>
          <cell r="V13">
            <v>17</v>
          </cell>
          <cell r="X13">
            <v>0</v>
          </cell>
          <cell r="Y13">
            <v>17</v>
          </cell>
        </row>
        <row r="14">
          <cell r="A14" t="str">
            <v>Bear only driver three</v>
          </cell>
          <cell r="C14">
            <v>-5</v>
          </cell>
          <cell r="S14">
            <v>0</v>
          </cell>
          <cell r="T14">
            <v>-5</v>
          </cell>
          <cell r="U14">
            <v>-25</v>
          </cell>
          <cell r="V14">
            <v>17</v>
          </cell>
          <cell r="X14">
            <v>0</v>
          </cell>
          <cell r="Y14">
            <v>17</v>
          </cell>
        </row>
        <row r="15">
          <cell r="C15">
            <v>0</v>
          </cell>
        </row>
        <row r="16">
          <cell r="S16" t="str">
            <v>-space1</v>
          </cell>
          <cell r="T16" t="str">
            <v>-bear</v>
          </cell>
          <cell r="U16" t="str">
            <v>-space2</v>
          </cell>
          <cell r="V16" t="str">
            <v>+space1</v>
          </cell>
          <cell r="W16" t="str">
            <v>+bull</v>
          </cell>
          <cell r="X16" t="str">
            <v>+space2</v>
          </cell>
          <cell r="Y16" t="str">
            <v>Bear 
10.00</v>
          </cell>
          <cell r="Z16" t="str">
            <v>Base 
40.00</v>
          </cell>
          <cell r="AA16" t="str">
            <v>Bull
57.00</v>
          </cell>
          <cell r="AB16" t="str">
            <v/>
          </cell>
        </row>
        <row r="18">
          <cell r="R18" t="str">
            <v>Binary driver one</v>
          </cell>
          <cell r="S18">
            <v>0</v>
          </cell>
          <cell r="T18">
            <v>-5</v>
          </cell>
          <cell r="U18">
            <v>-23</v>
          </cell>
          <cell r="V18">
            <v>0</v>
          </cell>
          <cell r="W18">
            <v>3</v>
          </cell>
          <cell r="X18">
            <v>14</v>
          </cell>
          <cell r="Y18">
            <v>-30</v>
          </cell>
          <cell r="Z18">
            <v>0</v>
          </cell>
          <cell r="AA18">
            <v>17</v>
          </cell>
          <cell r="AB18" t="str">
            <v/>
          </cell>
        </row>
        <row r="19">
          <cell r="R19" t="str">
            <v>Binary driver two</v>
          </cell>
          <cell r="S19">
            <v>-7</v>
          </cell>
          <cell r="T19">
            <v>-5</v>
          </cell>
          <cell r="U19">
            <v>-18</v>
          </cell>
          <cell r="V19">
            <v>3</v>
          </cell>
          <cell r="W19">
            <v>2</v>
          </cell>
          <cell r="X19">
            <v>12</v>
          </cell>
          <cell r="Y19">
            <v>-30</v>
          </cell>
          <cell r="Z19">
            <v>0</v>
          </cell>
          <cell r="AA19">
            <v>17</v>
          </cell>
          <cell r="AB19" t="str">
            <v/>
          </cell>
        </row>
        <row r="20">
          <cell r="R20" t="str">
            <v>Binary driver three</v>
          </cell>
          <cell r="S20">
            <v>-12</v>
          </cell>
          <cell r="T20">
            <v>-6</v>
          </cell>
          <cell r="U20">
            <v>-12</v>
          </cell>
          <cell r="V20">
            <v>5</v>
          </cell>
          <cell r="W20">
            <v>3</v>
          </cell>
          <cell r="X20">
            <v>9</v>
          </cell>
          <cell r="Y20">
            <v>-30</v>
          </cell>
          <cell r="Z20">
            <v>0</v>
          </cell>
          <cell r="AA20">
            <v>17</v>
          </cell>
          <cell r="AB20" t="str">
            <v/>
          </cell>
        </row>
        <row r="21">
          <cell r="R21" t="str">
            <v>Bull only driver one</v>
          </cell>
          <cell r="S21">
            <v>-18</v>
          </cell>
          <cell r="T21">
            <v>0</v>
          </cell>
          <cell r="U21">
            <v>-12</v>
          </cell>
          <cell r="V21">
            <v>8</v>
          </cell>
          <cell r="W21">
            <v>4</v>
          </cell>
          <cell r="X21">
            <v>5</v>
          </cell>
          <cell r="Y21">
            <v>-30</v>
          </cell>
          <cell r="Z21">
            <v>0</v>
          </cell>
          <cell r="AA21">
            <v>17</v>
          </cell>
          <cell r="AB21" t="str">
            <v/>
          </cell>
        </row>
        <row r="22">
          <cell r="R22" t="str">
            <v>Bull only driver two</v>
          </cell>
          <cell r="S22">
            <v>-18</v>
          </cell>
          <cell r="T22">
            <v>0</v>
          </cell>
          <cell r="U22">
            <v>-12</v>
          </cell>
          <cell r="V22">
            <v>12</v>
          </cell>
          <cell r="W22">
            <v>5</v>
          </cell>
          <cell r="X22">
            <v>0</v>
          </cell>
          <cell r="Y22">
            <v>-30</v>
          </cell>
          <cell r="Z22">
            <v>0</v>
          </cell>
          <cell r="AA22">
            <v>17</v>
          </cell>
          <cell r="AB22" t="str">
            <v/>
          </cell>
        </row>
        <row r="23">
          <cell r="R23" t="str">
            <v>Bear only driver one</v>
          </cell>
          <cell r="S23">
            <v>-18</v>
          </cell>
          <cell r="T23">
            <v>-4</v>
          </cell>
          <cell r="U23">
            <v>-8</v>
          </cell>
          <cell r="V23">
            <v>17</v>
          </cell>
          <cell r="W23">
            <v>0</v>
          </cell>
          <cell r="X23">
            <v>0</v>
          </cell>
          <cell r="Y23">
            <v>-30</v>
          </cell>
          <cell r="Z23">
            <v>0</v>
          </cell>
          <cell r="AA23">
            <v>17</v>
          </cell>
          <cell r="AB23" t="str">
            <v/>
          </cell>
        </row>
        <row r="24">
          <cell r="R24" t="str">
            <v>Bear only driver two</v>
          </cell>
          <cell r="S24">
            <v>-22</v>
          </cell>
          <cell r="T24">
            <v>-3</v>
          </cell>
          <cell r="U24">
            <v>-5</v>
          </cell>
          <cell r="V24">
            <v>17</v>
          </cell>
          <cell r="W24">
            <v>0</v>
          </cell>
          <cell r="X24">
            <v>0</v>
          </cell>
          <cell r="Y24">
            <v>-30</v>
          </cell>
          <cell r="Z24">
            <v>0</v>
          </cell>
          <cell r="AA24">
            <v>17</v>
          </cell>
          <cell r="AB24" t="str">
            <v/>
          </cell>
        </row>
        <row r="25">
          <cell r="R25" t="str">
            <v>Bear only driver three</v>
          </cell>
          <cell r="S25">
            <v>-25</v>
          </cell>
          <cell r="T25">
            <v>-5</v>
          </cell>
          <cell r="U25">
            <v>0</v>
          </cell>
          <cell r="V25">
            <v>17</v>
          </cell>
          <cell r="W25">
            <v>0</v>
          </cell>
          <cell r="X25">
            <v>0</v>
          </cell>
          <cell r="Y25">
            <v>-30</v>
          </cell>
          <cell r="Z25">
            <v>0</v>
          </cell>
          <cell r="AA25">
            <v>17</v>
          </cell>
          <cell r="AB25" t="str">
            <v/>
          </cell>
        </row>
        <row r="26">
          <cell r="Y26">
            <v>-30</v>
          </cell>
          <cell r="Z26">
            <v>0</v>
          </cell>
          <cell r="AA26">
            <v>17</v>
          </cell>
          <cell r="AB26" t="str">
            <v/>
          </cell>
        </row>
        <row r="27">
          <cell r="Y27">
            <v>-30</v>
          </cell>
          <cell r="Z27">
            <v>0</v>
          </cell>
          <cell r="AA27">
            <v>17</v>
          </cell>
          <cell r="AB27" t="str">
            <v/>
          </cell>
        </row>
        <row r="29">
          <cell r="AA29" t="str">
            <v>Note: Price Target = Base Case unless otherwise indicated.</v>
          </cell>
        </row>
        <row r="31">
          <cell r="R31" t="str">
            <v>Bear</v>
          </cell>
          <cell r="S31">
            <v>10</v>
          </cell>
        </row>
        <row r="32">
          <cell r="S32">
            <v>20</v>
          </cell>
        </row>
        <row r="33">
          <cell r="R33" t="str">
            <v>Bull</v>
          </cell>
          <cell r="S33">
            <v>57</v>
          </cell>
        </row>
      </sheetData>
      <sheetData sheetId="5" refreshError="1"/>
      <sheetData sheetId="6">
        <row r="4">
          <cell r="C4" t="str">
            <v>Bear</v>
          </cell>
          <cell r="E4" t="str">
            <v>Base</v>
          </cell>
          <cell r="H4" t="str">
            <v>Bull</v>
          </cell>
        </row>
        <row r="5">
          <cell r="B5">
            <v>-30</v>
          </cell>
          <cell r="C5">
            <v>-30</v>
          </cell>
          <cell r="E5">
            <v>40</v>
          </cell>
          <cell r="H5">
            <v>17</v>
          </cell>
          <cell r="J5">
            <v>17</v>
          </cell>
        </row>
        <row r="6">
          <cell r="C6" t="str">
            <v>-space2</v>
          </cell>
          <cell r="D6" t="str">
            <v>-bear</v>
          </cell>
          <cell r="E6" t="str">
            <v>-space1</v>
          </cell>
          <cell r="F6" t="str">
            <v>+space1</v>
          </cell>
          <cell r="G6" t="str">
            <v>+bull</v>
          </cell>
          <cell r="H6" t="str">
            <v>+space2</v>
          </cell>
        </row>
        <row r="7">
          <cell r="B7" t="str">
            <v>Binary driver one</v>
          </cell>
          <cell r="C7">
            <v>-23</v>
          </cell>
          <cell r="D7">
            <v>-7</v>
          </cell>
          <cell r="E7">
            <v>0</v>
          </cell>
          <cell r="F7">
            <v>0</v>
          </cell>
          <cell r="G7">
            <v>3</v>
          </cell>
          <cell r="H7">
            <v>14</v>
          </cell>
          <cell r="I7">
            <v>17</v>
          </cell>
        </row>
        <row r="8">
          <cell r="B8" t="str">
            <v>Binary driver two</v>
          </cell>
          <cell r="C8">
            <v>-18</v>
          </cell>
          <cell r="D8">
            <v>-5</v>
          </cell>
          <cell r="E8">
            <v>-7</v>
          </cell>
          <cell r="F8">
            <v>3</v>
          </cell>
          <cell r="G8">
            <v>2</v>
          </cell>
          <cell r="H8">
            <v>12</v>
          </cell>
          <cell r="I8">
            <v>17</v>
          </cell>
        </row>
        <row r="9">
          <cell r="B9" t="str">
            <v>Binary driver three</v>
          </cell>
          <cell r="C9">
            <v>-12</v>
          </cell>
          <cell r="D9">
            <v>-6</v>
          </cell>
          <cell r="E9">
            <v>-12</v>
          </cell>
          <cell r="F9">
            <v>5</v>
          </cell>
          <cell r="G9">
            <v>3</v>
          </cell>
          <cell r="H9">
            <v>9</v>
          </cell>
          <cell r="I9">
            <v>17</v>
          </cell>
        </row>
        <row r="10">
          <cell r="B10" t="str">
            <v>Bull only driver one</v>
          </cell>
          <cell r="C10">
            <v>-12</v>
          </cell>
          <cell r="E10">
            <v>-18</v>
          </cell>
          <cell r="F10">
            <v>8</v>
          </cell>
          <cell r="G10">
            <v>4</v>
          </cell>
          <cell r="H10">
            <v>5</v>
          </cell>
          <cell r="I10">
            <v>17</v>
          </cell>
        </row>
        <row r="11">
          <cell r="B11" t="str">
            <v>Bull only driver two</v>
          </cell>
          <cell r="C11">
            <v>-12</v>
          </cell>
          <cell r="E11">
            <v>-18</v>
          </cell>
          <cell r="F11">
            <v>12</v>
          </cell>
          <cell r="G11">
            <v>5</v>
          </cell>
          <cell r="H11">
            <v>0</v>
          </cell>
          <cell r="I11">
            <v>17</v>
          </cell>
        </row>
        <row r="12">
          <cell r="B12" t="str">
            <v>Bear only driver one</v>
          </cell>
          <cell r="C12">
            <v>-8</v>
          </cell>
          <cell r="D12">
            <v>-4</v>
          </cell>
          <cell r="E12">
            <v>-18</v>
          </cell>
          <cell r="F12">
            <v>17</v>
          </cell>
          <cell r="H12">
            <v>0</v>
          </cell>
          <cell r="I12">
            <v>17</v>
          </cell>
        </row>
        <row r="13">
          <cell r="B13" t="str">
            <v>Bear only driver two</v>
          </cell>
          <cell r="C13">
            <v>-5</v>
          </cell>
          <cell r="D13">
            <v>-3</v>
          </cell>
          <cell r="E13">
            <v>-22</v>
          </cell>
          <cell r="F13">
            <v>17</v>
          </cell>
          <cell r="H13">
            <v>0</v>
          </cell>
          <cell r="I13">
            <v>17</v>
          </cell>
        </row>
        <row r="14">
          <cell r="B14" t="str">
            <v>Bear only driver three</v>
          </cell>
          <cell r="C14">
            <v>0</v>
          </cell>
          <cell r="D14">
            <v>-5</v>
          </cell>
          <cell r="E14">
            <v>-25</v>
          </cell>
          <cell r="F14">
            <v>17</v>
          </cell>
          <cell r="H14">
            <v>0</v>
          </cell>
          <cell r="I14">
            <v>17</v>
          </cell>
        </row>
        <row r="16">
          <cell r="C16" t="str">
            <v>-space1</v>
          </cell>
          <cell r="D16" t="str">
            <v>-bear</v>
          </cell>
          <cell r="E16" t="str">
            <v>-space2</v>
          </cell>
          <cell r="F16" t="str">
            <v>+space1</v>
          </cell>
          <cell r="G16" t="str">
            <v>+bull</v>
          </cell>
          <cell r="H16" t="str">
            <v>+space2</v>
          </cell>
          <cell r="I16" t="str">
            <v>Bear  10.00</v>
          </cell>
          <cell r="J16" t="str">
            <v>Base  40.00</v>
          </cell>
          <cell r="K16" t="str">
            <v>Bull: 57.00</v>
          </cell>
          <cell r="L16" t="str">
            <v/>
          </cell>
        </row>
        <row r="18">
          <cell r="B18" t="str">
            <v>Binary driver one</v>
          </cell>
          <cell r="C18">
            <v>0</v>
          </cell>
          <cell r="D18">
            <v>-7</v>
          </cell>
          <cell r="E18">
            <v>-23</v>
          </cell>
          <cell r="F18">
            <v>0</v>
          </cell>
          <cell r="G18">
            <v>3</v>
          </cell>
          <cell r="H18">
            <v>14</v>
          </cell>
          <cell r="I18">
            <v>-30</v>
          </cell>
          <cell r="J18">
            <v>0</v>
          </cell>
          <cell r="K18">
            <v>17</v>
          </cell>
          <cell r="L18" t="str">
            <v/>
          </cell>
        </row>
        <row r="19">
          <cell r="B19" t="str">
            <v>Binary driver two</v>
          </cell>
          <cell r="C19">
            <v>-7</v>
          </cell>
          <cell r="D19">
            <v>-5</v>
          </cell>
          <cell r="E19">
            <v>-18</v>
          </cell>
          <cell r="F19">
            <v>3</v>
          </cell>
          <cell r="G19">
            <v>2</v>
          </cell>
          <cell r="H19">
            <v>12</v>
          </cell>
          <cell r="I19">
            <v>-30</v>
          </cell>
          <cell r="J19">
            <v>0</v>
          </cell>
          <cell r="K19">
            <v>17</v>
          </cell>
          <cell r="L19" t="str">
            <v/>
          </cell>
        </row>
        <row r="20">
          <cell r="B20" t="str">
            <v>Binary driver three</v>
          </cell>
          <cell r="C20">
            <v>-12</v>
          </cell>
          <cell r="D20">
            <v>-6</v>
          </cell>
          <cell r="E20">
            <v>-12</v>
          </cell>
          <cell r="F20">
            <v>5</v>
          </cell>
          <cell r="G20">
            <v>3</v>
          </cell>
          <cell r="H20">
            <v>9</v>
          </cell>
          <cell r="I20">
            <v>-30</v>
          </cell>
          <cell r="J20">
            <v>0</v>
          </cell>
          <cell r="K20">
            <v>17</v>
          </cell>
          <cell r="L20" t="str">
            <v/>
          </cell>
        </row>
        <row r="21">
          <cell r="B21" t="str">
            <v>Bull only driver one</v>
          </cell>
          <cell r="C21">
            <v>-18</v>
          </cell>
          <cell r="D21">
            <v>0</v>
          </cell>
          <cell r="E21">
            <v>-12</v>
          </cell>
          <cell r="F21">
            <v>8</v>
          </cell>
          <cell r="G21">
            <v>4</v>
          </cell>
          <cell r="H21">
            <v>5</v>
          </cell>
          <cell r="I21">
            <v>-30</v>
          </cell>
          <cell r="J21">
            <v>0</v>
          </cell>
          <cell r="K21">
            <v>17</v>
          </cell>
          <cell r="L21" t="str">
            <v/>
          </cell>
        </row>
        <row r="22">
          <cell r="B22" t="str">
            <v>Bull only driver two</v>
          </cell>
          <cell r="C22">
            <v>-18</v>
          </cell>
          <cell r="D22">
            <v>0</v>
          </cell>
          <cell r="E22">
            <v>-12</v>
          </cell>
          <cell r="F22">
            <v>12</v>
          </cell>
          <cell r="G22">
            <v>5</v>
          </cell>
          <cell r="H22">
            <v>0</v>
          </cell>
          <cell r="I22">
            <v>-30</v>
          </cell>
          <cell r="J22">
            <v>0</v>
          </cell>
          <cell r="K22">
            <v>17</v>
          </cell>
          <cell r="L22" t="str">
            <v/>
          </cell>
        </row>
        <row r="23">
          <cell r="B23" t="str">
            <v>Bear only driver one</v>
          </cell>
          <cell r="C23">
            <v>-18</v>
          </cell>
          <cell r="D23">
            <v>-4</v>
          </cell>
          <cell r="E23">
            <v>-8</v>
          </cell>
          <cell r="F23">
            <v>17</v>
          </cell>
          <cell r="G23">
            <v>0</v>
          </cell>
          <cell r="H23">
            <v>0</v>
          </cell>
          <cell r="I23">
            <v>-30</v>
          </cell>
          <cell r="J23">
            <v>0</v>
          </cell>
          <cell r="K23">
            <v>17</v>
          </cell>
          <cell r="L23" t="str">
            <v/>
          </cell>
        </row>
        <row r="24">
          <cell r="B24" t="str">
            <v>Bear only driver two</v>
          </cell>
          <cell r="C24">
            <v>-22</v>
          </cell>
          <cell r="D24">
            <v>-3</v>
          </cell>
          <cell r="E24">
            <v>-5</v>
          </cell>
          <cell r="F24">
            <v>17</v>
          </cell>
          <cell r="G24">
            <v>0</v>
          </cell>
          <cell r="H24">
            <v>0</v>
          </cell>
          <cell r="I24">
            <v>-30</v>
          </cell>
          <cell r="J24">
            <v>0</v>
          </cell>
          <cell r="K24">
            <v>17</v>
          </cell>
          <cell r="L24" t="str">
            <v/>
          </cell>
        </row>
        <row r="25">
          <cell r="B25" t="str">
            <v>Bear only driver three</v>
          </cell>
          <cell r="C25">
            <v>-25</v>
          </cell>
          <cell r="D25">
            <v>-5</v>
          </cell>
          <cell r="E25">
            <v>0</v>
          </cell>
          <cell r="F25">
            <v>17</v>
          </cell>
          <cell r="G25">
            <v>0</v>
          </cell>
          <cell r="H25">
            <v>0</v>
          </cell>
          <cell r="I25">
            <v>-30</v>
          </cell>
          <cell r="J25">
            <v>0</v>
          </cell>
          <cell r="K25">
            <v>17</v>
          </cell>
          <cell r="L25" t="str">
            <v/>
          </cell>
        </row>
        <row r="26">
          <cell r="I26">
            <v>-30</v>
          </cell>
          <cell r="J26">
            <v>0</v>
          </cell>
          <cell r="K26">
            <v>17</v>
          </cell>
          <cell r="L26" t="str">
            <v/>
          </cell>
        </row>
        <row r="27">
          <cell r="I27">
            <v>-30</v>
          </cell>
          <cell r="J27">
            <v>0</v>
          </cell>
          <cell r="K27">
            <v>17</v>
          </cell>
          <cell r="L27" t="str">
            <v/>
          </cell>
        </row>
        <row r="28">
          <cell r="B28" t="str">
            <v>Bear</v>
          </cell>
          <cell r="C28">
            <v>10</v>
          </cell>
        </row>
        <row r="29">
          <cell r="B29" t="str">
            <v>Base</v>
          </cell>
          <cell r="C29">
            <v>40</v>
          </cell>
          <cell r="K29" t="str">
            <v>Note: Price Target = Base Case unless otherwise indicated.</v>
          </cell>
        </row>
        <row r="30">
          <cell r="B30" t="str">
            <v>Bull</v>
          </cell>
          <cell r="C30">
            <v>57</v>
          </cell>
        </row>
        <row r="31">
          <cell r="B31" t="str">
            <v>Price Target</v>
          </cell>
          <cell r="C31">
            <v>40</v>
          </cell>
        </row>
        <row r="35">
          <cell r="I35" t="str">
            <v>s</v>
          </cell>
        </row>
      </sheetData>
      <sheetData sheetId="7" refreshError="1"/>
      <sheetData sheetId="8">
        <row r="4">
          <cell r="C4" t="str">
            <v>Bear</v>
          </cell>
          <cell r="E4" t="str">
            <v>Base</v>
          </cell>
          <cell r="H4" t="str">
            <v>Bull</v>
          </cell>
        </row>
        <row r="5">
          <cell r="B5">
            <v>-30</v>
          </cell>
          <cell r="C5">
            <v>-30</v>
          </cell>
          <cell r="E5">
            <v>40</v>
          </cell>
          <cell r="H5">
            <v>17</v>
          </cell>
          <cell r="J5">
            <v>17</v>
          </cell>
        </row>
        <row r="6">
          <cell r="C6" t="str">
            <v>-space2</v>
          </cell>
          <cell r="D6" t="str">
            <v>-bear</v>
          </cell>
          <cell r="E6" t="str">
            <v>-space1</v>
          </cell>
          <cell r="F6" t="str">
            <v>+space1</v>
          </cell>
          <cell r="G6" t="str">
            <v>+bull</v>
          </cell>
          <cell r="H6" t="str">
            <v>+space2</v>
          </cell>
        </row>
        <row r="7">
          <cell r="B7" t="str">
            <v>Binary driver one</v>
          </cell>
          <cell r="C7">
            <v>-23</v>
          </cell>
          <cell r="D7">
            <v>-7</v>
          </cell>
          <cell r="E7">
            <v>0</v>
          </cell>
          <cell r="F7">
            <v>0</v>
          </cell>
          <cell r="G7">
            <v>3</v>
          </cell>
          <cell r="H7">
            <v>14</v>
          </cell>
          <cell r="I7">
            <v>17</v>
          </cell>
        </row>
        <row r="8">
          <cell r="B8" t="str">
            <v>Binary driver two</v>
          </cell>
          <cell r="C8">
            <v>-18</v>
          </cell>
          <cell r="D8">
            <v>-5</v>
          </cell>
          <cell r="E8">
            <v>-7</v>
          </cell>
          <cell r="F8">
            <v>3</v>
          </cell>
          <cell r="G8">
            <v>2</v>
          </cell>
          <cell r="H8">
            <v>12</v>
          </cell>
          <cell r="I8">
            <v>17</v>
          </cell>
        </row>
        <row r="9">
          <cell r="B9" t="str">
            <v>Driver number three</v>
          </cell>
          <cell r="C9">
            <v>-12</v>
          </cell>
          <cell r="D9">
            <v>-6</v>
          </cell>
          <cell r="E9">
            <v>-12</v>
          </cell>
          <cell r="F9">
            <v>5</v>
          </cell>
          <cell r="G9">
            <v>3</v>
          </cell>
          <cell r="H9">
            <v>9</v>
          </cell>
          <cell r="I9">
            <v>17</v>
          </cell>
        </row>
        <row r="10">
          <cell r="B10" t="str">
            <v>Bull only driver one</v>
          </cell>
          <cell r="C10">
            <v>-12</v>
          </cell>
          <cell r="E10">
            <v>-18</v>
          </cell>
          <cell r="F10">
            <v>8</v>
          </cell>
          <cell r="G10">
            <v>4</v>
          </cell>
          <cell r="H10">
            <v>5</v>
          </cell>
          <cell r="I10">
            <v>17</v>
          </cell>
        </row>
        <row r="11">
          <cell r="B11" t="str">
            <v>Bull only driver two</v>
          </cell>
          <cell r="C11">
            <v>-12</v>
          </cell>
          <cell r="E11">
            <v>-18</v>
          </cell>
          <cell r="F11">
            <v>12</v>
          </cell>
          <cell r="G11">
            <v>5</v>
          </cell>
          <cell r="H11">
            <v>0</v>
          </cell>
          <cell r="I11">
            <v>17</v>
          </cell>
        </row>
        <row r="12">
          <cell r="B12" t="str">
            <v>Bear only driver one</v>
          </cell>
          <cell r="C12">
            <v>-8</v>
          </cell>
          <cell r="D12">
            <v>-4</v>
          </cell>
          <cell r="E12">
            <v>-18</v>
          </cell>
          <cell r="F12">
            <v>17</v>
          </cell>
          <cell r="H12">
            <v>0</v>
          </cell>
          <cell r="I12">
            <v>17</v>
          </cell>
        </row>
        <row r="13">
          <cell r="B13" t="str">
            <v>Bear only driver two</v>
          </cell>
          <cell r="C13">
            <v>-5</v>
          </cell>
          <cell r="D13">
            <v>-3</v>
          </cell>
          <cell r="E13">
            <v>-22</v>
          </cell>
          <cell r="F13">
            <v>17</v>
          </cell>
          <cell r="H13">
            <v>0</v>
          </cell>
          <cell r="I13">
            <v>17</v>
          </cell>
        </row>
        <row r="14">
          <cell r="B14" t="str">
            <v>Bear only driver three</v>
          </cell>
          <cell r="C14">
            <v>0</v>
          </cell>
          <cell r="D14">
            <v>-5</v>
          </cell>
          <cell r="E14">
            <v>-25</v>
          </cell>
          <cell r="F14">
            <v>17</v>
          </cell>
          <cell r="H14">
            <v>0</v>
          </cell>
          <cell r="I14">
            <v>17</v>
          </cell>
        </row>
        <row r="16">
          <cell r="C16" t="str">
            <v>-space1</v>
          </cell>
          <cell r="D16" t="str">
            <v>-bear</v>
          </cell>
          <cell r="E16" t="str">
            <v>-space2</v>
          </cell>
          <cell r="F16" t="str">
            <v>+space1</v>
          </cell>
          <cell r="G16" t="str">
            <v>+bull</v>
          </cell>
          <cell r="H16" t="str">
            <v>+space2</v>
          </cell>
          <cell r="I16" t="str">
            <v>Bear  10.00</v>
          </cell>
          <cell r="J16" t="str">
            <v>Base  40.00</v>
          </cell>
          <cell r="K16" t="str">
            <v>Bull: 57.00</v>
          </cell>
          <cell r="L16" t="str">
            <v/>
          </cell>
        </row>
        <row r="18">
          <cell r="B18" t="str">
            <v>Binary driver one</v>
          </cell>
          <cell r="C18">
            <v>0</v>
          </cell>
          <cell r="D18">
            <v>-7</v>
          </cell>
          <cell r="E18">
            <v>-23</v>
          </cell>
          <cell r="F18">
            <v>0</v>
          </cell>
          <cell r="G18">
            <v>3</v>
          </cell>
          <cell r="H18">
            <v>14</v>
          </cell>
          <cell r="I18">
            <v>-30</v>
          </cell>
          <cell r="J18">
            <v>0</v>
          </cell>
          <cell r="K18">
            <v>17</v>
          </cell>
          <cell r="L18" t="str">
            <v/>
          </cell>
        </row>
        <row r="19">
          <cell r="B19" t="str">
            <v>Binary driver two</v>
          </cell>
          <cell r="C19">
            <v>-7</v>
          </cell>
          <cell r="D19">
            <v>-5</v>
          </cell>
          <cell r="E19">
            <v>-18</v>
          </cell>
          <cell r="F19">
            <v>3</v>
          </cell>
          <cell r="G19">
            <v>2</v>
          </cell>
          <cell r="H19">
            <v>12</v>
          </cell>
          <cell r="I19">
            <v>-30</v>
          </cell>
          <cell r="J19">
            <v>0</v>
          </cell>
          <cell r="K19">
            <v>17</v>
          </cell>
          <cell r="L19" t="str">
            <v/>
          </cell>
        </row>
        <row r="20">
          <cell r="B20" t="str">
            <v>Driver number three</v>
          </cell>
          <cell r="C20">
            <v>-12</v>
          </cell>
          <cell r="D20">
            <v>-6</v>
          </cell>
          <cell r="E20">
            <v>-12</v>
          </cell>
          <cell r="F20">
            <v>5</v>
          </cell>
          <cell r="G20">
            <v>3</v>
          </cell>
          <cell r="H20">
            <v>9</v>
          </cell>
          <cell r="I20">
            <v>-30</v>
          </cell>
          <cell r="J20">
            <v>0</v>
          </cell>
          <cell r="K20">
            <v>17</v>
          </cell>
          <cell r="L20" t="str">
            <v/>
          </cell>
        </row>
        <row r="21">
          <cell r="B21" t="str">
            <v>Bull only driver one</v>
          </cell>
          <cell r="C21">
            <v>-18</v>
          </cell>
          <cell r="D21">
            <v>0</v>
          </cell>
          <cell r="E21">
            <v>-12</v>
          </cell>
          <cell r="F21">
            <v>8</v>
          </cell>
          <cell r="G21">
            <v>4</v>
          </cell>
          <cell r="H21">
            <v>5</v>
          </cell>
          <cell r="I21">
            <v>-30</v>
          </cell>
          <cell r="J21">
            <v>0</v>
          </cell>
          <cell r="K21">
            <v>17</v>
          </cell>
          <cell r="L21" t="str">
            <v/>
          </cell>
        </row>
        <row r="22">
          <cell r="B22" t="str">
            <v>Bull only driver two</v>
          </cell>
          <cell r="C22">
            <v>-18</v>
          </cell>
          <cell r="D22">
            <v>0</v>
          </cell>
          <cell r="E22">
            <v>-12</v>
          </cell>
          <cell r="F22">
            <v>12</v>
          </cell>
          <cell r="G22">
            <v>5</v>
          </cell>
          <cell r="H22">
            <v>0</v>
          </cell>
          <cell r="I22">
            <v>-30</v>
          </cell>
          <cell r="J22">
            <v>0</v>
          </cell>
          <cell r="K22">
            <v>17</v>
          </cell>
          <cell r="L22" t="str">
            <v/>
          </cell>
        </row>
        <row r="23">
          <cell r="B23" t="str">
            <v>Bear only driver one</v>
          </cell>
          <cell r="C23">
            <v>-18</v>
          </cell>
          <cell r="D23">
            <v>-4</v>
          </cell>
          <cell r="E23">
            <v>-8</v>
          </cell>
          <cell r="F23">
            <v>17</v>
          </cell>
          <cell r="G23">
            <v>0</v>
          </cell>
          <cell r="H23">
            <v>0</v>
          </cell>
          <cell r="I23">
            <v>-30</v>
          </cell>
          <cell r="J23">
            <v>0</v>
          </cell>
          <cell r="K23">
            <v>17</v>
          </cell>
          <cell r="L23" t="str">
            <v/>
          </cell>
        </row>
        <row r="24">
          <cell r="B24" t="str">
            <v>Bear only driver two</v>
          </cell>
          <cell r="C24">
            <v>-22</v>
          </cell>
          <cell r="D24">
            <v>-3</v>
          </cell>
          <cell r="E24">
            <v>-5</v>
          </cell>
          <cell r="F24">
            <v>17</v>
          </cell>
          <cell r="G24">
            <v>0</v>
          </cell>
          <cell r="H24">
            <v>0</v>
          </cell>
          <cell r="I24">
            <v>-30</v>
          </cell>
          <cell r="J24">
            <v>0</v>
          </cell>
          <cell r="K24">
            <v>17</v>
          </cell>
          <cell r="L24" t="str">
            <v/>
          </cell>
        </row>
        <row r="25">
          <cell r="B25" t="str">
            <v>Bear only driver three</v>
          </cell>
          <cell r="C25">
            <v>-25</v>
          </cell>
          <cell r="D25">
            <v>-5</v>
          </cell>
          <cell r="E25">
            <v>0</v>
          </cell>
          <cell r="F25">
            <v>17</v>
          </cell>
          <cell r="G25">
            <v>0</v>
          </cell>
          <cell r="H25">
            <v>0</v>
          </cell>
          <cell r="I25">
            <v>-30</v>
          </cell>
          <cell r="J25">
            <v>0</v>
          </cell>
          <cell r="K25">
            <v>17</v>
          </cell>
          <cell r="L25" t="str">
            <v/>
          </cell>
        </row>
        <row r="26">
          <cell r="I26">
            <v>-30</v>
          </cell>
          <cell r="J26">
            <v>0</v>
          </cell>
          <cell r="K26">
            <v>17</v>
          </cell>
          <cell r="L26" t="str">
            <v/>
          </cell>
        </row>
        <row r="27">
          <cell r="I27">
            <v>-30</v>
          </cell>
          <cell r="J27">
            <v>0</v>
          </cell>
          <cell r="K27">
            <v>17</v>
          </cell>
          <cell r="L27" t="str">
            <v/>
          </cell>
        </row>
        <row r="28">
          <cell r="B28" t="str">
            <v>Bear</v>
          </cell>
          <cell r="C28">
            <v>10</v>
          </cell>
        </row>
        <row r="29">
          <cell r="B29" t="str">
            <v>Base</v>
          </cell>
          <cell r="C29">
            <v>40</v>
          </cell>
          <cell r="K29" t="str">
            <v>Note: Price Target = Base Case unless otherwise indicated.</v>
          </cell>
        </row>
        <row r="30">
          <cell r="B30" t="str">
            <v>Bull</v>
          </cell>
          <cell r="C30">
            <v>57</v>
          </cell>
        </row>
        <row r="31">
          <cell r="B31" t="str">
            <v>Price Target</v>
          </cell>
          <cell r="C31">
            <v>40</v>
          </cell>
        </row>
        <row r="35">
          <cell r="I35" t="str">
            <v>s</v>
          </cell>
        </row>
      </sheetData>
      <sheetData sheetId="9" refreshError="1"/>
      <sheetData sheetId="10" refreshError="1"/>
      <sheetData sheetId="11" refreshError="1"/>
      <sheetData sheetId="12" refreshError="1"/>
      <sheetData sheetId="13" refreshError="1"/>
      <sheetData sheetId="14" refreshError="1"/>
      <sheetData sheetId="15">
        <row r="4">
          <cell r="C4" t="str">
            <v>Bear</v>
          </cell>
          <cell r="E4" t="str">
            <v>Base</v>
          </cell>
          <cell r="H4" t="str">
            <v>Bull</v>
          </cell>
        </row>
        <row r="5">
          <cell r="B5">
            <v>-36</v>
          </cell>
          <cell r="C5">
            <v>-36</v>
          </cell>
          <cell r="E5">
            <v>40</v>
          </cell>
          <cell r="H5">
            <v>18</v>
          </cell>
          <cell r="J5">
            <v>18</v>
          </cell>
        </row>
        <row r="6">
          <cell r="A6" t="str">
            <v>check</v>
          </cell>
          <cell r="C6" t="str">
            <v>-space2</v>
          </cell>
          <cell r="D6" t="str">
            <v>-bear</v>
          </cell>
          <cell r="E6" t="str">
            <v>-space1</v>
          </cell>
          <cell r="F6" t="str">
            <v>+space1</v>
          </cell>
          <cell r="G6" t="str">
            <v>+bull</v>
          </cell>
          <cell r="H6" t="str">
            <v>+space2</v>
          </cell>
        </row>
        <row r="7">
          <cell r="A7">
            <v>-36</v>
          </cell>
          <cell r="B7" t="str">
            <v>This is long label number one</v>
          </cell>
          <cell r="C7">
            <v>-32</v>
          </cell>
          <cell r="D7">
            <v>-4</v>
          </cell>
          <cell r="E7">
            <v>0</v>
          </cell>
          <cell r="F7">
            <v>0</v>
          </cell>
          <cell r="G7">
            <v>4</v>
          </cell>
          <cell r="H7">
            <v>14</v>
          </cell>
          <cell r="I7">
            <v>18</v>
          </cell>
        </row>
        <row r="8">
          <cell r="A8">
            <v>-36</v>
          </cell>
          <cell r="B8" t="str">
            <v>This is long label number two</v>
          </cell>
          <cell r="C8">
            <v>-27</v>
          </cell>
          <cell r="D8">
            <v>-5</v>
          </cell>
          <cell r="E8">
            <v>-4</v>
          </cell>
          <cell r="F8">
            <v>4</v>
          </cell>
          <cell r="G8">
            <v>2</v>
          </cell>
          <cell r="H8">
            <v>12</v>
          </cell>
          <cell r="I8">
            <v>18</v>
          </cell>
        </row>
        <row r="9">
          <cell r="A9">
            <v>-36</v>
          </cell>
          <cell r="B9" t="str">
            <v>This is long label number three</v>
          </cell>
          <cell r="C9">
            <v>-21</v>
          </cell>
          <cell r="D9">
            <v>-6</v>
          </cell>
          <cell r="E9">
            <v>-9</v>
          </cell>
          <cell r="F9">
            <v>6</v>
          </cell>
          <cell r="G9">
            <v>3</v>
          </cell>
          <cell r="H9">
            <v>9</v>
          </cell>
          <cell r="I9">
            <v>18</v>
          </cell>
        </row>
        <row r="10">
          <cell r="A10">
            <v>-36</v>
          </cell>
          <cell r="B10" t="str">
            <v>This is long label number four</v>
          </cell>
          <cell r="C10">
            <v>-17</v>
          </cell>
          <cell r="D10">
            <v>-4</v>
          </cell>
          <cell r="E10">
            <v>-15</v>
          </cell>
          <cell r="F10">
            <v>9</v>
          </cell>
          <cell r="G10">
            <v>4</v>
          </cell>
          <cell r="H10">
            <v>5</v>
          </cell>
          <cell r="I10">
            <v>18</v>
          </cell>
        </row>
        <row r="11">
          <cell r="A11">
            <v>-36</v>
          </cell>
          <cell r="B11" t="str">
            <v>This is long label number five</v>
          </cell>
          <cell r="C11">
            <v>-12</v>
          </cell>
          <cell r="D11">
            <v>-5</v>
          </cell>
          <cell r="E11">
            <v>-19</v>
          </cell>
          <cell r="F11">
            <v>13</v>
          </cell>
          <cell r="G11">
            <v>5</v>
          </cell>
          <cell r="H11">
            <v>0</v>
          </cell>
          <cell r="I11">
            <v>18</v>
          </cell>
        </row>
        <row r="12">
          <cell r="A12">
            <v>-36</v>
          </cell>
          <cell r="B12" t="str">
            <v>This is long label number six</v>
          </cell>
          <cell r="C12">
            <v>-8</v>
          </cell>
          <cell r="D12">
            <v>-4</v>
          </cell>
          <cell r="E12">
            <v>-24</v>
          </cell>
          <cell r="F12">
            <v>18</v>
          </cell>
          <cell r="H12">
            <v>0</v>
          </cell>
          <cell r="I12">
            <v>18</v>
          </cell>
        </row>
        <row r="13">
          <cell r="A13">
            <v>-36</v>
          </cell>
          <cell r="B13" t="str">
            <v>This is long label number seven</v>
          </cell>
          <cell r="C13">
            <v>-5</v>
          </cell>
          <cell r="D13">
            <v>-3</v>
          </cell>
          <cell r="E13">
            <v>-28</v>
          </cell>
          <cell r="F13">
            <v>18</v>
          </cell>
          <cell r="H13">
            <v>0</v>
          </cell>
          <cell r="I13">
            <v>18</v>
          </cell>
        </row>
        <row r="14">
          <cell r="A14">
            <v>-36</v>
          </cell>
          <cell r="B14" t="str">
            <v>This is long label number eight</v>
          </cell>
          <cell r="C14">
            <v>0</v>
          </cell>
          <cell r="D14">
            <v>-5</v>
          </cell>
          <cell r="E14">
            <v>-31</v>
          </cell>
          <cell r="F14">
            <v>18</v>
          </cell>
          <cell r="H14">
            <v>0</v>
          </cell>
          <cell r="I14">
            <v>18</v>
          </cell>
        </row>
        <row r="16">
          <cell r="C16" t="str">
            <v>-space1</v>
          </cell>
          <cell r="D16" t="str">
            <v>-bear</v>
          </cell>
          <cell r="E16" t="str">
            <v>-space2</v>
          </cell>
          <cell r="F16" t="str">
            <v>+space1</v>
          </cell>
          <cell r="G16" t="str">
            <v>+bull</v>
          </cell>
          <cell r="H16" t="str">
            <v>+space2</v>
          </cell>
          <cell r="I16" t="str">
            <v>Bear  4.00</v>
          </cell>
          <cell r="J16" t="str">
            <v>Base  40.00</v>
          </cell>
          <cell r="K16" t="str">
            <v>Bull: 58.00</v>
          </cell>
          <cell r="L16" t="str">
            <v>PT:
42.00</v>
          </cell>
        </row>
        <row r="18">
          <cell r="B18" t="str">
            <v>Driver number one</v>
          </cell>
          <cell r="C18">
            <v>0</v>
          </cell>
          <cell r="D18">
            <v>-4</v>
          </cell>
          <cell r="E18">
            <v>-32</v>
          </cell>
          <cell r="F18">
            <v>0</v>
          </cell>
          <cell r="G18">
            <v>4</v>
          </cell>
          <cell r="H18">
            <v>14</v>
          </cell>
          <cell r="I18">
            <v>-36</v>
          </cell>
          <cell r="J18">
            <v>0</v>
          </cell>
          <cell r="K18">
            <v>18</v>
          </cell>
          <cell r="L18">
            <v>2</v>
          </cell>
        </row>
        <row r="19">
          <cell r="B19" t="str">
            <v>Driver number two</v>
          </cell>
          <cell r="C19">
            <v>-4</v>
          </cell>
          <cell r="D19">
            <v>-5</v>
          </cell>
          <cell r="E19">
            <v>-27</v>
          </cell>
          <cell r="F19">
            <v>4</v>
          </cell>
          <cell r="G19">
            <v>2</v>
          </cell>
          <cell r="H19">
            <v>12</v>
          </cell>
          <cell r="I19">
            <v>-36</v>
          </cell>
          <cell r="J19">
            <v>0</v>
          </cell>
          <cell r="K19">
            <v>18</v>
          </cell>
          <cell r="L19">
            <v>2</v>
          </cell>
        </row>
        <row r="20">
          <cell r="B20" t="str">
            <v>Driver number three</v>
          </cell>
          <cell r="C20">
            <v>-9</v>
          </cell>
          <cell r="D20">
            <v>-6</v>
          </cell>
          <cell r="E20">
            <v>-21</v>
          </cell>
          <cell r="F20">
            <v>6</v>
          </cell>
          <cell r="G20">
            <v>3</v>
          </cell>
          <cell r="H20">
            <v>9</v>
          </cell>
          <cell r="I20">
            <v>-36</v>
          </cell>
          <cell r="J20">
            <v>0</v>
          </cell>
          <cell r="K20">
            <v>18</v>
          </cell>
          <cell r="L20">
            <v>2</v>
          </cell>
        </row>
        <row r="21">
          <cell r="B21" t="str">
            <v>Driver number four</v>
          </cell>
          <cell r="C21">
            <v>-15</v>
          </cell>
          <cell r="D21">
            <v>-4</v>
          </cell>
          <cell r="E21">
            <v>-17</v>
          </cell>
          <cell r="F21">
            <v>9</v>
          </cell>
          <cell r="G21">
            <v>4</v>
          </cell>
          <cell r="H21">
            <v>5</v>
          </cell>
          <cell r="I21">
            <v>-36</v>
          </cell>
          <cell r="J21">
            <v>0</v>
          </cell>
          <cell r="K21">
            <v>18</v>
          </cell>
          <cell r="L21">
            <v>2</v>
          </cell>
        </row>
        <row r="22">
          <cell r="B22" t="str">
            <v>Driver number five</v>
          </cell>
          <cell r="C22">
            <v>-19</v>
          </cell>
          <cell r="D22">
            <v>-5</v>
          </cell>
          <cell r="E22">
            <v>-12</v>
          </cell>
          <cell r="F22">
            <v>13</v>
          </cell>
          <cell r="G22">
            <v>5</v>
          </cell>
          <cell r="H22">
            <v>0</v>
          </cell>
          <cell r="I22">
            <v>-36</v>
          </cell>
          <cell r="J22">
            <v>0</v>
          </cell>
          <cell r="K22">
            <v>18</v>
          </cell>
          <cell r="L22">
            <v>2</v>
          </cell>
        </row>
        <row r="23">
          <cell r="B23" t="str">
            <v>Driver number six</v>
          </cell>
          <cell r="C23">
            <v>-24</v>
          </cell>
          <cell r="D23">
            <v>-4</v>
          </cell>
          <cell r="E23">
            <v>-8</v>
          </cell>
          <cell r="F23">
            <v>18</v>
          </cell>
          <cell r="G23">
            <v>0</v>
          </cell>
          <cell r="H23">
            <v>0</v>
          </cell>
          <cell r="I23">
            <v>-36</v>
          </cell>
          <cell r="J23">
            <v>0</v>
          </cell>
          <cell r="K23">
            <v>18</v>
          </cell>
          <cell r="L23">
            <v>2</v>
          </cell>
        </row>
        <row r="24">
          <cell r="B24" t="str">
            <v>Driver number seven</v>
          </cell>
          <cell r="C24">
            <v>-28</v>
          </cell>
          <cell r="D24">
            <v>-3</v>
          </cell>
          <cell r="E24">
            <v>-5</v>
          </cell>
          <cell r="F24">
            <v>18</v>
          </cell>
          <cell r="G24">
            <v>0</v>
          </cell>
          <cell r="H24">
            <v>0</v>
          </cell>
          <cell r="I24">
            <v>-36</v>
          </cell>
          <cell r="J24">
            <v>0</v>
          </cell>
          <cell r="K24">
            <v>18</v>
          </cell>
          <cell r="L24">
            <v>2</v>
          </cell>
        </row>
        <row r="25">
          <cell r="B25" t="str">
            <v>Driver number eight</v>
          </cell>
          <cell r="C25">
            <v>-31</v>
          </cell>
          <cell r="D25">
            <v>-5</v>
          </cell>
          <cell r="E25">
            <v>0</v>
          </cell>
          <cell r="F25">
            <v>18</v>
          </cell>
          <cell r="G25">
            <v>0</v>
          </cell>
          <cell r="H25">
            <v>0</v>
          </cell>
          <cell r="I25">
            <v>-36</v>
          </cell>
          <cell r="J25">
            <v>0</v>
          </cell>
          <cell r="K25">
            <v>18</v>
          </cell>
          <cell r="L25">
            <v>2</v>
          </cell>
        </row>
        <row r="26">
          <cell r="I26">
            <v>-36</v>
          </cell>
          <cell r="J26">
            <v>0</v>
          </cell>
          <cell r="K26">
            <v>18</v>
          </cell>
          <cell r="L26">
            <v>2</v>
          </cell>
        </row>
        <row r="27">
          <cell r="I27">
            <v>-36</v>
          </cell>
          <cell r="J27">
            <v>0</v>
          </cell>
          <cell r="K27">
            <v>18</v>
          </cell>
          <cell r="L27">
            <v>2</v>
          </cell>
        </row>
        <row r="28">
          <cell r="B28" t="str">
            <v>Bear</v>
          </cell>
          <cell r="C28">
            <v>4</v>
          </cell>
        </row>
        <row r="29">
          <cell r="B29" t="str">
            <v>Base</v>
          </cell>
          <cell r="C29">
            <v>40</v>
          </cell>
        </row>
        <row r="30">
          <cell r="B30" t="str">
            <v>Bull</v>
          </cell>
          <cell r="C30">
            <v>58</v>
          </cell>
        </row>
        <row r="31">
          <cell r="B31" t="str">
            <v>Price Target</v>
          </cell>
          <cell r="C31">
            <v>42</v>
          </cell>
        </row>
      </sheetData>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tail prices"/>
      <sheetName val="Margin build up"/>
      <sheetName val="Sheet1"/>
      <sheetName val="Sheet2"/>
      <sheetName val="Sheet3"/>
      <sheetName val="#REF"/>
    </sheetNames>
    <sheetDataSet>
      <sheetData sheetId="0">
        <row r="4">
          <cell r="C4" t="str">
            <v>Revlimid price in Germany</v>
          </cell>
        </row>
        <row r="5">
          <cell r="C5" t="str">
            <v>mg</v>
          </cell>
          <cell r="D5" t="str">
            <v>Pack size
(# of tabs)</v>
          </cell>
          <cell r="E5" t="str">
            <v>Price 
(€/ pack)</v>
          </cell>
          <cell r="F5" t="str">
            <v>Effective price in $ for 21 tabs</v>
          </cell>
          <cell r="G5" t="str">
            <v>Comparable price in US</v>
          </cell>
          <cell r="H5" t="str">
            <v>Increase in Germany price vs. US</v>
          </cell>
          <cell r="I5" t="str">
            <v>Net to Company</v>
          </cell>
          <cell r="J5" t="str">
            <v>Comparable Price in US</v>
          </cell>
          <cell r="K5" t="str">
            <v>Increase%</v>
          </cell>
        </row>
        <row r="6">
          <cell r="C6">
            <v>5</v>
          </cell>
          <cell r="D6">
            <v>21</v>
          </cell>
          <cell r="E6">
            <v>6496</v>
          </cell>
          <cell r="F6">
            <v>9198.3359999999993</v>
          </cell>
          <cell r="G6">
            <v>6080.9</v>
          </cell>
          <cell r="H6">
            <v>0.51266029699551052</v>
          </cell>
          <cell r="I6">
            <v>6714.7852799999991</v>
          </cell>
          <cell r="J6">
            <v>4905</v>
          </cell>
          <cell r="K6">
            <v>0.36896743730886827</v>
          </cell>
          <cell r="L6">
            <v>0.23769658715596331</v>
          </cell>
        </row>
        <row r="7">
          <cell r="C7">
            <v>10</v>
          </cell>
          <cell r="D7">
            <v>21</v>
          </cell>
          <cell r="E7">
            <v>6856</v>
          </cell>
          <cell r="F7">
            <v>9708.0959999999995</v>
          </cell>
          <cell r="G7">
            <v>6500</v>
          </cell>
          <cell r="H7">
            <v>0.49355323076923074</v>
          </cell>
          <cell r="I7">
            <v>7086.9100799999997</v>
          </cell>
          <cell r="J7">
            <v>5123</v>
          </cell>
          <cell r="K7">
            <v>0.38335156744095245</v>
          </cell>
          <cell r="L7">
            <v>0.25070141713839544</v>
          </cell>
        </row>
        <row r="8">
          <cell r="C8">
            <v>15</v>
          </cell>
          <cell r="D8">
            <v>21</v>
          </cell>
          <cell r="E8">
            <v>7216</v>
          </cell>
          <cell r="F8">
            <v>10217.856</v>
          </cell>
          <cell r="G8">
            <v>7429</v>
          </cell>
          <cell r="H8">
            <v>0.37540126531161655</v>
          </cell>
          <cell r="I8">
            <v>7459.0348799999992</v>
          </cell>
          <cell r="J8">
            <v>6056</v>
          </cell>
          <cell r="K8">
            <v>0.23167682959048874</v>
          </cell>
          <cell r="L8">
            <v>0.11357083223249664</v>
          </cell>
        </row>
        <row r="9">
          <cell r="C9">
            <v>25</v>
          </cell>
          <cell r="D9">
            <v>21</v>
          </cell>
          <cell r="E9">
            <v>7911</v>
          </cell>
          <cell r="F9">
            <v>11201.975999999999</v>
          </cell>
          <cell r="G9">
            <v>7826.2800000000007</v>
          </cell>
          <cell r="H9">
            <v>0.43132829390208349</v>
          </cell>
          <cell r="I9">
            <v>8177.4424799999988</v>
          </cell>
          <cell r="J9">
            <v>6381</v>
          </cell>
          <cell r="K9">
            <v>0.28152992947813793</v>
          </cell>
          <cell r="L9">
            <v>0.15864349788434406</v>
          </cell>
        </row>
        <row r="10">
          <cell r="I10">
            <v>0</v>
          </cell>
        </row>
        <row r="11">
          <cell r="I11">
            <v>0</v>
          </cell>
        </row>
        <row r="12">
          <cell r="C12" t="str">
            <v>Revlimid price in UK (private insurance)</v>
          </cell>
          <cell r="I12">
            <v>0</v>
          </cell>
        </row>
        <row r="13">
          <cell r="C13" t="str">
            <v>mg</v>
          </cell>
          <cell r="D13" t="str">
            <v>Pack size
(# of tabs)</v>
          </cell>
          <cell r="E13" t="str">
            <v>Price 
(£/ pack)</v>
          </cell>
          <cell r="F13" t="str">
            <v>Effective price in $ for 21 tabs</v>
          </cell>
          <cell r="G13" t="str">
            <v>Comparable price in US</v>
          </cell>
          <cell r="H13" t="str">
            <v>Increase in UK price vs. US</v>
          </cell>
          <cell r="I13" t="str">
            <v>Net to Company</v>
          </cell>
        </row>
        <row r="14">
          <cell r="C14">
            <v>5</v>
          </cell>
          <cell r="D14">
            <v>21</v>
          </cell>
          <cell r="E14">
            <v>5714</v>
          </cell>
          <cell r="F14">
            <v>11559.422</v>
          </cell>
          <cell r="G14">
            <v>6080.9</v>
          </cell>
          <cell r="H14">
            <v>0.90093933463796505</v>
          </cell>
          <cell r="I14">
            <v>8438.3780600000009</v>
          </cell>
          <cell r="J14">
            <v>4905</v>
          </cell>
          <cell r="K14">
            <v>0.72036249949031617</v>
          </cell>
        </row>
        <row r="15">
          <cell r="C15">
            <v>10</v>
          </cell>
          <cell r="D15">
            <v>21</v>
          </cell>
          <cell r="E15">
            <v>6050</v>
          </cell>
          <cell r="F15">
            <v>12239.150000000001</v>
          </cell>
          <cell r="G15">
            <v>6500</v>
          </cell>
          <cell r="H15">
            <v>0.88294615384615405</v>
          </cell>
          <cell r="I15">
            <v>8934.5795000000016</v>
          </cell>
          <cell r="J15">
            <v>5123</v>
          </cell>
          <cell r="K15">
            <v>0.74401317587351201</v>
          </cell>
        </row>
        <row r="16">
          <cell r="C16">
            <v>15</v>
          </cell>
          <cell r="D16">
            <v>21</v>
          </cell>
          <cell r="E16">
            <v>6352</v>
          </cell>
          <cell r="F16">
            <v>12850.096000000001</v>
          </cell>
          <cell r="G16">
            <v>7429</v>
          </cell>
          <cell r="H16">
            <v>0.72972082379862724</v>
          </cell>
          <cell r="I16">
            <v>9380.5700800000013</v>
          </cell>
          <cell r="J16">
            <v>6056</v>
          </cell>
          <cell r="K16">
            <v>0.54897128137384432</v>
          </cell>
        </row>
        <row r="17">
          <cell r="C17">
            <v>25</v>
          </cell>
          <cell r="D17">
            <v>21</v>
          </cell>
          <cell r="E17">
            <v>6990</v>
          </cell>
          <cell r="F17">
            <v>14140.77</v>
          </cell>
          <cell r="G17">
            <v>7826.2800000000007</v>
          </cell>
          <cell r="H17">
            <v>0.80683159815391203</v>
          </cell>
          <cell r="I17">
            <v>10322.7621</v>
          </cell>
          <cell r="J17">
            <v>6381</v>
          </cell>
          <cell r="K17">
            <v>0.61773422661024924</v>
          </cell>
        </row>
        <row r="18">
          <cell r="C18" t="str">
            <v>Source: Westbury, UK</v>
          </cell>
        </row>
        <row r="21">
          <cell r="C21" t="str">
            <v>Revlimid price in US</v>
          </cell>
        </row>
        <row r="22">
          <cell r="C22" t="str">
            <v>mg</v>
          </cell>
          <cell r="D22" t="str">
            <v>Pack size
(# of tabs)</v>
          </cell>
          <cell r="E22" t="str">
            <v>Price 
($/ pack)</v>
          </cell>
          <cell r="F22" t="str">
            <v>Effective price for 21 tabs</v>
          </cell>
          <cell r="G22" t="str">
            <v>Price given by Celgene in Jan, 07</v>
          </cell>
          <cell r="H22" t="str">
            <v>Est. price increase since Jan, 07</v>
          </cell>
        </row>
        <row r="23">
          <cell r="C23">
            <v>5</v>
          </cell>
          <cell r="D23">
            <v>30</v>
          </cell>
          <cell r="E23">
            <v>8687</v>
          </cell>
          <cell r="F23">
            <v>6080.9</v>
          </cell>
          <cell r="G23">
            <v>4905</v>
          </cell>
          <cell r="H23">
            <v>0.23973496432212027</v>
          </cell>
        </row>
        <row r="24">
          <cell r="C24">
            <v>10</v>
          </cell>
          <cell r="D24">
            <v>30</v>
          </cell>
          <cell r="E24">
            <v>9090</v>
          </cell>
          <cell r="F24">
            <v>6500</v>
          </cell>
          <cell r="G24">
            <v>5123</v>
          </cell>
          <cell r="H24">
            <v>0.26878781963693155</v>
          </cell>
        </row>
        <row r="25">
          <cell r="C25">
            <v>15</v>
          </cell>
          <cell r="D25">
            <v>21</v>
          </cell>
          <cell r="E25">
            <v>7423</v>
          </cell>
          <cell r="F25">
            <v>7429</v>
          </cell>
          <cell r="G25">
            <v>6056</v>
          </cell>
          <cell r="H25">
            <v>0.22671730515191535</v>
          </cell>
        </row>
        <row r="26">
          <cell r="C26">
            <v>25</v>
          </cell>
          <cell r="D26">
            <v>25</v>
          </cell>
          <cell r="E26">
            <v>9309</v>
          </cell>
          <cell r="F26">
            <v>7826.2800000000007</v>
          </cell>
          <cell r="G26">
            <v>6381</v>
          </cell>
          <cell r="H26">
            <v>0.22649741419840153</v>
          </cell>
        </row>
        <row r="27">
          <cell r="C27" t="str">
            <v>Source: NY pharmacies</v>
          </cell>
        </row>
        <row r="30">
          <cell r="C30" t="str">
            <v>mg</v>
          </cell>
          <cell r="D30" t="str">
            <v>Pack size
(# of tabs)</v>
          </cell>
          <cell r="E30" t="str">
            <v>Price 
($/ pack)</v>
          </cell>
          <cell r="F30" t="str">
            <v>Effective price for 21 tabs</v>
          </cell>
        </row>
        <row r="31">
          <cell r="C31">
            <v>5</v>
          </cell>
          <cell r="D31">
            <v>21</v>
          </cell>
          <cell r="E31" t="str">
            <v>N/A</v>
          </cell>
          <cell r="F31" t="str">
            <v>N/A</v>
          </cell>
        </row>
        <row r="32">
          <cell r="C32">
            <v>10</v>
          </cell>
          <cell r="D32">
            <v>21</v>
          </cell>
          <cell r="E32">
            <v>6637</v>
          </cell>
          <cell r="F32">
            <v>6637</v>
          </cell>
          <cell r="I32">
            <v>1.4159999999999999</v>
          </cell>
        </row>
        <row r="33">
          <cell r="C33">
            <v>15</v>
          </cell>
          <cell r="D33">
            <v>21</v>
          </cell>
          <cell r="E33">
            <v>7435</v>
          </cell>
          <cell r="F33">
            <v>7435</v>
          </cell>
        </row>
        <row r="34">
          <cell r="C34">
            <v>25</v>
          </cell>
          <cell r="D34">
            <v>21</v>
          </cell>
          <cell r="E34">
            <v>7833</v>
          </cell>
          <cell r="F34">
            <v>7833</v>
          </cell>
        </row>
        <row r="35">
          <cell r="C35" t="str">
            <v>Source: Duane Read, NY</v>
          </cell>
        </row>
        <row r="38">
          <cell r="C38" t="str">
            <v>mg</v>
          </cell>
          <cell r="D38" t="str">
            <v>Pack size
(# of tabs)</v>
          </cell>
          <cell r="E38" t="str">
            <v>Price 
($/ pack)</v>
          </cell>
          <cell r="F38" t="str">
            <v>Effective price for 21 tabs</v>
          </cell>
        </row>
        <row r="39">
          <cell r="C39">
            <v>5</v>
          </cell>
          <cell r="D39">
            <v>30</v>
          </cell>
          <cell r="E39">
            <v>8687</v>
          </cell>
          <cell r="F39">
            <v>6080.9</v>
          </cell>
        </row>
        <row r="40">
          <cell r="C40">
            <v>10</v>
          </cell>
          <cell r="D40">
            <v>30</v>
          </cell>
          <cell r="E40">
            <v>9090</v>
          </cell>
          <cell r="F40">
            <v>6363</v>
          </cell>
        </row>
        <row r="41">
          <cell r="C41">
            <v>15</v>
          </cell>
          <cell r="D41">
            <v>21</v>
          </cell>
          <cell r="E41">
            <v>7423</v>
          </cell>
          <cell r="F41">
            <v>7423</v>
          </cell>
        </row>
        <row r="42">
          <cell r="C42">
            <v>25</v>
          </cell>
          <cell r="D42">
            <v>25</v>
          </cell>
          <cell r="E42">
            <v>9309</v>
          </cell>
          <cell r="F42">
            <v>7819.56</v>
          </cell>
        </row>
        <row r="43">
          <cell r="C43" t="str">
            <v>Source: CVS Pharmacy, NY</v>
          </cell>
        </row>
        <row r="46">
          <cell r="C46" t="str">
            <v>mg</v>
          </cell>
          <cell r="D46" t="str">
            <v>Pack size
(# of tabs)</v>
          </cell>
          <cell r="E46" t="str">
            <v>Price 
($/ pack)</v>
          </cell>
          <cell r="F46" t="str">
            <v>Effective price for 21 tabs</v>
          </cell>
        </row>
        <row r="47">
          <cell r="C47">
            <v>5</v>
          </cell>
          <cell r="D47">
            <v>100</v>
          </cell>
          <cell r="E47">
            <v>26002</v>
          </cell>
          <cell r="F47">
            <v>5460.42</v>
          </cell>
        </row>
        <row r="48">
          <cell r="C48">
            <v>5</v>
          </cell>
          <cell r="D48">
            <v>300</v>
          </cell>
          <cell r="E48">
            <v>78006</v>
          </cell>
          <cell r="F48">
            <v>5460.42</v>
          </cell>
        </row>
        <row r="49">
          <cell r="C49">
            <v>10</v>
          </cell>
          <cell r="D49">
            <v>100</v>
          </cell>
          <cell r="E49">
            <v>28001</v>
          </cell>
          <cell r="F49">
            <v>5880.21</v>
          </cell>
        </row>
        <row r="50">
          <cell r="C50">
            <v>10</v>
          </cell>
          <cell r="D50">
            <v>30</v>
          </cell>
          <cell r="E50">
            <v>9232</v>
          </cell>
          <cell r="F50">
            <v>6462.4000000000005</v>
          </cell>
        </row>
        <row r="51">
          <cell r="C51">
            <v>10</v>
          </cell>
          <cell r="D51">
            <v>90</v>
          </cell>
          <cell r="E51">
            <v>27697</v>
          </cell>
          <cell r="F51">
            <v>6462.6333333333341</v>
          </cell>
        </row>
        <row r="52">
          <cell r="C52" t="str">
            <v>Sources: Walgreens</v>
          </cell>
        </row>
      </sheetData>
      <sheetData sheetId="1"/>
      <sheetData sheetId="2"/>
      <sheetData sheetId="3"/>
      <sheetData sheetId="4"/>
      <sheetData sheetId="5"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 contribution analysis"/>
      <sheetName val="rev change analysis"/>
      <sheetName val="2015 rev change"/>
      <sheetName val="short IS"/>
      <sheetName val="Product Mix 100%"/>
      <sheetName val="cost savings"/>
      <sheetName val="Per Pharma Traditional &amp; Biolog"/>
    </sheetNames>
    <sheetDataSet>
      <sheetData sheetId="0" refreshError="1"/>
      <sheetData sheetId="1">
        <row r="1">
          <cell r="R1" t="str">
            <v>SmartCharts</v>
          </cell>
          <cell r="BA1" t="str">
            <v>.</v>
          </cell>
        </row>
        <row r="2">
          <cell r="BA2" t="str">
            <v>.</v>
          </cell>
        </row>
        <row r="3">
          <cell r="BA3" t="str">
            <v>.</v>
          </cell>
        </row>
        <row r="4">
          <cell r="BA4" t="str">
            <v>.</v>
          </cell>
        </row>
        <row r="5">
          <cell r="C5" t="str">
            <v>Define value axis here:</v>
          </cell>
        </row>
        <row r="6">
          <cell r="C6" t="str">
            <v>Eli Lilly YOY revenue change 2010E-2015E</v>
          </cell>
        </row>
        <row r="10">
          <cell r="C10" t="str">
            <v>Input your data here:</v>
          </cell>
          <cell r="BA10" t="str">
            <v>.</v>
          </cell>
        </row>
        <row r="11">
          <cell r="C11" t="str">
            <v>Sales ($M)</v>
          </cell>
          <cell r="D11" t="str">
            <v>2011E</v>
          </cell>
          <cell r="E11" t="str">
            <v>2012E</v>
          </cell>
          <cell r="F11" t="str">
            <v>2013E</v>
          </cell>
          <cell r="G11" t="str">
            <v>2014E</v>
          </cell>
          <cell r="H11" t="str">
            <v>2015E</v>
          </cell>
          <cell r="BA11" t="str">
            <v>.</v>
          </cell>
        </row>
        <row r="12">
          <cell r="C12" t="str">
            <v>In-line products</v>
          </cell>
          <cell r="D12">
            <v>781.72624304999954</v>
          </cell>
          <cell r="E12">
            <v>628.01563373899808</v>
          </cell>
          <cell r="F12">
            <v>619.00336252127454</v>
          </cell>
          <cell r="G12">
            <v>650.37276247114823</v>
          </cell>
          <cell r="H12">
            <v>535.71762648130425</v>
          </cell>
          <cell r="BA12" t="str">
            <v>.</v>
          </cell>
        </row>
        <row r="13">
          <cell r="C13" t="str">
            <v>Pipeline products launching 2010–2015</v>
          </cell>
          <cell r="D13">
            <v>94.75</v>
          </cell>
          <cell r="E13">
            <v>176.17500000000001</v>
          </cell>
          <cell r="F13">
            <v>330.42500000000001</v>
          </cell>
          <cell r="G13">
            <v>642.0732999999999</v>
          </cell>
          <cell r="H13">
            <v>950.38365750000003</v>
          </cell>
          <cell r="BA13" t="str">
            <v>.</v>
          </cell>
        </row>
        <row r="14">
          <cell r="C14" t="str">
            <v>Products expiring 2010–2015</v>
          </cell>
          <cell r="D14">
            <v>-371.49615019999874</v>
          </cell>
          <cell r="E14">
            <v>-2226.0126789459991</v>
          </cell>
          <cell r="F14">
            <v>-713.0858879557818</v>
          </cell>
          <cell r="G14">
            <v>-2566.7028729389294</v>
          </cell>
          <cell r="H14">
            <v>-2382.3369144914741</v>
          </cell>
          <cell r="BA14" t="str">
            <v>.</v>
          </cell>
        </row>
        <row r="15">
          <cell r="C15" t="str">
            <v>Net YOY change</v>
          </cell>
          <cell r="D15">
            <v>504.9800928500008</v>
          </cell>
          <cell r="E15">
            <v>-1421.8220452070018</v>
          </cell>
          <cell r="F15">
            <v>236.34247456549201</v>
          </cell>
          <cell r="G15">
            <v>-1274.2568104677812</v>
          </cell>
          <cell r="H15">
            <v>-896.23563051016754</v>
          </cell>
          <cell r="BA15" t="str">
            <v>.</v>
          </cell>
        </row>
        <row r="16">
          <cell r="BA16" t="str">
            <v>.</v>
          </cell>
        </row>
        <row r="17">
          <cell r="BA17" t="str">
            <v>.</v>
          </cell>
        </row>
        <row r="18">
          <cell r="BA18"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J35" t="str">
            <v>Do not change the width of the exhibit or font sizes (they are optimized for export to Word).</v>
          </cell>
          <cell r="BA35" t="str">
            <v>.</v>
          </cell>
        </row>
        <row r="36">
          <cell r="BA36" t="str">
            <v>.</v>
          </cell>
        </row>
        <row r="37">
          <cell r="J37" t="str">
            <v>Do not delete any rows or columns (some gray cells are used for calculations).</v>
          </cell>
          <cell r="BA37" t="str">
            <v>.</v>
          </cell>
        </row>
        <row r="38">
          <cell r="BA38" t="str">
            <v>.</v>
          </cell>
        </row>
        <row r="39">
          <cell r="BA39" t="str">
            <v>.</v>
          </cell>
        </row>
        <row r="40">
          <cell r="BA40" t="str">
            <v>.</v>
          </cell>
        </row>
        <row r="41">
          <cell r="BA41" t="str">
            <v>.</v>
          </cell>
        </row>
        <row r="42">
          <cell r="BA42" t="str">
            <v>.</v>
          </cell>
        </row>
        <row r="43">
          <cell r="BA43" t="str">
            <v>.</v>
          </cell>
        </row>
        <row r="44">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BA996" t="str">
            <v>.</v>
          </cell>
        </row>
        <row r="997">
          <cell r="A997" t="str">
            <v>.</v>
          </cell>
          <cell r="B997" t="str">
            <v>.</v>
          </cell>
          <cell r="C997" t="str">
            <v>.</v>
          </cell>
          <cell r="D997" t="str">
            <v>.</v>
          </cell>
          <cell r="E997" t="str">
            <v>.</v>
          </cell>
          <cell r="F997" t="str">
            <v>.</v>
          </cell>
          <cell r="G997" t="str">
            <v>.</v>
          </cell>
          <cell r="H997" t="str">
            <v>.</v>
          </cell>
          <cell r="S997" t="str">
            <v>.</v>
          </cell>
          <cell r="T997" t="str">
            <v>.</v>
          </cell>
          <cell r="U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row>
      </sheetData>
      <sheetData sheetId="2" refreshError="1"/>
      <sheetData sheetId="3" refreshError="1"/>
      <sheetData sheetId="4" refreshError="1"/>
      <sheetData sheetId="5" refreshError="1"/>
      <sheetData sheetId="6"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 contribution analysis"/>
      <sheetName val="rev change analysis"/>
      <sheetName val="2015 rev change"/>
      <sheetName val="2015 biopharma rev change"/>
      <sheetName val="margins"/>
    </sheetNames>
    <sheetDataSet>
      <sheetData sheetId="0"/>
      <sheetData sheetId="1">
        <row r="1">
          <cell r="R1" t="str">
            <v>SmartCharts</v>
          </cell>
          <cell r="BA1" t="str">
            <v>.</v>
          </cell>
        </row>
        <row r="2">
          <cell r="BA2" t="str">
            <v>.</v>
          </cell>
        </row>
        <row r="3">
          <cell r="BA3" t="str">
            <v>.</v>
          </cell>
        </row>
        <row r="4">
          <cell r="BA4" t="str">
            <v>.</v>
          </cell>
        </row>
        <row r="5">
          <cell r="C5" t="str">
            <v>Define value axis here:</v>
          </cell>
        </row>
        <row r="6">
          <cell r="C6" t="str">
            <v>Bristol-Myers Squibb YOY revenue change 2010E-2015E</v>
          </cell>
        </row>
        <row r="10">
          <cell r="C10" t="str">
            <v>Input your data here:</v>
          </cell>
          <cell r="BA10" t="str">
            <v>.</v>
          </cell>
        </row>
        <row r="11">
          <cell r="C11" t="str">
            <v>Sales ($M)</v>
          </cell>
          <cell r="D11" t="str">
            <v>2011E</v>
          </cell>
          <cell r="E11" t="str">
            <v>2012E</v>
          </cell>
          <cell r="F11" t="str">
            <v>2013E</v>
          </cell>
          <cell r="G11" t="str">
            <v>2014E</v>
          </cell>
          <cell r="H11" t="str">
            <v>2015E</v>
          </cell>
          <cell r="BA11" t="str">
            <v>.</v>
          </cell>
        </row>
        <row r="12">
          <cell r="C12" t="str">
            <v>In-line products</v>
          </cell>
          <cell r="D12">
            <v>428.20430499999929</v>
          </cell>
          <cell r="E12">
            <v>406.00087174999862</v>
          </cell>
          <cell r="F12">
            <v>379.77037045850375</v>
          </cell>
          <cell r="G12">
            <v>349.04459650893114</v>
          </cell>
          <cell r="H12">
            <v>290.7973990176979</v>
          </cell>
          <cell r="BA12" t="str">
            <v>.</v>
          </cell>
        </row>
        <row r="13">
          <cell r="C13" t="str">
            <v>Pipeline products launching 2010–2015</v>
          </cell>
          <cell r="D13">
            <v>509.8125</v>
          </cell>
          <cell r="E13">
            <v>791.0775000000001</v>
          </cell>
          <cell r="F13">
            <v>1302.57</v>
          </cell>
          <cell r="G13">
            <v>1653.0442999999996</v>
          </cell>
          <cell r="H13">
            <v>1227.8117000000011</v>
          </cell>
          <cell r="BA13" t="str">
            <v>.</v>
          </cell>
        </row>
        <row r="14">
          <cell r="C14" t="str">
            <v>Products expiring 2010–2015</v>
          </cell>
          <cell r="D14">
            <v>170.7135303846153</v>
          </cell>
          <cell r="E14">
            <v>-3013.0544055538448</v>
          </cell>
          <cell r="F14">
            <v>-3358.1474564076934</v>
          </cell>
          <cell r="G14">
            <v>-1309.0957018979234</v>
          </cell>
          <cell r="H14">
            <v>-2226.5059205538264</v>
          </cell>
          <cell r="BA14" t="str">
            <v>.</v>
          </cell>
        </row>
        <row r="15">
          <cell r="C15" t="str">
            <v>Biopharmaceuticals net YOY change</v>
          </cell>
          <cell r="D15">
            <v>1108.7303353846146</v>
          </cell>
          <cell r="E15">
            <v>-1815.9760338038468</v>
          </cell>
          <cell r="F15">
            <v>-1675.8070859491891</v>
          </cell>
          <cell r="G15">
            <v>692.99319461100822</v>
          </cell>
          <cell r="H15">
            <v>-707.89682153612739</v>
          </cell>
          <cell r="BA15" t="str">
            <v>.</v>
          </cell>
        </row>
        <row r="16">
          <cell r="C16" t="str">
            <v>Mead Johnson YOY change</v>
          </cell>
          <cell r="D16">
            <v>214.20896000000039</v>
          </cell>
          <cell r="E16">
            <v>221.85658040000044</v>
          </cell>
          <cell r="F16">
            <v>215.35684153200009</v>
          </cell>
          <cell r="G16">
            <v>204.1549097092402</v>
          </cell>
          <cell r="H16">
            <v>188.16653348492491</v>
          </cell>
          <cell r="BA16" t="str">
            <v>.</v>
          </cell>
        </row>
        <row r="17">
          <cell r="C17" t="str">
            <v>Total YOY change</v>
          </cell>
          <cell r="D17">
            <v>1322.9392953846145</v>
          </cell>
          <cell r="E17">
            <v>-1594.1194534038477</v>
          </cell>
          <cell r="F17">
            <v>-1460.4502444171885</v>
          </cell>
          <cell r="G17">
            <v>897.14810432025115</v>
          </cell>
          <cell r="H17">
            <v>-519.73028805120339</v>
          </cell>
          <cell r="BA17" t="str">
            <v>.</v>
          </cell>
        </row>
        <row r="18">
          <cell r="BA18"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J35" t="str">
            <v>Do not change the width of the exhibit or font sizes (they are optimized for export to Word).</v>
          </cell>
          <cell r="BA35" t="str">
            <v>.</v>
          </cell>
        </row>
        <row r="36">
          <cell r="BA36" t="str">
            <v>.</v>
          </cell>
        </row>
        <row r="37">
          <cell r="J37" t="str">
            <v>Do not delete any rows or columns (some gray cells are used for calculations).</v>
          </cell>
          <cell r="BA37" t="str">
            <v>.</v>
          </cell>
        </row>
        <row r="38">
          <cell r="BA38" t="str">
            <v>.</v>
          </cell>
        </row>
        <row r="39">
          <cell r="BA39" t="str">
            <v>.</v>
          </cell>
        </row>
        <row r="40">
          <cell r="BA40" t="str">
            <v>.</v>
          </cell>
        </row>
        <row r="41">
          <cell r="BA41" t="str">
            <v>.</v>
          </cell>
        </row>
        <row r="42">
          <cell r="BA42" t="str">
            <v>.</v>
          </cell>
        </row>
        <row r="43">
          <cell r="BA43" t="str">
            <v>.</v>
          </cell>
        </row>
        <row r="44">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BA996" t="str">
            <v>.</v>
          </cell>
        </row>
        <row r="997">
          <cell r="A997" t="str">
            <v>.</v>
          </cell>
          <cell r="B997" t="str">
            <v>.</v>
          </cell>
          <cell r="C997" t="str">
            <v>.</v>
          </cell>
          <cell r="D997" t="str">
            <v>.</v>
          </cell>
          <cell r="E997" t="str">
            <v>.</v>
          </cell>
          <cell r="F997" t="str">
            <v>.</v>
          </cell>
          <cell r="G997" t="str">
            <v>.</v>
          </cell>
          <cell r="H997" t="str">
            <v>.</v>
          </cell>
          <cell r="S997" t="str">
            <v>.</v>
          </cell>
          <cell r="T997" t="str">
            <v>.</v>
          </cell>
          <cell r="U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row>
      </sheetData>
      <sheetData sheetId="2" refreshError="1"/>
      <sheetData sheetId="3" refreshError="1"/>
      <sheetData sheetId="4">
        <row r="1">
          <cell r="P1" t="str">
            <v>SmartCharts</v>
          </cell>
          <cell r="BA1" t="str">
            <v>.</v>
          </cell>
        </row>
        <row r="2">
          <cell r="BA2" t="str">
            <v>.</v>
          </cell>
        </row>
        <row r="3">
          <cell r="BA3" t="str">
            <v>.</v>
          </cell>
        </row>
        <row r="4">
          <cell r="BA4" t="str">
            <v>.</v>
          </cell>
        </row>
        <row r="5">
          <cell r="C5" t="str">
            <v>Define value axis here:</v>
          </cell>
        </row>
        <row r="6">
          <cell r="C6" t="str">
            <v>Bristol-Myers Squibb 2010E–2015 margins projections</v>
          </cell>
        </row>
        <row r="10">
          <cell r="C10" t="str">
            <v>Input your data here:</v>
          </cell>
          <cell r="BA10" t="str">
            <v>.</v>
          </cell>
        </row>
        <row r="11">
          <cell r="D11">
            <v>2010</v>
          </cell>
          <cell r="E11">
            <v>2015</v>
          </cell>
          <cell r="BA11" t="str">
            <v>.</v>
          </cell>
        </row>
        <row r="12">
          <cell r="C12" t="str">
            <v>Gross margin</v>
          </cell>
          <cell r="D12">
            <v>0.72499999999999998</v>
          </cell>
          <cell r="E12">
            <v>0.68100000000000005</v>
          </cell>
        </row>
        <row r="13">
          <cell r="C13" t="str">
            <v>Operating margin</v>
          </cell>
          <cell r="D13">
            <v>0.30161955647352828</v>
          </cell>
          <cell r="E13">
            <v>0.25676950311816399</v>
          </cell>
        </row>
        <row r="14">
          <cell r="C14" t="str">
            <v>Net margin</v>
          </cell>
          <cell r="D14">
            <v>0.18869606564379282</v>
          </cell>
          <cell r="E14">
            <v>0.17772499764542135</v>
          </cell>
          <cell r="BA14" t="str">
            <v>.</v>
          </cell>
        </row>
        <row r="15">
          <cell r="BA15" t="str">
            <v>.</v>
          </cell>
        </row>
        <row r="16">
          <cell r="BA16" t="str">
            <v>.</v>
          </cell>
        </row>
        <row r="17">
          <cell r="BA17" t="str">
            <v>.</v>
          </cell>
        </row>
        <row r="18">
          <cell r="C18" t="str">
            <v xml:space="preserve">More than six categories will make this chart </v>
          </cell>
          <cell r="BA18" t="str">
            <v>.</v>
          </cell>
        </row>
        <row r="19">
          <cell r="C19" t="str">
            <v>cluttered and too difficult to read.</v>
          </cell>
          <cell r="BA19"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BA35" t="str">
            <v>.</v>
          </cell>
        </row>
        <row r="36">
          <cell r="BA36" t="str">
            <v>.</v>
          </cell>
        </row>
        <row r="37">
          <cell r="BA37" t="str">
            <v>.</v>
          </cell>
        </row>
        <row r="38">
          <cell r="BA38" t="str">
            <v>.</v>
          </cell>
        </row>
        <row r="39">
          <cell r="BA39" t="str">
            <v>.</v>
          </cell>
        </row>
        <row r="40">
          <cell r="BA40" t="str">
            <v>.</v>
          </cell>
        </row>
        <row r="41">
          <cell r="BA41" t="str">
            <v>.</v>
          </cell>
        </row>
        <row r="42">
          <cell r="I42" t="str">
            <v>Do not change the width of the exhibit or font sizes (they are optimized for export to Word).</v>
          </cell>
          <cell r="BA42" t="str">
            <v>.</v>
          </cell>
        </row>
        <row r="43">
          <cell r="BA43" t="str">
            <v>.</v>
          </cell>
        </row>
        <row r="44">
          <cell r="I44" t="str">
            <v>Do not delete any rows or columns (some gray cells are used for calculations).</v>
          </cell>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BA996" t="str">
            <v>.</v>
          </cell>
        </row>
        <row r="997">
          <cell r="BA997" t="str">
            <v>.</v>
          </cell>
        </row>
        <row r="998">
          <cell r="A998" t="str">
            <v>.</v>
          </cell>
          <cell r="B998" t="str">
            <v>.</v>
          </cell>
          <cell r="C998" t="str">
            <v>.</v>
          </cell>
          <cell r="D998" t="str">
            <v>.</v>
          </cell>
          <cell r="E998" t="str">
            <v>.</v>
          </cell>
          <cell r="G998" t="str">
            <v>.</v>
          </cell>
          <cell r="H998" t="str">
            <v>.</v>
          </cell>
          <cell r="I998" t="str">
            <v>.</v>
          </cell>
          <cell r="S998" t="str">
            <v>.</v>
          </cell>
          <cell r="T998" t="str">
            <v>.</v>
          </cell>
          <cell r="U998" t="str">
            <v>.</v>
          </cell>
          <cell r="V998" t="str">
            <v>.</v>
          </cell>
          <cell r="W998" t="str">
            <v>.</v>
          </cell>
          <cell r="X998" t="str">
            <v>.</v>
          </cell>
          <cell r="Y998" t="str">
            <v>.</v>
          </cell>
          <cell r="Z998" t="str">
            <v>.</v>
          </cell>
          <cell r="AA998" t="str">
            <v>.</v>
          </cell>
          <cell r="AB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row>
      </sheetData>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単独"/>
      <sheetName val="連結"/>
      <sheetName val="期中"/>
      <sheetName val="valu"/>
      <sheetName val="増減分析"/>
      <sheetName val="新素材"/>
      <sheetName val="子会社"/>
      <sheetName val="環境"/>
      <sheetName val="製錬拠点"/>
      <sheetName val="ﾃｨｻﾊﾟ"/>
      <sheetName val="ﾚｲﾃﾞﾌﾟﾗﾀ"/>
      <sheetName val="小坂"/>
      <sheetName val="中計"/>
      <sheetName val="cash"/>
      <sheetName val="ｾｸﾞﾒﾝﾄ"/>
      <sheetName val="含み益"/>
      <sheetName val="capx"/>
      <sheetName val="dep"/>
      <sheetName val="人"/>
      <sheetName val="exp"/>
      <sheetName val="Valuation Matrix"/>
      <sheetName val="HANDOUT"/>
      <sheetName val="Interm-Euro"/>
      <sheetName val="SCATTER DATA"/>
      <sheetName val="10 Yr DCF"/>
      <sheetName val="Annual-Euro"/>
      <sheetName val="Residual Income Model"/>
      <sheetName val="P"/>
      <sheetName val="EARNMOD"/>
      <sheetName val="WACC"/>
      <sheetName val="Sheet1"/>
      <sheetName val="Fixed Line Mkt"/>
      <sheetName val="Cash Flow"/>
      <sheetName val="upside_downside"/>
      <sheetName val="Income Statement"/>
      <sheetName val="Balance Sheet"/>
      <sheetName val="Valsum"/>
      <sheetName val="Operating Leases tagged"/>
      <sheetName val="DCF"/>
      <sheetName val="OP"/>
      <sheetName val="Inputs"/>
      <sheetName val="MWA RR"/>
      <sheetName val="Summary"/>
      <sheetName val="IS"/>
      <sheetName val="exh 11"/>
      <sheetName val="exh 14"/>
      <sheetName val="exh 12"/>
      <sheetName val="exh 10"/>
      <sheetName val="exh 1 and 5"/>
      <sheetName val="exh 15"/>
      <sheetName val="exh 3"/>
      <sheetName val="exh 9"/>
      <sheetName val="Good 12-00 (2)"/>
      <sheetName val="Good 11-36"/>
      <sheetName val="Good 11-50"/>
      <sheetName val="Sheet3 (5)"/>
      <sheetName val="Total_Production"/>
      <sheetName val="RFS"/>
      <sheetName val="Corn_Uses"/>
      <sheetName val="US_Production"/>
      <sheetName val="Risk-Reward_View_Chart"/>
      <sheetName val="variables"/>
      <sheetName val="IS Quarterly"/>
      <sheetName val="Sheet1 (2)"/>
      <sheetName val="1Q11 Preview"/>
      <sheetName val="2Q11 Preview"/>
      <sheetName val="Model"/>
      <sheetName val="Intrinsic Value"/>
      <sheetName val="Rev by Geo"/>
      <sheetName val="Report template"/>
      <sheetName val="Model (WIP)"/>
      <sheetName val="sales bkd"/>
      <sheetName val="fin"/>
      <sheetName val="Presentation"/>
      <sheetName val="Valuation"/>
      <sheetName val="Exclusion List"/>
    </sheetNames>
    <sheetDataSet>
      <sheetData sheetId="0" refreshError="1">
        <row r="14">
          <cell r="AR14">
            <v>28</v>
          </cell>
        </row>
        <row r="15">
          <cell r="AR15">
            <v>5</v>
          </cell>
        </row>
        <row r="16">
          <cell r="AR16">
            <v>14</v>
          </cell>
        </row>
        <row r="17">
          <cell r="AR17">
            <v>6</v>
          </cell>
        </row>
        <row r="18">
          <cell r="AR18">
            <v>-5</v>
          </cell>
        </row>
        <row r="512">
          <cell r="B512" t="str">
            <v>売上高</v>
          </cell>
          <cell r="D512" t="str">
            <v>M\</v>
          </cell>
          <cell r="Q512">
            <v>210000</v>
          </cell>
          <cell r="R512">
            <v>105000</v>
          </cell>
          <cell r="S512">
            <v>105000</v>
          </cell>
          <cell r="T512">
            <v>210000</v>
          </cell>
          <cell r="U512">
            <v>105000</v>
          </cell>
          <cell r="V512">
            <v>105000</v>
          </cell>
          <cell r="W512">
            <v>210000</v>
          </cell>
          <cell r="X512">
            <v>93000</v>
          </cell>
          <cell r="Y512">
            <v>100000</v>
          </cell>
          <cell r="Z512">
            <v>193000</v>
          </cell>
          <cell r="AA512">
            <v>91000</v>
          </cell>
          <cell r="AB512">
            <v>94000</v>
          </cell>
          <cell r="AC512">
            <v>185000</v>
          </cell>
        </row>
        <row r="513">
          <cell r="B513" t="str">
            <v>営業利益</v>
          </cell>
          <cell r="D513" t="str">
            <v>M\</v>
          </cell>
          <cell r="Q513">
            <v>8000</v>
          </cell>
          <cell r="R513">
            <v>5000</v>
          </cell>
          <cell r="S513">
            <v>5000</v>
          </cell>
          <cell r="T513">
            <v>10000</v>
          </cell>
          <cell r="V513">
            <v>0</v>
          </cell>
          <cell r="X513">
            <v>3000</v>
          </cell>
          <cell r="Y513">
            <v>4500</v>
          </cell>
          <cell r="Z513">
            <v>7500</v>
          </cell>
          <cell r="AA513">
            <v>3300</v>
          </cell>
          <cell r="AB513">
            <v>4400</v>
          </cell>
          <cell r="AC513">
            <v>7700</v>
          </cell>
        </row>
        <row r="514">
          <cell r="B514" t="str">
            <v>経常利益</v>
          </cell>
          <cell r="D514" t="str">
            <v>M\</v>
          </cell>
          <cell r="Q514">
            <v>6000</v>
          </cell>
          <cell r="R514">
            <v>4000</v>
          </cell>
          <cell r="S514">
            <v>4000</v>
          </cell>
          <cell r="T514">
            <v>8000</v>
          </cell>
          <cell r="U514">
            <v>3600</v>
          </cell>
          <cell r="V514">
            <v>3600</v>
          </cell>
          <cell r="W514">
            <v>7200</v>
          </cell>
          <cell r="X514">
            <v>2000</v>
          </cell>
          <cell r="Y514">
            <v>3000</v>
          </cell>
          <cell r="Z514">
            <v>5000</v>
          </cell>
          <cell r="AA514">
            <v>2500</v>
          </cell>
          <cell r="AB514">
            <v>3500</v>
          </cell>
          <cell r="AC514">
            <v>6000</v>
          </cell>
        </row>
        <row r="515">
          <cell r="B515" t="str">
            <v>当期利益</v>
          </cell>
          <cell r="D515" t="str">
            <v>M\</v>
          </cell>
          <cell r="Q515">
            <v>3000</v>
          </cell>
          <cell r="R515">
            <v>2000</v>
          </cell>
          <cell r="S515">
            <v>2000</v>
          </cell>
          <cell r="T515">
            <v>4000</v>
          </cell>
          <cell r="U515">
            <v>2000</v>
          </cell>
          <cell r="V515">
            <v>2000</v>
          </cell>
          <cell r="W515">
            <v>4000</v>
          </cell>
          <cell r="X515">
            <v>1200</v>
          </cell>
          <cell r="Y515">
            <v>1600</v>
          </cell>
          <cell r="Z515">
            <v>2800</v>
          </cell>
          <cell r="AA515">
            <v>1300</v>
          </cell>
          <cell r="AB515">
            <v>1700</v>
          </cell>
          <cell r="AC515">
            <v>3000</v>
          </cell>
        </row>
        <row r="516">
          <cell r="D516" t="str">
            <v xml:space="preserve"> </v>
          </cell>
        </row>
        <row r="517">
          <cell r="A517" t="str">
            <v>中間決算後の会社予想</v>
          </cell>
          <cell r="D517" t="str">
            <v xml:space="preserve"> </v>
          </cell>
          <cell r="Q517" t="str">
            <v>97/3期</v>
          </cell>
          <cell r="R517" t="str">
            <v>97/9上</v>
          </cell>
          <cell r="S517" t="str">
            <v>下</v>
          </cell>
          <cell r="T517" t="str">
            <v>98/3期</v>
          </cell>
          <cell r="U517" t="str">
            <v>98/9上</v>
          </cell>
          <cell r="V517" t="str">
            <v>下</v>
          </cell>
          <cell r="W517" t="str">
            <v>99/3期</v>
          </cell>
          <cell r="Z517" t="str">
            <v>00/3期</v>
          </cell>
          <cell r="AC517" t="str">
            <v>01/3期</v>
          </cell>
        </row>
        <row r="518">
          <cell r="B518" t="str">
            <v>売上高</v>
          </cell>
          <cell r="D518" t="str">
            <v>M\</v>
          </cell>
          <cell r="Q518">
            <v>200000</v>
          </cell>
          <cell r="S518">
            <v>109491</v>
          </cell>
          <cell r="T518">
            <v>222000</v>
          </cell>
          <cell r="U518">
            <v>104114</v>
          </cell>
          <cell r="V518">
            <v>105886</v>
          </cell>
          <cell r="W518">
            <v>210000</v>
          </cell>
          <cell r="X518">
            <v>91000</v>
          </cell>
          <cell r="Y518">
            <v>93000</v>
          </cell>
          <cell r="Z518">
            <v>184000</v>
          </cell>
          <cell r="AA518">
            <v>92800</v>
          </cell>
          <cell r="AB518">
            <v>94200</v>
          </cell>
          <cell r="AC518">
            <v>187000</v>
          </cell>
        </row>
        <row r="519">
          <cell r="B519" t="str">
            <v>営業利益</v>
          </cell>
          <cell r="D519" t="str">
            <v>M\</v>
          </cell>
          <cell r="Q519">
            <v>7500</v>
          </cell>
          <cell r="S519">
            <v>5552</v>
          </cell>
          <cell r="T519">
            <v>11000</v>
          </cell>
          <cell r="U519">
            <v>4811</v>
          </cell>
          <cell r="V519">
            <v>5689</v>
          </cell>
          <cell r="W519">
            <v>10500</v>
          </cell>
          <cell r="X519">
            <v>750</v>
          </cell>
          <cell r="Y519">
            <v>2350</v>
          </cell>
          <cell r="Z519">
            <v>3100</v>
          </cell>
          <cell r="AA519">
            <v>4000</v>
          </cell>
          <cell r="AB519">
            <v>4600</v>
          </cell>
          <cell r="AC519">
            <v>8600</v>
          </cell>
        </row>
        <row r="520">
          <cell r="B520" t="str">
            <v>経常利益</v>
          </cell>
          <cell r="D520" t="str">
            <v>M\</v>
          </cell>
          <cell r="Q520">
            <v>6000</v>
          </cell>
          <cell r="S520">
            <v>4344</v>
          </cell>
          <cell r="T520">
            <v>8500</v>
          </cell>
          <cell r="U520">
            <v>2863</v>
          </cell>
          <cell r="V520">
            <v>4337</v>
          </cell>
          <cell r="W520">
            <v>7200</v>
          </cell>
          <cell r="X520">
            <v>1200</v>
          </cell>
          <cell r="Y520">
            <v>1300</v>
          </cell>
          <cell r="Z520">
            <v>2500</v>
          </cell>
          <cell r="AA520">
            <v>3200</v>
          </cell>
          <cell r="AB520">
            <v>3800</v>
          </cell>
          <cell r="AC520">
            <v>7000</v>
          </cell>
        </row>
        <row r="521">
          <cell r="B521" t="str">
            <v>当期利益</v>
          </cell>
          <cell r="D521" t="str">
            <v>M\</v>
          </cell>
          <cell r="Q521">
            <v>3000</v>
          </cell>
          <cell r="S521">
            <v>1985</v>
          </cell>
          <cell r="T521">
            <v>4500</v>
          </cell>
          <cell r="U521">
            <v>1269</v>
          </cell>
          <cell r="V521">
            <v>2731</v>
          </cell>
          <cell r="W521">
            <v>4000</v>
          </cell>
          <cell r="X521">
            <v>900</v>
          </cell>
          <cell r="Y521">
            <v>700</v>
          </cell>
          <cell r="Z521">
            <v>1600</v>
          </cell>
          <cell r="AA521">
            <v>1700</v>
          </cell>
          <cell r="AB521">
            <v>1800</v>
          </cell>
          <cell r="AC521">
            <v>3500</v>
          </cell>
        </row>
        <row r="522">
          <cell r="D522" t="str">
            <v xml:space="preserve"> </v>
          </cell>
        </row>
        <row r="523">
          <cell r="A523" t="str">
            <v>修正後の会社予想</v>
          </cell>
          <cell r="D523" t="str">
            <v xml:space="preserve"> </v>
          </cell>
          <cell r="Q523" t="str">
            <v>97/3期</v>
          </cell>
          <cell r="R523" t="str">
            <v>97/9上</v>
          </cell>
          <cell r="S523" t="str">
            <v>下</v>
          </cell>
          <cell r="T523" t="str">
            <v>98/3期</v>
          </cell>
          <cell r="U523" t="str">
            <v>98/9上</v>
          </cell>
          <cell r="V523" t="str">
            <v>下</v>
          </cell>
          <cell r="W523" t="str">
            <v>99/3期</v>
          </cell>
          <cell r="Z523" t="str">
            <v>00/3期</v>
          </cell>
          <cell r="AC523" t="str">
            <v>01/3期</v>
          </cell>
        </row>
        <row r="524">
          <cell r="B524" t="str">
            <v>売上高</v>
          </cell>
          <cell r="D524" t="str">
            <v>M\</v>
          </cell>
          <cell r="U524">
            <v>112509</v>
          </cell>
          <cell r="V524">
            <v>82491</v>
          </cell>
          <cell r="W524">
            <v>195000</v>
          </cell>
          <cell r="X524">
            <v>92411</v>
          </cell>
          <cell r="Y524">
            <v>91589</v>
          </cell>
          <cell r="Z524">
            <v>184000</v>
          </cell>
          <cell r="AC524">
            <v>188600</v>
          </cell>
        </row>
        <row r="525">
          <cell r="B525" t="str">
            <v>営業利益</v>
          </cell>
          <cell r="D525" t="str">
            <v>M\</v>
          </cell>
          <cell r="U525">
            <v>5448</v>
          </cell>
          <cell r="V525">
            <v>-5448</v>
          </cell>
          <cell r="W525" t="str">
            <v>-</v>
          </cell>
          <cell r="X525">
            <v>739</v>
          </cell>
          <cell r="Y525">
            <v>2261</v>
          </cell>
          <cell r="Z525">
            <v>3000</v>
          </cell>
          <cell r="AC525">
            <v>8500</v>
          </cell>
        </row>
        <row r="526">
          <cell r="B526" t="str">
            <v>経常利益</v>
          </cell>
          <cell r="D526" t="str">
            <v>M\</v>
          </cell>
          <cell r="U526">
            <v>4156</v>
          </cell>
          <cell r="V526">
            <v>1144</v>
          </cell>
          <cell r="W526">
            <v>5300</v>
          </cell>
          <cell r="X526">
            <v>1209</v>
          </cell>
          <cell r="Y526">
            <v>1291</v>
          </cell>
          <cell r="Z526">
            <v>2500</v>
          </cell>
          <cell r="AC526">
            <v>7000</v>
          </cell>
        </row>
        <row r="527">
          <cell r="B527" t="str">
            <v>当期利益</v>
          </cell>
          <cell r="D527" t="str">
            <v>M\</v>
          </cell>
          <cell r="U527">
            <v>2515</v>
          </cell>
          <cell r="V527">
            <v>-1515</v>
          </cell>
          <cell r="W527">
            <v>1000</v>
          </cell>
          <cell r="X527">
            <v>1015</v>
          </cell>
          <cell r="Y527">
            <v>585</v>
          </cell>
          <cell r="Z527">
            <v>1600</v>
          </cell>
          <cell r="AC527">
            <v>3500</v>
          </cell>
        </row>
        <row r="529">
          <cell r="A529" t="str">
            <v>自分の業績予想の要約</v>
          </cell>
          <cell r="D529" t="str">
            <v xml:space="preserve"> </v>
          </cell>
          <cell r="Q529" t="str">
            <v>97/3期</v>
          </cell>
          <cell r="R529" t="str">
            <v>97/9上</v>
          </cell>
          <cell r="S529" t="str">
            <v>下</v>
          </cell>
          <cell r="T529" t="str">
            <v>98/3期</v>
          </cell>
          <cell r="U529" t="str">
            <v>98/9上</v>
          </cell>
          <cell r="V529" t="str">
            <v>下</v>
          </cell>
          <cell r="W529" t="str">
            <v>99/3期</v>
          </cell>
          <cell r="Z529" t="str">
            <v>00/3期</v>
          </cell>
          <cell r="AC529" t="str">
            <v>01/3期</v>
          </cell>
        </row>
        <row r="530">
          <cell r="B530" t="str">
            <v>売上高</v>
          </cell>
          <cell r="D530" t="str">
            <v>M\</v>
          </cell>
          <cell r="Q530">
            <v>212588</v>
          </cell>
          <cell r="R530">
            <v>112509</v>
          </cell>
          <cell r="S530">
            <v>108769</v>
          </cell>
          <cell r="T530">
            <v>221278</v>
          </cell>
          <cell r="U530">
            <v>104114</v>
          </cell>
          <cell r="V530">
            <v>105886</v>
          </cell>
          <cell r="W530">
            <v>196247</v>
          </cell>
          <cell r="X530">
            <v>92411</v>
          </cell>
          <cell r="Y530">
            <v>94325</v>
          </cell>
          <cell r="Z530">
            <v>186736</v>
          </cell>
          <cell r="AA530">
            <v>93449</v>
          </cell>
          <cell r="AB530">
            <v>95973</v>
          </cell>
          <cell r="AC530">
            <v>189422</v>
          </cell>
        </row>
        <row r="531">
          <cell r="B531" t="str">
            <v>営業利益</v>
          </cell>
          <cell r="D531" t="str">
            <v>M\</v>
          </cell>
          <cell r="Q531">
            <v>8473</v>
          </cell>
          <cell r="R531">
            <v>5448</v>
          </cell>
          <cell r="S531">
            <v>6280</v>
          </cell>
          <cell r="T531">
            <v>11728</v>
          </cell>
          <cell r="U531">
            <v>4811</v>
          </cell>
          <cell r="V531">
            <v>-4811</v>
          </cell>
          <cell r="W531">
            <v>9099</v>
          </cell>
          <cell r="X531">
            <v>739</v>
          </cell>
          <cell r="Y531">
            <v>2937</v>
          </cell>
          <cell r="Z531">
            <v>3676</v>
          </cell>
          <cell r="AA531">
            <v>3823</v>
          </cell>
          <cell r="AB531">
            <v>4774</v>
          </cell>
          <cell r="AC531">
            <v>8597</v>
          </cell>
        </row>
        <row r="532">
          <cell r="B532" t="str">
            <v>経常利益</v>
          </cell>
          <cell r="D532" t="str">
            <v>M\</v>
          </cell>
          <cell r="Q532">
            <v>6780</v>
          </cell>
          <cell r="R532">
            <v>4156</v>
          </cell>
          <cell r="S532">
            <v>4254</v>
          </cell>
          <cell r="T532">
            <v>8410</v>
          </cell>
          <cell r="U532">
            <v>2863</v>
          </cell>
          <cell r="V532">
            <v>4337</v>
          </cell>
          <cell r="W532">
            <v>5436</v>
          </cell>
          <cell r="X532">
            <v>1209</v>
          </cell>
          <cell r="Y532">
            <v>2206</v>
          </cell>
          <cell r="Z532">
            <v>3415</v>
          </cell>
          <cell r="AA532">
            <v>3188</v>
          </cell>
          <cell r="AB532">
            <v>4246</v>
          </cell>
          <cell r="AC532">
            <v>7434</v>
          </cell>
        </row>
        <row r="533">
          <cell r="B533" t="str">
            <v>当期利益</v>
          </cell>
          <cell r="D533" t="str">
            <v>M\</v>
          </cell>
          <cell r="Q533">
            <v>2642</v>
          </cell>
          <cell r="R533">
            <v>2515</v>
          </cell>
          <cell r="S533">
            <v>1930</v>
          </cell>
          <cell r="T533">
            <v>4445</v>
          </cell>
          <cell r="U533">
            <v>1269</v>
          </cell>
          <cell r="V533">
            <v>2731</v>
          </cell>
          <cell r="W533">
            <v>1249</v>
          </cell>
          <cell r="X533">
            <v>1015</v>
          </cell>
          <cell r="Y533">
            <v>-371</v>
          </cell>
          <cell r="Z533">
            <v>644</v>
          </cell>
          <cell r="AA533">
            <v>1886</v>
          </cell>
          <cell r="AB533">
            <v>1735</v>
          </cell>
          <cell r="AC533">
            <v>3621</v>
          </cell>
        </row>
        <row r="534">
          <cell r="B534" t="str">
            <v>ｷｬｯｼｭﾌﾛｰ</v>
          </cell>
          <cell r="D534" t="str">
            <v>M\</v>
          </cell>
          <cell r="Q534">
            <v>6569</v>
          </cell>
          <cell r="T534">
            <v>8397</v>
          </cell>
          <cell r="W534">
            <v>5219</v>
          </cell>
          <cell r="X534">
            <v>0</v>
          </cell>
          <cell r="Y534">
            <v>0</v>
          </cell>
          <cell r="Z534">
            <v>5272</v>
          </cell>
          <cell r="AA534">
            <v>0</v>
          </cell>
          <cell r="AB534">
            <v>0</v>
          </cell>
          <cell r="AC534">
            <v>7744</v>
          </cell>
        </row>
        <row r="535">
          <cell r="B535" t="str">
            <v>ＥＰＳ</v>
          </cell>
          <cell r="D535" t="str">
            <v xml:space="preserve"> </v>
          </cell>
          <cell r="Q535">
            <v>9.3778729053303369</v>
          </cell>
          <cell r="T535">
            <v>15.777685489853653</v>
          </cell>
          <cell r="W535">
            <v>4.4585484502642458</v>
          </cell>
          <cell r="X535">
            <v>0</v>
          </cell>
          <cell r="Y535">
            <v>0</v>
          </cell>
          <cell r="Z535">
            <v>2.3091291751816403</v>
          </cell>
          <cell r="AA535">
            <v>0</v>
          </cell>
          <cell r="AB535">
            <v>0</v>
          </cell>
          <cell r="AC535">
            <v>12.474266786471992</v>
          </cell>
        </row>
        <row r="536">
          <cell r="B536" t="str">
            <v>ＣＦＰＳ</v>
          </cell>
          <cell r="Q536">
            <v>23.316898983767974</v>
          </cell>
          <cell r="T536">
            <v>29.805449956873144</v>
          </cell>
          <cell r="W536">
            <v>18.63023567808575</v>
          </cell>
          <cell r="X536">
            <v>0</v>
          </cell>
          <cell r="Y536">
            <v>0</v>
          </cell>
          <cell r="Z536">
            <v>18.903305918567714</v>
          </cell>
          <cell r="AA536">
            <v>0</v>
          </cell>
          <cell r="AB536">
            <v>0</v>
          </cell>
          <cell r="AC536">
            <v>26.677912729753963</v>
          </cell>
        </row>
        <row r="537">
          <cell r="B537" t="str">
            <v>ＢＰＳ</v>
          </cell>
          <cell r="D537" t="str">
            <v xml:space="preserve"> </v>
          </cell>
          <cell r="Q537">
            <v>274.47138541921788</v>
          </cell>
          <cell r="T537">
            <v>285.04545180263165</v>
          </cell>
          <cell r="W537">
            <v>283.40518700030344</v>
          </cell>
          <cell r="X537">
            <v>0</v>
          </cell>
          <cell r="Y537">
            <v>0</v>
          </cell>
          <cell r="Z537">
            <v>284.88701918588026</v>
          </cell>
          <cell r="AA537">
            <v>0</v>
          </cell>
          <cell r="AB537">
            <v>0</v>
          </cell>
          <cell r="AC537">
            <v>301.13934185933795</v>
          </cell>
        </row>
        <row r="538">
          <cell r="B538" t="str">
            <v>ＲＯＥ</v>
          </cell>
          <cell r="D538" t="str">
            <v xml:space="preserve"> </v>
          </cell>
          <cell r="Q538">
            <v>3.4167033080723171E-2</v>
          </cell>
          <cell r="T538">
            <v>5.5351472511051616E-2</v>
          </cell>
          <cell r="W538">
            <v>1.5732063683998387E-2</v>
          </cell>
          <cell r="X538">
            <v>0</v>
          </cell>
          <cell r="Y538">
            <v>0</v>
          </cell>
          <cell r="Z538">
            <v>8.1054208148213392E-3</v>
          </cell>
          <cell r="AA538">
            <v>0</v>
          </cell>
          <cell r="AB538">
            <v>0</v>
          </cell>
          <cell r="AC538">
            <v>4.1423570595099185E-2</v>
          </cell>
        </row>
        <row r="539">
          <cell r="B539" t="str">
            <v>発行済株式数</v>
          </cell>
          <cell r="D539" t="str">
            <v xml:space="preserve"> </v>
          </cell>
          <cell r="Q539">
            <v>281727</v>
          </cell>
          <cell r="T539">
            <v>281727</v>
          </cell>
          <cell r="W539">
            <v>280136.016</v>
          </cell>
          <cell r="X539">
            <v>0</v>
          </cell>
          <cell r="Y539">
            <v>0</v>
          </cell>
          <cell r="Z539">
            <v>278893.016</v>
          </cell>
          <cell r="AA539">
            <v>0</v>
          </cell>
          <cell r="AB539">
            <v>0</v>
          </cell>
          <cell r="AC539">
            <v>290277.58199999999</v>
          </cell>
        </row>
        <row r="540">
          <cell r="C540" t="str">
            <v>売上前期比</v>
          </cell>
          <cell r="D540" t="str">
            <v xml:space="preserve"> </v>
          </cell>
          <cell r="T540">
            <v>4.0877189681449488E-2</v>
          </cell>
          <cell r="U540">
            <v>-7.461625292198848E-2</v>
          </cell>
          <cell r="V540">
            <v>-2.6505713944230402E-2</v>
          </cell>
          <cell r="W540">
            <v>-0.11312014750675625</v>
          </cell>
          <cell r="X540">
            <v>-0.11240563228768463</v>
          </cell>
          <cell r="Y540">
            <v>-0.10918346145854974</v>
          </cell>
          <cell r="Z540">
            <v>-4.8464435125122884E-2</v>
          </cell>
          <cell r="AA540">
            <v>1.1232429039832903E-2</v>
          </cell>
          <cell r="AB540">
            <v>1.7471508083753085E-2</v>
          </cell>
          <cell r="AC540">
            <v>1.4383943106845987E-2</v>
          </cell>
        </row>
        <row r="541">
          <cell r="C541" t="str">
            <v>営業前期比</v>
          </cell>
          <cell r="D541" t="str">
            <v xml:space="preserve"> </v>
          </cell>
          <cell r="T541">
            <v>0.38416145403044966</v>
          </cell>
          <cell r="U541">
            <v>-0.11692364170337743</v>
          </cell>
          <cell r="V541">
            <v>-1.7660828025477708</v>
          </cell>
          <cell r="W541">
            <v>-0.22416439290586632</v>
          </cell>
          <cell r="X541">
            <v>-0.84639368114737057</v>
          </cell>
          <cell r="Y541">
            <v>-1.6104759925171481</v>
          </cell>
          <cell r="Z541">
            <v>-0.59599956039125179</v>
          </cell>
          <cell r="AA541">
            <v>4.1732070365358593</v>
          </cell>
          <cell r="AB541">
            <v>0.62546816479400746</v>
          </cell>
          <cell r="AC541">
            <v>1.3386833514689882</v>
          </cell>
        </row>
        <row r="542">
          <cell r="C542" t="str">
            <v>経常前期比</v>
          </cell>
          <cell r="D542" t="str">
            <v xml:space="preserve"> </v>
          </cell>
          <cell r="T542">
            <v>0.24041297935103234</v>
          </cell>
          <cell r="U542">
            <v>-0.31111645813282007</v>
          </cell>
          <cell r="V542">
            <v>1.9511048425011834E-2</v>
          </cell>
          <cell r="W542">
            <v>-0.35362663495838287</v>
          </cell>
          <cell r="X542">
            <v>-0.57771568285015718</v>
          </cell>
          <cell r="Y542">
            <v>-0.49135347014065023</v>
          </cell>
          <cell r="Z542">
            <v>-0.37178072111846949</v>
          </cell>
          <cell r="AA542">
            <v>1.6368899917287014</v>
          </cell>
          <cell r="AB542">
            <v>0.92475067996373528</v>
          </cell>
          <cell r="AC542">
            <v>1.1768667642752564</v>
          </cell>
        </row>
        <row r="543">
          <cell r="C543" t="str">
            <v>当期前期比</v>
          </cell>
          <cell r="D543" t="str">
            <v xml:space="preserve"> </v>
          </cell>
          <cell r="I543" t="str">
            <v>-</v>
          </cell>
          <cell r="J543" t="str">
            <v>-</v>
          </cell>
          <cell r="K543" t="str">
            <v>-</v>
          </cell>
          <cell r="T543">
            <v>0.68243754731264183</v>
          </cell>
          <cell r="U543">
            <v>-0.49542743538767398</v>
          </cell>
          <cell r="V543">
            <v>0.41502590673575135</v>
          </cell>
          <cell r="W543">
            <v>-0.71901012373453321</v>
          </cell>
          <cell r="X543">
            <v>-0.20015760441292352</v>
          </cell>
          <cell r="Y543">
            <v>-1.1358476748443793</v>
          </cell>
          <cell r="Z543">
            <v>-0.48438751000800639</v>
          </cell>
          <cell r="AA543">
            <v>0.8581280788177339</v>
          </cell>
          <cell r="AB543">
            <v>-5.6765498652291102</v>
          </cell>
          <cell r="AC543">
            <v>4.6226708074534164</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row r="164">
          <cell r="E164">
            <v>1247</v>
          </cell>
          <cell r="F164">
            <v>1807</v>
          </cell>
          <cell r="G164">
            <v>2812</v>
          </cell>
          <cell r="H164">
            <v>2828</v>
          </cell>
          <cell r="I164">
            <v>6670</v>
          </cell>
        </row>
        <row r="165">
          <cell r="E165" t="e">
            <v>#VALUE!</v>
          </cell>
          <cell r="F165" t="e">
            <v>#VALUE!</v>
          </cell>
          <cell r="G165" t="e">
            <v>#VALUE!</v>
          </cell>
          <cell r="H165" t="e">
            <v>#VALUE!</v>
          </cell>
          <cell r="I165" t="e">
            <v>#VALUE!</v>
          </cell>
        </row>
        <row r="167">
          <cell r="E167">
            <v>2721</v>
          </cell>
          <cell r="F167">
            <v>1584</v>
          </cell>
          <cell r="G167">
            <v>1802</v>
          </cell>
          <cell r="H167">
            <v>1616</v>
          </cell>
          <cell r="I167">
            <v>795</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Y UPLOAD"/>
      <sheetName val="Valuations"/>
      <sheetName val="Five Year Sales &amp; Earnings"/>
      <sheetName val="Qtr Income"/>
      <sheetName val="Qtr Margin"/>
      <sheetName val="Q Preview"/>
      <sheetName val="Qtr Sales"/>
      <sheetName val="Annual Product Sales"/>
      <sheetName val="Annual Prod Sales"/>
      <sheetName val="CF2"/>
      <sheetName val="BS2"/>
      <sheetName val="P&amp;L"/>
      <sheetName val="QTR"/>
      <sheetName val="blank"/>
      <sheetName val="Balance"/>
      <sheetName val="Cash flow"/>
      <sheetName val="IS-COMPS"/>
      <sheetName val="Paul - SEGS-MARGIN"/>
      <sheetName val="CF"/>
      <sheetName val="Qtr Link"/>
      <sheetName val="JV"/>
      <sheetName val="Stat SHeet"/>
      <sheetName val="Qtr detail"/>
      <sheetName val="Rx Data"/>
      <sheetName val="Celexa"/>
      <sheetName val="Disclaimer"/>
      <sheetName val="IndexInformation"/>
      <sheetName val="MainCode"/>
      <sheetName val="NY UPLOAD shadow"/>
      <sheetName val="Module1"/>
      <sheetName val="Module2"/>
      <sheetName val="Module3"/>
      <sheetName val="Key Charts"/>
      <sheetName val="Qrt Sales"/>
      <sheetName val="WLAwork1"/>
      <sheetName val="Enbrel Assumptions"/>
    </sheetNames>
    <sheetDataSet>
      <sheetData sheetId="0" refreshError="1"/>
      <sheetData sheetId="1" refreshError="1"/>
      <sheetData sheetId="2" refreshError="1"/>
      <sheetData sheetId="3" refreshError="1"/>
      <sheetData sheetId="4" refreshError="1"/>
      <sheetData sheetId="5" refreshError="1"/>
      <sheetData sheetId="6" refreshError="1">
        <row r="2">
          <cell r="A2" t="str">
            <v>Table 5</v>
          </cell>
          <cell r="EM2" t="str">
            <v>Table 4 Continued</v>
          </cell>
        </row>
        <row r="3">
          <cell r="EM3" t="str">
            <v>Warner Lambert</v>
          </cell>
        </row>
        <row r="4">
          <cell r="EM4" t="str">
            <v>Quarterly/Annual Sales Analysis 1998-2005E -- Confectionery</v>
          </cell>
        </row>
        <row r="5">
          <cell r="EM5" t="str">
            <v>($ Millions)</v>
          </cell>
        </row>
        <row r="6">
          <cell r="EN6" t="str">
            <v>Bubblicious</v>
          </cell>
          <cell r="ER6" t="str">
            <v>Dentyne</v>
          </cell>
          <cell r="EV6" t="str">
            <v>Bubbaloo</v>
          </cell>
          <cell r="EZ6" t="str">
            <v>Other</v>
          </cell>
          <cell r="FD6" t="str">
            <v>Total</v>
          </cell>
          <cell r="FH6" t="str">
            <v>Total Corporate Sales</v>
          </cell>
        </row>
        <row r="7">
          <cell r="EN7" t="str">
            <v>U.S.</v>
          </cell>
          <cell r="EO7" t="str">
            <v>Intl</v>
          </cell>
          <cell r="EP7" t="str">
            <v>W/W</v>
          </cell>
          <cell r="ER7" t="str">
            <v>U.S.</v>
          </cell>
          <cell r="ES7" t="str">
            <v>Intl</v>
          </cell>
          <cell r="ET7" t="str">
            <v>W/W</v>
          </cell>
          <cell r="EV7" t="str">
            <v>U.S.</v>
          </cell>
          <cell r="EW7" t="str">
            <v>Intl</v>
          </cell>
          <cell r="EX7" t="str">
            <v>W/W</v>
          </cell>
          <cell r="EZ7" t="str">
            <v>U.S.</v>
          </cell>
          <cell r="FA7" t="str">
            <v>Intl</v>
          </cell>
          <cell r="FB7" t="str">
            <v>W/W</v>
          </cell>
          <cell r="FD7" t="str">
            <v>U.S.</v>
          </cell>
          <cell r="FE7" t="str">
            <v>Intl</v>
          </cell>
          <cell r="FF7" t="str">
            <v>W/W</v>
          </cell>
          <cell r="FH7" t="str">
            <v>U.S.</v>
          </cell>
          <cell r="FI7" t="str">
            <v>Intl</v>
          </cell>
          <cell r="FJ7" t="str">
            <v>W/W</v>
          </cell>
        </row>
        <row r="10">
          <cell r="EM10" t="str">
            <v xml:space="preserve">1994 </v>
          </cell>
        </row>
        <row r="11">
          <cell r="EM11" t="str">
            <v xml:space="preserve"> 1Q</v>
          </cell>
          <cell r="EN11">
            <v>15.1</v>
          </cell>
          <cell r="EO11">
            <v>7.8</v>
          </cell>
          <cell r="EP11">
            <v>22.9</v>
          </cell>
          <cell r="ER11">
            <v>12</v>
          </cell>
          <cell r="ES11">
            <v>9</v>
          </cell>
          <cell r="ET11">
            <v>21</v>
          </cell>
          <cell r="EV11">
            <v>0</v>
          </cell>
          <cell r="EW11">
            <v>9</v>
          </cell>
          <cell r="EX11">
            <v>9</v>
          </cell>
          <cell r="EZ11">
            <v>14.799999999999997</v>
          </cell>
          <cell r="FA11">
            <v>53.499999999999986</v>
          </cell>
          <cell r="FB11">
            <v>68.299999999999983</v>
          </cell>
          <cell r="FD11">
            <v>129.6</v>
          </cell>
          <cell r="FE11">
            <v>280.39999999999998</v>
          </cell>
          <cell r="FF11">
            <v>410</v>
          </cell>
          <cell r="FH11">
            <v>658.6</v>
          </cell>
          <cell r="FI11">
            <v>814.4</v>
          </cell>
          <cell r="FJ11">
            <v>1473</v>
          </cell>
        </row>
        <row r="12">
          <cell r="EM12" t="str">
            <v xml:space="preserve"> 2Q</v>
          </cell>
          <cell r="EN12">
            <v>17.2</v>
          </cell>
          <cell r="EO12">
            <v>11.1</v>
          </cell>
          <cell r="EP12">
            <v>28.299999999999997</v>
          </cell>
          <cell r="ER12">
            <v>15</v>
          </cell>
          <cell r="ES12">
            <v>10</v>
          </cell>
          <cell r="ET12">
            <v>25</v>
          </cell>
          <cell r="EV12">
            <v>0</v>
          </cell>
          <cell r="EW12">
            <v>9</v>
          </cell>
          <cell r="EX12">
            <v>9</v>
          </cell>
          <cell r="EZ12">
            <v>17.799999999999983</v>
          </cell>
          <cell r="FA12">
            <v>49.500000000000028</v>
          </cell>
          <cell r="FB12">
            <v>67.300000000000011</v>
          </cell>
          <cell r="FD12">
            <v>151.19999999999999</v>
          </cell>
          <cell r="FE12">
            <v>285.90000000000003</v>
          </cell>
          <cell r="FF12">
            <v>437.1</v>
          </cell>
          <cell r="FH12">
            <v>723.8</v>
          </cell>
          <cell r="FI12">
            <v>828.40000000000009</v>
          </cell>
          <cell r="FJ12">
            <v>1552.2</v>
          </cell>
        </row>
        <row r="13">
          <cell r="EM13" t="str">
            <v xml:space="preserve"> 3Q</v>
          </cell>
          <cell r="EN13">
            <v>9.1</v>
          </cell>
          <cell r="EO13">
            <v>8.1999999999999993</v>
          </cell>
          <cell r="EP13">
            <v>17.299999999999997</v>
          </cell>
          <cell r="ER13">
            <v>13</v>
          </cell>
          <cell r="ES13">
            <v>10</v>
          </cell>
          <cell r="ET13">
            <v>23</v>
          </cell>
          <cell r="EV13">
            <v>0</v>
          </cell>
          <cell r="EW13">
            <v>11</v>
          </cell>
          <cell r="EX13">
            <v>11</v>
          </cell>
          <cell r="EZ13">
            <v>29.699999999999996</v>
          </cell>
          <cell r="FA13">
            <v>51.500000000000014</v>
          </cell>
          <cell r="FB13">
            <v>81.200000000000017</v>
          </cell>
          <cell r="FD13">
            <v>182.1</v>
          </cell>
          <cell r="FE13">
            <v>270.8</v>
          </cell>
          <cell r="FF13">
            <v>452.9</v>
          </cell>
          <cell r="FH13">
            <v>825.00000000000011</v>
          </cell>
          <cell r="FI13">
            <v>845.90000000000009</v>
          </cell>
          <cell r="FJ13">
            <v>1670.9</v>
          </cell>
        </row>
        <row r="14">
          <cell r="EM14" t="str">
            <v xml:space="preserve"> 4Q</v>
          </cell>
          <cell r="EN14">
            <v>9.6</v>
          </cell>
          <cell r="EO14">
            <v>10.6</v>
          </cell>
          <cell r="EP14">
            <v>20.2</v>
          </cell>
          <cell r="ER14">
            <v>12</v>
          </cell>
          <cell r="ES14">
            <v>11</v>
          </cell>
          <cell r="ET14">
            <v>23</v>
          </cell>
          <cell r="EV14">
            <v>0</v>
          </cell>
          <cell r="EW14">
            <v>14</v>
          </cell>
          <cell r="EX14">
            <v>14</v>
          </cell>
          <cell r="EZ14">
            <v>22.599999999999994</v>
          </cell>
          <cell r="FA14">
            <v>61.199999999999974</v>
          </cell>
          <cell r="FB14">
            <v>83.799999999999969</v>
          </cell>
          <cell r="FD14">
            <v>173.7</v>
          </cell>
          <cell r="FE14">
            <v>337.7</v>
          </cell>
          <cell r="FF14">
            <v>511.4</v>
          </cell>
          <cell r="FH14">
            <v>746.8</v>
          </cell>
          <cell r="FI14">
            <v>974</v>
          </cell>
          <cell r="FJ14">
            <v>1720.8</v>
          </cell>
        </row>
        <row r="16">
          <cell r="EM16" t="str">
            <v>1994</v>
          </cell>
          <cell r="EN16">
            <v>51</v>
          </cell>
          <cell r="EO16">
            <v>37.699999999999996</v>
          </cell>
          <cell r="EP16">
            <v>88.7</v>
          </cell>
          <cell r="ER16">
            <v>52</v>
          </cell>
          <cell r="ES16">
            <v>40</v>
          </cell>
          <cell r="ET16">
            <v>92</v>
          </cell>
          <cell r="EV16">
            <v>0</v>
          </cell>
          <cell r="EW16">
            <v>43</v>
          </cell>
          <cell r="EX16">
            <v>43</v>
          </cell>
          <cell r="EZ16">
            <v>84.899999999999977</v>
          </cell>
          <cell r="FA16">
            <v>215.7</v>
          </cell>
          <cell r="FB16">
            <v>300.59999999999997</v>
          </cell>
          <cell r="FD16">
            <v>636.59999999999991</v>
          </cell>
          <cell r="FE16">
            <v>1174.8</v>
          </cell>
          <cell r="FF16">
            <v>1811.4</v>
          </cell>
          <cell r="FH16">
            <v>2954.2</v>
          </cell>
          <cell r="FI16">
            <v>3462.7000000000003</v>
          </cell>
          <cell r="FJ16">
            <v>6416.9000000000005</v>
          </cell>
        </row>
        <row r="18">
          <cell r="EM18" t="str">
            <v>1995/94 % Change</v>
          </cell>
        </row>
        <row r="19">
          <cell r="EM19" t="str">
            <v xml:space="preserve"> 1Q</v>
          </cell>
          <cell r="EN19">
            <v>5.2980132450331174E-2</v>
          </cell>
          <cell r="EO19">
            <v>0.11538461538461542</v>
          </cell>
          <cell r="EP19">
            <v>7.4235807860262071E-2</v>
          </cell>
          <cell r="ER19">
            <v>-0.25</v>
          </cell>
          <cell r="ES19">
            <v>0</v>
          </cell>
          <cell r="ET19">
            <v>-0.1428571428571429</v>
          </cell>
          <cell r="EV19" t="str">
            <v>NM</v>
          </cell>
          <cell r="EW19">
            <v>0.55555555555555558</v>
          </cell>
          <cell r="EX19">
            <v>0.55555555555555558</v>
          </cell>
          <cell r="EZ19">
            <v>4.4408920985006262E-16</v>
          </cell>
          <cell r="FA19">
            <v>0.19252336448598073</v>
          </cell>
          <cell r="FB19">
            <v>0.15080527086383588</v>
          </cell>
          <cell r="FD19">
            <v>-9.6450617283950657E-2</v>
          </cell>
          <cell r="FE19">
            <v>3.3166904422254007E-2</v>
          </cell>
          <cell r="FF19">
            <v>-7.8048780487806058E-3</v>
          </cell>
          <cell r="FH19">
            <v>3.0367446097783191E-2</v>
          </cell>
          <cell r="FI19">
            <v>0.13670186640471527</v>
          </cell>
          <cell r="FJ19">
            <v>8.9158180583842395E-2</v>
          </cell>
        </row>
        <row r="20">
          <cell r="EM20" t="str">
            <v xml:space="preserve"> 2Q</v>
          </cell>
          <cell r="EN20">
            <v>-0.19186046511627897</v>
          </cell>
          <cell r="EO20">
            <v>9.009009009008917E-3</v>
          </cell>
          <cell r="EP20">
            <v>-0.11307420494699638</v>
          </cell>
          <cell r="ER20">
            <v>-0.19999999999999996</v>
          </cell>
          <cell r="ES20">
            <v>0</v>
          </cell>
          <cell r="ET20">
            <v>-0.12</v>
          </cell>
          <cell r="EV20" t="str">
            <v>NM</v>
          </cell>
          <cell r="EW20">
            <v>1</v>
          </cell>
          <cell r="EX20">
            <v>1</v>
          </cell>
          <cell r="EZ20">
            <v>-0.11235955056179547</v>
          </cell>
          <cell r="FA20">
            <v>0.34343434343434232</v>
          </cell>
          <cell r="FB20">
            <v>0.2228826151560177</v>
          </cell>
          <cell r="FD20">
            <v>-0.12830687830687815</v>
          </cell>
          <cell r="FE20">
            <v>0.14585519412381953</v>
          </cell>
          <cell r="FF20">
            <v>5.1018073667353114E-2</v>
          </cell>
          <cell r="FH20">
            <v>5.8856037579442022E-2</v>
          </cell>
          <cell r="FI20">
            <v>0.24725977788507958</v>
          </cell>
          <cell r="FJ20">
            <v>0.15940600438087871</v>
          </cell>
        </row>
        <row r="21">
          <cell r="EM21" t="str">
            <v xml:space="preserve"> 3Q</v>
          </cell>
          <cell r="EN21">
            <v>0.23076923076923084</v>
          </cell>
          <cell r="EO21">
            <v>0.19512195121951237</v>
          </cell>
          <cell r="EP21">
            <v>0.21387283236994237</v>
          </cell>
          <cell r="ER21">
            <v>-0.30000000000000004</v>
          </cell>
          <cell r="ES21">
            <v>0.10000000000000009</v>
          </cell>
          <cell r="ET21">
            <v>-0.12608695652173907</v>
          </cell>
          <cell r="EV21" t="str">
            <v>NM</v>
          </cell>
          <cell r="EW21">
            <v>0.81818181818181812</v>
          </cell>
          <cell r="EX21">
            <v>0.81818181818181812</v>
          </cell>
          <cell r="EZ21">
            <v>-8.0808080808080995E-2</v>
          </cell>
          <cell r="FA21">
            <v>0.13980582524271767</v>
          </cell>
          <cell r="FB21">
            <v>5.9113300492610321E-2</v>
          </cell>
          <cell r="FD21">
            <v>-5.4914881933003867E-2</v>
          </cell>
          <cell r="FE21">
            <v>0.16248153618906946</v>
          </cell>
          <cell r="FF21">
            <v>7.5071759770368729E-2</v>
          </cell>
          <cell r="FH21">
            <v>-2.6666666666666838E-2</v>
          </cell>
          <cell r="FI21">
            <v>0.15013594987587164</v>
          </cell>
          <cell r="FJ21">
            <v>6.2840385421030431E-2</v>
          </cell>
        </row>
        <row r="22">
          <cell r="EM22" t="str">
            <v xml:space="preserve"> 4Q</v>
          </cell>
          <cell r="EN22">
            <v>0.11458333333333326</v>
          </cell>
          <cell r="EO22">
            <v>8.4905660377358583E-2</v>
          </cell>
          <cell r="EP22">
            <v>9.9009900990099098E-2</v>
          </cell>
          <cell r="ER22">
            <v>-0.16666666666666663</v>
          </cell>
          <cell r="ES22">
            <v>9.0909090909090828E-2</v>
          </cell>
          <cell r="ET22">
            <v>-4.3478260869565188E-2</v>
          </cell>
          <cell r="EV22" t="str">
            <v>NM</v>
          </cell>
          <cell r="EW22">
            <v>0.71428571428571419</v>
          </cell>
          <cell r="EX22">
            <v>0.71428571428571419</v>
          </cell>
          <cell r="EZ22">
            <v>-4.4247787610617317E-3</v>
          </cell>
          <cell r="FA22">
            <v>6.6993464052287788E-2</v>
          </cell>
          <cell r="FB22">
            <v>4.7732696897374804E-2</v>
          </cell>
          <cell r="FD22">
            <v>-5.526770293609673E-2</v>
          </cell>
          <cell r="FE22">
            <v>0.12289013917678404</v>
          </cell>
          <cell r="FF22">
            <v>6.2377786468517771E-2</v>
          </cell>
          <cell r="FH22">
            <v>3.6957686127477185E-2</v>
          </cell>
          <cell r="FI22">
            <v>0.11447638603696109</v>
          </cell>
          <cell r="FJ22">
            <v>8.0834495583449684E-2</v>
          </cell>
        </row>
        <row r="24">
          <cell r="EM24" t="str">
            <v>1995/94</v>
          </cell>
          <cell r="EN24">
            <v>1.3725490196078383E-2</v>
          </cell>
          <cell r="EO24">
            <v>9.2838196286472385E-2</v>
          </cell>
          <cell r="EP24">
            <v>4.7350620067643678E-2</v>
          </cell>
          <cell r="ER24">
            <v>-0.22884615384615381</v>
          </cell>
          <cell r="ES24">
            <v>5.0000000000000044E-2</v>
          </cell>
          <cell r="ET24">
            <v>-0.10760869565217401</v>
          </cell>
          <cell r="EV24" t="str">
            <v>NM</v>
          </cell>
          <cell r="EW24">
            <v>0.76744186046511631</v>
          </cell>
          <cell r="EX24">
            <v>0.76744186046511631</v>
          </cell>
          <cell r="EZ24">
            <v>-5.3003533568904082E-2</v>
          </cell>
          <cell r="FA24">
            <v>0.17895224849327751</v>
          </cell>
          <cell r="FB24">
            <v>0.1134397870924817</v>
          </cell>
          <cell r="FD24">
            <v>-8.0898523405592004E-2</v>
          </cell>
          <cell r="FE24">
            <v>0.11618998978549544</v>
          </cell>
          <cell r="FF24">
            <v>4.6925030363254905E-2</v>
          </cell>
          <cell r="FH24">
            <v>2.3085776183061402E-2</v>
          </cell>
          <cell r="FI24">
            <v>0.16018136136540839</v>
          </cell>
          <cell r="FJ24">
            <v>9.7065561252318133E-2</v>
          </cell>
        </row>
        <row r="26">
          <cell r="EM26" t="str">
            <v xml:space="preserve">1995 </v>
          </cell>
        </row>
        <row r="27">
          <cell r="EM27" t="str">
            <v xml:space="preserve"> 1Q</v>
          </cell>
          <cell r="EN27">
            <v>15.9</v>
          </cell>
          <cell r="EO27">
            <v>8.6999999999999993</v>
          </cell>
          <cell r="EP27">
            <v>24.6</v>
          </cell>
          <cell r="ER27">
            <v>9</v>
          </cell>
          <cell r="ES27">
            <v>9</v>
          </cell>
          <cell r="ET27">
            <v>18</v>
          </cell>
          <cell r="EV27">
            <v>0</v>
          </cell>
          <cell r="EW27">
            <v>14</v>
          </cell>
          <cell r="EX27">
            <v>14</v>
          </cell>
          <cell r="EZ27">
            <v>14.800000000000004</v>
          </cell>
          <cell r="FA27">
            <v>63.799999999999955</v>
          </cell>
          <cell r="FB27">
            <v>78.599999999999966</v>
          </cell>
          <cell r="FD27">
            <v>117.1</v>
          </cell>
          <cell r="FE27">
            <v>289.7</v>
          </cell>
          <cell r="FF27">
            <v>406.79999999999995</v>
          </cell>
          <cell r="FH27">
            <v>678.6</v>
          </cell>
          <cell r="FI27">
            <v>925.73</v>
          </cell>
          <cell r="FJ27">
            <v>1604.33</v>
          </cell>
        </row>
        <row r="28">
          <cell r="EM28" t="str">
            <v xml:space="preserve"> 2Q</v>
          </cell>
          <cell r="EN28">
            <v>13.9</v>
          </cell>
          <cell r="EO28">
            <v>11.2</v>
          </cell>
          <cell r="EP28">
            <v>25.1</v>
          </cell>
          <cell r="ER28">
            <v>12</v>
          </cell>
          <cell r="ES28">
            <v>10</v>
          </cell>
          <cell r="ET28">
            <v>22</v>
          </cell>
          <cell r="EV28">
            <v>0</v>
          </cell>
          <cell r="EW28">
            <v>18</v>
          </cell>
          <cell r="EX28">
            <v>18</v>
          </cell>
          <cell r="EZ28">
            <v>15.800000000000026</v>
          </cell>
          <cell r="FA28">
            <v>66.499999999999986</v>
          </cell>
          <cell r="FB28">
            <v>82.300000000000011</v>
          </cell>
          <cell r="FD28">
            <v>131.80000000000001</v>
          </cell>
          <cell r="FE28">
            <v>327.60000000000002</v>
          </cell>
          <cell r="FF28">
            <v>459.40000000000003</v>
          </cell>
          <cell r="FH28">
            <v>766.40000000000009</v>
          </cell>
          <cell r="FI28">
            <v>1033.23</v>
          </cell>
          <cell r="FJ28">
            <v>1799.63</v>
          </cell>
        </row>
        <row r="29">
          <cell r="EM29" t="str">
            <v xml:space="preserve"> 3Q</v>
          </cell>
          <cell r="EN29">
            <v>11.2</v>
          </cell>
          <cell r="EO29">
            <v>9.8000000000000007</v>
          </cell>
          <cell r="EP29">
            <v>21</v>
          </cell>
          <cell r="ER29">
            <v>9.1</v>
          </cell>
          <cell r="ES29">
            <v>11</v>
          </cell>
          <cell r="ET29">
            <v>20.100000000000001</v>
          </cell>
          <cell r="EV29">
            <v>0</v>
          </cell>
          <cell r="EW29">
            <v>20</v>
          </cell>
          <cell r="EX29">
            <v>20</v>
          </cell>
          <cell r="EZ29">
            <v>27.29999999999999</v>
          </cell>
          <cell r="FA29">
            <v>58.699999999999974</v>
          </cell>
          <cell r="FB29">
            <v>85.999999999999972</v>
          </cell>
          <cell r="FD29">
            <v>172.1</v>
          </cell>
          <cell r="FE29">
            <v>314.8</v>
          </cell>
          <cell r="FF29">
            <v>486.9</v>
          </cell>
          <cell r="FH29">
            <v>803</v>
          </cell>
          <cell r="FI29">
            <v>972.89999999999986</v>
          </cell>
          <cell r="FJ29">
            <v>1775.8999999999999</v>
          </cell>
        </row>
        <row r="30">
          <cell r="EM30" t="str">
            <v xml:space="preserve"> 4Q</v>
          </cell>
          <cell r="EN30">
            <v>10.7</v>
          </cell>
          <cell r="EO30">
            <v>11.5</v>
          </cell>
          <cell r="EP30">
            <v>22.2</v>
          </cell>
          <cell r="ER30">
            <v>10</v>
          </cell>
          <cell r="ES30">
            <v>12</v>
          </cell>
          <cell r="ET30">
            <v>22</v>
          </cell>
          <cell r="EV30">
            <v>0</v>
          </cell>
          <cell r="EW30">
            <v>24</v>
          </cell>
          <cell r="EX30">
            <v>24</v>
          </cell>
          <cell r="EZ30">
            <v>22.5</v>
          </cell>
          <cell r="FA30">
            <v>65.299999999999983</v>
          </cell>
          <cell r="FB30">
            <v>87.799999999999983</v>
          </cell>
          <cell r="FD30">
            <v>164.1</v>
          </cell>
          <cell r="FE30">
            <v>379.2</v>
          </cell>
          <cell r="FF30">
            <v>543.29999999999995</v>
          </cell>
          <cell r="FH30">
            <v>774.4</v>
          </cell>
          <cell r="FI30">
            <v>1085.5</v>
          </cell>
          <cell r="FJ30">
            <v>1859.9</v>
          </cell>
        </row>
        <row r="32">
          <cell r="EM32" t="str">
            <v xml:space="preserve">1995 </v>
          </cell>
          <cell r="EN32">
            <v>51.7</v>
          </cell>
          <cell r="EO32">
            <v>41.2</v>
          </cell>
          <cell r="EP32">
            <v>92.9</v>
          </cell>
          <cell r="ER32">
            <v>40.1</v>
          </cell>
          <cell r="ES32">
            <v>42</v>
          </cell>
          <cell r="ET32">
            <v>82.1</v>
          </cell>
          <cell r="EV32">
            <v>0</v>
          </cell>
          <cell r="EW32">
            <v>76</v>
          </cell>
          <cell r="EX32">
            <v>76</v>
          </cell>
          <cell r="EZ32">
            <v>80.40000000000002</v>
          </cell>
          <cell r="FA32">
            <v>254.29999999999993</v>
          </cell>
          <cell r="FB32">
            <v>334.69999999999993</v>
          </cell>
          <cell r="FD32">
            <v>585.1</v>
          </cell>
          <cell r="FE32">
            <v>1311.3</v>
          </cell>
          <cell r="FF32">
            <v>1896.3999999999999</v>
          </cell>
          <cell r="FH32">
            <v>3022.4</v>
          </cell>
          <cell r="FI32">
            <v>4017.3599999999997</v>
          </cell>
          <cell r="FJ32">
            <v>7039.76</v>
          </cell>
        </row>
        <row r="34">
          <cell r="EM34" t="str">
            <v xml:space="preserve">1996/95 </v>
          </cell>
        </row>
        <row r="35">
          <cell r="EM35" t="str">
            <v xml:space="preserve"> 1Q</v>
          </cell>
          <cell r="EN35">
            <v>-2.515723270440251E-2</v>
          </cell>
          <cell r="EO35">
            <v>-9.1954022988505635E-2</v>
          </cell>
          <cell r="EP35">
            <v>-4.8780487804878203E-2</v>
          </cell>
          <cell r="ER35">
            <v>-2.2222222222222143E-2</v>
          </cell>
          <cell r="ES35">
            <v>0.29999999999999982</v>
          </cell>
          <cell r="ET35">
            <v>0.13888888888888884</v>
          </cell>
          <cell r="EV35" t="str">
            <v>NM</v>
          </cell>
          <cell r="EW35">
            <v>0.56428571428571428</v>
          </cell>
          <cell r="EX35">
            <v>0.56428571428571428</v>
          </cell>
          <cell r="EZ35">
            <v>0.12837837837837851</v>
          </cell>
          <cell r="FA35">
            <v>-0.14122257053291454</v>
          </cell>
          <cell r="FB35">
            <v>-9.0458015267174896E-2</v>
          </cell>
          <cell r="FD35">
            <v>0.10589239965841157</v>
          </cell>
          <cell r="FE35">
            <v>0.17224715222644127</v>
          </cell>
          <cell r="FF35">
            <v>0.15314650934119989</v>
          </cell>
          <cell r="FH35">
            <v>0.15384615384615374</v>
          </cell>
          <cell r="FI35">
            <v>0.1301351365949035</v>
          </cell>
          <cell r="FJ35">
            <v>0.14016443001128209</v>
          </cell>
        </row>
        <row r="36">
          <cell r="EM36" t="str">
            <v xml:space="preserve"> 2Q</v>
          </cell>
          <cell r="EN36">
            <v>0.19424460431654689</v>
          </cell>
          <cell r="EO36">
            <v>-0.2767857142857143</v>
          </cell>
          <cell r="EP36">
            <v>-1.5936254980079667E-2</v>
          </cell>
          <cell r="ER36">
            <v>-0.125</v>
          </cell>
          <cell r="ES36">
            <v>0.29000000000000004</v>
          </cell>
          <cell r="ET36">
            <v>6.3636363636363491E-2</v>
          </cell>
          <cell r="EV36" t="str">
            <v>NM</v>
          </cell>
          <cell r="EW36">
            <v>-5.555555555555558E-2</v>
          </cell>
          <cell r="EX36">
            <v>-5.555555555555558E-2</v>
          </cell>
          <cell r="EZ36">
            <v>3.7974683544301557E-2</v>
          </cell>
          <cell r="FA36">
            <v>-0.184962406015037</v>
          </cell>
          <cell r="FB36">
            <v>-0.14216281895504235</v>
          </cell>
          <cell r="FD36">
            <v>4.7799696509863265E-2</v>
          </cell>
          <cell r="FE36">
            <v>-9.157509157509125E-4</v>
          </cell>
          <cell r="FF36">
            <v>1.3060513713539335E-2</v>
          </cell>
          <cell r="FH36">
            <v>1.1090814196242027E-2</v>
          </cell>
          <cell r="FI36">
            <v>-1.6385509518693886E-2</v>
          </cell>
          <cell r="FJ36">
            <v>-4.6842962164446167E-3</v>
          </cell>
        </row>
        <row r="37">
          <cell r="EM37" t="str">
            <v xml:space="preserve"> 3Q</v>
          </cell>
          <cell r="EN37">
            <v>1.7857142857143016E-2</v>
          </cell>
          <cell r="EO37">
            <v>-0.18367346938775519</v>
          </cell>
          <cell r="EP37">
            <v>-7.6190476190476253E-2</v>
          </cell>
          <cell r="ER37">
            <v>1.098901098901095E-2</v>
          </cell>
          <cell r="ES37">
            <v>0.15454545454545454</v>
          </cell>
          <cell r="ET37">
            <v>8.9552238805969964E-2</v>
          </cell>
          <cell r="EV37" t="str">
            <v>NM</v>
          </cell>
          <cell r="EW37">
            <v>-5.0000000000000044E-2</v>
          </cell>
          <cell r="EX37">
            <v>-5.0000000000000044E-2</v>
          </cell>
          <cell r="EZ37">
            <v>-0.24542124542124499</v>
          </cell>
          <cell r="FA37">
            <v>-0.21124361158432681</v>
          </cell>
          <cell r="FB37">
            <v>-0.22209302325581359</v>
          </cell>
          <cell r="FD37">
            <v>-9.0644973852411326E-2</v>
          </cell>
          <cell r="FE37">
            <v>5.0825921219821435E-3</v>
          </cell>
          <cell r="FF37">
            <v>-2.8753337440952986E-2</v>
          </cell>
          <cell r="FH37">
            <v>6.6002490660024282E-3</v>
          </cell>
          <cell r="FI37">
            <v>-1.3464898756295529E-2</v>
          </cell>
          <cell r="FJ37">
            <v>-4.3921391970268564E-3</v>
          </cell>
        </row>
        <row r="38">
          <cell r="EM38" t="str">
            <v xml:space="preserve"> 4Q</v>
          </cell>
          <cell r="EN38">
            <v>0.11214953271028039</v>
          </cell>
          <cell r="EO38">
            <v>-0.13043478260869568</v>
          </cell>
          <cell r="EP38">
            <v>-1.3513513513513598E-2</v>
          </cell>
          <cell r="ER38">
            <v>-0.13000000000000012</v>
          </cell>
          <cell r="ES38">
            <v>0.16666666666666674</v>
          </cell>
          <cell r="ET38">
            <v>3.1818181818181746E-2</v>
          </cell>
          <cell r="EV38" t="str">
            <v>NM</v>
          </cell>
          <cell r="EW38">
            <v>-0.24583333333333324</v>
          </cell>
          <cell r="EX38">
            <v>-0.24583333333333324</v>
          </cell>
          <cell r="EZ38">
            <v>-0.21333333333333271</v>
          </cell>
          <cell r="FA38">
            <v>-0.2404287901990807</v>
          </cell>
          <cell r="FB38">
            <v>-0.23348519362186748</v>
          </cell>
          <cell r="FD38">
            <v>7.3126142595978383E-3</v>
          </cell>
          <cell r="FE38">
            <v>-5.959915611814337E-2</v>
          </cell>
          <cell r="FF38">
            <v>-3.9388919565617297E-2</v>
          </cell>
          <cell r="FH38">
            <v>4.2613636363636243E-2</v>
          </cell>
          <cell r="FI38">
            <v>-4.6061722708429342E-2</v>
          </cell>
          <cell r="FJ38">
            <v>-9.1402763589440994E-3</v>
          </cell>
        </row>
        <row r="40">
          <cell r="EM40" t="str">
            <v>1996/95</v>
          </cell>
          <cell r="EN40">
            <v>7.1566731141199158E-2</v>
          </cell>
          <cell r="EO40">
            <v>-0.17475728155339809</v>
          </cell>
          <cell r="EP40">
            <v>-3.7674919268030127E-2</v>
          </cell>
          <cell r="ER40">
            <v>-7.2319201995012405E-2</v>
          </cell>
          <cell r="ES40">
            <v>0.22142857142857131</v>
          </cell>
          <cell r="ET40">
            <v>7.795371498172976E-2</v>
          </cell>
          <cell r="EV40" t="str">
            <v>NM</v>
          </cell>
          <cell r="EW40">
            <v>0</v>
          </cell>
          <cell r="EX40">
            <v>0</v>
          </cell>
          <cell r="EZ40">
            <v>-0.11194029850746268</v>
          </cell>
          <cell r="FA40">
            <v>-0.19429807314195791</v>
          </cell>
          <cell r="FB40">
            <v>-0.17451449058858637</v>
          </cell>
          <cell r="FD40">
            <v>7.3491710818665013E-3</v>
          </cell>
          <cell r="FE40">
            <v>2.1810417143293126E-2</v>
          </cell>
          <cell r="FF40">
            <v>1.7348660620122525E-2</v>
          </cell>
          <cell r="FH40">
            <v>5.0026469031233312E-2</v>
          </cell>
          <cell r="FI40">
            <v>1.0066312205030403E-2</v>
          </cell>
          <cell r="FJ40">
            <v>2.7222518949509666E-2</v>
          </cell>
        </row>
        <row r="42">
          <cell r="EM42" t="str">
            <v>1996</v>
          </cell>
        </row>
        <row r="43">
          <cell r="EM43" t="str">
            <v xml:space="preserve"> 1Q</v>
          </cell>
          <cell r="EN43">
            <v>15.5</v>
          </cell>
          <cell r="EO43">
            <v>7.9</v>
          </cell>
          <cell r="EP43">
            <v>23.4</v>
          </cell>
          <cell r="ER43">
            <v>8.8000000000000007</v>
          </cell>
          <cell r="ES43">
            <v>11.7</v>
          </cell>
          <cell r="ET43">
            <v>20.5</v>
          </cell>
          <cell r="EV43">
            <v>0</v>
          </cell>
          <cell r="EW43">
            <v>21.9</v>
          </cell>
          <cell r="EX43">
            <v>21.9</v>
          </cell>
          <cell r="EZ43">
            <v>16.700000000000006</v>
          </cell>
          <cell r="FA43">
            <v>54.790000000000013</v>
          </cell>
          <cell r="FB43">
            <v>71.490000000000023</v>
          </cell>
          <cell r="FD43">
            <v>129.5</v>
          </cell>
          <cell r="FE43">
            <v>339.6</v>
          </cell>
          <cell r="FF43">
            <v>469.1</v>
          </cell>
          <cell r="FH43">
            <v>783</v>
          </cell>
          <cell r="FI43">
            <v>1046.2</v>
          </cell>
          <cell r="FJ43">
            <v>1829.2</v>
          </cell>
        </row>
        <row r="44">
          <cell r="EM44" t="str">
            <v xml:space="preserve"> 2Q</v>
          </cell>
          <cell r="EN44">
            <v>16.600000000000001</v>
          </cell>
          <cell r="EO44">
            <v>8.1</v>
          </cell>
          <cell r="EP44">
            <v>24.700000000000003</v>
          </cell>
          <cell r="ER44">
            <v>10.5</v>
          </cell>
          <cell r="ES44">
            <v>12.9</v>
          </cell>
          <cell r="ET44">
            <v>23.4</v>
          </cell>
          <cell r="EV44">
            <v>0</v>
          </cell>
          <cell r="EW44">
            <v>17</v>
          </cell>
          <cell r="EX44">
            <v>17</v>
          </cell>
          <cell r="EZ44">
            <v>16.399999999999991</v>
          </cell>
          <cell r="FA44">
            <v>54.200000000000031</v>
          </cell>
          <cell r="FB44">
            <v>70.600000000000023</v>
          </cell>
          <cell r="FD44">
            <v>138.1</v>
          </cell>
          <cell r="FE44">
            <v>327.3</v>
          </cell>
          <cell r="FF44">
            <v>465.4</v>
          </cell>
          <cell r="FH44">
            <v>774.9</v>
          </cell>
          <cell r="FI44">
            <v>1016.3</v>
          </cell>
          <cell r="FJ44">
            <v>1791.1999999999998</v>
          </cell>
        </row>
        <row r="45">
          <cell r="EM45" t="str">
            <v xml:space="preserve"> 3Q</v>
          </cell>
          <cell r="EN45">
            <v>11.4</v>
          </cell>
          <cell r="EO45">
            <v>8</v>
          </cell>
          <cell r="EP45">
            <v>19.399999999999999</v>
          </cell>
          <cell r="ER45">
            <v>9.1999999999999993</v>
          </cell>
          <cell r="ES45">
            <v>12.7</v>
          </cell>
          <cell r="ET45">
            <v>21.9</v>
          </cell>
          <cell r="EV45">
            <v>0</v>
          </cell>
          <cell r="EW45">
            <v>19</v>
          </cell>
          <cell r="EX45">
            <v>19</v>
          </cell>
          <cell r="EZ45">
            <v>20.600000000000005</v>
          </cell>
          <cell r="FA45">
            <v>46.3</v>
          </cell>
          <cell r="FB45">
            <v>66.900000000000006</v>
          </cell>
          <cell r="FD45">
            <v>156.5</v>
          </cell>
          <cell r="FE45">
            <v>316.39999999999998</v>
          </cell>
          <cell r="FF45">
            <v>472.9</v>
          </cell>
          <cell r="FH45">
            <v>808.3</v>
          </cell>
          <cell r="FI45">
            <v>959.8</v>
          </cell>
          <cell r="FJ45">
            <v>1768.1</v>
          </cell>
        </row>
        <row r="46">
          <cell r="EM46" t="str">
            <v xml:space="preserve"> 4Q</v>
          </cell>
          <cell r="EN46">
            <v>11.9</v>
          </cell>
          <cell r="EO46">
            <v>10</v>
          </cell>
          <cell r="EP46">
            <v>21.9</v>
          </cell>
          <cell r="ER46">
            <v>8.6999999999999993</v>
          </cell>
          <cell r="ES46">
            <v>14</v>
          </cell>
          <cell r="ET46">
            <v>22.7</v>
          </cell>
          <cell r="EV46">
            <v>0</v>
          </cell>
          <cell r="EW46">
            <v>18.100000000000001</v>
          </cell>
          <cell r="EX46">
            <v>18.100000000000001</v>
          </cell>
          <cell r="EZ46">
            <v>17.700000000000014</v>
          </cell>
          <cell r="FA46">
            <v>49.600000000000016</v>
          </cell>
          <cell r="FB46">
            <v>67.300000000000026</v>
          </cell>
          <cell r="FD46">
            <v>165.3</v>
          </cell>
          <cell r="FE46">
            <v>356.6</v>
          </cell>
          <cell r="FF46">
            <v>521.90000000000009</v>
          </cell>
          <cell r="FH46">
            <v>807.39999999999986</v>
          </cell>
          <cell r="FI46">
            <v>1035.5</v>
          </cell>
          <cell r="FJ46">
            <v>1842.8999999999999</v>
          </cell>
        </row>
        <row r="48">
          <cell r="EM48" t="str">
            <v>1996</v>
          </cell>
          <cell r="EN48">
            <v>55.4</v>
          </cell>
          <cell r="EO48">
            <v>34</v>
          </cell>
          <cell r="EP48">
            <v>89.4</v>
          </cell>
          <cell r="ER48">
            <v>37.200000000000003</v>
          </cell>
          <cell r="ES48">
            <v>51.3</v>
          </cell>
          <cell r="ET48">
            <v>88.5</v>
          </cell>
          <cell r="EV48">
            <v>0</v>
          </cell>
          <cell r="EW48">
            <v>76</v>
          </cell>
          <cell r="EX48">
            <v>76</v>
          </cell>
          <cell r="EZ48">
            <v>71.40000000000002</v>
          </cell>
          <cell r="FA48">
            <v>204.89000000000004</v>
          </cell>
          <cell r="FB48">
            <v>276.29000000000008</v>
          </cell>
          <cell r="FD48">
            <v>589.40000000000009</v>
          </cell>
          <cell r="FE48">
            <v>1339.9</v>
          </cell>
          <cell r="FF48">
            <v>1929.3000000000002</v>
          </cell>
          <cell r="FH48">
            <v>3173.5999999999995</v>
          </cell>
          <cell r="FI48">
            <v>4057.8</v>
          </cell>
          <cell r="FJ48">
            <v>7231.4</v>
          </cell>
        </row>
        <row r="50">
          <cell r="EM50" t="str">
            <v xml:space="preserve">1997/96 </v>
          </cell>
        </row>
        <row r="51">
          <cell r="EM51" t="str">
            <v xml:space="preserve"> 1Q</v>
          </cell>
          <cell r="EN51">
            <v>-0.18709677419354842</v>
          </cell>
          <cell r="EO51">
            <v>-3.7974683544303889E-2</v>
          </cell>
          <cell r="EP51">
            <v>-0.13675213675213671</v>
          </cell>
          <cell r="ER51">
            <v>0.72727272727272707</v>
          </cell>
          <cell r="ES51">
            <v>0.11965811965811968</v>
          </cell>
          <cell r="ET51">
            <v>0.38048780487804867</v>
          </cell>
          <cell r="EV51" t="str">
            <v>NM</v>
          </cell>
          <cell r="EW51">
            <v>-5.9360730593607136E-2</v>
          </cell>
          <cell r="EX51">
            <v>-5.9360730593607136E-2</v>
          </cell>
          <cell r="EZ51">
            <v>0.17365269461077748</v>
          </cell>
          <cell r="FA51">
            <v>-0.36302244935207129</v>
          </cell>
          <cell r="FB51">
            <v>-0.23765561617009379</v>
          </cell>
          <cell r="FD51">
            <v>-7.7220077220077066E-3</v>
          </cell>
          <cell r="FE51">
            <v>-0.11484098939929333</v>
          </cell>
          <cell r="FF51">
            <v>-8.5269665316563659E-2</v>
          </cell>
          <cell r="FH51">
            <v>5.6960408684546548E-2</v>
          </cell>
          <cell r="FI51">
            <v>-9.2142993691454733E-2</v>
          </cell>
          <cell r="FJ51">
            <v>-2.8318390553247252E-2</v>
          </cell>
        </row>
        <row r="52">
          <cell r="EM52" t="str">
            <v xml:space="preserve"> 2Q</v>
          </cell>
          <cell r="EN52">
            <v>6.0240963855420215E-3</v>
          </cell>
          <cell r="EO52">
            <v>-8.6419753086419693E-2</v>
          </cell>
          <cell r="EP52">
            <v>-2.4291497975708509E-2</v>
          </cell>
          <cell r="ER52">
            <v>0.31428571428571428</v>
          </cell>
          <cell r="ES52">
            <v>0.17829457364341073</v>
          </cell>
          <cell r="ET52">
            <v>0.23931623931623935</v>
          </cell>
          <cell r="EV52" t="str">
            <v>NM</v>
          </cell>
          <cell r="EW52">
            <v>0.43529411764705883</v>
          </cell>
          <cell r="EX52">
            <v>0.43529411764705883</v>
          </cell>
          <cell r="EZ52">
            <v>-0.12804878048780499</v>
          </cell>
          <cell r="FA52">
            <v>-0.14575645756457711</v>
          </cell>
          <cell r="FB52">
            <v>-0.14164305949008615</v>
          </cell>
          <cell r="FD52">
            <v>4.9963794351918889E-2</v>
          </cell>
          <cell r="FE52">
            <v>-1.5582034830430858E-2</v>
          </cell>
          <cell r="FF52">
            <v>3.8676407391491363E-3</v>
          </cell>
          <cell r="FH52">
            <v>0.2238998580461995</v>
          </cell>
          <cell r="FI52">
            <v>2.0663190002954135E-3</v>
          </cell>
          <cell r="FJ52">
            <v>9.8034836980795292E-2</v>
          </cell>
        </row>
        <row r="53">
          <cell r="EM53" t="str">
            <v xml:space="preserve"> 3Q</v>
          </cell>
          <cell r="EN53">
            <v>0.13157894736842102</v>
          </cell>
          <cell r="EO53">
            <v>-5.0000000000000044E-2</v>
          </cell>
          <cell r="EP53">
            <v>5.6701030927835072E-2</v>
          </cell>
          <cell r="ER53">
            <v>0.92391304347826098</v>
          </cell>
          <cell r="ES53">
            <v>-5.5118110236220375E-2</v>
          </cell>
          <cell r="ET53">
            <v>0.35616438356164393</v>
          </cell>
          <cell r="EV53" t="str">
            <v>NM</v>
          </cell>
          <cell r="EW53">
            <v>0.28947368421052633</v>
          </cell>
          <cell r="EX53">
            <v>0.28947368421052633</v>
          </cell>
          <cell r="EZ53">
            <v>0.2135922330097082</v>
          </cell>
          <cell r="FA53">
            <v>-0.10799136069114446</v>
          </cell>
          <cell r="FB53">
            <v>-8.9686098654707669E-3</v>
          </cell>
          <cell r="FD53">
            <v>0.15974440894568698</v>
          </cell>
          <cell r="FE53">
            <v>-2.970922882427296E-2</v>
          </cell>
          <cell r="FF53">
            <v>3.2987946711778404E-2</v>
          </cell>
          <cell r="FH53">
            <v>0.39762464431522959</v>
          </cell>
          <cell r="FI53">
            <v>1.9483225672014992E-2</v>
          </cell>
          <cell r="FJ53">
            <v>0.19235337367795946</v>
          </cell>
        </row>
        <row r="54">
          <cell r="EM54" t="str">
            <v xml:space="preserve"> 4Q</v>
          </cell>
          <cell r="EN54">
            <v>-0.30252100840336127</v>
          </cell>
          <cell r="EO54">
            <v>-0.38</v>
          </cell>
          <cell r="EP54">
            <v>-0.33789954337899542</v>
          </cell>
          <cell r="ER54">
            <v>0.931034482758621</v>
          </cell>
          <cell r="ES54">
            <v>-2.1428571428571463E-2</v>
          </cell>
          <cell r="ET54">
            <v>0.34361233480176212</v>
          </cell>
          <cell r="EV54" t="str">
            <v>NM</v>
          </cell>
          <cell r="EW54">
            <v>9.3922651933701529E-2</v>
          </cell>
          <cell r="EX54">
            <v>0.11049723756906071</v>
          </cell>
          <cell r="EZ54">
            <v>0.1977401129943499</v>
          </cell>
          <cell r="FA54">
            <v>-0.2883064516129038</v>
          </cell>
          <cell r="FB54">
            <v>-0.16047548291233327</v>
          </cell>
          <cell r="FD54">
            <v>9.1954022988505635E-2</v>
          </cell>
          <cell r="FE54">
            <v>-0.14974761637689293</v>
          </cell>
          <cell r="FF54">
            <v>-7.3194098486300208E-2</v>
          </cell>
          <cell r="FH54">
            <v>0.60589546693088936</v>
          </cell>
          <cell r="FI54">
            <v>-4.6354418155479804E-3</v>
          </cell>
          <cell r="FJ54">
            <v>0.26284660046665609</v>
          </cell>
        </row>
        <row r="56">
          <cell r="EM56" t="str">
            <v>Year</v>
          </cell>
          <cell r="EN56">
            <v>-8.8447653429602813E-2</v>
          </cell>
          <cell r="EO56">
            <v>-0.15294117647058825</v>
          </cell>
          <cell r="EP56">
            <v>-0.11297539149888147</v>
          </cell>
          <cell r="ER56">
            <v>0.70698924731182777</v>
          </cell>
          <cell r="ES56">
            <v>5.2631578947368585E-2</v>
          </cell>
          <cell r="ET56">
            <v>0.32768361581920913</v>
          </cell>
          <cell r="EV56" t="str">
            <v>NM</v>
          </cell>
          <cell r="EW56">
            <v>0.17500000000000004</v>
          </cell>
          <cell r="EX56">
            <v>0.17894736842105252</v>
          </cell>
          <cell r="EZ56">
            <v>0.12184873949579789</v>
          </cell>
          <cell r="FA56">
            <v>-0.22983064083166616</v>
          </cell>
          <cell r="FB56">
            <v>-0.13894820659452056</v>
          </cell>
          <cell r="FD56">
            <v>7.8215134034611333E-2</v>
          </cell>
          <cell r="FE56">
            <v>-7.9782073289051514E-2</v>
          </cell>
          <cell r="FF56">
            <v>-3.1514020629243911E-2</v>
          </cell>
          <cell r="FH56">
            <v>0.32414292916561638</v>
          </cell>
          <cell r="FI56">
            <v>-1.9813692148454742E-2</v>
          </cell>
          <cell r="FJ56">
            <v>0.13113643277926812</v>
          </cell>
        </row>
        <row r="58">
          <cell r="EM58" t="str">
            <v>1997</v>
          </cell>
        </row>
        <row r="59">
          <cell r="EM59" t="str">
            <v xml:space="preserve"> 1Q</v>
          </cell>
          <cell r="EN59">
            <v>12.6</v>
          </cell>
          <cell r="EO59">
            <v>7.6</v>
          </cell>
          <cell r="EP59">
            <v>20.2</v>
          </cell>
          <cell r="ER59">
            <v>15.2</v>
          </cell>
          <cell r="ES59">
            <v>13.1</v>
          </cell>
          <cell r="ET59">
            <v>28.299999999999997</v>
          </cell>
          <cell r="EV59">
            <v>0</v>
          </cell>
          <cell r="EW59">
            <v>20.6</v>
          </cell>
          <cell r="EX59">
            <v>20.6</v>
          </cell>
          <cell r="EZ59">
            <v>19.599999999999991</v>
          </cell>
          <cell r="FA59">
            <v>34.90000000000002</v>
          </cell>
          <cell r="FB59">
            <v>54.500000000000014</v>
          </cell>
          <cell r="FD59">
            <v>128.5</v>
          </cell>
          <cell r="FE59">
            <v>300.60000000000002</v>
          </cell>
          <cell r="FF59">
            <v>429.1</v>
          </cell>
          <cell r="FH59">
            <v>827.6</v>
          </cell>
          <cell r="FI59">
            <v>949.80000000000007</v>
          </cell>
          <cell r="FJ59">
            <v>1777.4</v>
          </cell>
        </row>
        <row r="60">
          <cell r="EM60" t="str">
            <v xml:space="preserve"> 2Q</v>
          </cell>
          <cell r="EN60">
            <v>16.7</v>
          </cell>
          <cell r="EO60">
            <v>7.4</v>
          </cell>
          <cell r="EP60">
            <v>24.1</v>
          </cell>
          <cell r="ER60">
            <v>13.8</v>
          </cell>
          <cell r="ES60">
            <v>15.2</v>
          </cell>
          <cell r="ET60">
            <v>29</v>
          </cell>
          <cell r="EV60">
            <v>0</v>
          </cell>
          <cell r="EW60">
            <v>24.4</v>
          </cell>
          <cell r="EX60">
            <v>24.4</v>
          </cell>
          <cell r="EZ60">
            <v>14.29999999999999</v>
          </cell>
          <cell r="FA60">
            <v>46.299999999999947</v>
          </cell>
          <cell r="FB60">
            <v>60.599999999999937</v>
          </cell>
          <cell r="FD60">
            <v>145</v>
          </cell>
          <cell r="FE60">
            <v>322.2</v>
          </cell>
          <cell r="FF60">
            <v>467.2</v>
          </cell>
          <cell r="FH60">
            <v>948.4</v>
          </cell>
          <cell r="FI60">
            <v>1018.4000000000001</v>
          </cell>
          <cell r="FJ60">
            <v>1966.8000000000002</v>
          </cell>
        </row>
        <row r="61">
          <cell r="EM61" t="str">
            <v xml:space="preserve"> 3Q</v>
          </cell>
          <cell r="EN61">
            <v>12.9</v>
          </cell>
          <cell r="EO61">
            <v>7.6</v>
          </cell>
          <cell r="EP61">
            <v>20.5</v>
          </cell>
          <cell r="ER61">
            <v>17.7</v>
          </cell>
          <cell r="ES61">
            <v>12</v>
          </cell>
          <cell r="ET61">
            <v>29.7</v>
          </cell>
          <cell r="EV61">
            <v>0</v>
          </cell>
          <cell r="EW61">
            <v>24.5</v>
          </cell>
          <cell r="EX61">
            <v>24.5</v>
          </cell>
          <cell r="EZ61">
            <v>24.999999999999996</v>
          </cell>
          <cell r="FA61">
            <v>41.300000000000011</v>
          </cell>
          <cell r="FB61">
            <v>66.300000000000011</v>
          </cell>
          <cell r="FD61">
            <v>181.5</v>
          </cell>
          <cell r="FE61">
            <v>307</v>
          </cell>
          <cell r="FF61">
            <v>488.5</v>
          </cell>
          <cell r="FH61">
            <v>1129.7</v>
          </cell>
          <cell r="FI61">
            <v>978.5</v>
          </cell>
          <cell r="FJ61">
            <v>2108.1999999999998</v>
          </cell>
        </row>
        <row r="62">
          <cell r="EM62" t="str">
            <v xml:space="preserve"> 4Q</v>
          </cell>
          <cell r="EN62">
            <v>8.3000000000000007</v>
          </cell>
          <cell r="EO62">
            <v>6.2</v>
          </cell>
          <cell r="EP62">
            <v>14.5</v>
          </cell>
          <cell r="ER62">
            <v>16.8</v>
          </cell>
          <cell r="ES62">
            <v>13.7</v>
          </cell>
          <cell r="ET62">
            <v>30.5</v>
          </cell>
          <cell r="EV62">
            <v>0.3</v>
          </cell>
          <cell r="EW62">
            <v>19.8</v>
          </cell>
          <cell r="EX62">
            <v>20.100000000000001</v>
          </cell>
          <cell r="EZ62">
            <v>21.20000000000001</v>
          </cell>
          <cell r="FA62">
            <v>35.299999999999983</v>
          </cell>
          <cell r="FB62">
            <v>56.499999999999993</v>
          </cell>
          <cell r="FD62">
            <v>180.5</v>
          </cell>
          <cell r="FE62">
            <v>303.2</v>
          </cell>
          <cell r="FF62">
            <v>483.7</v>
          </cell>
          <cell r="FH62">
            <v>1296.5999999999999</v>
          </cell>
          <cell r="FI62">
            <v>1030.7</v>
          </cell>
          <cell r="FJ62">
            <v>2327.3000000000002</v>
          </cell>
        </row>
        <row r="64">
          <cell r="EM64" t="str">
            <v>Year</v>
          </cell>
          <cell r="EN64">
            <v>50.5</v>
          </cell>
          <cell r="EO64">
            <v>28.8</v>
          </cell>
          <cell r="EP64">
            <v>79.3</v>
          </cell>
          <cell r="ER64">
            <v>63.5</v>
          </cell>
          <cell r="ES64">
            <v>54</v>
          </cell>
          <cell r="ET64">
            <v>117.5</v>
          </cell>
          <cell r="EV64">
            <v>0.3</v>
          </cell>
          <cell r="EW64">
            <v>89.3</v>
          </cell>
          <cell r="EX64">
            <v>89.6</v>
          </cell>
          <cell r="EZ64">
            <v>80.099999999999994</v>
          </cell>
          <cell r="FA64">
            <v>157.79999999999995</v>
          </cell>
          <cell r="FB64">
            <v>237.89999999999998</v>
          </cell>
          <cell r="FD64">
            <v>635.5</v>
          </cell>
          <cell r="FE64">
            <v>1233</v>
          </cell>
          <cell r="FF64">
            <v>1868.5</v>
          </cell>
          <cell r="FH64">
            <v>4202.2999999999993</v>
          </cell>
          <cell r="FI64">
            <v>3977.4000000000005</v>
          </cell>
          <cell r="FJ64">
            <v>8179.7</v>
          </cell>
        </row>
        <row r="66">
          <cell r="EM66" t="str">
            <v>1998/97 % Change</v>
          </cell>
        </row>
        <row r="67">
          <cell r="EM67" t="str">
            <v xml:space="preserve"> 1Q</v>
          </cell>
          <cell r="EN67">
            <v>0.26984126984126977</v>
          </cell>
          <cell r="EO67">
            <v>0.25</v>
          </cell>
          <cell r="EP67">
            <v>0.26237623762376239</v>
          </cell>
          <cell r="ER67">
            <v>0.31578947368421062</v>
          </cell>
          <cell r="ES67">
            <v>-3.0534351145038219E-2</v>
          </cell>
          <cell r="ET67">
            <v>0.15547703180212036</v>
          </cell>
          <cell r="EV67" t="str">
            <v>NM</v>
          </cell>
          <cell r="EW67">
            <v>0.23300970873786397</v>
          </cell>
          <cell r="EX67">
            <v>0.26213592233009697</v>
          </cell>
          <cell r="EZ67">
            <v>-0.28061224489795866</v>
          </cell>
          <cell r="FA67">
            <v>0.17765042979942591</v>
          </cell>
          <cell r="FB67">
            <v>1.2844036697247319E-2</v>
          </cell>
          <cell r="FD67">
            <v>0.17120622568093391</v>
          </cell>
          <cell r="FE67">
            <v>-2.2288755821690098E-2</v>
          </cell>
          <cell r="FF67">
            <v>3.5656024236774497E-2</v>
          </cell>
          <cell r="FH67">
            <v>0.58107781536974379</v>
          </cell>
          <cell r="FI67">
            <v>7.5910718045904213E-2</v>
          </cell>
          <cell r="FJ67">
            <v>0.31112861483065157</v>
          </cell>
        </row>
        <row r="68">
          <cell r="EM68" t="str">
            <v xml:space="preserve"> 2Q</v>
          </cell>
          <cell r="EN68">
            <v>-5.9880239520956335E-3</v>
          </cell>
          <cell r="EO68">
            <v>0.49999999999999978</v>
          </cell>
          <cell r="EP68">
            <v>0.14937759336099599</v>
          </cell>
          <cell r="ER68">
            <v>0.53623188405797095</v>
          </cell>
          <cell r="ES68">
            <v>-6.5789473684210176E-3</v>
          </cell>
          <cell r="ET68">
            <v>0.25172413793103443</v>
          </cell>
          <cell r="EV68" t="str">
            <v>NM</v>
          </cell>
          <cell r="EW68">
            <v>0.20901639344262302</v>
          </cell>
          <cell r="EX68">
            <v>0.22540983606557385</v>
          </cell>
          <cell r="EZ68">
            <v>2.0979020979023488E-2</v>
          </cell>
          <cell r="FA68">
            <v>-0.11879049676025732</v>
          </cell>
          <cell r="FB68">
            <v>-8.5808580858083849E-2</v>
          </cell>
          <cell r="FD68">
            <v>7.1034482758620676E-2</v>
          </cell>
          <cell r="FE68">
            <v>-2.8243327126008633E-2</v>
          </cell>
          <cell r="FF68">
            <v>2.5684931506850806E-3</v>
          </cell>
          <cell r="FH68">
            <v>0.67302825811893729</v>
          </cell>
          <cell r="FI68">
            <v>7.6296150824822995E-2</v>
          </cell>
          <cell r="FJ68">
            <v>0.36404311572096804</v>
          </cell>
        </row>
        <row r="69">
          <cell r="EM69" t="str">
            <v xml:space="preserve"> 3Q</v>
          </cell>
          <cell r="EN69">
            <v>-0.17829457364341095</v>
          </cell>
          <cell r="EO69">
            <v>0.23684210526315796</v>
          </cell>
          <cell r="EP69">
            <v>-2.4390243902439046E-2</v>
          </cell>
          <cell r="ER69">
            <v>0.12429378531073443</v>
          </cell>
          <cell r="ES69">
            <v>-8.3333333333333037E-3</v>
          </cell>
          <cell r="ET69">
            <v>7.0707070707070718E-2</v>
          </cell>
          <cell r="EV69" t="str">
            <v>NM</v>
          </cell>
          <cell r="EW69">
            <v>0.25306122448979584</v>
          </cell>
          <cell r="EX69">
            <v>0.27755102040816326</v>
          </cell>
          <cell r="EZ69">
            <v>-0.21599999999999953</v>
          </cell>
          <cell r="FA69">
            <v>6.2953995157385201E-2</v>
          </cell>
          <cell r="FB69">
            <v>-4.2232277526394912E-2</v>
          </cell>
          <cell r="FD69">
            <v>-0.10523415977961426</v>
          </cell>
          <cell r="FE69">
            <v>2.6058631921823672E-3</v>
          </cell>
          <cell r="FF69">
            <v>-3.7461617195496344E-2</v>
          </cell>
          <cell r="FH69">
            <v>0.41037443569089138</v>
          </cell>
          <cell r="FI69">
            <v>0.12488502810424129</v>
          </cell>
          <cell r="FJ69">
            <v>0.27786737501185854</v>
          </cell>
        </row>
        <row r="70">
          <cell r="EM70" t="str">
            <v xml:space="preserve"> 4Q</v>
          </cell>
          <cell r="EN70">
            <v>0.54216867469879504</v>
          </cell>
          <cell r="EO70">
            <v>0.56451612903225801</v>
          </cell>
          <cell r="EP70">
            <v>0.55172413793103448</v>
          </cell>
          <cell r="ER70">
            <v>0.27976190476190466</v>
          </cell>
          <cell r="ES70">
            <v>0</v>
          </cell>
          <cell r="ET70">
            <v>0.15409836065573779</v>
          </cell>
          <cell r="EV70" t="str">
            <v>NM</v>
          </cell>
          <cell r="EW70">
            <v>0.34343434343434343</v>
          </cell>
          <cell r="EX70">
            <v>0.3383084577114428</v>
          </cell>
          <cell r="EZ70">
            <v>-0.25943396226415061</v>
          </cell>
          <cell r="FA70">
            <v>0.23796033994334365</v>
          </cell>
          <cell r="FB70">
            <v>5.1327433628319152E-2</v>
          </cell>
          <cell r="FD70">
            <v>6.094182825484773E-2</v>
          </cell>
          <cell r="FE70">
            <v>3.2321899736147852E-2</v>
          </cell>
          <cell r="FF70">
            <v>4.3001860657432278E-2</v>
          </cell>
          <cell r="FH70">
            <v>0.4022828937220424</v>
          </cell>
          <cell r="FI70">
            <v>0.18162413893470464</v>
          </cell>
          <cell r="FJ70">
            <v>0.30455893095002806</v>
          </cell>
        </row>
        <row r="72">
          <cell r="EM72" t="str">
            <v>Year</v>
          </cell>
          <cell r="EN72">
            <v>0.10891089108910901</v>
          </cell>
          <cell r="EO72">
            <v>0.37847222222222232</v>
          </cell>
          <cell r="EP72">
            <v>0.20680958385876425</v>
          </cell>
          <cell r="ER72">
            <v>0.3007874015748031</v>
          </cell>
          <cell r="ES72">
            <v>-1.1111111111111294E-2</v>
          </cell>
          <cell r="ET72">
            <v>0.15744680851063819</v>
          </cell>
          <cell r="EV72" t="str">
            <v>NM</v>
          </cell>
          <cell r="EW72">
            <v>0.25643896976483749</v>
          </cell>
          <cell r="EX72">
            <v>0.27343750000000022</v>
          </cell>
          <cell r="EZ72">
            <v>-0.20099875156054858</v>
          </cell>
          <cell r="FA72">
            <v>7.4144486692015787E-2</v>
          </cell>
          <cell r="FB72">
            <v>-1.8495166036149091E-2</v>
          </cell>
          <cell r="FD72">
            <v>3.8080251770259643E-2</v>
          </cell>
          <cell r="FE72">
            <v>-4.2173560421735479E-3</v>
          </cell>
          <cell r="FF72">
            <v>1.0168584426010208E-2</v>
          </cell>
          <cell r="FH72">
            <v>0.50077338600290333</v>
          </cell>
          <cell r="FI72">
            <v>0.1154523055262231</v>
          </cell>
          <cell r="FJ72">
            <v>0.31341002726261369</v>
          </cell>
        </row>
        <row r="74">
          <cell r="EM74" t="str">
            <v>1998</v>
          </cell>
        </row>
        <row r="75">
          <cell r="EM75" t="str">
            <v xml:space="preserve"> 1Q</v>
          </cell>
          <cell r="EN75">
            <v>16</v>
          </cell>
          <cell r="EO75">
            <v>9.5</v>
          </cell>
          <cell r="EP75">
            <v>25.5</v>
          </cell>
          <cell r="ER75">
            <v>20</v>
          </cell>
          <cell r="ES75">
            <v>12.7</v>
          </cell>
          <cell r="ET75">
            <v>32.700000000000003</v>
          </cell>
          <cell r="EV75">
            <v>0.6</v>
          </cell>
          <cell r="EW75">
            <v>25.4</v>
          </cell>
          <cell r="EX75">
            <v>26</v>
          </cell>
          <cell r="EZ75">
            <v>14.100000000000003</v>
          </cell>
          <cell r="FA75">
            <v>41.099999999999987</v>
          </cell>
          <cell r="FB75">
            <v>55.199999999999989</v>
          </cell>
          <cell r="FD75">
            <v>150.5</v>
          </cell>
          <cell r="FE75">
            <v>293.89999999999998</v>
          </cell>
          <cell r="FF75">
            <v>444.4</v>
          </cell>
          <cell r="FH75">
            <v>1308.5</v>
          </cell>
          <cell r="FI75">
            <v>1021.9</v>
          </cell>
          <cell r="FJ75">
            <v>2330.4</v>
          </cell>
        </row>
        <row r="76">
          <cell r="EM76" t="str">
            <v xml:space="preserve"> 2Q</v>
          </cell>
          <cell r="EN76">
            <v>16.600000000000001</v>
          </cell>
          <cell r="EO76">
            <v>11.1</v>
          </cell>
          <cell r="EP76">
            <v>27.700000000000003</v>
          </cell>
          <cell r="ER76">
            <v>21.2</v>
          </cell>
          <cell r="ES76">
            <v>15.1</v>
          </cell>
          <cell r="ET76">
            <v>36.299999999999997</v>
          </cell>
          <cell r="EV76">
            <v>0.4</v>
          </cell>
          <cell r="EW76">
            <v>29.5</v>
          </cell>
          <cell r="EX76">
            <v>29.9</v>
          </cell>
          <cell r="EZ76">
            <v>14.600000000000025</v>
          </cell>
          <cell r="FA76">
            <v>40.80000000000004</v>
          </cell>
          <cell r="FB76">
            <v>55.400000000000063</v>
          </cell>
          <cell r="FD76">
            <v>155.30000000000001</v>
          </cell>
          <cell r="FE76">
            <v>313.10000000000002</v>
          </cell>
          <cell r="FF76">
            <v>468.40000000000003</v>
          </cell>
          <cell r="FH76">
            <v>1586.7</v>
          </cell>
          <cell r="FI76">
            <v>1096.0999999999999</v>
          </cell>
          <cell r="FJ76">
            <v>2682.8</v>
          </cell>
        </row>
        <row r="77">
          <cell r="EM77" t="str">
            <v xml:space="preserve"> 3Q</v>
          </cell>
          <cell r="EN77">
            <v>10.6</v>
          </cell>
          <cell r="EO77">
            <v>9.4</v>
          </cell>
          <cell r="EP77">
            <v>20</v>
          </cell>
          <cell r="ER77">
            <v>19.899999999999999</v>
          </cell>
          <cell r="ES77">
            <v>11.9</v>
          </cell>
          <cell r="ET77">
            <v>31.799999999999997</v>
          </cell>
          <cell r="EV77">
            <v>0.6</v>
          </cell>
          <cell r="EW77">
            <v>30.7</v>
          </cell>
          <cell r="EX77">
            <v>31.3</v>
          </cell>
          <cell r="EZ77">
            <v>19.600000000000009</v>
          </cell>
          <cell r="FA77">
            <v>43.90000000000002</v>
          </cell>
          <cell r="FB77">
            <v>63.500000000000028</v>
          </cell>
          <cell r="FD77">
            <v>162.4</v>
          </cell>
          <cell r="FE77">
            <v>307.8</v>
          </cell>
          <cell r="FF77">
            <v>470.20000000000005</v>
          </cell>
          <cell r="FH77">
            <v>1593.3000000000002</v>
          </cell>
          <cell r="FI77">
            <v>1100.7</v>
          </cell>
          <cell r="FJ77">
            <v>2694</v>
          </cell>
        </row>
        <row r="78">
          <cell r="EM78" t="str">
            <v xml:space="preserve"> 4Q</v>
          </cell>
          <cell r="EN78">
            <v>12.8</v>
          </cell>
          <cell r="EO78">
            <v>9.6999999999999993</v>
          </cell>
          <cell r="EP78">
            <v>22.5</v>
          </cell>
          <cell r="ER78">
            <v>21.5</v>
          </cell>
          <cell r="ES78">
            <v>13.7</v>
          </cell>
          <cell r="ET78">
            <v>35.200000000000003</v>
          </cell>
          <cell r="EV78">
            <v>0.3</v>
          </cell>
          <cell r="EW78">
            <v>26.6</v>
          </cell>
          <cell r="EX78">
            <v>26.900000000000002</v>
          </cell>
          <cell r="EZ78">
            <v>15.700000000000014</v>
          </cell>
          <cell r="FA78">
            <v>43.70000000000001</v>
          </cell>
          <cell r="FB78">
            <v>59.40000000000002</v>
          </cell>
          <cell r="FD78">
            <v>191.5</v>
          </cell>
          <cell r="FE78">
            <v>313</v>
          </cell>
          <cell r="FF78">
            <v>504.5</v>
          </cell>
          <cell r="FH78">
            <v>1818.2</v>
          </cell>
          <cell r="FI78">
            <v>1217.9000000000001</v>
          </cell>
          <cell r="FJ78">
            <v>3036.1000000000004</v>
          </cell>
        </row>
        <row r="80">
          <cell r="EM80" t="str">
            <v>Year</v>
          </cell>
          <cell r="EN80">
            <v>56</v>
          </cell>
          <cell r="EO80">
            <v>39.700000000000003</v>
          </cell>
          <cell r="EP80">
            <v>95.7</v>
          </cell>
          <cell r="ER80">
            <v>82.6</v>
          </cell>
          <cell r="ES80">
            <v>53.399999999999991</v>
          </cell>
          <cell r="ET80">
            <v>136</v>
          </cell>
          <cell r="EV80">
            <v>1.9000000000000001</v>
          </cell>
          <cell r="EW80">
            <v>112.19999999999999</v>
          </cell>
          <cell r="EX80">
            <v>114.10000000000001</v>
          </cell>
          <cell r="EZ80">
            <v>64.000000000000057</v>
          </cell>
          <cell r="FA80">
            <v>169.50000000000006</v>
          </cell>
          <cell r="FB80">
            <v>233.50000000000011</v>
          </cell>
          <cell r="FD80">
            <v>659.7</v>
          </cell>
          <cell r="FE80">
            <v>1227.8</v>
          </cell>
          <cell r="FF80">
            <v>1887.5</v>
          </cell>
          <cell r="FH80">
            <v>6306.7</v>
          </cell>
          <cell r="FI80">
            <v>4436.6000000000004</v>
          </cell>
          <cell r="FJ80">
            <v>10743.300000000001</v>
          </cell>
        </row>
        <row r="82">
          <cell r="EM82" t="str">
            <v xml:space="preserve">1999/98 </v>
          </cell>
        </row>
        <row r="83">
          <cell r="EM83" t="str">
            <v xml:space="preserve"> 1Q</v>
          </cell>
          <cell r="EN83">
            <v>-0.16249999999999998</v>
          </cell>
          <cell r="EO83">
            <v>-5.2631578947368474E-2</v>
          </cell>
          <cell r="EP83">
            <v>-0.1215686274509804</v>
          </cell>
          <cell r="ER83">
            <v>0.125</v>
          </cell>
          <cell r="ES83">
            <v>-6.2992125984251857E-2</v>
          </cell>
          <cell r="ET83">
            <v>5.1987767584097622E-2</v>
          </cell>
          <cell r="EV83">
            <v>0</v>
          </cell>
          <cell r="EW83">
            <v>0.15748031496062986</v>
          </cell>
          <cell r="EX83">
            <v>0.15384615384615374</v>
          </cell>
          <cell r="EZ83">
            <v>-7.092198581560516E-3</v>
          </cell>
          <cell r="FA83">
            <v>2.1897810218978409E-2</v>
          </cell>
          <cell r="FB83">
            <v>1.4492753623188692E-2</v>
          </cell>
          <cell r="FD83">
            <v>2.6578073089700949E-2</v>
          </cell>
          <cell r="FE83">
            <v>4.0830214358625661E-2</v>
          </cell>
          <cell r="FF83">
            <v>3.6003600360036137E-2</v>
          </cell>
          <cell r="FH83">
            <v>0.35552158960641966</v>
          </cell>
          <cell r="FI83">
            <v>0.2062824151091105</v>
          </cell>
          <cell r="FJ83">
            <v>0.29007895640233428</v>
          </cell>
        </row>
        <row r="84">
          <cell r="EM84" t="str">
            <v xml:space="preserve"> 2Q</v>
          </cell>
          <cell r="EN84">
            <v>-2.4096385542168752E-2</v>
          </cell>
          <cell r="EO84">
            <v>-9.9099099099099086E-2</v>
          </cell>
          <cell r="EP84">
            <v>-5.4151624548736566E-2</v>
          </cell>
          <cell r="ER84">
            <v>0.27830188679245293</v>
          </cell>
          <cell r="ES84">
            <v>-8.6092715231787964E-2</v>
          </cell>
          <cell r="ET84">
            <v>0.12672176308539962</v>
          </cell>
          <cell r="EV84">
            <v>0.49999999999999978</v>
          </cell>
          <cell r="EW84">
            <v>3.7288135593220417E-2</v>
          </cell>
          <cell r="EX84">
            <v>4.347826086956541E-2</v>
          </cell>
          <cell r="EZ84">
            <v>-6.8493150684940662E-3</v>
          </cell>
          <cell r="FA84">
            <v>0.28186274509803688</v>
          </cell>
          <cell r="FB84">
            <v>0.2057761732851966</v>
          </cell>
          <cell r="FD84">
            <v>5.9884095299420403E-2</v>
          </cell>
          <cell r="FE84">
            <v>1.5649952091983277E-2</v>
          </cell>
          <cell r="FF84">
            <v>3.0315969257045161E-2</v>
          </cell>
          <cell r="FH84">
            <v>0.19108842251213209</v>
          </cell>
          <cell r="FI84">
            <v>0.15026001277255752</v>
          </cell>
          <cell r="FJ84">
            <v>0.17440733561950195</v>
          </cell>
        </row>
        <row r="85">
          <cell r="EM85" t="str">
            <v xml:space="preserve"> 3Q</v>
          </cell>
          <cell r="EN85">
            <v>5.6603773584905648E-2</v>
          </cell>
          <cell r="EO85">
            <v>-1.0638297872340385E-2</v>
          </cell>
          <cell r="EP85">
            <v>2.4999999999999911E-2</v>
          </cell>
          <cell r="ER85">
            <v>0.31658291457286447</v>
          </cell>
          <cell r="ES85">
            <v>3.3613445378151363E-2</v>
          </cell>
          <cell r="ET85">
            <v>0.21069182389937113</v>
          </cell>
          <cell r="EV85">
            <v>0.16666666666666674</v>
          </cell>
          <cell r="EW85">
            <v>-9.4462540716612309E-2</v>
          </cell>
          <cell r="EX85">
            <v>-8.9456869009584716E-2</v>
          </cell>
          <cell r="EZ85">
            <v>2.0408163265307033E-2</v>
          </cell>
          <cell r="FA85">
            <v>0.2733485193621854</v>
          </cell>
          <cell r="FB85">
            <v>0.19527559055118049</v>
          </cell>
          <cell r="FD85">
            <v>4.0640394088669929E-2</v>
          </cell>
          <cell r="FE85">
            <v>1.5269655620532729E-2</v>
          </cell>
          <cell r="FF85">
            <v>2.4032326669502169E-2</v>
          </cell>
          <cell r="FH85">
            <v>0.25387560409213572</v>
          </cell>
          <cell r="FI85">
            <v>0.12637412555646388</v>
          </cell>
          <cell r="FJ85">
            <v>0.20178173719376402</v>
          </cell>
        </row>
        <row r="86">
          <cell r="EM86" t="str">
            <v xml:space="preserve"> 4Q</v>
          </cell>
          <cell r="EN86">
            <v>-8.5937500000000111E-2</v>
          </cell>
          <cell r="EO86">
            <v>5.1546391752577359E-2</v>
          </cell>
          <cell r="EP86">
            <v>-2.6666666666666727E-2</v>
          </cell>
          <cell r="ER86">
            <v>0.36279069767441863</v>
          </cell>
          <cell r="ES86">
            <v>8.7591240875912524E-2</v>
          </cell>
          <cell r="ET86">
            <v>0.25568181818181812</v>
          </cell>
          <cell r="EV86">
            <v>0.33333333333333348</v>
          </cell>
          <cell r="EW86">
            <v>-2.6315789473684292E-2</v>
          </cell>
          <cell r="EX86">
            <v>-2.230483271375483E-2</v>
          </cell>
          <cell r="EZ86">
            <v>-0.70063694267516108</v>
          </cell>
          <cell r="FA86">
            <v>0.22883295194508091</v>
          </cell>
          <cell r="FB86">
            <v>-1.6835016835016869E-2</v>
          </cell>
          <cell r="FD86">
            <v>7.571801566579639E-2</v>
          </cell>
          <cell r="FE86">
            <v>2.4600638977635647E-2</v>
          </cell>
          <cell r="FF86">
            <v>4.4003964321110089E-2</v>
          </cell>
          <cell r="FH86">
            <v>0.21075789242107579</v>
          </cell>
          <cell r="FI86">
            <v>9.4753263814763011E-2</v>
          </cell>
          <cell r="FJ86">
            <v>0.16422383979447308</v>
          </cell>
        </row>
        <row r="88">
          <cell r="EM88" t="str">
            <v>Year</v>
          </cell>
          <cell r="EN88">
            <v>-6.25E-2</v>
          </cell>
          <cell r="EO88">
            <v>-3.0226700251889227E-2</v>
          </cell>
          <cell r="EP88">
            <v>-4.9111807732497459E-2</v>
          </cell>
          <cell r="ER88">
            <v>0.2723970944309928</v>
          </cell>
          <cell r="ES88">
            <v>-9.3632958801497246E-3</v>
          </cell>
          <cell r="ET88">
            <v>0.16176470588235303</v>
          </cell>
          <cell r="EV88">
            <v>0.21052631578947345</v>
          </cell>
          <cell r="EW88">
            <v>1.3368983957219305E-2</v>
          </cell>
          <cell r="EX88">
            <v>1.6652059596844904E-2</v>
          </cell>
          <cell r="EZ88">
            <v>-0.16875000000000051</v>
          </cell>
          <cell r="FA88">
            <v>0.20294985250737407</v>
          </cell>
          <cell r="FB88">
            <v>0.10107066381156238</v>
          </cell>
          <cell r="FD88">
            <v>5.2144914355009897E-2</v>
          </cell>
          <cell r="FE88">
            <v>2.3863821469294777E-2</v>
          </cell>
          <cell r="FF88">
            <v>3.374834437086105E-2</v>
          </cell>
          <cell r="FH88">
            <v>0.24673759652433147</v>
          </cell>
          <cell r="FI88">
            <v>0.14200063111391614</v>
          </cell>
          <cell r="FJ88">
            <v>0.20348496272095162</v>
          </cell>
        </row>
        <row r="90">
          <cell r="EM90" t="str">
            <v>1999</v>
          </cell>
          <cell r="EQ90">
            <v>0</v>
          </cell>
          <cell r="EU90">
            <v>0</v>
          </cell>
          <cell r="EY90">
            <v>0</v>
          </cell>
          <cell r="FC90">
            <v>0</v>
          </cell>
        </row>
        <row r="91">
          <cell r="EM91" t="str">
            <v xml:space="preserve"> 1Q</v>
          </cell>
          <cell r="EN91">
            <v>13.4</v>
          </cell>
          <cell r="EO91">
            <v>9</v>
          </cell>
          <cell r="EP91">
            <v>22.4</v>
          </cell>
          <cell r="ER91">
            <v>22.5</v>
          </cell>
          <cell r="ES91">
            <v>11.9</v>
          </cell>
          <cell r="ET91">
            <v>34.4</v>
          </cell>
          <cell r="EV91">
            <v>0.6</v>
          </cell>
          <cell r="EW91">
            <v>29.4</v>
          </cell>
          <cell r="EX91">
            <v>30</v>
          </cell>
          <cell r="EZ91">
            <v>14</v>
          </cell>
          <cell r="FA91">
            <v>42</v>
          </cell>
          <cell r="FB91">
            <v>56</v>
          </cell>
          <cell r="FD91">
            <v>154.5</v>
          </cell>
          <cell r="FE91">
            <v>305.90000000000003</v>
          </cell>
          <cell r="FF91">
            <v>460.40000000000003</v>
          </cell>
          <cell r="FH91">
            <v>1773.7</v>
          </cell>
          <cell r="FI91">
            <v>1232.7</v>
          </cell>
          <cell r="FJ91">
            <v>3006.4</v>
          </cell>
        </row>
        <row r="92">
          <cell r="EM92" t="str">
            <v xml:space="preserve"> 2Q</v>
          </cell>
          <cell r="EN92">
            <v>16.2</v>
          </cell>
          <cell r="EO92">
            <v>10</v>
          </cell>
          <cell r="EP92">
            <v>26.2</v>
          </cell>
          <cell r="ER92">
            <v>27.1</v>
          </cell>
          <cell r="ES92">
            <v>13.8</v>
          </cell>
          <cell r="ET92">
            <v>40.900000000000006</v>
          </cell>
          <cell r="EV92">
            <v>0.6</v>
          </cell>
          <cell r="EW92">
            <v>30.6</v>
          </cell>
          <cell r="EX92">
            <v>31.200000000000003</v>
          </cell>
          <cell r="EZ92">
            <v>14.500000000000011</v>
          </cell>
          <cell r="FA92">
            <v>52.299999999999955</v>
          </cell>
          <cell r="FB92">
            <v>66.799999999999969</v>
          </cell>
          <cell r="FD92">
            <v>164.6</v>
          </cell>
          <cell r="FE92">
            <v>318</v>
          </cell>
          <cell r="FF92">
            <v>482.6</v>
          </cell>
          <cell r="FH92">
            <v>1889.9</v>
          </cell>
          <cell r="FI92">
            <v>1260.8000000000002</v>
          </cell>
          <cell r="FJ92">
            <v>3150.7000000000003</v>
          </cell>
        </row>
        <row r="93">
          <cell r="EM93" t="str">
            <v xml:space="preserve"> 3Q</v>
          </cell>
          <cell r="EN93">
            <v>11.2</v>
          </cell>
          <cell r="EO93">
            <v>9.3000000000000007</v>
          </cell>
          <cell r="EP93">
            <v>20.5</v>
          </cell>
          <cell r="ER93">
            <v>26.2</v>
          </cell>
          <cell r="ES93">
            <v>12.3</v>
          </cell>
          <cell r="ET93">
            <v>38.5</v>
          </cell>
          <cell r="EV93">
            <v>0.7</v>
          </cell>
          <cell r="EW93">
            <v>27.8</v>
          </cell>
          <cell r="EX93">
            <v>28.5</v>
          </cell>
          <cell r="EZ93">
            <v>20.000000000000028</v>
          </cell>
          <cell r="FA93">
            <v>55.899999999999963</v>
          </cell>
          <cell r="FB93">
            <v>75.899999999999991</v>
          </cell>
          <cell r="FD93">
            <v>169</v>
          </cell>
          <cell r="FE93">
            <v>312.5</v>
          </cell>
          <cell r="FF93">
            <v>481.5</v>
          </cell>
          <cell r="FH93">
            <v>1997.8000000000002</v>
          </cell>
          <cell r="FI93">
            <v>1239.8</v>
          </cell>
          <cell r="FJ93">
            <v>3237.6000000000004</v>
          </cell>
        </row>
        <row r="94">
          <cell r="EM94" t="str">
            <v xml:space="preserve"> 4Q</v>
          </cell>
          <cell r="EN94">
            <v>11.7</v>
          </cell>
          <cell r="EO94">
            <v>10.199999999999999</v>
          </cell>
          <cell r="EP94">
            <v>21.9</v>
          </cell>
          <cell r="ER94">
            <v>29.3</v>
          </cell>
          <cell r="ES94">
            <v>14.9</v>
          </cell>
          <cell r="ET94">
            <v>44.2</v>
          </cell>
          <cell r="EV94">
            <v>0.4</v>
          </cell>
          <cell r="EW94">
            <v>25.9</v>
          </cell>
          <cell r="EX94">
            <v>26.299999999999997</v>
          </cell>
          <cell r="EZ94">
            <v>4.6999999999999744</v>
          </cell>
          <cell r="FA94">
            <v>53.700000000000045</v>
          </cell>
          <cell r="FB94">
            <v>58.40000000000002</v>
          </cell>
          <cell r="FD94">
            <v>206</v>
          </cell>
          <cell r="FE94">
            <v>320.7</v>
          </cell>
          <cell r="FF94">
            <v>526.70000000000005</v>
          </cell>
          <cell r="FH94">
            <v>2201.4</v>
          </cell>
          <cell r="FI94">
            <v>1333.3</v>
          </cell>
          <cell r="FJ94">
            <v>3534.7</v>
          </cell>
        </row>
        <row r="96">
          <cell r="EM96" t="str">
            <v>Year</v>
          </cell>
          <cell r="EN96">
            <v>52.5</v>
          </cell>
          <cell r="EO96">
            <v>38.5</v>
          </cell>
          <cell r="EP96">
            <v>91</v>
          </cell>
          <cell r="ER96">
            <v>105.1</v>
          </cell>
          <cell r="ES96">
            <v>52.9</v>
          </cell>
          <cell r="ET96">
            <v>158</v>
          </cell>
          <cell r="EV96">
            <v>2.2999999999999998</v>
          </cell>
          <cell r="EW96">
            <v>113.69999999999999</v>
          </cell>
          <cell r="EX96">
            <v>116</v>
          </cell>
          <cell r="EZ96">
            <v>53.200000000000017</v>
          </cell>
          <cell r="FA96">
            <v>203.89999999999998</v>
          </cell>
          <cell r="FB96">
            <v>257.09999999999997</v>
          </cell>
          <cell r="FD96">
            <v>694.1</v>
          </cell>
          <cell r="FE96">
            <v>1257.1000000000001</v>
          </cell>
          <cell r="FF96">
            <v>1951.2</v>
          </cell>
          <cell r="FH96">
            <v>7862.8000000000011</v>
          </cell>
          <cell r="FI96">
            <v>5066.6000000000004</v>
          </cell>
          <cell r="FJ96">
            <v>12929.400000000001</v>
          </cell>
        </row>
        <row r="98">
          <cell r="EM98" t="str">
            <v>2000E/99</v>
          </cell>
        </row>
        <row r="99">
          <cell r="EM99" t="str">
            <v xml:space="preserve"> 1QA</v>
          </cell>
          <cell r="EN99">
            <v>-4.4776119402985093E-2</v>
          </cell>
          <cell r="EO99">
            <v>-1.1111111111111072E-2</v>
          </cell>
          <cell r="EP99">
            <v>-3.1249999999999778E-2</v>
          </cell>
          <cell r="ER99">
            <v>0.27555555555555555</v>
          </cell>
          <cell r="ES99">
            <v>0.2100840336134453</v>
          </cell>
          <cell r="ET99">
            <v>0.25290697674418605</v>
          </cell>
          <cell r="EV99">
            <v>0.33333333333333348</v>
          </cell>
          <cell r="EW99">
            <v>9.5238095238095344E-2</v>
          </cell>
          <cell r="EX99">
            <v>0.10000000000000009</v>
          </cell>
          <cell r="EZ99">
            <v>0.17142857142857193</v>
          </cell>
          <cell r="FA99">
            <v>0.37380952380952492</v>
          </cell>
          <cell r="FB99">
            <v>0.32321428571428656</v>
          </cell>
          <cell r="FD99">
            <v>4.5307443365695699E-2</v>
          </cell>
          <cell r="FE99">
            <v>0.10722458319712302</v>
          </cell>
          <cell r="FF99">
            <v>8.6446568201563823E-2</v>
          </cell>
          <cell r="FH99">
            <v>0.17894796188757955</v>
          </cell>
          <cell r="FI99">
            <v>6.7494118601443942E-2</v>
          </cell>
          <cell r="FJ99">
            <v>0.13324906865353903</v>
          </cell>
        </row>
        <row r="100">
          <cell r="EM100" t="str">
            <v xml:space="preserve"> 2QE</v>
          </cell>
          <cell r="EN100">
            <v>0.03</v>
          </cell>
          <cell r="EO100">
            <v>0.03</v>
          </cell>
          <cell r="EP100">
            <v>3.0000000000000027E-2</v>
          </cell>
          <cell r="ER100">
            <v>0.2</v>
          </cell>
          <cell r="ES100">
            <v>-0.02</v>
          </cell>
          <cell r="ET100">
            <v>0.12577017114914413</v>
          </cell>
          <cell r="EV100">
            <v>0.26</v>
          </cell>
          <cell r="EW100">
            <v>0.08</v>
          </cell>
          <cell r="EX100">
            <v>8.3461538461538476E-2</v>
          </cell>
          <cell r="EZ100">
            <v>0</v>
          </cell>
          <cell r="FA100">
            <v>0.2</v>
          </cell>
          <cell r="FB100">
            <v>0.15658682634730514</v>
          </cell>
          <cell r="FD100">
            <v>4.5595382746051127E-2</v>
          </cell>
          <cell r="FE100">
            <v>7.5830188679245181E-2</v>
          </cell>
          <cell r="FF100">
            <v>6.551802735184431E-2</v>
          </cell>
          <cell r="FH100">
            <v>0.10382665749510567</v>
          </cell>
          <cell r="FI100">
            <v>0.15752934644670025</v>
          </cell>
          <cell r="FJ100">
            <v>0.12531659631193071</v>
          </cell>
        </row>
        <row r="101">
          <cell r="EM101" t="str">
            <v xml:space="preserve"> 3QE</v>
          </cell>
          <cell r="EN101">
            <v>0.03</v>
          </cell>
          <cell r="EO101">
            <v>0.03</v>
          </cell>
          <cell r="EP101">
            <v>3.0000000000000027E-2</v>
          </cell>
          <cell r="ER101">
            <v>0.2</v>
          </cell>
          <cell r="ES101">
            <v>-0.02</v>
          </cell>
          <cell r="ET101">
            <v>0.12971428571428567</v>
          </cell>
          <cell r="EV101">
            <v>0.26</v>
          </cell>
          <cell r="EW101">
            <v>0.08</v>
          </cell>
          <cell r="EX101">
            <v>8.4421052631579174E-2</v>
          </cell>
          <cell r="EZ101">
            <v>0</v>
          </cell>
          <cell r="FA101">
            <v>0.2</v>
          </cell>
          <cell r="FB101">
            <v>0.14729907773386031</v>
          </cell>
          <cell r="FD101">
            <v>8.1295857988165965E-2</v>
          </cell>
          <cell r="FE101">
            <v>7.8534400000000115E-2</v>
          </cell>
          <cell r="FF101">
            <v>7.9503634475597273E-2</v>
          </cell>
          <cell r="FH101">
            <v>0.11604615076584235</v>
          </cell>
          <cell r="FI101">
            <v>0.18815212130988912</v>
          </cell>
          <cell r="FJ101">
            <v>0.14365826538176441</v>
          </cell>
        </row>
        <row r="102">
          <cell r="EM102" t="str">
            <v xml:space="preserve"> 4QE</v>
          </cell>
          <cell r="EN102">
            <v>9.9118140426551538E-2</v>
          </cell>
          <cell r="EO102">
            <v>5.6949250288351072E-2</v>
          </cell>
          <cell r="EP102">
            <v>7.9477835430677546E-2</v>
          </cell>
          <cell r="ER102">
            <v>0.14197952218429966</v>
          </cell>
          <cell r="ES102">
            <v>-0.20375838926174505</v>
          </cell>
          <cell r="ET102">
            <v>2.5429864253392997E-2</v>
          </cell>
          <cell r="EV102">
            <v>0.15499999999999936</v>
          </cell>
          <cell r="EW102">
            <v>5.5903470977028746E-2</v>
          </cell>
          <cell r="EX102">
            <v>5.7410642521104283E-2</v>
          </cell>
          <cell r="EZ102">
            <v>-0.51063829787234361</v>
          </cell>
          <cell r="FA102">
            <v>6.4059590316573489E-2</v>
          </cell>
          <cell r="FB102">
            <v>1.7808219178081952E-2</v>
          </cell>
          <cell r="FD102">
            <v>4.7751565193718815E-3</v>
          </cell>
          <cell r="FE102">
            <v>4.1736950876155587E-2</v>
          </cell>
          <cell r="FF102">
            <v>2.7280657658958818E-2</v>
          </cell>
          <cell r="FH102">
            <v>0.11790550660624621</v>
          </cell>
          <cell r="FI102">
            <v>0.25027371195228665</v>
          </cell>
          <cell r="FJ102">
            <v>0.16783521158485137</v>
          </cell>
        </row>
        <row r="104">
          <cell r="EM104" t="str">
            <v>Year</v>
          </cell>
          <cell r="EN104">
            <v>2.6317757009345799E-2</v>
          </cell>
          <cell r="EO104">
            <v>2.7529411764706024E-2</v>
          </cell>
          <cell r="EP104">
            <v>2.6830380175075108E-2</v>
          </cell>
          <cell r="ER104">
            <v>0.2</v>
          </cell>
          <cell r="ES104">
            <v>-0.02</v>
          </cell>
          <cell r="ET104">
            <v>0.12634177215189868</v>
          </cell>
          <cell r="EV104">
            <v>0.26086956521739135</v>
          </cell>
          <cell r="EW104">
            <v>7.8451186440677834E-2</v>
          </cell>
          <cell r="EX104">
            <v>8.2068102571595247E-2</v>
          </cell>
          <cell r="EZ104">
            <v>0</v>
          </cell>
          <cell r="FA104">
            <v>0.2</v>
          </cell>
          <cell r="FB104">
            <v>0.15861532477635176</v>
          </cell>
          <cell r="FD104">
            <v>4.2108748369097615E-2</v>
          </cell>
          <cell r="FE104">
            <v>7.5444308444819752E-2</v>
          </cell>
          <cell r="FF104">
            <v>6.3585856082909675E-2</v>
          </cell>
          <cell r="FH104">
            <v>0.12781912070038537</v>
          </cell>
          <cell r="FI104">
            <v>0.16752337665218953</v>
          </cell>
          <cell r="FJ104">
            <v>0.1433778924303506</v>
          </cell>
        </row>
        <row r="106">
          <cell r="EM106" t="str">
            <v>2000E</v>
          </cell>
        </row>
        <row r="107">
          <cell r="EM107" t="str">
            <v xml:space="preserve"> 1QA</v>
          </cell>
          <cell r="EN107">
            <v>12.8</v>
          </cell>
          <cell r="EO107">
            <v>8.9</v>
          </cell>
          <cell r="EP107">
            <v>21.700000000000003</v>
          </cell>
          <cell r="ER107">
            <v>28.7</v>
          </cell>
          <cell r="ES107">
            <v>14.4</v>
          </cell>
          <cell r="ET107">
            <v>43.1</v>
          </cell>
          <cell r="EV107">
            <v>0.8</v>
          </cell>
          <cell r="EW107">
            <v>32.200000000000003</v>
          </cell>
          <cell r="EX107">
            <v>33</v>
          </cell>
          <cell r="EZ107">
            <v>16.400000000000006</v>
          </cell>
          <cell r="FA107">
            <v>57.700000000000045</v>
          </cell>
          <cell r="FB107">
            <v>74.100000000000051</v>
          </cell>
          <cell r="FD107">
            <v>161.5</v>
          </cell>
          <cell r="FE107">
            <v>338.7</v>
          </cell>
          <cell r="FF107">
            <v>500.2</v>
          </cell>
          <cell r="FH107">
            <v>2091.1</v>
          </cell>
          <cell r="FI107">
            <v>1315.9</v>
          </cell>
          <cell r="FJ107">
            <v>3407</v>
          </cell>
        </row>
        <row r="108">
          <cell r="EM108" t="str">
            <v xml:space="preserve"> 2QE</v>
          </cell>
          <cell r="EN108">
            <v>16.686</v>
          </cell>
          <cell r="EO108">
            <v>10.3</v>
          </cell>
          <cell r="EP108">
            <v>26.986000000000001</v>
          </cell>
          <cell r="ER108">
            <v>32.520000000000003</v>
          </cell>
          <cell r="ES108">
            <v>13.524000000000001</v>
          </cell>
          <cell r="ET108">
            <v>46.044000000000004</v>
          </cell>
          <cell r="EV108">
            <v>0.75600000000000001</v>
          </cell>
          <cell r="EW108">
            <v>33.048000000000002</v>
          </cell>
          <cell r="EX108">
            <v>33.804000000000002</v>
          </cell>
          <cell r="EZ108">
            <v>14.500000000000011</v>
          </cell>
          <cell r="FA108">
            <v>62.759999999999941</v>
          </cell>
          <cell r="FB108">
            <v>77.259999999999948</v>
          </cell>
          <cell r="FD108">
            <v>172.10500000000002</v>
          </cell>
          <cell r="FE108">
            <v>342.11399999999998</v>
          </cell>
          <cell r="FF108">
            <v>514.21900000000005</v>
          </cell>
          <cell r="FH108">
            <v>2086.1220000000003</v>
          </cell>
          <cell r="FI108">
            <v>1459.413</v>
          </cell>
          <cell r="FJ108">
            <v>3545.5350000000003</v>
          </cell>
        </row>
        <row r="109">
          <cell r="EM109" t="str">
            <v xml:space="preserve"> 3QE</v>
          </cell>
          <cell r="EN109">
            <v>11.536</v>
          </cell>
          <cell r="EO109">
            <v>9.5790000000000006</v>
          </cell>
          <cell r="EP109">
            <v>21.115000000000002</v>
          </cell>
          <cell r="ER109">
            <v>31.439999999999998</v>
          </cell>
          <cell r="ES109">
            <v>12.054</v>
          </cell>
          <cell r="ET109">
            <v>43.494</v>
          </cell>
          <cell r="EV109">
            <v>0.8819999999999999</v>
          </cell>
          <cell r="EW109">
            <v>30.024000000000004</v>
          </cell>
          <cell r="EX109">
            <v>30.906000000000006</v>
          </cell>
          <cell r="EZ109">
            <v>20.000000000000028</v>
          </cell>
          <cell r="FA109">
            <v>67.079999999999956</v>
          </cell>
          <cell r="FB109">
            <v>87.079999999999984</v>
          </cell>
          <cell r="FD109">
            <v>182.73900000000003</v>
          </cell>
          <cell r="FE109">
            <v>337.04200000000003</v>
          </cell>
          <cell r="FF109">
            <v>519.78100000000006</v>
          </cell>
          <cell r="FH109">
            <v>2229.6370000000002</v>
          </cell>
          <cell r="FI109">
            <v>1473.0710000000004</v>
          </cell>
          <cell r="FJ109">
            <v>3702.7080000000005</v>
          </cell>
        </row>
        <row r="110">
          <cell r="EM110" t="str">
            <v xml:space="preserve"> 4QE</v>
          </cell>
          <cell r="EN110">
            <v>12.859682242990653</v>
          </cell>
          <cell r="EO110">
            <v>10.78088235294118</v>
          </cell>
          <cell r="EP110">
            <v>23.640564595931835</v>
          </cell>
          <cell r="ER110">
            <v>33.45999999999998</v>
          </cell>
          <cell r="ES110">
            <v>11.863999999999999</v>
          </cell>
          <cell r="ET110">
            <v>45.323999999999977</v>
          </cell>
          <cell r="EV110">
            <v>0.46199999999999974</v>
          </cell>
          <cell r="EW110">
            <v>27.347899898305041</v>
          </cell>
          <cell r="EX110">
            <v>27.809899898305041</v>
          </cell>
          <cell r="EZ110">
            <v>2.2999999999999723</v>
          </cell>
          <cell r="FA110">
            <v>57.140000000000043</v>
          </cell>
          <cell r="FB110">
            <v>59.440000000000012</v>
          </cell>
          <cell r="FD110">
            <v>206.98368224299062</v>
          </cell>
          <cell r="FE110">
            <v>334.0850401459831</v>
          </cell>
          <cell r="FF110">
            <v>541.0687223889737</v>
          </cell>
          <cell r="FH110">
            <v>2460.9571822429907</v>
          </cell>
          <cell r="FI110">
            <v>1666.9899401459836</v>
          </cell>
          <cell r="FJ110">
            <v>4127.9471223889741</v>
          </cell>
        </row>
        <row r="112">
          <cell r="EM112" t="str">
            <v>Year</v>
          </cell>
          <cell r="EN112">
            <v>53.881682242990657</v>
          </cell>
          <cell r="EO112">
            <v>39.55988235294118</v>
          </cell>
          <cell r="EP112">
            <v>93.441564595931837</v>
          </cell>
          <cell r="ER112">
            <v>126.11999999999999</v>
          </cell>
          <cell r="ES112">
            <v>51.841999999999999</v>
          </cell>
          <cell r="ET112">
            <v>177.96199999999999</v>
          </cell>
          <cell r="EV112">
            <v>2.9</v>
          </cell>
          <cell r="EW112">
            <v>122.61989989830505</v>
          </cell>
          <cell r="EX112">
            <v>125.51989989830506</v>
          </cell>
          <cell r="EZ112">
            <v>53.200000000000017</v>
          </cell>
          <cell r="FA112">
            <v>244.67999999999998</v>
          </cell>
          <cell r="FB112">
            <v>297.88</v>
          </cell>
          <cell r="FD112">
            <v>723.3276822429907</v>
          </cell>
          <cell r="FE112">
            <v>1351.9410401459829</v>
          </cell>
          <cell r="FF112">
            <v>2075.2687223889734</v>
          </cell>
          <cell r="FH112">
            <v>8867.816182242992</v>
          </cell>
          <cell r="FI112">
            <v>5915.3739401459834</v>
          </cell>
          <cell r="FJ112">
            <v>14783.190122388976</v>
          </cell>
        </row>
        <row r="114">
          <cell r="EM114" t="str">
            <v>% Change</v>
          </cell>
        </row>
        <row r="115">
          <cell r="EM115" t="str">
            <v xml:space="preserve">2001E/00E </v>
          </cell>
          <cell r="EN115">
            <v>0</v>
          </cell>
          <cell r="EO115">
            <v>0</v>
          </cell>
          <cell r="EP115">
            <v>0</v>
          </cell>
          <cell r="ER115">
            <v>0.03</v>
          </cell>
          <cell r="ES115">
            <v>0.05</v>
          </cell>
          <cell r="ET115">
            <v>3.5826187613085869E-2</v>
          </cell>
          <cell r="EV115" t="str">
            <v>NM</v>
          </cell>
          <cell r="EW115">
            <v>0.04</v>
          </cell>
          <cell r="EX115">
            <v>4.3059275862322277E-2</v>
          </cell>
          <cell r="EZ115">
            <v>0</v>
          </cell>
          <cell r="FA115">
            <v>0</v>
          </cell>
          <cell r="FB115">
            <v>0</v>
          </cell>
          <cell r="FD115">
            <v>2.272042174445521E-2</v>
          </cell>
          <cell r="FE115">
            <v>2.4501276438986253E-2</v>
          </cell>
          <cell r="FF115">
            <v>2.3880565740314053E-2</v>
          </cell>
          <cell r="FH115">
            <v>0.12732994480208082</v>
          </cell>
          <cell r="FI115">
            <v>0.12971485951716022</v>
          </cell>
          <cell r="FJ115">
            <v>0.12828424913276026</v>
          </cell>
        </row>
        <row r="116">
          <cell r="EM116" t="str">
            <v xml:space="preserve">2002E/01E </v>
          </cell>
          <cell r="EN116">
            <v>0</v>
          </cell>
          <cell r="EO116">
            <v>0</v>
          </cell>
          <cell r="EP116">
            <v>0</v>
          </cell>
          <cell r="ER116">
            <v>0.03</v>
          </cell>
          <cell r="ES116">
            <v>0.05</v>
          </cell>
          <cell r="ET116">
            <v>3.5905910727973556E-2</v>
          </cell>
          <cell r="EV116" t="str">
            <v>NM</v>
          </cell>
          <cell r="EW116">
            <v>0.04</v>
          </cell>
          <cell r="EX116">
            <v>4.2780224139638667E-2</v>
          </cell>
          <cell r="EZ116">
            <v>0</v>
          </cell>
          <cell r="FA116">
            <v>0</v>
          </cell>
          <cell r="FB116">
            <v>0</v>
          </cell>
          <cell r="FD116">
            <v>2.2300195026214942E-2</v>
          </cell>
          <cell r="FE116">
            <v>2.2006113955851836E-2</v>
          </cell>
          <cell r="FF116">
            <v>2.2108498745950333E-2</v>
          </cell>
          <cell r="FH116">
            <v>0.11030698289999319</v>
          </cell>
          <cell r="FI116">
            <v>0.12549334831380476</v>
          </cell>
          <cell r="FJ116">
            <v>0.11639138913769598</v>
          </cell>
        </row>
        <row r="117">
          <cell r="EM117" t="str">
            <v xml:space="preserve">2003E/02E </v>
          </cell>
          <cell r="EN117">
            <v>0</v>
          </cell>
          <cell r="EO117">
            <v>0</v>
          </cell>
          <cell r="EP117">
            <v>0</v>
          </cell>
          <cell r="ER117">
            <v>0.03</v>
          </cell>
          <cell r="ES117">
            <v>0.05</v>
          </cell>
          <cell r="ET117">
            <v>3.5986264003469826E-2</v>
          </cell>
          <cell r="EV117" t="str">
            <v>NM</v>
          </cell>
          <cell r="EW117">
            <v>0.04</v>
          </cell>
          <cell r="EX117">
            <v>4.2519672420614052E-2</v>
          </cell>
          <cell r="EZ117">
            <v>0</v>
          </cell>
          <cell r="FA117">
            <v>0</v>
          </cell>
          <cell r="FB117">
            <v>0</v>
          </cell>
          <cell r="FD117">
            <v>2.2401366120483601E-2</v>
          </cell>
          <cell r="FE117">
            <v>2.2321665336997087E-2</v>
          </cell>
          <cell r="FF117">
            <v>2.2349418495037243E-2</v>
          </cell>
          <cell r="FH117">
            <v>7.308325301845553E-3</v>
          </cell>
          <cell r="FI117">
            <v>9.2159086665294376E-2</v>
          </cell>
          <cell r="FJ117">
            <v>4.1580886092527747E-2</v>
          </cell>
        </row>
        <row r="118">
          <cell r="EM118" t="str">
            <v xml:space="preserve">2004E/03E </v>
          </cell>
          <cell r="EN118">
            <v>0</v>
          </cell>
          <cell r="EO118">
            <v>0</v>
          </cell>
          <cell r="EP118">
            <v>0</v>
          </cell>
          <cell r="ER118">
            <v>0.03</v>
          </cell>
          <cell r="ES118">
            <v>0.05</v>
          </cell>
          <cell r="ET118">
            <v>3.6067239906592219E-2</v>
          </cell>
          <cell r="EV118" t="str">
            <v>NM</v>
          </cell>
          <cell r="EW118">
            <v>3.9999999999999813E-2</v>
          </cell>
          <cell r="EX118">
            <v>4.2276388542874965E-2</v>
          </cell>
          <cell r="EZ118">
            <v>0</v>
          </cell>
          <cell r="FA118">
            <v>0</v>
          </cell>
          <cell r="FB118">
            <v>0</v>
          </cell>
          <cell r="FD118">
            <v>2.2501610682441386E-2</v>
          </cell>
          <cell r="FE118">
            <v>2.2637076921179888E-2</v>
          </cell>
          <cell r="FF118">
            <v>2.2589902893498159E-2</v>
          </cell>
          <cell r="FH118">
            <v>3.7415214464936897E-2</v>
          </cell>
          <cell r="FI118">
            <v>7.1399019090570448E-2</v>
          </cell>
          <cell r="FJ118">
            <v>5.1808359840511242E-2</v>
          </cell>
        </row>
        <row r="119">
          <cell r="EM119" t="str">
            <v xml:space="preserve">2005E/04E </v>
          </cell>
          <cell r="EN119">
            <v>0</v>
          </cell>
          <cell r="EO119">
            <v>0</v>
          </cell>
          <cell r="EP119">
            <v>0</v>
          </cell>
          <cell r="ER119">
            <v>0.03</v>
          </cell>
          <cell r="ES119">
            <v>0.05</v>
          </cell>
          <cell r="ET119">
            <v>3.6148830555144285E-2</v>
          </cell>
          <cell r="EV119" t="str">
            <v>NM</v>
          </cell>
          <cell r="EW119">
            <v>0.04</v>
          </cell>
          <cell r="EX119">
            <v>4.2049236416621394E-2</v>
          </cell>
          <cell r="EZ119">
            <v>0</v>
          </cell>
          <cell r="FA119">
            <v>0</v>
          </cell>
          <cell r="FB119">
            <v>0</v>
          </cell>
          <cell r="FD119">
            <v>2.26009193891612E-2</v>
          </cell>
          <cell r="FE119">
            <v>2.2952221361577818E-2</v>
          </cell>
          <cell r="FF119">
            <v>2.2829896432196017E-2</v>
          </cell>
          <cell r="FH119">
            <v>4.6076622029444181E-2</v>
          </cell>
          <cell r="FI119">
            <v>6.6667584743925756E-2</v>
          </cell>
          <cell r="FJ119">
            <v>5.4959935589752984E-2</v>
          </cell>
        </row>
        <row r="121">
          <cell r="EM121" t="str">
            <v>2001E</v>
          </cell>
          <cell r="EN121">
            <v>53.881682242990657</v>
          </cell>
          <cell r="EO121">
            <v>39.55988235294118</v>
          </cell>
          <cell r="EP121">
            <v>93.441564595931837</v>
          </cell>
          <cell r="ER121">
            <v>129.90359999999998</v>
          </cell>
          <cell r="ES121">
            <v>54.434100000000001</v>
          </cell>
          <cell r="ET121">
            <v>184.33769999999998</v>
          </cell>
          <cell r="EV121">
            <v>3.4</v>
          </cell>
          <cell r="EW121">
            <v>127.52469589423725</v>
          </cell>
          <cell r="EX121">
            <v>130.92469589423726</v>
          </cell>
          <cell r="EZ121">
            <v>53.200000000000017</v>
          </cell>
          <cell r="FA121">
            <v>244.67999999999998</v>
          </cell>
          <cell r="FB121">
            <v>297.88</v>
          </cell>
          <cell r="FD121">
            <v>739.76199224299069</v>
          </cell>
          <cell r="FE121">
            <v>1385.0653212998102</v>
          </cell>
          <cell r="FF121">
            <v>2124.8273135428008</v>
          </cell>
          <cell r="FH121">
            <v>9996.9547272429918</v>
          </cell>
          <cell r="FI121">
            <v>6682.6858397834903</v>
          </cell>
          <cell r="FJ121">
            <v>16679.640567026483</v>
          </cell>
        </row>
        <row r="122">
          <cell r="EM122" t="str">
            <v>2002E</v>
          </cell>
          <cell r="EN122">
            <v>53.881682242990657</v>
          </cell>
          <cell r="EO122">
            <v>39.55988235294118</v>
          </cell>
          <cell r="EP122">
            <v>93.441564595931837</v>
          </cell>
          <cell r="ER122">
            <v>133.80070799999999</v>
          </cell>
          <cell r="ES122">
            <v>57.155805000000001</v>
          </cell>
          <cell r="ET122">
            <v>190.95651299999997</v>
          </cell>
          <cell r="EV122">
            <v>3.9</v>
          </cell>
          <cell r="EW122">
            <v>132.62568373000676</v>
          </cell>
          <cell r="EX122">
            <v>136.52568373000676</v>
          </cell>
          <cell r="EZ122">
            <v>53.200000000000017</v>
          </cell>
          <cell r="FA122">
            <v>244.67999999999998</v>
          </cell>
          <cell r="FB122">
            <v>297.88</v>
          </cell>
          <cell r="FD122">
            <v>756.2588289429907</v>
          </cell>
          <cell r="FE122">
            <v>1415.5452265966323</v>
          </cell>
          <cell r="FF122">
            <v>2171.8040555396228</v>
          </cell>
          <cell r="FH122">
            <v>11099.688641392991</v>
          </cell>
          <cell r="FI122">
            <v>7521.318461547171</v>
          </cell>
          <cell r="FJ122">
            <v>18621.007102940162</v>
          </cell>
        </row>
        <row r="123">
          <cell r="EM123" t="str">
            <v>2003E</v>
          </cell>
          <cell r="EN123">
            <v>53.881682242990657</v>
          </cell>
          <cell r="EO123">
            <v>39.55988235294118</v>
          </cell>
          <cell r="EP123">
            <v>93.441564595931837</v>
          </cell>
          <cell r="ER123">
            <v>137.81472923999999</v>
          </cell>
          <cell r="ES123">
            <v>60.013595250000002</v>
          </cell>
          <cell r="ET123">
            <v>197.82832449</v>
          </cell>
          <cell r="EV123">
            <v>4.4000000000000004</v>
          </cell>
          <cell r="EW123">
            <v>137.93071107920701</v>
          </cell>
          <cell r="EX123">
            <v>142.33071107920702</v>
          </cell>
          <cell r="EZ123">
            <v>53.200000000000017</v>
          </cell>
          <cell r="FA123">
            <v>244.67999999999998</v>
          </cell>
          <cell r="FB123">
            <v>297.88</v>
          </cell>
          <cell r="FD123">
            <v>773.20005985199077</v>
          </cell>
          <cell r="FE123">
            <v>1447.142553414106</v>
          </cell>
          <cell r="FF123">
            <v>2220.342613266097</v>
          </cell>
          <cell r="FH123">
            <v>11180.808776733491</v>
          </cell>
          <cell r="FI123">
            <v>8214.4763014821747</v>
          </cell>
          <cell r="FJ123">
            <v>19395.285078215667</v>
          </cell>
        </row>
        <row r="124">
          <cell r="EM124" t="str">
            <v>2004E</v>
          </cell>
          <cell r="EN124">
            <v>53.881682242990657</v>
          </cell>
          <cell r="EO124">
            <v>39.55988235294118</v>
          </cell>
          <cell r="EP124">
            <v>93.441564595931837</v>
          </cell>
          <cell r="ER124">
            <v>141.9491711172</v>
          </cell>
          <cell r="ES124">
            <v>63.014275012500001</v>
          </cell>
          <cell r="ET124">
            <v>204.9634461297</v>
          </cell>
          <cell r="EV124">
            <v>4.9000000000000004</v>
          </cell>
          <cell r="EW124">
            <v>143.44793952237526</v>
          </cell>
          <cell r="EX124">
            <v>148.34793952237527</v>
          </cell>
          <cell r="EZ124">
            <v>53.200000000000017</v>
          </cell>
          <cell r="FA124">
            <v>244.67999999999998</v>
          </cell>
          <cell r="FB124">
            <v>297.88</v>
          </cell>
          <cell r="FD124">
            <v>790.59830657842065</v>
          </cell>
          <cell r="FE124">
            <v>1479.9016307116538</v>
          </cell>
          <cell r="FF124">
            <v>2270.4999372900743</v>
          </cell>
          <cell r="FH124">
            <v>11599.141135006425</v>
          </cell>
          <cell r="FI124">
            <v>8800.9818517507392</v>
          </cell>
          <cell r="FJ124">
            <v>20400.122986757164</v>
          </cell>
        </row>
        <row r="125">
          <cell r="EM125" t="str">
            <v>2005E</v>
          </cell>
          <cell r="EN125">
            <v>53.881682242990657</v>
          </cell>
          <cell r="EO125">
            <v>39.55988235294118</v>
          </cell>
          <cell r="EP125">
            <v>93.441564595931837</v>
          </cell>
          <cell r="ER125">
            <v>146.20764625071598</v>
          </cell>
          <cell r="ES125">
            <v>66.164988763124995</v>
          </cell>
          <cell r="ET125">
            <v>212.37263501384098</v>
          </cell>
          <cell r="EV125">
            <v>5.4</v>
          </cell>
          <cell r="EW125">
            <v>149.18585710327028</v>
          </cell>
          <cell r="EX125">
            <v>154.58585710327029</v>
          </cell>
          <cell r="EZ125">
            <v>53.200000000000017</v>
          </cell>
          <cell r="FA125">
            <v>244.67999999999998</v>
          </cell>
          <cell r="FB125">
            <v>297.88</v>
          </cell>
          <cell r="FD125">
            <v>808.46655517460692</v>
          </cell>
          <cell r="FE125">
            <v>1513.8686605331075</v>
          </cell>
          <cell r="FF125">
            <v>2322.3352157077143</v>
          </cell>
          <cell r="FH125">
            <v>12133.590376950295</v>
          </cell>
          <cell r="FI125">
            <v>9387.7220551820847</v>
          </cell>
          <cell r="FJ125">
            <v>21521.312432132378</v>
          </cell>
        </row>
        <row r="127">
          <cell r="EM127" t="str">
            <v>E = Morgan Stanley Dean Witter Research Estimates             NM = Not Meaningful             A = Actual</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Set>
  </externalBook>
</externalLink>
</file>

<file path=xl/theme/theme1.xml><?xml version="1.0" encoding="utf-8"?>
<a:theme xmlns:a="http://schemas.openxmlformats.org/drawingml/2006/main" name="Office Theme">
  <a:themeElements>
    <a:clrScheme name="Research">
      <a:dk1>
        <a:sysClr val="windowText" lastClr="000000"/>
      </a:dk1>
      <a:lt1>
        <a:sysClr val="window" lastClr="FFFFFF"/>
      </a:lt1>
      <a:dk2>
        <a:srgbClr val="003366"/>
      </a:dk2>
      <a:lt2>
        <a:srgbClr val="C6D9E2"/>
      </a:lt2>
      <a:accent1>
        <a:srgbClr val="137CB1"/>
      </a:accent1>
      <a:accent2>
        <a:srgbClr val="EACC80"/>
      </a:accent2>
      <a:accent3>
        <a:srgbClr val="4AAC6B"/>
      </a:accent3>
      <a:accent4>
        <a:srgbClr val="A8D7E2"/>
      </a:accent4>
      <a:accent5>
        <a:srgbClr val="E58061"/>
      </a:accent5>
      <a:accent6>
        <a:srgbClr val="BCE3A1"/>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vmlDrawing2.vml" Type="http://schemas.openxmlformats.org/officeDocument/2006/relationships/vmlDrawing"/>
<Relationship Id="rId3" Target="../comments2.xml" Type="http://schemas.openxmlformats.org/officeDocument/2006/relationships/comment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vmlDrawing3.vml" Type="http://schemas.openxmlformats.org/officeDocument/2006/relationships/vmlDrawing"/>
<Relationship Id="rId3" Target="../comments3.xml" Type="http://schemas.openxmlformats.org/officeDocument/2006/relationships/comment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_rels/sheet9.xml.rels><?xml version="1.0" encoding="UTF-8" standalone="yes"?>
<Relationships xmlns="http://schemas.openxmlformats.org/package/2006/relationships">
<Relationship Id="rId1" Target="../printerSettings/printerSettings9.bin" Type="http://schemas.openxmlformats.org/officeDocument/2006/relationships/printerSettings"/>
<Relationship Id="rId2" Target="../drawings/vmlDrawing4.vml" Type="http://schemas.openxmlformats.org/officeDocument/2006/relationships/vmlDrawing"/>
<Relationship Id="rId3" Target="../comments4.xml" Type="http://schemas.openxmlformats.org/officeDocument/2006/relationships/comments"/>
</Relationships>

</file>

<file path=xl/worksheets/_rels/sheet10.xml.rels><?xml version="1.0" encoding="UTF-8" standalone="yes"?>
<Relationships xmlns="http://schemas.openxmlformats.org/package/2006/relationships">
<Relationship Id="rId1" Target="../printerSettings/printerSettings10.bin" Type="http://schemas.openxmlformats.org/officeDocument/2006/relationships/printerSettings"/>
<Relationship Id="rId2" Target="../drawings/vmlDrawing5.vml" Type="http://schemas.openxmlformats.org/officeDocument/2006/relationships/vmlDrawing"/>
<Relationship Id="rId3" Target="../comments5.xml" Type="http://schemas.openxmlformats.org/officeDocument/2006/relationships/comments"/>
</Relationships>

</file>

<file path=xl/worksheets/_rels/sheet11.xml.rels><?xml version="1.0" encoding="UTF-8" standalone="yes"?>
<Relationships xmlns="http://schemas.openxmlformats.org/package/2006/relationships">
<Relationship Id="rId1" Target="http://www.nccn.org/professionals/physician_gls/pdf/colon.pdf" TargetMode="External" Type="http://schemas.openxmlformats.org/officeDocument/2006/relationships/hyperlink"/>
<Relationship Id="rId2" Target="http://www.nccn.org/professionals/physician_gls/pdf/colon.pdf" TargetMode="External" Type="http://schemas.openxmlformats.org/officeDocument/2006/relationships/hyperlink"/>
<Relationship Id="rId3" Target="../printerSettings/printerSettings11.bin" Type="http://schemas.openxmlformats.org/officeDocument/2006/relationships/printerSettings"/>
</Relationships>

</file>

<file path=xl/worksheets/_rels/sheet12.xml.rels><?xml version="1.0" encoding="UTF-8" standalone="yes"?>
<Relationships xmlns="http://schemas.openxmlformats.org/package/2006/relationships">
<Relationship Id="rId1" Target="../printerSettings/printerSettings12.bin" Type="http://schemas.openxmlformats.org/officeDocument/2006/relationships/printerSettings"/>
</Relationships>

</file>

<file path=xl/worksheets/_rels/sheet13.xml.rels><?xml version="1.0" encoding="UTF-8" standalone="yes"?>
<Relationships xmlns="http://schemas.openxmlformats.org/package/2006/relationships">
<Relationship Id="rId1" Target="../printerSettings/printerSettings13.bin" Type="http://schemas.openxmlformats.org/officeDocument/2006/relationships/printerSettings"/>
<Relationship Id="rId2" Target="../drawings/vmlDrawing6.vml" Type="http://schemas.openxmlformats.org/officeDocument/2006/relationships/vmlDrawing"/>
<Relationship Id="rId3" Target="../comments6.xml" Type="http://schemas.openxmlformats.org/officeDocument/2006/relationships/comments"/>
</Relationships>

</file>

<file path=xl/worksheets/_rels/sheet14.xml.rels><?xml version="1.0" encoding="UTF-8" standalone="yes"?>
<Relationships xmlns="http://schemas.openxmlformats.org/package/2006/relationships">
<Relationship Id="rId1" Target="../printerSettings/printerSettings14.bin" Type="http://schemas.openxmlformats.org/officeDocument/2006/relationships/printerSettings"/>
</Relationships>

</file>

<file path=xl/worksheets/_rels/sheet15.xml.rels><?xml version="1.0" encoding="UTF-8" standalone="yes"?>
<Relationships xmlns="http://schemas.openxmlformats.org/package/2006/relationships">
<Relationship Id="rId1" Target="../printerSettings/printerSettings15.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H400"/>
  <sheetViews>
    <sheetView showGridLines="0" tabSelected="1" workbookViewId="0">
      <selection activeCell="B47" sqref="B47"/>
    </sheetView>
  </sheetViews>
  <sheetFormatPr defaultRowHeight="12.75"/>
  <cols>
    <col min="1" max="1" width="25.7109375" style="693" customWidth="1"/>
    <col min="2" max="5" width="9.140625" style="693"/>
    <col min="6" max="6" width="18.7109375" style="693" customWidth="1"/>
    <col min="7" max="256" width="9.140625" style="693"/>
    <col min="257" max="257" width="100.7109375" style="693" customWidth="1"/>
    <col min="258" max="512" width="9.140625" style="693"/>
    <col min="513" max="513" width="100.7109375" style="693" customWidth="1"/>
    <col min="514" max="768" width="9.140625" style="693"/>
    <col min="769" max="769" width="100.7109375" style="693" customWidth="1"/>
    <col min="770" max="1024" width="9.140625" style="693"/>
    <col min="1025" max="1025" width="100.7109375" style="693" customWidth="1"/>
    <col min="1026" max="1280" width="9.140625" style="693"/>
    <col min="1281" max="1281" width="100.7109375" style="693" customWidth="1"/>
    <col min="1282" max="1536" width="9.140625" style="693"/>
    <col min="1537" max="1537" width="100.7109375" style="693" customWidth="1"/>
    <col min="1538" max="1792" width="9.140625" style="693"/>
    <col min="1793" max="1793" width="100.7109375" style="693" customWidth="1"/>
    <col min="1794" max="2048" width="9.140625" style="693"/>
    <col min="2049" max="2049" width="100.7109375" style="693" customWidth="1"/>
    <col min="2050" max="2304" width="9.140625" style="693"/>
    <col min="2305" max="2305" width="100.7109375" style="693" customWidth="1"/>
    <col min="2306" max="2560" width="9.140625" style="693"/>
    <col min="2561" max="2561" width="100.7109375" style="693" customWidth="1"/>
    <col min="2562" max="2816" width="9.140625" style="693"/>
    <col min="2817" max="2817" width="100.7109375" style="693" customWidth="1"/>
    <col min="2818" max="3072" width="9.140625" style="693"/>
    <col min="3073" max="3073" width="100.7109375" style="693" customWidth="1"/>
    <col min="3074" max="3328" width="9.140625" style="693"/>
    <col min="3329" max="3329" width="100.7109375" style="693" customWidth="1"/>
    <col min="3330" max="3584" width="9.140625" style="693"/>
    <col min="3585" max="3585" width="100.7109375" style="693" customWidth="1"/>
    <col min="3586" max="3840" width="9.140625" style="693"/>
    <col min="3841" max="3841" width="100.7109375" style="693" customWidth="1"/>
    <col min="3842" max="4096" width="9.140625" style="693"/>
    <col min="4097" max="4097" width="100.7109375" style="693" customWidth="1"/>
    <col min="4098" max="4352" width="9.140625" style="693"/>
    <col min="4353" max="4353" width="100.7109375" style="693" customWidth="1"/>
    <col min="4354" max="4608" width="9.140625" style="693"/>
    <col min="4609" max="4609" width="100.7109375" style="693" customWidth="1"/>
    <col min="4610" max="4864" width="9.140625" style="693"/>
    <col min="4865" max="4865" width="100.7109375" style="693" customWidth="1"/>
    <col min="4866" max="5120" width="9.140625" style="693"/>
    <col min="5121" max="5121" width="100.7109375" style="693" customWidth="1"/>
    <col min="5122" max="5376" width="9.140625" style="693"/>
    <col min="5377" max="5377" width="100.7109375" style="693" customWidth="1"/>
    <col min="5378" max="5632" width="9.140625" style="693"/>
    <col min="5633" max="5633" width="100.7109375" style="693" customWidth="1"/>
    <col min="5634" max="5888" width="9.140625" style="693"/>
    <col min="5889" max="5889" width="100.7109375" style="693" customWidth="1"/>
    <col min="5890" max="6144" width="9.140625" style="693"/>
    <col min="6145" max="6145" width="100.7109375" style="693" customWidth="1"/>
    <col min="6146" max="6400" width="9.140625" style="693"/>
    <col min="6401" max="6401" width="100.7109375" style="693" customWidth="1"/>
    <col min="6402" max="6656" width="9.140625" style="693"/>
    <col min="6657" max="6657" width="100.7109375" style="693" customWidth="1"/>
    <col min="6658" max="6912" width="9.140625" style="693"/>
    <col min="6913" max="6913" width="100.7109375" style="693" customWidth="1"/>
    <col min="6914" max="7168" width="9.140625" style="693"/>
    <col min="7169" max="7169" width="100.7109375" style="693" customWidth="1"/>
    <col min="7170" max="7424" width="9.140625" style="693"/>
    <col min="7425" max="7425" width="100.7109375" style="693" customWidth="1"/>
    <col min="7426" max="7680" width="9.140625" style="693"/>
    <col min="7681" max="7681" width="100.7109375" style="693" customWidth="1"/>
    <col min="7682" max="7936" width="9.140625" style="693"/>
    <col min="7937" max="7937" width="100.7109375" style="693" customWidth="1"/>
    <col min="7938" max="8192" width="9.140625" style="693"/>
    <col min="8193" max="8193" width="100.7109375" style="693" customWidth="1"/>
    <col min="8194" max="8448" width="9.140625" style="693"/>
    <col min="8449" max="8449" width="100.7109375" style="693" customWidth="1"/>
    <col min="8450" max="8704" width="9.140625" style="693"/>
    <col min="8705" max="8705" width="100.7109375" style="693" customWidth="1"/>
    <col min="8706" max="8960" width="9.140625" style="693"/>
    <col min="8961" max="8961" width="100.7109375" style="693" customWidth="1"/>
    <col min="8962" max="9216" width="9.140625" style="693"/>
    <col min="9217" max="9217" width="100.7109375" style="693" customWidth="1"/>
    <col min="9218" max="9472" width="9.140625" style="693"/>
    <col min="9473" max="9473" width="100.7109375" style="693" customWidth="1"/>
    <col min="9474" max="9728" width="9.140625" style="693"/>
    <col min="9729" max="9729" width="100.7109375" style="693" customWidth="1"/>
    <col min="9730" max="9984" width="9.140625" style="693"/>
    <col min="9985" max="9985" width="100.7109375" style="693" customWidth="1"/>
    <col min="9986" max="10240" width="9.140625" style="693"/>
    <col min="10241" max="10241" width="100.7109375" style="693" customWidth="1"/>
    <col min="10242" max="10496" width="9.140625" style="693"/>
    <col min="10497" max="10497" width="100.7109375" style="693" customWidth="1"/>
    <col min="10498" max="10752" width="9.140625" style="693"/>
    <col min="10753" max="10753" width="100.7109375" style="693" customWidth="1"/>
    <col min="10754" max="11008" width="9.140625" style="693"/>
    <col min="11009" max="11009" width="100.7109375" style="693" customWidth="1"/>
    <col min="11010" max="11264" width="9.140625" style="693"/>
    <col min="11265" max="11265" width="100.7109375" style="693" customWidth="1"/>
    <col min="11266" max="11520" width="9.140625" style="693"/>
    <col min="11521" max="11521" width="100.7109375" style="693" customWidth="1"/>
    <col min="11522" max="11776" width="9.140625" style="693"/>
    <col min="11777" max="11777" width="100.7109375" style="693" customWidth="1"/>
    <col min="11778" max="12032" width="9.140625" style="693"/>
    <col min="12033" max="12033" width="100.7109375" style="693" customWidth="1"/>
    <col min="12034" max="12288" width="9.140625" style="693"/>
    <col min="12289" max="12289" width="100.7109375" style="693" customWidth="1"/>
    <col min="12290" max="12544" width="9.140625" style="693"/>
    <col min="12545" max="12545" width="100.7109375" style="693" customWidth="1"/>
    <col min="12546" max="12800" width="9.140625" style="693"/>
    <col min="12801" max="12801" width="100.7109375" style="693" customWidth="1"/>
    <col min="12802" max="13056" width="9.140625" style="693"/>
    <col min="13057" max="13057" width="100.7109375" style="693" customWidth="1"/>
    <col min="13058" max="13312" width="9.140625" style="693"/>
    <col min="13313" max="13313" width="100.7109375" style="693" customWidth="1"/>
    <col min="13314" max="13568" width="9.140625" style="693"/>
    <col min="13569" max="13569" width="100.7109375" style="693" customWidth="1"/>
    <col min="13570" max="13824" width="9.140625" style="693"/>
    <col min="13825" max="13825" width="100.7109375" style="693" customWidth="1"/>
    <col min="13826" max="14080" width="9.140625" style="693"/>
    <col min="14081" max="14081" width="100.7109375" style="693" customWidth="1"/>
    <col min="14082" max="14336" width="9.140625" style="693"/>
    <col min="14337" max="14337" width="100.7109375" style="693" customWidth="1"/>
    <col min="14338" max="14592" width="9.140625" style="693"/>
    <col min="14593" max="14593" width="100.7109375" style="693" customWidth="1"/>
    <col min="14594" max="14848" width="9.140625" style="693"/>
    <col min="14849" max="14849" width="100.7109375" style="693" customWidth="1"/>
    <col min="14850" max="15104" width="9.140625" style="693"/>
    <col min="15105" max="15105" width="100.7109375" style="693" customWidth="1"/>
    <col min="15106" max="15360" width="9.140625" style="693"/>
    <col min="15361" max="15361" width="100.7109375" style="693" customWidth="1"/>
    <col min="15362" max="15616" width="9.140625" style="693"/>
    <col min="15617" max="15617" width="100.7109375" style="693" customWidth="1"/>
    <col min="15618" max="15872" width="9.140625" style="693"/>
    <col min="15873" max="15873" width="100.7109375" style="693" customWidth="1"/>
    <col min="15874" max="16128" width="9.140625" style="693"/>
    <col min="16129" max="16129" width="100.7109375" style="693" customWidth="1"/>
    <col min="16130" max="16384" width="9.140625" style="693"/>
  </cols>
  <sheetData>
    <row r="1" spans="1:8" ht="30" customHeight="1">
      <c r="A1" s="810"/>
      <c r="B1" s="811"/>
      <c r="C1" s="811"/>
      <c r="D1" s="811"/>
      <c r="E1" s="811"/>
      <c r="F1" s="811"/>
      <c r="G1" s="811"/>
      <c r="H1" s="811"/>
    </row>
    <row r="2" spans="1:8" ht="14.25">
      <c r="A2" s="812" t="s">
        <v>993</v>
      </c>
      <c r="B2" s="811"/>
      <c r="C2" s="811"/>
      <c r="D2" s="811"/>
      <c r="E2" s="811"/>
      <c r="F2" s="811"/>
      <c r="G2" s="811"/>
      <c r="H2" s="811"/>
    </row>
    <row r="3" spans="1:8" ht="14.25">
      <c r="A3" s="812" t="s">
        <v>994</v>
      </c>
      <c r="B3" s="811"/>
      <c r="C3" s="811"/>
      <c r="D3" s="811"/>
      <c r="E3" s="811"/>
      <c r="F3" s="811"/>
      <c r="G3" s="811"/>
      <c r="H3" s="811"/>
    </row>
    <row r="4" spans="1:8" ht="14.25">
      <c r="A4" s="812" t="s">
        <v>234</v>
      </c>
      <c r="B4" s="811"/>
      <c r="C4" s="811"/>
      <c r="D4" s="811"/>
      <c r="E4" s="811"/>
      <c r="F4" s="811"/>
      <c r="G4" s="811"/>
      <c r="H4" s="811"/>
    </row>
    <row r="5" spans="1:8" ht="14.25">
      <c r="A5" s="812" t="s">
        <v>995</v>
      </c>
      <c r="B5" s="811"/>
      <c r="C5" s="811"/>
      <c r="D5" s="811"/>
      <c r="E5" s="811"/>
      <c r="F5" s="811"/>
      <c r="G5" s="811"/>
      <c r="H5" s="811"/>
    </row>
    <row r="6" spans="1:8" ht="14.25">
      <c r="A6" s="812"/>
      <c r="B6" s="811"/>
      <c r="C6" s="811"/>
      <c r="D6" s="811"/>
      <c r="E6" s="811"/>
      <c r="F6" s="811"/>
      <c r="G6" s="811"/>
      <c r="H6" s="811"/>
    </row>
    <row r="7" spans="1:8">
      <c r="A7" s="810" t="s">
        <v>996</v>
      </c>
      <c r="B7" s="811"/>
      <c r="C7" s="811"/>
      <c r="D7" s="811"/>
      <c r="E7" s="811"/>
      <c r="F7" s="811"/>
      <c r="G7" s="811"/>
      <c r="H7" s="811"/>
    </row>
    <row r="8" spans="1:8">
      <c r="A8" s="810" t="s">
        <v>997</v>
      </c>
      <c r="B8" s="811"/>
      <c r="C8" s="811"/>
      <c r="D8" s="811"/>
      <c r="E8" s="811"/>
      <c r="F8" s="811"/>
      <c r="G8" s="811"/>
      <c r="H8" s="811"/>
    </row>
    <row r="9" spans="1:8">
      <c r="A9" s="810"/>
      <c r="B9" s="811"/>
      <c r="C9" s="811"/>
      <c r="D9" s="811"/>
      <c r="E9" s="811"/>
      <c r="F9" s="811"/>
      <c r="G9" s="811"/>
      <c r="H9" s="811"/>
    </row>
    <row r="10" spans="1:8">
      <c r="A10" s="813" t="s">
        <v>998</v>
      </c>
      <c r="B10" s="811"/>
      <c r="C10" s="811"/>
      <c r="D10" s="811"/>
      <c r="E10" s="811"/>
      <c r="F10" s="811"/>
      <c r="G10" s="811"/>
      <c r="H10" s="811"/>
    </row>
    <row r="11" spans="1:8">
      <c r="A11" s="813" t="s">
        <v>999</v>
      </c>
      <c r="B11" s="811"/>
      <c r="C11" s="811"/>
      <c r="D11" s="811"/>
      <c r="E11" s="811"/>
      <c r="F11" s="811"/>
      <c r="G11" s="811"/>
      <c r="H11" s="811"/>
    </row>
    <row r="12" spans="1:8">
      <c r="A12" s="813" t="s">
        <v>1000</v>
      </c>
      <c r="B12" s="811"/>
      <c r="C12" s="811"/>
      <c r="D12" s="811"/>
      <c r="E12" s="811"/>
      <c r="F12" s="811"/>
      <c r="G12" s="811"/>
      <c r="H12" s="811"/>
    </row>
    <row r="13" spans="1:8">
      <c r="A13" s="813" t="s">
        <v>1001</v>
      </c>
      <c r="B13" s="811"/>
      <c r="C13" s="811"/>
      <c r="D13" s="811"/>
      <c r="E13" s="811"/>
      <c r="F13" s="811"/>
      <c r="G13" s="811"/>
      <c r="H13" s="811"/>
    </row>
    <row r="14" spans="1:8">
      <c r="A14" s="813" t="s">
        <v>1002</v>
      </c>
      <c r="B14" s="811"/>
      <c r="C14" s="811"/>
      <c r="D14" s="811"/>
      <c r="E14" s="811"/>
      <c r="F14" s="811"/>
      <c r="G14" s="811"/>
      <c r="H14" s="811"/>
    </row>
    <row r="15" spans="1:8">
      <c r="A15" s="813" t="s">
        <v>1003</v>
      </c>
      <c r="B15" s="811"/>
      <c r="C15" s="811"/>
      <c r="D15" s="811"/>
      <c r="E15" s="811"/>
      <c r="F15" s="811"/>
      <c r="G15" s="811"/>
      <c r="H15" s="811"/>
    </row>
    <row r="16" spans="1:8">
      <c r="A16" s="813"/>
      <c r="B16" s="811"/>
      <c r="C16" s="811"/>
      <c r="D16" s="811"/>
      <c r="E16" s="811"/>
      <c r="F16" s="811"/>
      <c r="G16" s="811"/>
      <c r="H16" s="811"/>
    </row>
    <row r="17" spans="1:8">
      <c r="A17" s="813" t="s">
        <v>990</v>
      </c>
      <c r="B17" s="811"/>
      <c r="C17" s="811"/>
      <c r="D17" s="811"/>
      <c r="E17" s="811"/>
      <c r="F17" s="811"/>
      <c r="G17" s="811"/>
      <c r="H17" s="811"/>
    </row>
    <row r="18" spans="1:8">
      <c r="A18" s="813"/>
      <c r="B18" s="811"/>
      <c r="C18" s="811"/>
      <c r="D18" s="811"/>
      <c r="E18" s="811"/>
      <c r="F18" s="811"/>
      <c r="G18" s="811"/>
      <c r="H18" s="811"/>
    </row>
    <row r="19" spans="1:8">
      <c r="A19" s="813" t="s">
        <v>991</v>
      </c>
      <c r="B19" s="811"/>
      <c r="C19" s="811"/>
      <c r="D19" s="811"/>
      <c r="E19" s="811"/>
      <c r="F19" s="811"/>
      <c r="G19" s="811"/>
      <c r="H19" s="811"/>
    </row>
    <row r="20" spans="1:8">
      <c r="A20" s="810"/>
      <c r="B20" s="811"/>
      <c r="C20" s="811"/>
      <c r="D20" s="811"/>
      <c r="E20" s="811"/>
      <c r="F20" s="811"/>
      <c r="G20" s="811"/>
      <c r="H20" s="811"/>
    </row>
    <row r="21" spans="1:8">
      <c r="A21" s="814" t="s">
        <v>992</v>
      </c>
      <c r="B21" s="811"/>
      <c r="C21" s="811"/>
      <c r="D21" s="811"/>
      <c r="E21" s="811"/>
      <c r="F21" s="811"/>
      <c r="G21" s="811"/>
      <c r="H21" s="811"/>
    </row>
    <row r="22" spans="1:8">
      <c r="A22" s="815"/>
      <c r="B22" s="815"/>
      <c r="C22" s="815"/>
      <c r="D22" s="815"/>
      <c r="E22" s="815"/>
      <c r="F22" s="815"/>
      <c r="G22" s="815"/>
      <c r="H22" s="815"/>
    </row>
    <row r="23" spans="1:8">
      <c r="A23" s="816" t="s">
        <v>1288</v>
      </c>
      <c r="B23" s="815"/>
      <c r="C23" s="815"/>
      <c r="D23" s="815"/>
      <c r="E23" s="815"/>
      <c r="F23" s="815"/>
      <c r="G23" s="815"/>
      <c r="H23" s="815"/>
    </row>
    <row r="24" spans="1:8">
      <c r="A24" s="816" t="s">
        <v>1289</v>
      </c>
      <c r="B24" s="815"/>
      <c r="C24" s="815"/>
      <c r="D24" s="815"/>
      <c r="E24" s="815"/>
      <c r="F24" s="815"/>
      <c r="G24" s="815"/>
      <c r="H24" s="815"/>
    </row>
    <row r="25" spans="1:8">
      <c r="A25" s="816" t="s">
        <v>1290</v>
      </c>
      <c r="B25" s="815"/>
      <c r="C25" s="815"/>
      <c r="D25" s="815"/>
      <c r="E25" s="815"/>
      <c r="F25" s="815"/>
      <c r="G25" s="815"/>
      <c r="H25" s="815"/>
    </row>
    <row r="26" spans="1:8">
      <c r="A26" s="816" t="s">
        <v>1291</v>
      </c>
      <c r="B26" s="815"/>
      <c r="C26" s="815"/>
      <c r="D26" s="815"/>
      <c r="E26" s="815"/>
      <c r="F26" s="815"/>
      <c r="G26" s="815"/>
      <c r="H26" s="815"/>
    </row>
    <row r="27" spans="1:8">
      <c r="A27" s="815"/>
      <c r="B27" s="815"/>
      <c r="C27" s="815"/>
      <c r="D27" s="815"/>
      <c r="E27" s="815"/>
      <c r="F27" s="815"/>
      <c r="G27" s="815"/>
      <c r="H27" s="815"/>
    </row>
    <row r="28" spans="1:8">
      <c r="A28" s="815"/>
      <c r="B28" s="815"/>
      <c r="C28" s="815"/>
      <c r="D28" s="815"/>
      <c r="E28" s="815"/>
      <c r="F28" s="815"/>
      <c r="G28" s="815"/>
      <c r="H28" s="815"/>
    </row>
    <row r="29" spans="1:8">
      <c r="A29" s="816" t="s">
        <v>1283</v>
      </c>
      <c r="B29" s="815"/>
      <c r="C29" s="815"/>
      <c r="D29" s="815"/>
      <c r="E29" s="815"/>
      <c r="F29" s="815"/>
      <c r="G29" s="815"/>
      <c r="H29" s="815"/>
    </row>
    <row r="30" spans="1:8">
      <c r="A30" s="816" t="s">
        <v>1284</v>
      </c>
      <c r="B30" s="815"/>
      <c r="C30" s="815"/>
      <c r="D30" s="815"/>
      <c r="E30" s="815"/>
      <c r="F30" s="815"/>
      <c r="G30" s="815"/>
      <c r="H30" s="815"/>
    </row>
    <row r="31" spans="1:8">
      <c r="A31" s="816" t="s">
        <v>1285</v>
      </c>
      <c r="B31" s="815"/>
      <c r="C31" s="815"/>
      <c r="D31" s="815"/>
      <c r="E31" s="815"/>
      <c r="F31" s="815"/>
      <c r="G31" s="815"/>
      <c r="H31" s="815"/>
    </row>
    <row r="32" spans="1:8">
      <c r="A32" s="816" t="s">
        <v>1286</v>
      </c>
      <c r="B32" s="815"/>
      <c r="C32" s="815"/>
      <c r="D32" s="815"/>
      <c r="E32" s="815"/>
      <c r="F32" s="815"/>
      <c r="G32" s="815"/>
      <c r="H32" s="815"/>
    </row>
    <row r="33" spans="1:8">
      <c r="A33" s="816" t="s">
        <v>1287</v>
      </c>
      <c r="B33" s="815"/>
      <c r="C33" s="815"/>
      <c r="D33" s="815"/>
      <c r="E33" s="815"/>
      <c r="F33" s="815"/>
      <c r="G33" s="815"/>
      <c r="H33" s="815"/>
    </row>
    <row r="34" spans="1:8">
      <c r="A34" s="815"/>
      <c r="B34" s="815"/>
      <c r="C34" s="815"/>
      <c r="D34" s="815"/>
      <c r="E34" s="815"/>
      <c r="F34" s="815"/>
      <c r="G34" s="815"/>
      <c r="H34" s="815"/>
    </row>
    <row r="35" spans="1:8">
      <c r="A35" s="816" t="s">
        <v>1279</v>
      </c>
      <c r="B35" s="815"/>
      <c r="C35" s="815"/>
      <c r="D35" s="815"/>
      <c r="E35" s="815"/>
      <c r="F35" s="815"/>
      <c r="G35" s="815"/>
      <c r="H35" s="815"/>
    </row>
    <row r="36" spans="1:8">
      <c r="A36" s="816" t="s">
        <v>1280</v>
      </c>
      <c r="B36" s="815"/>
      <c r="C36" s="815"/>
      <c r="D36" s="815"/>
      <c r="E36" s="815"/>
      <c r="F36" s="815"/>
      <c r="G36" s="815"/>
      <c r="H36" s="815"/>
    </row>
    <row r="37" spans="1:8">
      <c r="A37" s="816" t="s">
        <v>1281</v>
      </c>
      <c r="B37" s="815"/>
      <c r="C37" s="815"/>
      <c r="D37" s="815"/>
      <c r="E37" s="815"/>
      <c r="F37" s="815"/>
      <c r="G37" s="815"/>
      <c r="H37" s="815"/>
    </row>
    <row r="38" spans="1:8">
      <c r="A38" s="816" t="s">
        <v>1282</v>
      </c>
      <c r="B38" s="815"/>
      <c r="C38" s="815"/>
      <c r="D38" s="815"/>
      <c r="E38" s="815"/>
      <c r="F38" s="815"/>
      <c r="G38" s="815"/>
      <c r="H38" s="815"/>
    </row>
    <row r="39" spans="1:8">
      <c r="A39" s="815"/>
      <c r="B39" s="815"/>
      <c r="C39" s="815"/>
      <c r="D39" s="815"/>
      <c r="E39" s="815"/>
      <c r="F39" s="815"/>
      <c r="G39" s="815"/>
      <c r="H39" s="815"/>
    </row>
    <row r="40" spans="1:8">
      <c r="A40" s="816" t="s">
        <v>1273</v>
      </c>
      <c r="B40" s="815"/>
      <c r="C40" s="815"/>
      <c r="D40" s="815"/>
      <c r="E40" s="815"/>
      <c r="F40" s="815"/>
      <c r="G40" s="815"/>
      <c r="H40" s="815"/>
    </row>
    <row r="41" spans="1:8">
      <c r="A41" s="816" t="s">
        <v>1274</v>
      </c>
      <c r="B41" s="815"/>
      <c r="C41" s="815"/>
      <c r="D41" s="815"/>
      <c r="E41" s="815"/>
      <c r="F41" s="815"/>
      <c r="G41" s="815"/>
      <c r="H41" s="815"/>
    </row>
    <row r="42" spans="1:8">
      <c r="A42" s="816" t="s">
        <v>1275</v>
      </c>
      <c r="B42" s="815"/>
      <c r="C42" s="815"/>
      <c r="D42" s="815"/>
      <c r="E42" s="815"/>
      <c r="F42" s="815"/>
      <c r="G42" s="815"/>
      <c r="H42" s="815"/>
    </row>
    <row r="43" spans="1:8">
      <c r="A43" s="816" t="s">
        <v>1276</v>
      </c>
      <c r="B43" s="815"/>
      <c r="C43" s="815"/>
      <c r="D43" s="815"/>
      <c r="E43" s="815"/>
      <c r="F43" s="815"/>
      <c r="G43" s="815"/>
      <c r="H43" s="815"/>
    </row>
    <row r="44" spans="1:8">
      <c r="A44" s="816" t="s">
        <v>1277</v>
      </c>
      <c r="B44" s="815"/>
      <c r="C44" s="815"/>
      <c r="D44" s="815"/>
      <c r="E44" s="815"/>
      <c r="F44" s="815"/>
      <c r="G44" s="815"/>
      <c r="H44" s="815"/>
    </row>
    <row r="45" spans="1:8">
      <c r="A45" s="816" t="s">
        <v>1278</v>
      </c>
      <c r="B45" s="815"/>
      <c r="C45" s="815"/>
      <c r="D45" s="815"/>
      <c r="E45" s="815"/>
      <c r="F45" s="815"/>
      <c r="G45" s="815"/>
      <c r="H45" s="815"/>
    </row>
    <row r="46" spans="1:8">
      <c r="A46" s="815"/>
      <c r="B46" s="815"/>
      <c r="C46" s="815"/>
      <c r="D46" s="815"/>
      <c r="E46" s="815"/>
      <c r="F46" s="815"/>
      <c r="G46" s="815"/>
      <c r="H46" s="815"/>
    </row>
    <row r="47" spans="1:8" ht="15.75">
      <c r="A47" s="817" t="s">
        <v>1004</v>
      </c>
      <c r="B47" s="815"/>
      <c r="C47" s="815"/>
      <c r="D47" s="815"/>
      <c r="E47" s="815"/>
      <c r="F47" s="815"/>
      <c r="G47" s="815"/>
      <c r="H47" s="815"/>
    </row>
    <row r="48" spans="1:8">
      <c r="A48" s="815"/>
      <c r="B48" s="815"/>
      <c r="C48" s="815"/>
      <c r="D48" s="815"/>
      <c r="E48" s="815"/>
      <c r="F48" s="815"/>
      <c r="G48" s="815"/>
      <c r="H48" s="815"/>
    </row>
    <row r="49" spans="1:8">
      <c r="A49" s="816" t="s">
        <v>1269</v>
      </c>
      <c r="B49" s="815"/>
      <c r="C49" s="815"/>
      <c r="D49" s="815"/>
      <c r="E49" s="815"/>
      <c r="F49" s="815"/>
      <c r="G49" s="815"/>
      <c r="H49" s="815"/>
    </row>
    <row r="50" spans="1:8">
      <c r="A50" s="816" t="s">
        <v>1270</v>
      </c>
      <c r="B50" s="815"/>
      <c r="C50" s="815"/>
      <c r="D50" s="815"/>
      <c r="E50" s="815"/>
      <c r="F50" s="815"/>
      <c r="G50" s="815"/>
      <c r="H50" s="815"/>
    </row>
    <row r="51" spans="1:8">
      <c r="A51" s="816" t="s">
        <v>1271</v>
      </c>
      <c r="B51" s="815"/>
      <c r="C51" s="815"/>
      <c r="D51" s="815"/>
      <c r="E51" s="815"/>
      <c r="F51" s="815"/>
      <c r="G51" s="815"/>
      <c r="H51" s="815"/>
    </row>
    <row r="52" spans="1:8">
      <c r="A52" s="816" t="s">
        <v>1272</v>
      </c>
      <c r="B52" s="815"/>
      <c r="C52" s="815"/>
      <c r="D52" s="815"/>
      <c r="E52" s="815"/>
      <c r="F52" s="815"/>
      <c r="G52" s="815"/>
      <c r="H52" s="815"/>
    </row>
    <row r="53" spans="1:8">
      <c r="A53" s="815"/>
      <c r="B53" s="815"/>
      <c r="C53" s="815"/>
      <c r="D53" s="815"/>
      <c r="E53" s="815"/>
      <c r="F53" s="815"/>
      <c r="G53" s="815"/>
      <c r="H53" s="815"/>
    </row>
    <row r="54" spans="1:8">
      <c r="A54" s="816" t="s">
        <v>1005</v>
      </c>
      <c r="B54" s="815"/>
      <c r="C54" s="815"/>
      <c r="D54" s="815"/>
      <c r="E54" s="815"/>
      <c r="F54" s="815"/>
      <c r="G54" s="815"/>
      <c r="H54" s="815"/>
    </row>
    <row r="55" spans="1:8">
      <c r="A55" s="815"/>
      <c r="B55" s="815"/>
      <c r="C55" s="815"/>
      <c r="D55" s="815"/>
      <c r="E55" s="815"/>
      <c r="F55" s="815"/>
      <c r="G55" s="815"/>
      <c r="H55" s="815"/>
    </row>
    <row r="56" spans="1:8" ht="15.75">
      <c r="A56" s="817" t="s">
        <v>1006</v>
      </c>
      <c r="B56" s="815"/>
      <c r="C56" s="815"/>
      <c r="D56" s="815"/>
      <c r="E56" s="815"/>
      <c r="F56" s="815"/>
      <c r="G56" s="815"/>
      <c r="H56" s="815"/>
    </row>
    <row r="57" spans="1:8">
      <c r="A57" s="815"/>
      <c r="B57" s="815"/>
      <c r="C57" s="815"/>
      <c r="D57" s="815"/>
      <c r="E57" s="815"/>
      <c r="F57" s="815"/>
      <c r="G57" s="815"/>
      <c r="H57" s="815"/>
    </row>
    <row r="58" spans="1:8">
      <c r="A58" s="816" t="s">
        <v>1267</v>
      </c>
      <c r="B58" s="815"/>
      <c r="C58" s="815"/>
      <c r="D58" s="815"/>
      <c r="E58" s="815"/>
      <c r="F58" s="815"/>
      <c r="G58" s="815"/>
      <c r="H58" s="815"/>
    </row>
    <row r="59" spans="1:8">
      <c r="A59" s="816" t="s">
        <v>1268</v>
      </c>
      <c r="B59" s="815"/>
      <c r="C59" s="815"/>
      <c r="D59" s="815"/>
      <c r="E59" s="815"/>
      <c r="F59" s="815"/>
      <c r="G59" s="815"/>
      <c r="H59" s="815"/>
    </row>
    <row r="60" spans="1:8">
      <c r="A60" s="815"/>
      <c r="B60" s="815"/>
      <c r="C60" s="815"/>
      <c r="D60" s="815"/>
      <c r="E60" s="815"/>
      <c r="F60" s="815"/>
      <c r="G60" s="815"/>
      <c r="H60" s="815"/>
    </row>
    <row r="61" spans="1:8" ht="15.75">
      <c r="A61" s="817" t="s">
        <v>1007</v>
      </c>
      <c r="B61" s="815"/>
      <c r="C61" s="815"/>
      <c r="D61" s="815"/>
      <c r="E61" s="815"/>
      <c r="F61" s="815"/>
      <c r="G61" s="815"/>
      <c r="H61" s="815"/>
    </row>
    <row r="62" spans="1:8">
      <c r="A62" s="815"/>
      <c r="B62" s="815"/>
      <c r="C62" s="815"/>
      <c r="D62" s="815"/>
      <c r="E62" s="815"/>
      <c r="F62" s="815"/>
      <c r="G62" s="815"/>
      <c r="H62" s="815"/>
    </row>
    <row r="63" spans="1:8">
      <c r="A63" s="816" t="s">
        <v>1265</v>
      </c>
      <c r="B63" s="815"/>
      <c r="C63" s="815"/>
      <c r="D63" s="815"/>
      <c r="E63" s="815"/>
      <c r="F63" s="815"/>
      <c r="G63" s="815"/>
      <c r="H63" s="815"/>
    </row>
    <row r="64" spans="1:8">
      <c r="A64" s="816" t="s">
        <v>1266</v>
      </c>
      <c r="B64" s="815"/>
      <c r="C64" s="815"/>
      <c r="D64" s="815"/>
      <c r="E64" s="815"/>
      <c r="F64" s="815"/>
      <c r="G64" s="815"/>
      <c r="H64" s="815"/>
    </row>
    <row r="65" spans="1:8">
      <c r="A65" s="815"/>
      <c r="B65" s="815"/>
      <c r="C65" s="815"/>
      <c r="D65" s="815"/>
      <c r="E65" s="815"/>
      <c r="F65" s="815"/>
      <c r="G65" s="815"/>
      <c r="H65" s="815"/>
    </row>
    <row r="66" spans="1:8">
      <c r="A66" s="816" t="s">
        <v>1263</v>
      </c>
      <c r="B66" s="815"/>
      <c r="C66" s="815"/>
      <c r="D66" s="815"/>
      <c r="E66" s="815"/>
      <c r="F66" s="815"/>
      <c r="G66" s="815"/>
      <c r="H66" s="815"/>
    </row>
    <row r="67" spans="1:8">
      <c r="A67" s="816" t="s">
        <v>1264</v>
      </c>
      <c r="B67" s="815"/>
      <c r="C67" s="815"/>
      <c r="D67" s="815"/>
      <c r="E67" s="815"/>
      <c r="F67" s="815"/>
      <c r="G67" s="815"/>
      <c r="H67" s="815"/>
    </row>
    <row r="68" spans="1:8">
      <c r="A68" s="815"/>
      <c r="B68" s="815"/>
      <c r="C68" s="815"/>
      <c r="D68" s="815"/>
      <c r="E68" s="815"/>
      <c r="F68" s="815"/>
      <c r="G68" s="815"/>
      <c r="H68" s="815"/>
    </row>
    <row r="69" spans="1:8">
      <c r="A69" s="816" t="s">
        <v>1261</v>
      </c>
      <c r="B69" s="815"/>
      <c r="C69" s="815"/>
      <c r="D69" s="815"/>
      <c r="E69" s="815"/>
      <c r="F69" s="815"/>
      <c r="G69" s="815"/>
      <c r="H69" s="815"/>
    </row>
    <row r="70" spans="1:8">
      <c r="A70" s="816" t="s">
        <v>1262</v>
      </c>
      <c r="B70" s="815"/>
      <c r="C70" s="815"/>
      <c r="D70" s="815"/>
      <c r="E70" s="815"/>
      <c r="F70" s="815"/>
      <c r="G70" s="815"/>
      <c r="H70" s="815"/>
    </row>
    <row r="71" spans="1:8">
      <c r="A71" s="815"/>
      <c r="B71" s="815"/>
      <c r="C71" s="815"/>
      <c r="D71" s="815"/>
      <c r="E71" s="815"/>
      <c r="F71" s="815"/>
      <c r="G71" s="815"/>
      <c r="H71" s="815"/>
    </row>
    <row r="72" spans="1:8">
      <c r="A72" s="816" t="s">
        <v>1259</v>
      </c>
      <c r="B72" s="815"/>
      <c r="C72" s="815"/>
      <c r="D72" s="815"/>
      <c r="E72" s="815"/>
      <c r="F72" s="815"/>
      <c r="G72" s="815"/>
      <c r="H72" s="815"/>
    </row>
    <row r="73" spans="1:8">
      <c r="A73" s="816" t="s">
        <v>1260</v>
      </c>
      <c r="B73" s="815"/>
      <c r="C73" s="815"/>
      <c r="D73" s="815"/>
      <c r="E73" s="815"/>
      <c r="F73" s="815"/>
      <c r="G73" s="815"/>
      <c r="H73" s="815"/>
    </row>
    <row r="74" spans="1:8">
      <c r="A74" s="815"/>
      <c r="B74" s="815"/>
      <c r="C74" s="815"/>
      <c r="D74" s="815"/>
      <c r="E74" s="815"/>
      <c r="F74" s="815"/>
      <c r="G74" s="815"/>
      <c r="H74" s="815"/>
    </row>
    <row r="75" spans="1:8">
      <c r="A75" s="816" t="s">
        <v>1257</v>
      </c>
      <c r="B75" s="815"/>
      <c r="C75" s="815"/>
      <c r="D75" s="815"/>
      <c r="E75" s="815"/>
      <c r="F75" s="815"/>
      <c r="G75" s="815"/>
      <c r="H75" s="815"/>
    </row>
    <row r="76" spans="1:8">
      <c r="A76" s="816" t="s">
        <v>1258</v>
      </c>
      <c r="B76" s="815"/>
      <c r="C76" s="815"/>
      <c r="D76" s="815"/>
      <c r="E76" s="815"/>
      <c r="F76" s="815"/>
      <c r="G76" s="815"/>
      <c r="H76" s="815"/>
    </row>
    <row r="77" spans="1:8">
      <c r="A77" s="815"/>
      <c r="B77" s="815"/>
      <c r="C77" s="815"/>
      <c r="D77" s="815"/>
      <c r="E77" s="815"/>
      <c r="F77" s="815"/>
      <c r="G77" s="815"/>
      <c r="H77" s="815"/>
    </row>
    <row r="78" spans="1:8">
      <c r="A78" s="816" t="s">
        <v>1255</v>
      </c>
      <c r="B78" s="815"/>
      <c r="C78" s="815"/>
      <c r="D78" s="815"/>
      <c r="E78" s="815"/>
      <c r="F78" s="815"/>
      <c r="G78" s="815"/>
      <c r="H78" s="815"/>
    </row>
    <row r="79" spans="1:8">
      <c r="A79" s="816" t="s">
        <v>1256</v>
      </c>
      <c r="B79" s="815"/>
      <c r="C79" s="815"/>
      <c r="D79" s="815"/>
      <c r="E79" s="815"/>
      <c r="F79" s="815"/>
      <c r="G79" s="815"/>
      <c r="H79" s="815"/>
    </row>
    <row r="80" spans="1:8">
      <c r="A80" s="815"/>
      <c r="B80" s="815"/>
      <c r="C80" s="815"/>
      <c r="D80" s="815"/>
      <c r="E80" s="815"/>
      <c r="F80" s="815"/>
      <c r="G80" s="815"/>
      <c r="H80" s="815"/>
    </row>
    <row r="81" spans="1:8">
      <c r="A81" s="816" t="s">
        <v>1252</v>
      </c>
      <c r="B81" s="815"/>
      <c r="C81" s="815"/>
      <c r="D81" s="815"/>
      <c r="E81" s="815"/>
      <c r="F81" s="815"/>
      <c r="G81" s="815"/>
      <c r="H81" s="815"/>
    </row>
    <row r="82" spans="1:8">
      <c r="A82" s="816" t="s">
        <v>1253</v>
      </c>
      <c r="B82" s="815"/>
      <c r="C82" s="815"/>
      <c r="D82" s="815"/>
      <c r="E82" s="815"/>
      <c r="F82" s="815"/>
      <c r="G82" s="815"/>
      <c r="H82" s="815"/>
    </row>
    <row r="83" spans="1:8">
      <c r="A83" s="816" t="s">
        <v>1254</v>
      </c>
      <c r="B83" s="815"/>
      <c r="C83" s="815"/>
      <c r="D83" s="815"/>
      <c r="E83" s="815"/>
      <c r="F83" s="815"/>
      <c r="G83" s="815"/>
      <c r="H83" s="815"/>
    </row>
    <row r="84" spans="1:8">
      <c r="A84" s="815"/>
      <c r="B84" s="815"/>
      <c r="C84" s="815"/>
      <c r="D84" s="815"/>
      <c r="E84" s="815"/>
      <c r="F84" s="815"/>
      <c r="G84" s="815"/>
      <c r="H84" s="815"/>
    </row>
    <row r="85" spans="1:8">
      <c r="A85" s="816" t="s">
        <v>1008</v>
      </c>
      <c r="B85" s="815"/>
      <c r="C85" s="815"/>
      <c r="D85" s="815"/>
      <c r="E85" s="815"/>
      <c r="F85" s="815"/>
      <c r="G85" s="815"/>
      <c r="H85" s="815"/>
    </row>
    <row r="86" spans="1:8">
      <c r="A86" s="815"/>
      <c r="B86" s="815"/>
      <c r="C86" s="815"/>
      <c r="D86" s="815"/>
      <c r="E86" s="815"/>
      <c r="F86" s="815"/>
      <c r="G86" s="815"/>
      <c r="H86" s="815"/>
    </row>
    <row r="87" spans="1:8">
      <c r="A87" s="816" t="s">
        <v>1247</v>
      </c>
      <c r="B87" s="815"/>
      <c r="C87" s="815"/>
      <c r="D87" s="815"/>
      <c r="E87" s="815"/>
      <c r="F87" s="815"/>
      <c r="G87" s="815"/>
      <c r="H87" s="815"/>
    </row>
    <row r="88" spans="1:8">
      <c r="A88" s="816" t="s">
        <v>1248</v>
      </c>
      <c r="B88" s="815"/>
      <c r="C88" s="815"/>
      <c r="D88" s="815"/>
      <c r="E88" s="815"/>
      <c r="F88" s="815"/>
      <c r="G88" s="815"/>
      <c r="H88" s="815"/>
    </row>
    <row r="89" spans="1:8">
      <c r="A89" s="816" t="s">
        <v>1249</v>
      </c>
      <c r="B89" s="815"/>
      <c r="C89" s="815"/>
      <c r="D89" s="815"/>
      <c r="E89" s="815"/>
      <c r="F89" s="815"/>
      <c r="G89" s="815"/>
      <c r="H89" s="815"/>
    </row>
    <row r="90" spans="1:8">
      <c r="A90" s="816" t="s">
        <v>1250</v>
      </c>
      <c r="B90" s="815"/>
      <c r="C90" s="815"/>
      <c r="D90" s="815"/>
      <c r="E90" s="815"/>
      <c r="F90" s="815"/>
      <c r="G90" s="815"/>
      <c r="H90" s="815"/>
    </row>
    <row r="91" spans="1:8">
      <c r="A91" s="816" t="s">
        <v>1251</v>
      </c>
      <c r="B91" s="815"/>
      <c r="C91" s="815"/>
      <c r="D91" s="815"/>
      <c r="E91" s="815"/>
      <c r="F91" s="815"/>
      <c r="G91" s="815"/>
      <c r="H91" s="815"/>
    </row>
    <row r="92" spans="1:8">
      <c r="A92" s="816" t="s">
        <v>1134</v>
      </c>
      <c r="B92" s="815"/>
      <c r="C92" s="815"/>
      <c r="D92" s="815"/>
      <c r="E92" s="815"/>
      <c r="F92" s="815"/>
      <c r="G92" s="815"/>
      <c r="H92" s="815"/>
    </row>
    <row r="93" spans="1:8">
      <c r="A93" s="815"/>
      <c r="B93" s="815"/>
      <c r="C93" s="815"/>
      <c r="D93" s="815"/>
      <c r="E93" s="815"/>
      <c r="F93" s="815"/>
      <c r="G93" s="815"/>
      <c r="H93" s="815"/>
    </row>
    <row r="94" spans="1:8">
      <c r="A94" s="816" t="s">
        <v>1240</v>
      </c>
      <c r="B94" s="815"/>
      <c r="C94" s="815"/>
      <c r="D94" s="815"/>
      <c r="E94" s="815"/>
      <c r="F94" s="815"/>
      <c r="G94" s="815"/>
      <c r="H94" s="815"/>
    </row>
    <row r="95" spans="1:8">
      <c r="A95" s="816" t="s">
        <v>1241</v>
      </c>
      <c r="B95" s="815"/>
      <c r="C95" s="815"/>
      <c r="D95" s="815"/>
      <c r="E95" s="815"/>
      <c r="F95" s="815"/>
      <c r="G95" s="815"/>
      <c r="H95" s="815"/>
    </row>
    <row r="96" spans="1:8">
      <c r="A96" s="816" t="s">
        <v>1242</v>
      </c>
      <c r="B96" s="815"/>
      <c r="C96" s="815"/>
      <c r="D96" s="815"/>
      <c r="E96" s="815"/>
      <c r="F96" s="815"/>
      <c r="G96" s="815"/>
      <c r="H96" s="815"/>
    </row>
    <row r="97" spans="1:8">
      <c r="A97" s="816" t="s">
        <v>1243</v>
      </c>
      <c r="B97" s="815"/>
      <c r="C97" s="815"/>
      <c r="D97" s="815"/>
      <c r="E97" s="815"/>
      <c r="F97" s="815"/>
      <c r="G97" s="815"/>
      <c r="H97" s="815"/>
    </row>
    <row r="98" spans="1:8">
      <c r="A98" s="816" t="s">
        <v>1244</v>
      </c>
      <c r="B98" s="815"/>
      <c r="C98" s="815"/>
      <c r="D98" s="815"/>
      <c r="E98" s="815"/>
      <c r="F98" s="815"/>
      <c r="G98" s="815"/>
      <c r="H98" s="815"/>
    </row>
    <row r="99" spans="1:8">
      <c r="A99" s="816" t="s">
        <v>1245</v>
      </c>
      <c r="B99" s="815"/>
      <c r="C99" s="815"/>
      <c r="D99" s="815"/>
      <c r="E99" s="815"/>
      <c r="F99" s="815"/>
      <c r="G99" s="815"/>
      <c r="H99" s="815"/>
    </row>
    <row r="100" spans="1:8">
      <c r="A100" s="816" t="s">
        <v>1246</v>
      </c>
      <c r="B100" s="815"/>
      <c r="C100" s="815"/>
      <c r="D100" s="815"/>
      <c r="E100" s="815"/>
      <c r="F100" s="815"/>
      <c r="G100" s="815"/>
      <c r="H100" s="815"/>
    </row>
    <row r="101" spans="1:8">
      <c r="A101" s="815"/>
      <c r="B101" s="815"/>
      <c r="C101" s="815"/>
      <c r="D101" s="815"/>
      <c r="E101" s="815"/>
      <c r="F101" s="815"/>
      <c r="G101" s="815"/>
      <c r="H101" s="815"/>
    </row>
    <row r="102" spans="1:8">
      <c r="A102" s="816" t="s">
        <v>1238</v>
      </c>
      <c r="B102" s="815"/>
      <c r="C102" s="815"/>
      <c r="D102" s="815"/>
      <c r="E102" s="815"/>
      <c r="F102" s="815"/>
      <c r="G102" s="815"/>
      <c r="H102" s="815"/>
    </row>
    <row r="103" spans="1:8">
      <c r="A103" s="816" t="s">
        <v>1239</v>
      </c>
      <c r="B103" s="815"/>
      <c r="C103" s="815"/>
      <c r="D103" s="815"/>
      <c r="E103" s="815"/>
      <c r="F103" s="815"/>
      <c r="G103" s="815"/>
      <c r="H103" s="815"/>
    </row>
    <row r="104" spans="1:8">
      <c r="A104" s="815"/>
      <c r="B104" s="815"/>
      <c r="C104" s="815"/>
      <c r="D104" s="815"/>
      <c r="E104" s="815"/>
      <c r="F104" s="815"/>
      <c r="G104" s="815"/>
      <c r="H104" s="815"/>
    </row>
    <row r="105" spans="1:8" ht="15.75">
      <c r="A105" s="817" t="s">
        <v>1009</v>
      </c>
      <c r="B105" s="815"/>
      <c r="C105" s="815"/>
      <c r="D105" s="815"/>
      <c r="E105" s="815"/>
      <c r="F105" s="815"/>
      <c r="G105" s="815"/>
      <c r="H105" s="815"/>
    </row>
    <row r="106" spans="1:8">
      <c r="A106" s="815"/>
      <c r="B106" s="815"/>
      <c r="C106" s="815"/>
      <c r="D106" s="815"/>
      <c r="E106" s="815"/>
      <c r="F106" s="815"/>
      <c r="G106" s="815"/>
      <c r="H106" s="815"/>
    </row>
    <row r="107" spans="1:8">
      <c r="A107" s="816" t="s">
        <v>1229</v>
      </c>
      <c r="B107" s="815"/>
      <c r="C107" s="815"/>
      <c r="D107" s="815"/>
      <c r="E107" s="815"/>
      <c r="F107" s="815"/>
      <c r="G107" s="815"/>
      <c r="H107" s="815"/>
    </row>
    <row r="108" spans="1:8">
      <c r="A108" s="816" t="s">
        <v>1230</v>
      </c>
      <c r="B108" s="815"/>
      <c r="C108" s="815"/>
      <c r="D108" s="815"/>
      <c r="E108" s="815"/>
      <c r="F108" s="815"/>
      <c r="G108" s="815"/>
      <c r="H108" s="815"/>
    </row>
    <row r="109" spans="1:8">
      <c r="A109" s="816" t="s">
        <v>1231</v>
      </c>
      <c r="B109" s="815"/>
      <c r="C109" s="815"/>
      <c r="D109" s="815"/>
      <c r="E109" s="815"/>
      <c r="F109" s="815"/>
      <c r="G109" s="815"/>
      <c r="H109" s="815"/>
    </row>
    <row r="110" spans="1:8">
      <c r="A110" s="816" t="s">
        <v>1232</v>
      </c>
      <c r="B110" s="815"/>
      <c r="C110" s="815"/>
      <c r="D110" s="815"/>
      <c r="E110" s="815"/>
      <c r="F110" s="815"/>
      <c r="G110" s="815"/>
      <c r="H110" s="815"/>
    </row>
    <row r="111" spans="1:8">
      <c r="A111" s="816" t="s">
        <v>1233</v>
      </c>
      <c r="B111" s="815"/>
      <c r="C111" s="815"/>
      <c r="D111" s="815"/>
      <c r="E111" s="815"/>
      <c r="F111" s="815"/>
      <c r="G111" s="815"/>
      <c r="H111" s="815"/>
    </row>
    <row r="112" spans="1:8">
      <c r="A112" s="816" t="s">
        <v>1234</v>
      </c>
      <c r="B112" s="815"/>
      <c r="C112" s="815"/>
      <c r="D112" s="815"/>
      <c r="E112" s="815"/>
      <c r="F112" s="815"/>
      <c r="G112" s="815"/>
      <c r="H112" s="815"/>
    </row>
    <row r="113" spans="1:8">
      <c r="A113" s="816" t="s">
        <v>1235</v>
      </c>
      <c r="B113" s="815"/>
      <c r="C113" s="815"/>
      <c r="D113" s="815"/>
      <c r="E113" s="815"/>
      <c r="F113" s="815"/>
      <c r="G113" s="815"/>
      <c r="H113" s="815"/>
    </row>
    <row r="114" spans="1:8">
      <c r="A114" s="816" t="s">
        <v>1236</v>
      </c>
      <c r="B114" s="815"/>
      <c r="C114" s="815"/>
      <c r="D114" s="815"/>
      <c r="E114" s="815"/>
      <c r="F114" s="815"/>
      <c r="G114" s="815"/>
      <c r="H114" s="815"/>
    </row>
    <row r="115" spans="1:8">
      <c r="A115" s="816" t="s">
        <v>1237</v>
      </c>
      <c r="B115" s="815"/>
      <c r="C115" s="815"/>
      <c r="D115" s="815"/>
      <c r="E115" s="815"/>
      <c r="F115" s="815"/>
      <c r="G115" s="815"/>
      <c r="H115" s="815"/>
    </row>
    <row r="116" spans="1:8">
      <c r="A116" s="815"/>
      <c r="B116" s="815"/>
      <c r="C116" s="815"/>
      <c r="D116" s="815"/>
      <c r="E116" s="815"/>
      <c r="F116" s="815"/>
      <c r="G116" s="815"/>
      <c r="H116" s="815"/>
    </row>
    <row r="117" spans="1:8" ht="15.75">
      <c r="A117" s="831" t="s">
        <v>1010</v>
      </c>
      <c r="B117" s="831"/>
      <c r="C117" s="831"/>
      <c r="D117" s="831"/>
      <c r="E117" s="831"/>
      <c r="F117" s="831"/>
      <c r="G117" s="831"/>
      <c r="H117" s="831"/>
    </row>
    <row r="118" spans="1:8">
      <c r="A118" s="827" t="s">
        <v>1011</v>
      </c>
      <c r="B118" s="827"/>
      <c r="C118" s="827"/>
      <c r="D118" s="827"/>
      <c r="E118" s="827"/>
      <c r="F118" s="827"/>
      <c r="G118" s="827"/>
      <c r="H118" s="827"/>
    </row>
    <row r="119" spans="1:8">
      <c r="A119" s="832"/>
      <c r="B119" s="832"/>
      <c r="C119" s="832"/>
      <c r="D119" s="832"/>
      <c r="E119" s="832"/>
      <c r="F119" s="832"/>
      <c r="G119" s="832"/>
      <c r="H119" s="832"/>
    </row>
    <row r="120" spans="1:8">
      <c r="A120" s="827" t="s">
        <v>1227</v>
      </c>
      <c r="B120" s="827"/>
      <c r="C120" s="827"/>
      <c r="D120" s="827"/>
      <c r="E120" s="827"/>
      <c r="F120" s="827"/>
      <c r="G120" s="827"/>
      <c r="H120" s="827"/>
    </row>
    <row r="121" spans="1:8">
      <c r="A121" s="816" t="s">
        <v>1228</v>
      </c>
      <c r="B121" s="816"/>
      <c r="C121" s="816"/>
      <c r="D121" s="816"/>
      <c r="E121" s="816"/>
      <c r="F121" s="816"/>
      <c r="G121" s="816"/>
      <c r="H121" s="816"/>
    </row>
    <row r="122" spans="1:8">
      <c r="A122" s="832"/>
      <c r="B122" s="832"/>
      <c r="C122" s="832"/>
      <c r="D122" s="832"/>
      <c r="E122" s="832"/>
      <c r="F122" s="832"/>
      <c r="G122" s="832"/>
      <c r="H122" s="832"/>
    </row>
    <row r="123" spans="1:8">
      <c r="A123" s="827" t="s">
        <v>1220</v>
      </c>
      <c r="B123" s="827"/>
      <c r="C123" s="827"/>
      <c r="D123" s="827"/>
      <c r="E123" s="827"/>
      <c r="F123" s="827"/>
      <c r="G123" s="827"/>
      <c r="H123" s="827"/>
    </row>
    <row r="124" spans="1:8">
      <c r="A124" s="816" t="s">
        <v>1221</v>
      </c>
      <c r="B124" s="816"/>
      <c r="C124" s="816"/>
      <c r="D124" s="816"/>
      <c r="E124" s="816"/>
      <c r="F124" s="816"/>
      <c r="G124" s="816"/>
      <c r="H124" s="816"/>
    </row>
    <row r="125" spans="1:8">
      <c r="A125" s="816" t="s">
        <v>1222</v>
      </c>
      <c r="B125" s="816"/>
      <c r="C125" s="816"/>
      <c r="D125" s="816"/>
      <c r="E125" s="816"/>
      <c r="F125" s="816"/>
      <c r="G125" s="816"/>
      <c r="H125" s="816"/>
    </row>
    <row r="126" spans="1:8">
      <c r="A126" s="816" t="s">
        <v>1223</v>
      </c>
      <c r="B126" s="816"/>
      <c r="C126" s="816"/>
      <c r="D126" s="816"/>
      <c r="E126" s="816"/>
      <c r="F126" s="816"/>
      <c r="G126" s="816"/>
      <c r="H126" s="816"/>
    </row>
    <row r="127" spans="1:8">
      <c r="A127" s="816" t="s">
        <v>1224</v>
      </c>
      <c r="B127" s="816"/>
      <c r="C127" s="816"/>
      <c r="D127" s="816"/>
      <c r="E127" s="816"/>
      <c r="F127" s="816"/>
      <c r="G127" s="816"/>
      <c r="H127" s="816"/>
    </row>
    <row r="128" spans="1:8">
      <c r="A128" s="816" t="s">
        <v>1225</v>
      </c>
      <c r="B128" s="816"/>
      <c r="C128" s="816"/>
      <c r="D128" s="816"/>
      <c r="E128" s="816"/>
      <c r="F128" s="816"/>
      <c r="G128" s="816"/>
      <c r="H128" s="816"/>
    </row>
    <row r="129" spans="1:8">
      <c r="A129" s="816" t="s">
        <v>1226</v>
      </c>
      <c r="B129" s="816"/>
      <c r="C129" s="816"/>
      <c r="D129" s="816"/>
      <c r="E129" s="816"/>
      <c r="F129" s="816"/>
      <c r="G129" s="816"/>
      <c r="H129" s="816"/>
    </row>
    <row r="130" spans="1:8">
      <c r="A130" s="833"/>
      <c r="B130" s="833"/>
      <c r="C130" s="833"/>
      <c r="D130" s="833"/>
      <c r="E130" s="833"/>
      <c r="F130" s="833"/>
      <c r="G130" s="833"/>
      <c r="H130" s="833"/>
    </row>
    <row r="131" spans="1:8">
      <c r="A131" s="818"/>
      <c r="B131" s="828" t="s">
        <v>1012</v>
      </c>
      <c r="C131" s="829"/>
      <c r="D131" s="828" t="s">
        <v>1013</v>
      </c>
      <c r="E131" s="830"/>
      <c r="F131" s="829"/>
      <c r="G131" s="828" t="s">
        <v>1014</v>
      </c>
      <c r="H131" s="829"/>
    </row>
    <row r="132" spans="1:8">
      <c r="A132" s="818" t="s">
        <v>1015</v>
      </c>
      <c r="B132" s="818" t="s">
        <v>952</v>
      </c>
      <c r="C132" s="818" t="s">
        <v>1016</v>
      </c>
      <c r="D132" s="818" t="s">
        <v>952</v>
      </c>
      <c r="E132" s="818" t="s">
        <v>1017</v>
      </c>
      <c r="F132" s="818" t="s">
        <v>1018</v>
      </c>
      <c r="G132" s="818" t="s">
        <v>952</v>
      </c>
      <c r="H132" s="818" t="s">
        <v>1019</v>
      </c>
    </row>
    <row r="133" spans="1:8">
      <c r="A133" s="818" t="s">
        <v>1020</v>
      </c>
      <c r="B133" s="818">
        <v>1189</v>
      </c>
      <c r="C133" s="819">
        <v>0.38</v>
      </c>
      <c r="D133" s="818">
        <v>315</v>
      </c>
      <c r="E133" s="819">
        <v>0.41</v>
      </c>
      <c r="F133" s="819">
        <v>0.26</v>
      </c>
      <c r="G133" s="818">
        <v>555</v>
      </c>
      <c r="H133" s="819">
        <v>0.39</v>
      </c>
    </row>
    <row r="134" spans="1:8">
      <c r="A134" s="818" t="s">
        <v>1021</v>
      </c>
      <c r="B134" s="818">
        <v>1355</v>
      </c>
      <c r="C134" s="819">
        <v>0.43</v>
      </c>
      <c r="D134" s="818">
        <v>364</v>
      </c>
      <c r="E134" s="819">
        <v>0.47</v>
      </c>
      <c r="F134" s="819">
        <v>0.27</v>
      </c>
      <c r="G134" s="818">
        <v>644</v>
      </c>
      <c r="H134" s="819">
        <v>0.45</v>
      </c>
    </row>
    <row r="135" spans="1:8">
      <c r="A135" s="818" t="s">
        <v>1022</v>
      </c>
      <c r="B135" s="818">
        <v>53</v>
      </c>
      <c r="C135" s="819">
        <v>0.02</v>
      </c>
      <c r="D135" s="818">
        <v>4</v>
      </c>
      <c r="E135" s="819">
        <v>0.01</v>
      </c>
      <c r="F135" s="819">
        <v>0.08</v>
      </c>
      <c r="G135" s="818">
        <v>7</v>
      </c>
      <c r="H135" s="819">
        <v>0</v>
      </c>
    </row>
    <row r="136" spans="1:8">
      <c r="A136" s="818" t="s">
        <v>1023</v>
      </c>
      <c r="B136" s="818">
        <v>545</v>
      </c>
      <c r="C136" s="819">
        <v>0.17</v>
      </c>
      <c r="D136" s="818">
        <v>84</v>
      </c>
      <c r="E136" s="819">
        <v>0.11</v>
      </c>
      <c r="F136" s="819">
        <v>0.15</v>
      </c>
      <c r="G136" s="818">
        <v>214</v>
      </c>
      <c r="H136" s="819">
        <v>0.15</v>
      </c>
    </row>
    <row r="137" spans="1:8">
      <c r="A137" s="818" t="s">
        <v>207</v>
      </c>
      <c r="B137" s="820">
        <v>3142</v>
      </c>
      <c r="C137" s="818"/>
      <c r="D137" s="818">
        <v>767</v>
      </c>
      <c r="E137" s="818"/>
      <c r="F137" s="818"/>
      <c r="G137" s="818">
        <v>1420</v>
      </c>
      <c r="H137" s="818"/>
    </row>
    <row r="138" spans="1:8">
      <c r="A138" s="826"/>
      <c r="B138" s="826"/>
      <c r="C138" s="826"/>
      <c r="D138" s="826"/>
      <c r="E138" s="826"/>
      <c r="F138" s="826"/>
      <c r="G138" s="826"/>
      <c r="H138" s="826"/>
    </row>
    <row r="139" spans="1:8">
      <c r="A139" s="827" t="s">
        <v>1216</v>
      </c>
      <c r="B139" s="827"/>
      <c r="C139" s="827"/>
      <c r="D139" s="827"/>
      <c r="E139" s="827"/>
      <c r="F139" s="827"/>
      <c r="G139" s="827"/>
      <c r="H139" s="827"/>
    </row>
    <row r="140" spans="1:8">
      <c r="A140" s="816" t="s">
        <v>1217</v>
      </c>
      <c r="B140" s="816"/>
      <c r="C140" s="816"/>
      <c r="D140" s="816"/>
      <c r="E140" s="816"/>
      <c r="F140" s="816"/>
      <c r="G140" s="816"/>
      <c r="H140" s="816"/>
    </row>
    <row r="141" spans="1:8">
      <c r="A141" s="816" t="s">
        <v>1218</v>
      </c>
      <c r="B141" s="816"/>
      <c r="C141" s="816"/>
      <c r="D141" s="816"/>
      <c r="E141" s="816"/>
      <c r="F141" s="816"/>
      <c r="G141" s="816"/>
      <c r="H141" s="816"/>
    </row>
    <row r="142" spans="1:8">
      <c r="A142" s="816" t="s">
        <v>1219</v>
      </c>
      <c r="B142" s="816"/>
      <c r="C142" s="816"/>
      <c r="D142" s="816"/>
      <c r="E142" s="816"/>
      <c r="F142" s="816"/>
      <c r="G142" s="816"/>
      <c r="H142" s="816"/>
    </row>
    <row r="143" spans="1:8">
      <c r="A143" s="815"/>
      <c r="B143" s="815"/>
      <c r="C143" s="815"/>
      <c r="D143" s="815"/>
      <c r="E143" s="815"/>
      <c r="F143" s="815"/>
      <c r="G143" s="815"/>
      <c r="H143" s="815"/>
    </row>
    <row r="144" spans="1:8" ht="15.75">
      <c r="A144" s="817" t="s">
        <v>1024</v>
      </c>
      <c r="B144" s="815"/>
      <c r="C144" s="815"/>
      <c r="D144" s="815"/>
      <c r="E144" s="815"/>
      <c r="F144" s="815"/>
      <c r="G144" s="815"/>
      <c r="H144" s="815"/>
    </row>
    <row r="145" spans="1:8">
      <c r="A145" s="815"/>
      <c r="B145" s="815"/>
      <c r="C145" s="815"/>
      <c r="D145" s="815"/>
      <c r="E145" s="815"/>
      <c r="F145" s="815"/>
      <c r="G145" s="815"/>
      <c r="H145" s="815"/>
    </row>
    <row r="146" spans="1:8">
      <c r="A146" s="816" t="s">
        <v>1214</v>
      </c>
      <c r="B146" s="815"/>
      <c r="C146" s="815"/>
      <c r="D146" s="815"/>
      <c r="E146" s="815"/>
      <c r="F146" s="815"/>
      <c r="G146" s="815"/>
      <c r="H146" s="815"/>
    </row>
    <row r="147" spans="1:8">
      <c r="A147" s="816" t="s">
        <v>1215</v>
      </c>
      <c r="B147" s="815"/>
      <c r="C147" s="815"/>
      <c r="D147" s="815"/>
      <c r="E147" s="815"/>
      <c r="F147" s="815"/>
      <c r="G147" s="815"/>
      <c r="H147" s="815"/>
    </row>
    <row r="148" spans="1:8">
      <c r="A148" s="815"/>
      <c r="B148" s="815"/>
      <c r="C148" s="815"/>
      <c r="D148" s="815"/>
      <c r="E148" s="815"/>
      <c r="F148" s="815"/>
      <c r="G148" s="815"/>
      <c r="H148" s="815"/>
    </row>
    <row r="149" spans="1:8">
      <c r="A149" s="816" t="s">
        <v>1211</v>
      </c>
      <c r="B149" s="815"/>
      <c r="C149" s="815"/>
      <c r="D149" s="815"/>
      <c r="E149" s="815"/>
      <c r="F149" s="815"/>
      <c r="G149" s="815"/>
      <c r="H149" s="815"/>
    </row>
    <row r="150" spans="1:8">
      <c r="A150" s="816" t="s">
        <v>1212</v>
      </c>
      <c r="B150" s="815"/>
      <c r="C150" s="815"/>
      <c r="D150" s="815"/>
      <c r="E150" s="815"/>
      <c r="F150" s="815"/>
      <c r="G150" s="815"/>
      <c r="H150" s="815"/>
    </row>
    <row r="151" spans="1:8">
      <c r="A151" s="816" t="s">
        <v>1213</v>
      </c>
      <c r="B151" s="815"/>
      <c r="C151" s="815"/>
      <c r="D151" s="815"/>
      <c r="E151" s="815"/>
      <c r="F151" s="815"/>
      <c r="G151" s="815"/>
      <c r="H151" s="815"/>
    </row>
    <row r="152" spans="1:8">
      <c r="A152" s="815"/>
      <c r="B152" s="815"/>
      <c r="C152" s="815"/>
      <c r="D152" s="815"/>
      <c r="E152" s="815"/>
      <c r="F152" s="815"/>
      <c r="G152" s="815"/>
      <c r="H152" s="815"/>
    </row>
    <row r="153" spans="1:8">
      <c r="A153" s="816" t="s">
        <v>1208</v>
      </c>
      <c r="B153" s="815"/>
      <c r="C153" s="815"/>
      <c r="D153" s="815"/>
      <c r="E153" s="815"/>
      <c r="F153" s="815"/>
      <c r="G153" s="815"/>
      <c r="H153" s="815"/>
    </row>
    <row r="154" spans="1:8">
      <c r="A154" s="816" t="s">
        <v>1209</v>
      </c>
      <c r="B154" s="815"/>
      <c r="C154" s="815"/>
      <c r="D154" s="815"/>
      <c r="E154" s="815"/>
      <c r="F154" s="815"/>
      <c r="G154" s="815"/>
      <c r="H154" s="815"/>
    </row>
    <row r="155" spans="1:8">
      <c r="A155" s="816" t="s">
        <v>1210</v>
      </c>
      <c r="B155" s="815"/>
      <c r="C155" s="815"/>
      <c r="D155" s="815"/>
      <c r="E155" s="815"/>
      <c r="F155" s="815"/>
      <c r="G155" s="815"/>
      <c r="H155" s="815"/>
    </row>
    <row r="156" spans="1:8">
      <c r="A156" s="815"/>
      <c r="B156" s="815"/>
      <c r="C156" s="815"/>
      <c r="D156" s="815"/>
      <c r="E156" s="815"/>
      <c r="F156" s="815"/>
      <c r="G156" s="815"/>
      <c r="H156" s="815"/>
    </row>
    <row r="157" spans="1:8">
      <c r="A157" s="816" t="s">
        <v>1205</v>
      </c>
      <c r="B157" s="815"/>
      <c r="C157" s="815"/>
      <c r="D157" s="815"/>
      <c r="E157" s="815"/>
      <c r="F157" s="815"/>
      <c r="G157" s="815"/>
      <c r="H157" s="815"/>
    </row>
    <row r="158" spans="1:8">
      <c r="A158" s="816" t="s">
        <v>1206</v>
      </c>
      <c r="B158" s="815"/>
      <c r="C158" s="815"/>
      <c r="D158" s="815"/>
      <c r="E158" s="815"/>
      <c r="F158" s="815"/>
      <c r="G158" s="815"/>
      <c r="H158" s="815"/>
    </row>
    <row r="159" spans="1:8">
      <c r="A159" s="816" t="s">
        <v>1207</v>
      </c>
      <c r="B159" s="815"/>
      <c r="C159" s="815"/>
      <c r="D159" s="815"/>
      <c r="E159" s="815"/>
      <c r="F159" s="815"/>
      <c r="G159" s="815"/>
      <c r="H159" s="815"/>
    </row>
    <row r="160" spans="1:8">
      <c r="A160" s="815"/>
      <c r="B160" s="815"/>
      <c r="C160" s="815"/>
      <c r="D160" s="815"/>
      <c r="E160" s="815"/>
      <c r="F160" s="815"/>
      <c r="G160" s="815"/>
      <c r="H160" s="815"/>
    </row>
    <row r="161" spans="1:8">
      <c r="A161" s="816" t="s">
        <v>1203</v>
      </c>
      <c r="B161" s="815"/>
      <c r="C161" s="815"/>
      <c r="D161" s="815"/>
      <c r="E161" s="815"/>
      <c r="F161" s="815"/>
      <c r="G161" s="815"/>
      <c r="H161" s="815"/>
    </row>
    <row r="162" spans="1:8">
      <c r="A162" s="816" t="s">
        <v>1204</v>
      </c>
      <c r="B162" s="815"/>
      <c r="C162" s="815"/>
      <c r="D162" s="815"/>
      <c r="E162" s="815"/>
      <c r="F162" s="815"/>
      <c r="G162" s="815"/>
      <c r="H162" s="815"/>
    </row>
    <row r="163" spans="1:8">
      <c r="A163" s="815"/>
      <c r="B163" s="815"/>
      <c r="C163" s="815"/>
      <c r="D163" s="815"/>
      <c r="E163" s="815"/>
      <c r="F163" s="815"/>
      <c r="G163" s="815"/>
      <c r="H163" s="815"/>
    </row>
    <row r="164" spans="1:8" ht="15.75">
      <c r="A164" s="817" t="s">
        <v>1025</v>
      </c>
      <c r="B164" s="815"/>
      <c r="C164" s="815"/>
      <c r="D164" s="815"/>
      <c r="E164" s="815"/>
      <c r="F164" s="815"/>
      <c r="G164" s="815"/>
      <c r="H164" s="815"/>
    </row>
    <row r="165" spans="1:8">
      <c r="A165" s="815"/>
      <c r="B165" s="815"/>
      <c r="C165" s="815"/>
      <c r="D165" s="815"/>
      <c r="E165" s="815"/>
      <c r="F165" s="815"/>
      <c r="G165" s="815"/>
      <c r="H165" s="815"/>
    </row>
    <row r="166" spans="1:8">
      <c r="A166" s="816" t="s">
        <v>1201</v>
      </c>
      <c r="B166" s="815"/>
      <c r="C166" s="815"/>
      <c r="D166" s="815"/>
      <c r="E166" s="815"/>
      <c r="F166" s="815"/>
      <c r="G166" s="815"/>
      <c r="H166" s="815"/>
    </row>
    <row r="167" spans="1:8">
      <c r="A167" s="816" t="s">
        <v>1202</v>
      </c>
      <c r="B167" s="815"/>
      <c r="C167" s="815"/>
      <c r="D167" s="815"/>
      <c r="E167" s="815"/>
      <c r="F167" s="815"/>
      <c r="G167" s="815"/>
      <c r="H167" s="815"/>
    </row>
    <row r="168" spans="1:8">
      <c r="A168" s="815"/>
      <c r="B168" s="815"/>
      <c r="C168" s="815"/>
      <c r="D168" s="815"/>
      <c r="E168" s="815"/>
      <c r="F168" s="815"/>
      <c r="G168" s="815"/>
      <c r="H168" s="815"/>
    </row>
    <row r="169" spans="1:8">
      <c r="A169" s="816" t="s">
        <v>1199</v>
      </c>
      <c r="B169" s="815"/>
      <c r="C169" s="815"/>
      <c r="D169" s="815"/>
      <c r="E169" s="815"/>
      <c r="F169" s="815"/>
      <c r="G169" s="815"/>
      <c r="H169" s="815"/>
    </row>
    <row r="170" spans="1:8">
      <c r="A170" s="816" t="s">
        <v>1200</v>
      </c>
      <c r="B170" s="815"/>
      <c r="C170" s="815"/>
      <c r="D170" s="815"/>
      <c r="E170" s="815"/>
      <c r="F170" s="815"/>
      <c r="G170" s="815"/>
      <c r="H170" s="815"/>
    </row>
    <row r="171" spans="1:8">
      <c r="A171" s="815"/>
      <c r="B171" s="815"/>
      <c r="C171" s="815"/>
      <c r="D171" s="815"/>
      <c r="E171" s="815"/>
      <c r="F171" s="815"/>
      <c r="G171" s="815"/>
      <c r="H171" s="815"/>
    </row>
    <row r="172" spans="1:8">
      <c r="A172" s="816" t="s">
        <v>1197</v>
      </c>
      <c r="B172" s="815"/>
      <c r="C172" s="815"/>
      <c r="D172" s="815"/>
      <c r="E172" s="815"/>
      <c r="F172" s="815"/>
      <c r="G172" s="815"/>
      <c r="H172" s="815"/>
    </row>
    <row r="173" spans="1:8">
      <c r="A173" s="816" t="s">
        <v>1198</v>
      </c>
      <c r="B173" s="815"/>
      <c r="C173" s="815"/>
      <c r="D173" s="815"/>
      <c r="E173" s="815"/>
      <c r="F173" s="815"/>
      <c r="G173" s="815"/>
      <c r="H173" s="815"/>
    </row>
    <row r="174" spans="1:8">
      <c r="A174" s="815"/>
      <c r="B174" s="815"/>
      <c r="C174" s="815"/>
      <c r="D174" s="815"/>
      <c r="E174" s="815"/>
      <c r="F174" s="815"/>
      <c r="G174" s="815"/>
      <c r="H174" s="815"/>
    </row>
    <row r="175" spans="1:8">
      <c r="A175" s="816" t="s">
        <v>1194</v>
      </c>
      <c r="B175" s="815"/>
      <c r="C175" s="815"/>
      <c r="D175" s="815"/>
      <c r="E175" s="815"/>
      <c r="F175" s="815"/>
      <c r="G175" s="815"/>
      <c r="H175" s="815"/>
    </row>
    <row r="176" spans="1:8">
      <c r="A176" s="816" t="s">
        <v>1195</v>
      </c>
      <c r="B176" s="815"/>
      <c r="C176" s="815"/>
      <c r="D176" s="815"/>
      <c r="E176" s="815"/>
      <c r="F176" s="815"/>
      <c r="G176" s="815"/>
      <c r="H176" s="815"/>
    </row>
    <row r="177" spans="1:8">
      <c r="A177" s="816" t="s">
        <v>1196</v>
      </c>
      <c r="B177" s="815"/>
      <c r="C177" s="815"/>
      <c r="D177" s="815"/>
      <c r="E177" s="815"/>
      <c r="F177" s="815"/>
      <c r="G177" s="815"/>
      <c r="H177" s="815"/>
    </row>
    <row r="178" spans="1:8">
      <c r="A178" s="815"/>
      <c r="B178" s="815"/>
      <c r="C178" s="815"/>
      <c r="D178" s="815"/>
      <c r="E178" s="815"/>
      <c r="F178" s="815"/>
      <c r="G178" s="815"/>
      <c r="H178" s="815"/>
    </row>
    <row r="179" spans="1:8">
      <c r="A179" s="815"/>
      <c r="B179" s="815"/>
      <c r="C179" s="815"/>
      <c r="D179" s="815"/>
      <c r="E179" s="815"/>
      <c r="F179" s="815"/>
      <c r="G179" s="815"/>
      <c r="H179" s="815"/>
    </row>
    <row r="180" spans="1:8">
      <c r="A180" s="816" t="s">
        <v>1026</v>
      </c>
      <c r="B180" s="815"/>
      <c r="C180" s="815"/>
      <c r="D180" s="815"/>
      <c r="E180" s="815"/>
      <c r="F180" s="815"/>
      <c r="G180" s="815"/>
      <c r="H180" s="815"/>
    </row>
    <row r="181" spans="1:8">
      <c r="A181" s="815"/>
      <c r="B181" s="815"/>
      <c r="C181" s="815"/>
      <c r="D181" s="815"/>
      <c r="E181" s="815"/>
      <c r="F181" s="815"/>
      <c r="G181" s="815"/>
      <c r="H181" s="815"/>
    </row>
    <row r="182" spans="1:8" ht="15.75">
      <c r="A182" s="817" t="s">
        <v>1027</v>
      </c>
      <c r="B182" s="815"/>
      <c r="C182" s="815"/>
      <c r="D182" s="815"/>
      <c r="E182" s="815"/>
      <c r="F182" s="815"/>
      <c r="G182" s="815"/>
      <c r="H182" s="815"/>
    </row>
    <row r="183" spans="1:8">
      <c r="A183" s="815"/>
      <c r="B183" s="815"/>
      <c r="C183" s="815"/>
      <c r="D183" s="815"/>
      <c r="E183" s="815"/>
      <c r="F183" s="815"/>
      <c r="G183" s="815"/>
      <c r="H183" s="815"/>
    </row>
    <row r="184" spans="1:8">
      <c r="A184" s="815"/>
      <c r="B184" s="815"/>
      <c r="C184" s="815"/>
      <c r="D184" s="815"/>
      <c r="E184" s="815"/>
      <c r="F184" s="815"/>
      <c r="G184" s="815"/>
      <c r="H184" s="815"/>
    </row>
    <row r="185" spans="1:8">
      <c r="A185" s="815"/>
      <c r="B185" s="815"/>
      <c r="C185" s="815"/>
      <c r="D185" s="815"/>
      <c r="E185" s="815"/>
      <c r="F185" s="815"/>
      <c r="G185" s="815"/>
      <c r="H185" s="815"/>
    </row>
    <row r="186" spans="1:8">
      <c r="A186" s="815"/>
      <c r="B186" s="815"/>
      <c r="C186" s="815"/>
      <c r="D186" s="815"/>
      <c r="E186" s="815"/>
      <c r="F186" s="815"/>
      <c r="G186" s="815"/>
      <c r="H186" s="815"/>
    </row>
    <row r="187" spans="1:8">
      <c r="A187" s="815"/>
      <c r="B187" s="815"/>
      <c r="C187" s="815"/>
      <c r="D187" s="815"/>
      <c r="E187" s="815"/>
      <c r="F187" s="815"/>
      <c r="G187" s="815"/>
      <c r="H187" s="815"/>
    </row>
    <row r="188" spans="1:8">
      <c r="A188" s="815"/>
      <c r="B188" s="815"/>
      <c r="C188" s="815"/>
      <c r="D188" s="815"/>
      <c r="E188" s="815"/>
      <c r="F188" s="815"/>
      <c r="G188" s="815"/>
      <c r="H188" s="815"/>
    </row>
    <row r="189" spans="1:8">
      <c r="A189" s="815"/>
      <c r="B189" s="815"/>
      <c r="C189" s="815"/>
      <c r="D189" s="815"/>
      <c r="E189" s="815"/>
      <c r="F189" s="815"/>
      <c r="G189" s="815"/>
      <c r="H189" s="815"/>
    </row>
    <row r="190" spans="1:8">
      <c r="A190" s="815"/>
      <c r="B190" s="815"/>
      <c r="C190" s="815"/>
      <c r="D190" s="815"/>
      <c r="E190" s="815"/>
      <c r="F190" s="815"/>
      <c r="G190" s="815"/>
      <c r="H190" s="815"/>
    </row>
    <row r="191" spans="1:8">
      <c r="A191" s="815"/>
      <c r="B191" s="815"/>
      <c r="C191" s="815"/>
      <c r="D191" s="815"/>
      <c r="E191" s="815"/>
      <c r="F191" s="815"/>
      <c r="G191" s="815"/>
      <c r="H191" s="815"/>
    </row>
    <row r="192" spans="1:8">
      <c r="A192" s="815"/>
      <c r="B192" s="815"/>
      <c r="C192" s="815"/>
      <c r="D192" s="815"/>
      <c r="E192" s="815"/>
      <c r="F192" s="815"/>
      <c r="G192" s="815"/>
      <c r="H192" s="815"/>
    </row>
    <row r="193" spans="1:8">
      <c r="A193" s="815"/>
      <c r="B193" s="815"/>
      <c r="C193" s="815"/>
      <c r="D193" s="815"/>
      <c r="E193" s="815"/>
      <c r="F193" s="815"/>
      <c r="G193" s="815"/>
      <c r="H193" s="815"/>
    </row>
    <row r="194" spans="1:8">
      <c r="A194" s="815"/>
      <c r="B194" s="815"/>
      <c r="C194" s="815"/>
      <c r="D194" s="815"/>
      <c r="E194" s="815"/>
      <c r="F194" s="815"/>
      <c r="G194" s="815"/>
      <c r="H194" s="815"/>
    </row>
    <row r="195" spans="1:8">
      <c r="A195" s="815"/>
      <c r="B195" s="815"/>
      <c r="C195" s="815"/>
      <c r="D195" s="815"/>
      <c r="E195" s="815"/>
      <c r="F195" s="815"/>
      <c r="G195" s="815"/>
      <c r="H195" s="815"/>
    </row>
    <row r="196" spans="1:8">
      <c r="A196" s="815"/>
      <c r="B196" s="815"/>
      <c r="C196" s="815"/>
      <c r="D196" s="815"/>
      <c r="E196" s="815"/>
      <c r="F196" s="815"/>
      <c r="G196" s="815"/>
      <c r="H196" s="815"/>
    </row>
    <row r="197" spans="1:8">
      <c r="A197" s="815"/>
      <c r="B197" s="815"/>
      <c r="C197" s="815"/>
      <c r="D197" s="815"/>
      <c r="E197" s="815"/>
      <c r="F197" s="815"/>
      <c r="G197" s="815"/>
      <c r="H197" s="815"/>
    </row>
    <row r="198" spans="1:8">
      <c r="A198" s="815"/>
      <c r="B198" s="815"/>
      <c r="C198" s="815"/>
      <c r="D198" s="815"/>
      <c r="E198" s="815"/>
      <c r="F198" s="815"/>
      <c r="G198" s="815"/>
      <c r="H198" s="815"/>
    </row>
    <row r="199" spans="1:8">
      <c r="A199" s="815"/>
      <c r="B199" s="815"/>
      <c r="C199" s="815"/>
      <c r="D199" s="815"/>
      <c r="E199" s="815"/>
      <c r="F199" s="815"/>
      <c r="G199" s="815"/>
      <c r="H199" s="815"/>
    </row>
    <row r="200" spans="1:8">
      <c r="A200" s="815"/>
      <c r="B200" s="815"/>
      <c r="C200" s="815"/>
      <c r="D200" s="815"/>
      <c r="E200" s="815"/>
      <c r="F200" s="815"/>
      <c r="G200" s="815"/>
      <c r="H200" s="815"/>
    </row>
    <row r="201" spans="1:8">
      <c r="A201" s="815"/>
      <c r="B201" s="815"/>
      <c r="C201" s="815"/>
      <c r="D201" s="815"/>
      <c r="E201" s="815"/>
      <c r="F201" s="815"/>
      <c r="G201" s="815"/>
      <c r="H201" s="815"/>
    </row>
    <row r="202" spans="1:8">
      <c r="A202" s="815"/>
      <c r="B202" s="815"/>
      <c r="C202" s="815"/>
      <c r="D202" s="815"/>
      <c r="E202" s="815"/>
      <c r="F202" s="815"/>
      <c r="G202" s="815"/>
      <c r="H202" s="815"/>
    </row>
    <row r="203" spans="1:8">
      <c r="A203" s="815"/>
      <c r="B203" s="815"/>
      <c r="C203" s="815"/>
      <c r="D203" s="815"/>
      <c r="E203" s="815"/>
      <c r="F203" s="815"/>
      <c r="G203" s="815"/>
      <c r="H203" s="815"/>
    </row>
    <row r="204" spans="1:8">
      <c r="A204" s="815"/>
      <c r="B204" s="815"/>
      <c r="C204" s="815"/>
      <c r="D204" s="815"/>
      <c r="E204" s="815"/>
      <c r="F204" s="815"/>
      <c r="G204" s="815"/>
      <c r="H204" s="815"/>
    </row>
    <row r="205" spans="1:8">
      <c r="A205" s="815"/>
      <c r="B205" s="815"/>
      <c r="C205" s="815"/>
      <c r="D205" s="815"/>
      <c r="E205" s="815"/>
      <c r="F205" s="815"/>
      <c r="G205" s="815"/>
      <c r="H205" s="815"/>
    </row>
    <row r="206" spans="1:8">
      <c r="A206" s="815"/>
      <c r="B206" s="815"/>
      <c r="C206" s="815"/>
      <c r="D206" s="815"/>
      <c r="E206" s="815"/>
      <c r="F206" s="815"/>
      <c r="G206" s="815"/>
      <c r="H206" s="815"/>
    </row>
    <row r="207" spans="1:8">
      <c r="A207" s="815"/>
      <c r="B207" s="815"/>
      <c r="C207" s="815"/>
      <c r="D207" s="815"/>
      <c r="E207" s="815"/>
      <c r="F207" s="815"/>
      <c r="G207" s="815"/>
      <c r="H207" s="815"/>
    </row>
    <row r="208" spans="1:8">
      <c r="A208" s="815"/>
      <c r="B208" s="815"/>
      <c r="C208" s="815"/>
      <c r="D208" s="815"/>
      <c r="E208" s="815"/>
      <c r="F208" s="815"/>
      <c r="G208" s="815"/>
      <c r="H208" s="815"/>
    </row>
    <row r="209" spans="1:8" ht="15.75">
      <c r="A209" s="817" t="s">
        <v>1028</v>
      </c>
      <c r="B209" s="815"/>
      <c r="C209" s="815"/>
      <c r="D209" s="815"/>
      <c r="E209" s="815"/>
      <c r="F209" s="815"/>
      <c r="G209" s="815"/>
      <c r="H209" s="815"/>
    </row>
    <row r="210" spans="1:8">
      <c r="A210" s="815"/>
      <c r="B210" s="815"/>
      <c r="C210" s="815"/>
      <c r="D210" s="815"/>
      <c r="E210" s="815"/>
      <c r="F210" s="815"/>
      <c r="G210" s="815"/>
      <c r="H210" s="815"/>
    </row>
    <row r="211" spans="1:8">
      <c r="A211" s="816" t="s">
        <v>1189</v>
      </c>
      <c r="B211" s="815"/>
      <c r="C211" s="815"/>
      <c r="D211" s="815"/>
      <c r="E211" s="815"/>
      <c r="F211" s="815"/>
      <c r="G211" s="815"/>
      <c r="H211" s="815"/>
    </row>
    <row r="212" spans="1:8">
      <c r="A212" s="816" t="s">
        <v>1190</v>
      </c>
      <c r="B212" s="815"/>
      <c r="C212" s="815"/>
      <c r="D212" s="815"/>
      <c r="E212" s="815"/>
      <c r="F212" s="815"/>
      <c r="G212" s="815"/>
      <c r="H212" s="815"/>
    </row>
    <row r="213" spans="1:8">
      <c r="A213" s="816" t="s">
        <v>1191</v>
      </c>
      <c r="B213" s="815"/>
      <c r="C213" s="815"/>
      <c r="D213" s="815"/>
      <c r="E213" s="815"/>
      <c r="F213" s="815"/>
      <c r="G213" s="815"/>
      <c r="H213" s="815"/>
    </row>
    <row r="214" spans="1:8">
      <c r="A214" s="816" t="s">
        <v>1192</v>
      </c>
      <c r="B214" s="815"/>
      <c r="C214" s="815"/>
      <c r="D214" s="815"/>
      <c r="E214" s="815"/>
      <c r="F214" s="815"/>
      <c r="G214" s="815"/>
      <c r="H214" s="815"/>
    </row>
    <row r="215" spans="1:8">
      <c r="A215" s="816" t="s">
        <v>1193</v>
      </c>
      <c r="B215" s="815"/>
      <c r="C215" s="815"/>
      <c r="D215" s="815"/>
      <c r="E215" s="815"/>
      <c r="F215" s="815"/>
      <c r="G215" s="815"/>
      <c r="H215" s="815"/>
    </row>
    <row r="216" spans="1:8">
      <c r="A216" s="815"/>
      <c r="B216" s="815"/>
      <c r="C216" s="815"/>
      <c r="D216" s="815"/>
      <c r="E216" s="815"/>
      <c r="F216" s="815"/>
      <c r="G216" s="815"/>
      <c r="H216" s="815"/>
    </row>
    <row r="217" spans="1:8">
      <c r="A217" s="816" t="s">
        <v>1186</v>
      </c>
      <c r="B217" s="815"/>
      <c r="C217" s="815"/>
      <c r="D217" s="815"/>
      <c r="E217" s="815"/>
      <c r="F217" s="815"/>
      <c r="G217" s="815"/>
      <c r="H217" s="815"/>
    </row>
    <row r="218" spans="1:8">
      <c r="A218" s="816" t="s">
        <v>1187</v>
      </c>
      <c r="B218" s="815"/>
      <c r="C218" s="815"/>
      <c r="D218" s="815"/>
      <c r="E218" s="815"/>
      <c r="F218" s="815"/>
      <c r="G218" s="815"/>
      <c r="H218" s="815"/>
    </row>
    <row r="219" spans="1:8">
      <c r="A219" s="816" t="s">
        <v>1188</v>
      </c>
      <c r="B219" s="815"/>
      <c r="C219" s="815"/>
      <c r="D219" s="815"/>
      <c r="E219" s="815"/>
      <c r="F219" s="815"/>
      <c r="G219" s="815"/>
      <c r="H219" s="815"/>
    </row>
    <row r="220" spans="1:8" ht="15.75">
      <c r="A220" s="817" t="s">
        <v>1029</v>
      </c>
      <c r="B220" s="815"/>
      <c r="C220" s="815"/>
      <c r="D220" s="815"/>
      <c r="E220" s="815"/>
      <c r="F220" s="815"/>
      <c r="G220" s="815"/>
      <c r="H220" s="815"/>
    </row>
    <row r="221" spans="1:8">
      <c r="A221" s="815"/>
      <c r="B221" s="815"/>
      <c r="C221" s="815"/>
      <c r="D221" s="815"/>
      <c r="E221" s="815"/>
      <c r="F221" s="815"/>
      <c r="G221" s="815"/>
      <c r="H221" s="815"/>
    </row>
    <row r="222" spans="1:8">
      <c r="A222" s="816" t="s">
        <v>1184</v>
      </c>
      <c r="B222" s="815"/>
      <c r="C222" s="815"/>
      <c r="D222" s="815"/>
      <c r="E222" s="815"/>
      <c r="F222" s="815"/>
      <c r="G222" s="815"/>
      <c r="H222" s="815"/>
    </row>
    <row r="223" spans="1:8">
      <c r="A223" s="816" t="s">
        <v>1185</v>
      </c>
      <c r="B223" s="815"/>
      <c r="C223" s="815"/>
      <c r="D223" s="815"/>
      <c r="E223" s="815"/>
      <c r="F223" s="815"/>
      <c r="G223" s="815"/>
      <c r="H223" s="815"/>
    </row>
    <row r="224" spans="1:8">
      <c r="A224" s="815"/>
      <c r="B224" s="815"/>
      <c r="C224" s="815"/>
      <c r="D224" s="815"/>
      <c r="E224" s="815"/>
      <c r="F224" s="815"/>
      <c r="G224" s="815"/>
      <c r="H224" s="815"/>
    </row>
    <row r="225" spans="1:8">
      <c r="A225" s="816" t="s">
        <v>1177</v>
      </c>
      <c r="B225" s="815"/>
      <c r="C225" s="815"/>
      <c r="D225" s="815"/>
      <c r="E225" s="815"/>
      <c r="F225" s="815"/>
      <c r="G225" s="815"/>
      <c r="H225" s="815"/>
    </row>
    <row r="226" spans="1:8">
      <c r="A226" s="816" t="s">
        <v>1178</v>
      </c>
      <c r="B226" s="815"/>
      <c r="C226" s="815"/>
      <c r="D226" s="815"/>
      <c r="E226" s="815"/>
      <c r="F226" s="815"/>
      <c r="G226" s="815"/>
      <c r="H226" s="815"/>
    </row>
    <row r="227" spans="1:8">
      <c r="A227" s="816" t="s">
        <v>1179</v>
      </c>
      <c r="B227" s="815"/>
      <c r="C227" s="815"/>
      <c r="D227" s="815"/>
      <c r="E227" s="815"/>
      <c r="F227" s="815"/>
      <c r="G227" s="815"/>
      <c r="H227" s="815"/>
    </row>
    <row r="228" spans="1:8">
      <c r="A228" s="816" t="s">
        <v>1180</v>
      </c>
      <c r="B228" s="815"/>
      <c r="C228" s="815"/>
      <c r="D228" s="815"/>
      <c r="E228" s="815"/>
      <c r="F228" s="815"/>
      <c r="G228" s="815"/>
      <c r="H228" s="815"/>
    </row>
    <row r="229" spans="1:8">
      <c r="A229" s="816" t="s">
        <v>1181</v>
      </c>
      <c r="B229" s="815"/>
      <c r="C229" s="815"/>
      <c r="D229" s="815"/>
      <c r="E229" s="815"/>
      <c r="F229" s="815"/>
      <c r="G229" s="815"/>
      <c r="H229" s="815"/>
    </row>
    <row r="230" spans="1:8">
      <c r="A230" s="816" t="s">
        <v>1182</v>
      </c>
      <c r="B230" s="815"/>
      <c r="C230" s="815"/>
      <c r="D230" s="815"/>
      <c r="E230" s="815"/>
      <c r="F230" s="815"/>
      <c r="G230" s="815"/>
      <c r="H230" s="815"/>
    </row>
    <row r="231" spans="1:8">
      <c r="A231" s="816" t="s">
        <v>1183</v>
      </c>
      <c r="B231" s="815"/>
      <c r="C231" s="815"/>
      <c r="D231" s="815"/>
      <c r="E231" s="815"/>
      <c r="F231" s="815"/>
      <c r="G231" s="815"/>
      <c r="H231" s="815"/>
    </row>
    <row r="232" spans="1:8">
      <c r="A232" s="815"/>
      <c r="B232" s="815"/>
      <c r="C232" s="815"/>
      <c r="D232" s="815"/>
      <c r="E232" s="815"/>
      <c r="F232" s="815"/>
      <c r="G232" s="815"/>
      <c r="H232" s="815"/>
    </row>
    <row r="233" spans="1:8">
      <c r="A233" s="816" t="s">
        <v>1174</v>
      </c>
      <c r="B233" s="815"/>
      <c r="C233" s="815"/>
      <c r="D233" s="815"/>
      <c r="E233" s="815"/>
      <c r="F233" s="815"/>
      <c r="G233" s="815"/>
      <c r="H233" s="815"/>
    </row>
    <row r="234" spans="1:8">
      <c r="A234" s="816" t="s">
        <v>1175</v>
      </c>
      <c r="B234" s="815"/>
      <c r="C234" s="815"/>
      <c r="D234" s="815"/>
      <c r="E234" s="815"/>
      <c r="F234" s="815"/>
      <c r="G234" s="815"/>
      <c r="H234" s="815"/>
    </row>
    <row r="235" spans="1:8">
      <c r="A235" s="816" t="s">
        <v>1176</v>
      </c>
      <c r="B235" s="815"/>
      <c r="C235" s="815"/>
      <c r="D235" s="815"/>
      <c r="E235" s="815"/>
      <c r="F235" s="815"/>
      <c r="G235" s="815"/>
      <c r="H235" s="815"/>
    </row>
    <row r="236" spans="1:8">
      <c r="A236" s="815"/>
      <c r="B236" s="815"/>
      <c r="C236" s="815"/>
      <c r="D236" s="815"/>
      <c r="E236" s="815"/>
      <c r="F236" s="815"/>
      <c r="G236" s="815"/>
      <c r="H236" s="815"/>
    </row>
    <row r="237" spans="1:8">
      <c r="A237" s="816" t="s">
        <v>1169</v>
      </c>
      <c r="B237" s="815"/>
      <c r="C237" s="815"/>
      <c r="D237" s="815"/>
      <c r="E237" s="815"/>
      <c r="F237" s="815"/>
      <c r="G237" s="815"/>
      <c r="H237" s="815"/>
    </row>
    <row r="238" spans="1:8">
      <c r="A238" s="816" t="s">
        <v>1170</v>
      </c>
      <c r="B238" s="815"/>
      <c r="C238" s="815"/>
      <c r="D238" s="815"/>
      <c r="E238" s="815"/>
      <c r="F238" s="815"/>
      <c r="G238" s="815"/>
      <c r="H238" s="815"/>
    </row>
    <row r="239" spans="1:8">
      <c r="A239" s="816" t="s">
        <v>1171</v>
      </c>
      <c r="B239" s="815"/>
      <c r="C239" s="815"/>
      <c r="D239" s="815"/>
      <c r="E239" s="815"/>
      <c r="F239" s="815"/>
      <c r="G239" s="815"/>
      <c r="H239" s="815"/>
    </row>
    <row r="240" spans="1:8">
      <c r="A240" s="816" t="s">
        <v>1172</v>
      </c>
      <c r="B240" s="815"/>
      <c r="C240" s="815"/>
      <c r="D240" s="815"/>
      <c r="E240" s="815"/>
      <c r="F240" s="815"/>
      <c r="G240" s="815"/>
      <c r="H240" s="815"/>
    </row>
    <row r="241" spans="1:8">
      <c r="A241" s="816" t="s">
        <v>1173</v>
      </c>
      <c r="B241" s="815"/>
      <c r="C241" s="815"/>
      <c r="D241" s="815"/>
      <c r="E241" s="815"/>
      <c r="F241" s="815"/>
      <c r="G241" s="815"/>
      <c r="H241" s="815"/>
    </row>
    <row r="242" spans="1:8">
      <c r="A242" s="815"/>
      <c r="B242" s="815"/>
      <c r="C242" s="815"/>
      <c r="D242" s="815"/>
      <c r="E242" s="815"/>
      <c r="F242" s="815"/>
      <c r="G242" s="815"/>
      <c r="H242" s="815"/>
    </row>
    <row r="243" spans="1:8">
      <c r="A243" s="816" t="s">
        <v>1163</v>
      </c>
      <c r="B243" s="815"/>
      <c r="C243" s="815"/>
      <c r="D243" s="815"/>
      <c r="E243" s="815"/>
      <c r="F243" s="815"/>
      <c r="G243" s="815"/>
      <c r="H243" s="815"/>
    </row>
    <row r="244" spans="1:8">
      <c r="A244" s="816" t="s">
        <v>1164</v>
      </c>
      <c r="B244" s="815"/>
      <c r="C244" s="815"/>
      <c r="D244" s="815"/>
      <c r="E244" s="815"/>
      <c r="F244" s="815"/>
      <c r="G244" s="815"/>
      <c r="H244" s="815"/>
    </row>
    <row r="245" spans="1:8">
      <c r="A245" s="816" t="s">
        <v>1165</v>
      </c>
      <c r="B245" s="815"/>
      <c r="C245" s="815"/>
      <c r="D245" s="815"/>
      <c r="E245" s="815"/>
      <c r="F245" s="815"/>
      <c r="G245" s="815"/>
      <c r="H245" s="815"/>
    </row>
    <row r="246" spans="1:8">
      <c r="A246" s="816" t="s">
        <v>1166</v>
      </c>
      <c r="B246" s="815"/>
      <c r="C246" s="815"/>
      <c r="D246" s="815"/>
      <c r="E246" s="815"/>
      <c r="F246" s="815"/>
      <c r="G246" s="815"/>
      <c r="H246" s="815"/>
    </row>
    <row r="247" spans="1:8">
      <c r="A247" s="816" t="s">
        <v>1167</v>
      </c>
      <c r="B247" s="815"/>
      <c r="C247" s="815"/>
      <c r="D247" s="815"/>
      <c r="E247" s="815"/>
      <c r="F247" s="815"/>
      <c r="G247" s="815"/>
      <c r="H247" s="815"/>
    </row>
    <row r="248" spans="1:8">
      <c r="A248" s="816" t="s">
        <v>1168</v>
      </c>
      <c r="B248" s="815"/>
      <c r="C248" s="815"/>
      <c r="D248" s="815"/>
      <c r="E248" s="815"/>
      <c r="F248" s="815"/>
      <c r="G248" s="815"/>
      <c r="H248" s="815"/>
    </row>
    <row r="249" spans="1:8">
      <c r="A249" s="815"/>
      <c r="B249" s="815"/>
      <c r="C249" s="815"/>
      <c r="D249" s="815"/>
      <c r="E249" s="815"/>
      <c r="F249" s="815"/>
      <c r="G249" s="815"/>
      <c r="H249" s="815"/>
    </row>
    <row r="250" spans="1:8">
      <c r="A250" s="816" t="s">
        <v>1153</v>
      </c>
      <c r="B250" s="815"/>
      <c r="C250" s="815"/>
      <c r="D250" s="815"/>
      <c r="E250" s="815"/>
      <c r="F250" s="815"/>
      <c r="G250" s="815"/>
      <c r="H250" s="815"/>
    </row>
    <row r="251" spans="1:8">
      <c r="A251" s="816" t="s">
        <v>1154</v>
      </c>
      <c r="B251" s="815"/>
      <c r="C251" s="815"/>
      <c r="D251" s="815"/>
      <c r="E251" s="815"/>
      <c r="F251" s="815"/>
      <c r="G251" s="815"/>
      <c r="H251" s="815"/>
    </row>
    <row r="252" spans="1:8">
      <c r="A252" s="816" t="s">
        <v>1155</v>
      </c>
      <c r="B252" s="815"/>
      <c r="C252" s="815"/>
      <c r="D252" s="815"/>
      <c r="E252" s="815"/>
      <c r="F252" s="815"/>
      <c r="G252" s="815"/>
      <c r="H252" s="815"/>
    </row>
    <row r="253" spans="1:8">
      <c r="A253" s="816" t="s">
        <v>1156</v>
      </c>
      <c r="B253" s="815"/>
      <c r="C253" s="815"/>
      <c r="D253" s="815"/>
      <c r="E253" s="815"/>
      <c r="F253" s="815"/>
      <c r="G253" s="815"/>
      <c r="H253" s="815"/>
    </row>
    <row r="254" spans="1:8">
      <c r="A254" s="816" t="s">
        <v>1157</v>
      </c>
      <c r="B254" s="815"/>
      <c r="C254" s="815"/>
      <c r="D254" s="815"/>
      <c r="E254" s="815"/>
      <c r="F254" s="815"/>
      <c r="G254" s="815"/>
      <c r="H254" s="815"/>
    </row>
    <row r="255" spans="1:8">
      <c r="A255" s="816" t="s">
        <v>1158</v>
      </c>
      <c r="B255" s="815"/>
      <c r="C255" s="815"/>
      <c r="D255" s="815"/>
      <c r="E255" s="815"/>
      <c r="F255" s="815"/>
      <c r="G255" s="815"/>
      <c r="H255" s="815"/>
    </row>
    <row r="256" spans="1:8">
      <c r="A256" s="816" t="s">
        <v>1159</v>
      </c>
      <c r="B256" s="815"/>
      <c r="C256" s="815"/>
      <c r="D256" s="815"/>
      <c r="E256" s="815"/>
      <c r="F256" s="815"/>
      <c r="G256" s="815"/>
      <c r="H256" s="815"/>
    </row>
    <row r="257" spans="1:8">
      <c r="A257" s="816" t="s">
        <v>1160</v>
      </c>
      <c r="B257" s="815"/>
      <c r="C257" s="815"/>
      <c r="D257" s="815"/>
      <c r="E257" s="815"/>
      <c r="F257" s="815"/>
      <c r="G257" s="815"/>
      <c r="H257" s="815"/>
    </row>
    <row r="258" spans="1:8">
      <c r="A258" s="816" t="s">
        <v>1161</v>
      </c>
      <c r="B258" s="815"/>
      <c r="C258" s="815"/>
      <c r="D258" s="815"/>
      <c r="E258" s="815"/>
      <c r="F258" s="815"/>
      <c r="G258" s="815"/>
      <c r="H258" s="815"/>
    </row>
    <row r="259" spans="1:8">
      <c r="A259" s="816" t="s">
        <v>1162</v>
      </c>
      <c r="B259" s="815"/>
      <c r="C259" s="815"/>
      <c r="D259" s="815"/>
      <c r="E259" s="815"/>
      <c r="F259" s="815"/>
      <c r="G259" s="815"/>
      <c r="H259" s="815"/>
    </row>
    <row r="260" spans="1:8">
      <c r="A260" s="815"/>
      <c r="B260" s="815"/>
      <c r="C260" s="815"/>
      <c r="D260" s="815"/>
      <c r="E260" s="815"/>
      <c r="F260" s="815"/>
      <c r="G260" s="815"/>
      <c r="H260" s="815"/>
    </row>
    <row r="261" spans="1:8">
      <c r="A261" s="816" t="s">
        <v>1151</v>
      </c>
      <c r="B261" s="815"/>
      <c r="C261" s="815"/>
      <c r="D261" s="815"/>
      <c r="E261" s="815"/>
      <c r="F261" s="815"/>
      <c r="G261" s="815"/>
      <c r="H261" s="815"/>
    </row>
    <row r="262" spans="1:8">
      <c r="A262" s="816" t="s">
        <v>1152</v>
      </c>
      <c r="B262" s="815"/>
      <c r="C262" s="815"/>
      <c r="D262" s="815"/>
      <c r="E262" s="815"/>
      <c r="F262" s="815"/>
      <c r="G262" s="815"/>
      <c r="H262" s="815"/>
    </row>
    <row r="263" spans="1:8">
      <c r="A263" s="815"/>
      <c r="B263" s="815"/>
      <c r="C263" s="815"/>
      <c r="D263" s="815"/>
      <c r="E263" s="815"/>
      <c r="F263" s="815"/>
      <c r="G263" s="815"/>
      <c r="H263" s="815"/>
    </row>
    <row r="264" spans="1:8">
      <c r="A264" s="816" t="s">
        <v>1135</v>
      </c>
      <c r="B264" s="815"/>
      <c r="C264" s="815"/>
      <c r="D264" s="815"/>
      <c r="E264" s="815"/>
      <c r="F264" s="815"/>
      <c r="G264" s="815"/>
      <c r="H264" s="815"/>
    </row>
    <row r="265" spans="1:8">
      <c r="A265" s="816" t="s">
        <v>1136</v>
      </c>
      <c r="B265" s="815"/>
      <c r="C265" s="815"/>
      <c r="D265" s="815"/>
      <c r="E265" s="815"/>
      <c r="F265" s="815"/>
      <c r="G265" s="815"/>
      <c r="H265" s="815"/>
    </row>
    <row r="266" spans="1:8">
      <c r="A266" s="816" t="s">
        <v>1137</v>
      </c>
      <c r="B266" s="815"/>
      <c r="C266" s="815"/>
      <c r="D266" s="815"/>
      <c r="E266" s="815"/>
      <c r="F266" s="815"/>
      <c r="G266" s="815"/>
      <c r="H266" s="815"/>
    </row>
    <row r="267" spans="1:8">
      <c r="A267" s="816" t="s">
        <v>1138</v>
      </c>
      <c r="B267" s="815"/>
      <c r="C267" s="815"/>
      <c r="D267" s="815"/>
      <c r="E267" s="815"/>
      <c r="F267" s="815"/>
      <c r="G267" s="815"/>
      <c r="H267" s="815"/>
    </row>
    <row r="268" spans="1:8">
      <c r="A268" s="816" t="s">
        <v>1139</v>
      </c>
      <c r="B268" s="815"/>
      <c r="C268" s="815"/>
      <c r="D268" s="815"/>
      <c r="E268" s="815"/>
      <c r="F268" s="815"/>
      <c r="G268" s="815"/>
      <c r="H268" s="815"/>
    </row>
    <row r="269" spans="1:8">
      <c r="A269" s="816" t="s">
        <v>1140</v>
      </c>
      <c r="B269" s="815"/>
      <c r="C269" s="815"/>
      <c r="D269" s="815"/>
      <c r="E269" s="815"/>
      <c r="F269" s="815"/>
      <c r="G269" s="815"/>
      <c r="H269" s="815"/>
    </row>
    <row r="270" spans="1:8">
      <c r="A270" s="816" t="s">
        <v>1141</v>
      </c>
      <c r="B270" s="815"/>
      <c r="C270" s="815"/>
      <c r="D270" s="815"/>
      <c r="E270" s="815"/>
      <c r="F270" s="815"/>
      <c r="G270" s="815"/>
      <c r="H270" s="815"/>
    </row>
    <row r="271" spans="1:8">
      <c r="A271" s="816" t="s">
        <v>1142</v>
      </c>
      <c r="B271" s="815"/>
      <c r="C271" s="815"/>
      <c r="D271" s="815"/>
      <c r="E271" s="815"/>
      <c r="F271" s="815"/>
      <c r="G271" s="815"/>
      <c r="H271" s="815"/>
    </row>
    <row r="272" spans="1:8">
      <c r="A272" s="816" t="s">
        <v>1143</v>
      </c>
      <c r="B272" s="815"/>
      <c r="C272" s="815"/>
      <c r="D272" s="815"/>
      <c r="E272" s="815"/>
      <c r="F272" s="815"/>
      <c r="G272" s="815"/>
      <c r="H272" s="815"/>
    </row>
    <row r="273" spans="1:8">
      <c r="A273" s="816" t="s">
        <v>1144</v>
      </c>
      <c r="B273" s="815"/>
      <c r="C273" s="815"/>
      <c r="D273" s="815"/>
      <c r="E273" s="815"/>
      <c r="F273" s="815"/>
      <c r="G273" s="815"/>
      <c r="H273" s="815"/>
    </row>
    <row r="274" spans="1:8">
      <c r="A274" s="816" t="s">
        <v>1145</v>
      </c>
      <c r="B274" s="815"/>
      <c r="C274" s="815"/>
      <c r="D274" s="815"/>
      <c r="E274" s="815"/>
      <c r="F274" s="815"/>
      <c r="G274" s="815"/>
      <c r="H274" s="815"/>
    </row>
    <row r="275" spans="1:8">
      <c r="A275" s="816" t="s">
        <v>1146</v>
      </c>
      <c r="B275" s="815"/>
      <c r="C275" s="815"/>
      <c r="D275" s="815"/>
      <c r="E275" s="815"/>
      <c r="F275" s="815"/>
      <c r="G275" s="815"/>
      <c r="H275" s="815"/>
    </row>
    <row r="276" spans="1:8">
      <c r="A276" s="816" t="s">
        <v>1147</v>
      </c>
      <c r="B276" s="815"/>
      <c r="C276" s="815"/>
      <c r="D276" s="815"/>
      <c r="E276" s="815"/>
      <c r="F276" s="815"/>
      <c r="G276" s="815"/>
      <c r="H276" s="815"/>
    </row>
    <row r="277" spans="1:8">
      <c r="A277" s="816" t="s">
        <v>1148</v>
      </c>
      <c r="B277" s="815"/>
      <c r="C277" s="815"/>
      <c r="D277" s="815"/>
      <c r="E277" s="815"/>
      <c r="F277" s="815"/>
      <c r="G277" s="815"/>
      <c r="H277" s="815"/>
    </row>
    <row r="278" spans="1:8">
      <c r="A278" s="816" t="s">
        <v>1149</v>
      </c>
      <c r="B278" s="815"/>
      <c r="C278" s="815"/>
      <c r="D278" s="815"/>
      <c r="E278" s="815"/>
      <c r="F278" s="815"/>
      <c r="G278" s="815"/>
      <c r="H278" s="815"/>
    </row>
    <row r="279" spans="1:8">
      <c r="A279" s="816" t="s">
        <v>1150</v>
      </c>
      <c r="B279" s="815"/>
      <c r="C279" s="815"/>
      <c r="D279" s="815"/>
      <c r="E279" s="815"/>
      <c r="F279" s="815"/>
      <c r="G279" s="815"/>
      <c r="H279" s="815"/>
    </row>
    <row r="280" spans="1:8">
      <c r="A280" s="815"/>
      <c r="B280" s="815"/>
      <c r="C280" s="815"/>
      <c r="D280" s="815"/>
      <c r="E280" s="815"/>
      <c r="F280" s="815"/>
      <c r="G280" s="815"/>
      <c r="H280" s="815"/>
    </row>
    <row r="281" spans="1:8">
      <c r="A281" s="816" t="s">
        <v>1128</v>
      </c>
      <c r="B281" s="815"/>
      <c r="C281" s="815"/>
      <c r="D281" s="815"/>
      <c r="E281" s="815"/>
      <c r="F281" s="815"/>
      <c r="G281" s="815"/>
      <c r="H281" s="815"/>
    </row>
    <row r="282" spans="1:8">
      <c r="A282" s="816" t="s">
        <v>1129</v>
      </c>
      <c r="B282" s="815"/>
      <c r="C282" s="815"/>
      <c r="D282" s="815"/>
      <c r="E282" s="815"/>
      <c r="F282" s="815"/>
      <c r="G282" s="815"/>
      <c r="H282" s="815"/>
    </row>
    <row r="283" spans="1:8">
      <c r="A283" s="816" t="s">
        <v>1130</v>
      </c>
      <c r="B283" s="815"/>
      <c r="C283" s="815"/>
      <c r="D283" s="815"/>
      <c r="E283" s="815"/>
      <c r="F283" s="815"/>
      <c r="G283" s="815"/>
      <c r="H283" s="815"/>
    </row>
    <row r="284" spans="1:8">
      <c r="A284" s="816" t="s">
        <v>1131</v>
      </c>
      <c r="B284" s="815"/>
      <c r="C284" s="815"/>
      <c r="D284" s="815"/>
      <c r="E284" s="815"/>
      <c r="F284" s="815"/>
      <c r="G284" s="815"/>
      <c r="H284" s="815"/>
    </row>
    <row r="285" spans="1:8">
      <c r="A285" s="816" t="s">
        <v>1132</v>
      </c>
      <c r="B285" s="815"/>
      <c r="C285" s="815"/>
      <c r="D285" s="815"/>
      <c r="E285" s="815"/>
      <c r="F285" s="815"/>
      <c r="G285" s="815"/>
      <c r="H285" s="815"/>
    </row>
    <row r="286" spans="1:8">
      <c r="A286" s="816" t="s">
        <v>1133</v>
      </c>
      <c r="B286" s="815"/>
      <c r="C286" s="815"/>
      <c r="D286" s="815"/>
      <c r="E286" s="815"/>
      <c r="F286" s="815"/>
      <c r="G286" s="815"/>
      <c r="H286" s="815"/>
    </row>
    <row r="287" spans="1:8">
      <c r="A287" s="816" t="s">
        <v>1134</v>
      </c>
      <c r="B287" s="815"/>
      <c r="C287" s="815"/>
      <c r="D287" s="815"/>
      <c r="E287" s="815"/>
      <c r="F287" s="815"/>
      <c r="G287" s="815"/>
      <c r="H287" s="815"/>
    </row>
    <row r="288" spans="1:8">
      <c r="A288" s="815"/>
      <c r="B288" s="815"/>
      <c r="C288" s="815"/>
      <c r="D288" s="815"/>
      <c r="E288" s="815"/>
      <c r="F288" s="815"/>
      <c r="G288" s="815"/>
      <c r="H288" s="815"/>
    </row>
    <row r="289" spans="1:8">
      <c r="A289" s="816" t="s">
        <v>1119</v>
      </c>
      <c r="B289" s="815"/>
      <c r="C289" s="815"/>
      <c r="D289" s="815"/>
      <c r="E289" s="815"/>
      <c r="F289" s="815"/>
      <c r="G289" s="815"/>
      <c r="H289" s="815"/>
    </row>
    <row r="290" spans="1:8">
      <c r="A290" s="816" t="s">
        <v>1120</v>
      </c>
      <c r="B290" s="815"/>
      <c r="C290" s="815"/>
      <c r="D290" s="815"/>
      <c r="E290" s="815"/>
      <c r="F290" s="815"/>
      <c r="G290" s="815"/>
      <c r="H290" s="815"/>
    </row>
    <row r="291" spans="1:8">
      <c r="A291" s="816" t="s">
        <v>1121</v>
      </c>
      <c r="B291" s="815"/>
      <c r="C291" s="815"/>
      <c r="D291" s="815"/>
      <c r="E291" s="815"/>
      <c r="F291" s="815"/>
      <c r="G291" s="815"/>
      <c r="H291" s="815"/>
    </row>
    <row r="292" spans="1:8">
      <c r="A292" s="816" t="s">
        <v>1122</v>
      </c>
      <c r="B292" s="815"/>
      <c r="C292" s="815"/>
      <c r="D292" s="815"/>
      <c r="E292" s="815"/>
      <c r="F292" s="815"/>
      <c r="G292" s="815"/>
      <c r="H292" s="815"/>
    </row>
    <row r="293" spans="1:8">
      <c r="A293" s="816" t="s">
        <v>1123</v>
      </c>
      <c r="B293" s="815"/>
      <c r="C293" s="815"/>
      <c r="D293" s="815"/>
      <c r="E293" s="815"/>
      <c r="F293" s="815"/>
      <c r="G293" s="815"/>
      <c r="H293" s="815"/>
    </row>
    <row r="294" spans="1:8">
      <c r="A294" s="816" t="s">
        <v>1124</v>
      </c>
      <c r="B294" s="815"/>
      <c r="C294" s="815"/>
      <c r="D294" s="815"/>
      <c r="E294" s="815"/>
      <c r="F294" s="815"/>
      <c r="G294" s="815"/>
      <c r="H294" s="815"/>
    </row>
    <row r="295" spans="1:8">
      <c r="A295" s="816" t="s">
        <v>1125</v>
      </c>
      <c r="B295" s="815"/>
      <c r="C295" s="815"/>
      <c r="D295" s="815"/>
      <c r="E295" s="815"/>
      <c r="F295" s="815"/>
      <c r="G295" s="815"/>
      <c r="H295" s="815"/>
    </row>
    <row r="296" spans="1:8">
      <c r="A296" s="816" t="s">
        <v>1126</v>
      </c>
      <c r="B296" s="815"/>
      <c r="C296" s="815"/>
      <c r="D296" s="815"/>
      <c r="E296" s="815"/>
      <c r="F296" s="815"/>
      <c r="G296" s="815"/>
      <c r="H296" s="815"/>
    </row>
    <row r="297" spans="1:8">
      <c r="A297" s="816" t="s">
        <v>1127</v>
      </c>
      <c r="B297" s="815"/>
      <c r="C297" s="815"/>
      <c r="D297" s="815"/>
      <c r="E297" s="815"/>
      <c r="F297" s="815"/>
      <c r="G297" s="815"/>
      <c r="H297" s="815"/>
    </row>
    <row r="298" spans="1:8">
      <c r="A298" s="815"/>
      <c r="B298" s="815"/>
      <c r="C298" s="815"/>
      <c r="D298" s="815"/>
      <c r="E298" s="815"/>
      <c r="F298" s="815"/>
      <c r="G298" s="815"/>
      <c r="H298" s="815"/>
    </row>
    <row r="299" spans="1:8">
      <c r="A299" s="816" t="s">
        <v>1112</v>
      </c>
      <c r="B299" s="815"/>
      <c r="C299" s="815"/>
      <c r="D299" s="815"/>
      <c r="E299" s="815"/>
      <c r="F299" s="815"/>
      <c r="G299" s="815"/>
      <c r="H299" s="815"/>
    </row>
    <row r="300" spans="1:8">
      <c r="A300" s="816" t="s">
        <v>1113</v>
      </c>
      <c r="B300" s="815"/>
      <c r="C300" s="815"/>
      <c r="D300" s="815"/>
      <c r="E300" s="815"/>
      <c r="F300" s="815"/>
      <c r="G300" s="815"/>
      <c r="H300" s="815"/>
    </row>
    <row r="301" spans="1:8">
      <c r="A301" s="816" t="s">
        <v>1114</v>
      </c>
      <c r="B301" s="815"/>
      <c r="C301" s="815"/>
      <c r="D301" s="815"/>
      <c r="E301" s="815"/>
      <c r="F301" s="815"/>
      <c r="G301" s="815"/>
      <c r="H301" s="815"/>
    </row>
    <row r="302" spans="1:8">
      <c r="A302" s="816" t="s">
        <v>1115</v>
      </c>
      <c r="B302" s="815"/>
      <c r="C302" s="815"/>
      <c r="D302" s="815"/>
      <c r="E302" s="815"/>
      <c r="F302" s="815"/>
      <c r="G302" s="815"/>
      <c r="H302" s="815"/>
    </row>
    <row r="303" spans="1:8">
      <c r="A303" s="816" t="s">
        <v>1116</v>
      </c>
      <c r="B303" s="815"/>
      <c r="C303" s="815"/>
      <c r="D303" s="815"/>
      <c r="E303" s="815"/>
      <c r="F303" s="815"/>
      <c r="G303" s="815"/>
      <c r="H303" s="815"/>
    </row>
    <row r="304" spans="1:8">
      <c r="A304" s="816" t="s">
        <v>1117</v>
      </c>
      <c r="B304" s="815"/>
      <c r="C304" s="815"/>
      <c r="D304" s="815"/>
      <c r="E304" s="815"/>
      <c r="F304" s="815"/>
      <c r="G304" s="815"/>
      <c r="H304" s="815"/>
    </row>
    <row r="305" spans="1:8">
      <c r="A305" s="816" t="s">
        <v>1118</v>
      </c>
      <c r="B305" s="815"/>
      <c r="C305" s="815"/>
      <c r="D305" s="815"/>
      <c r="E305" s="815"/>
      <c r="F305" s="815"/>
      <c r="G305" s="815"/>
      <c r="H305" s="815"/>
    </row>
    <row r="306" spans="1:8">
      <c r="A306" s="815"/>
      <c r="B306" s="815"/>
      <c r="C306" s="815"/>
      <c r="D306" s="815"/>
      <c r="E306" s="815"/>
      <c r="F306" s="815"/>
      <c r="G306" s="815"/>
      <c r="H306" s="815"/>
    </row>
    <row r="307" spans="1:8">
      <c r="A307" s="816" t="s">
        <v>1109</v>
      </c>
      <c r="B307" s="815"/>
      <c r="C307" s="815"/>
      <c r="D307" s="815"/>
      <c r="E307" s="815"/>
      <c r="F307" s="815"/>
      <c r="G307" s="815"/>
      <c r="H307" s="815"/>
    </row>
    <row r="308" spans="1:8">
      <c r="A308" s="816" t="s">
        <v>1110</v>
      </c>
      <c r="B308" s="815"/>
      <c r="C308" s="815"/>
      <c r="D308" s="815"/>
      <c r="E308" s="815"/>
      <c r="F308" s="815"/>
      <c r="G308" s="815"/>
      <c r="H308" s="815"/>
    </row>
    <row r="309" spans="1:8">
      <c r="A309" s="816" t="s">
        <v>1111</v>
      </c>
      <c r="B309" s="815"/>
      <c r="C309" s="815"/>
      <c r="D309" s="815"/>
      <c r="E309" s="815"/>
      <c r="F309" s="815"/>
      <c r="G309" s="815"/>
      <c r="H309" s="815"/>
    </row>
    <row r="310" spans="1:8">
      <c r="A310" s="815"/>
      <c r="B310" s="815"/>
      <c r="C310" s="815"/>
      <c r="D310" s="815"/>
      <c r="E310" s="815"/>
      <c r="F310" s="815"/>
      <c r="G310" s="815"/>
      <c r="H310" s="815"/>
    </row>
    <row r="311" spans="1:8">
      <c r="A311" s="816" t="s">
        <v>1107</v>
      </c>
      <c r="B311" s="815"/>
      <c r="C311" s="815"/>
      <c r="D311" s="815"/>
      <c r="E311" s="815"/>
      <c r="F311" s="815"/>
      <c r="G311" s="815"/>
      <c r="H311" s="815"/>
    </row>
    <row r="312" spans="1:8">
      <c r="A312" s="816" t="s">
        <v>1108</v>
      </c>
      <c r="B312" s="815"/>
      <c r="C312" s="815"/>
      <c r="D312" s="815"/>
      <c r="E312" s="815"/>
      <c r="F312" s="815"/>
      <c r="G312" s="815"/>
      <c r="H312" s="815"/>
    </row>
    <row r="313" spans="1:8">
      <c r="A313" s="815"/>
      <c r="B313" s="815"/>
      <c r="C313" s="815"/>
      <c r="D313" s="815"/>
      <c r="E313" s="815"/>
      <c r="F313" s="815"/>
      <c r="G313" s="815"/>
      <c r="H313" s="815"/>
    </row>
    <row r="314" spans="1:8">
      <c r="A314" s="816" t="s">
        <v>1094</v>
      </c>
      <c r="B314" s="815"/>
      <c r="C314" s="815"/>
      <c r="D314" s="815"/>
      <c r="E314" s="815"/>
      <c r="F314" s="815"/>
      <c r="G314" s="815"/>
      <c r="H314" s="815"/>
    </row>
    <row r="315" spans="1:8">
      <c r="A315" s="816" t="s">
        <v>1095</v>
      </c>
      <c r="B315" s="815"/>
      <c r="C315" s="815"/>
      <c r="D315" s="815"/>
      <c r="E315" s="815"/>
      <c r="F315" s="815"/>
      <c r="G315" s="815"/>
      <c r="H315" s="815"/>
    </row>
    <row r="316" spans="1:8">
      <c r="A316" s="816" t="s">
        <v>1096</v>
      </c>
      <c r="B316" s="815"/>
      <c r="C316" s="815"/>
      <c r="D316" s="815"/>
      <c r="E316" s="815"/>
      <c r="F316" s="815"/>
      <c r="G316" s="815"/>
      <c r="H316" s="815"/>
    </row>
    <row r="317" spans="1:8">
      <c r="A317" s="816" t="s">
        <v>1097</v>
      </c>
      <c r="B317" s="815"/>
      <c r="C317" s="815"/>
      <c r="D317" s="815"/>
      <c r="E317" s="815"/>
      <c r="F317" s="815"/>
      <c r="G317" s="815"/>
      <c r="H317" s="815"/>
    </row>
    <row r="318" spans="1:8">
      <c r="A318" s="816" t="s">
        <v>1098</v>
      </c>
      <c r="B318" s="815"/>
      <c r="C318" s="815"/>
      <c r="D318" s="815"/>
      <c r="E318" s="815"/>
      <c r="F318" s="815"/>
      <c r="G318" s="815"/>
      <c r="H318" s="815"/>
    </row>
    <row r="319" spans="1:8">
      <c r="A319" s="816" t="s">
        <v>1099</v>
      </c>
      <c r="B319" s="815"/>
      <c r="C319" s="815"/>
      <c r="D319" s="815"/>
      <c r="E319" s="815"/>
      <c r="F319" s="815"/>
      <c r="G319" s="815"/>
      <c r="H319" s="815"/>
    </row>
    <row r="320" spans="1:8">
      <c r="A320" s="816" t="s">
        <v>1100</v>
      </c>
      <c r="B320" s="815"/>
      <c r="C320" s="815"/>
      <c r="D320" s="815"/>
      <c r="E320" s="815"/>
      <c r="F320" s="815"/>
      <c r="G320" s="815"/>
      <c r="H320" s="815"/>
    </row>
    <row r="321" spans="1:8">
      <c r="A321" s="816" t="s">
        <v>1101</v>
      </c>
      <c r="B321" s="815"/>
      <c r="C321" s="815"/>
      <c r="D321" s="815"/>
      <c r="E321" s="815"/>
      <c r="F321" s="815"/>
      <c r="G321" s="815"/>
      <c r="H321" s="815"/>
    </row>
    <row r="322" spans="1:8">
      <c r="A322" s="816" t="s">
        <v>1102</v>
      </c>
      <c r="B322" s="815"/>
      <c r="C322" s="815"/>
      <c r="D322" s="815"/>
      <c r="E322" s="815"/>
      <c r="F322" s="815"/>
      <c r="G322" s="815"/>
      <c r="H322" s="815"/>
    </row>
    <row r="323" spans="1:8">
      <c r="A323" s="816" t="s">
        <v>1103</v>
      </c>
      <c r="B323" s="815"/>
      <c r="C323" s="815"/>
      <c r="D323" s="815"/>
      <c r="E323" s="815"/>
      <c r="F323" s="815"/>
      <c r="G323" s="815"/>
      <c r="H323" s="815"/>
    </row>
    <row r="324" spans="1:8">
      <c r="A324" s="816" t="s">
        <v>1104</v>
      </c>
      <c r="B324" s="815"/>
      <c r="C324" s="815"/>
      <c r="D324" s="815"/>
      <c r="E324" s="815"/>
      <c r="F324" s="815"/>
      <c r="G324" s="815"/>
      <c r="H324" s="815"/>
    </row>
    <row r="325" spans="1:8">
      <c r="A325" s="816" t="s">
        <v>1105</v>
      </c>
      <c r="B325" s="815"/>
      <c r="C325" s="815"/>
      <c r="D325" s="815"/>
      <c r="E325" s="815"/>
      <c r="F325" s="815"/>
      <c r="G325" s="815"/>
      <c r="H325" s="815"/>
    </row>
    <row r="326" spans="1:8">
      <c r="A326" s="816" t="s">
        <v>1106</v>
      </c>
      <c r="B326" s="815"/>
      <c r="C326" s="815"/>
      <c r="D326" s="815"/>
      <c r="E326" s="815"/>
      <c r="F326" s="815"/>
      <c r="G326" s="815"/>
      <c r="H326" s="815"/>
    </row>
    <row r="327" spans="1:8">
      <c r="A327" s="815"/>
      <c r="B327" s="815"/>
      <c r="C327" s="815"/>
      <c r="D327" s="815"/>
      <c r="E327" s="815"/>
      <c r="F327" s="815"/>
      <c r="G327" s="815"/>
      <c r="H327" s="815"/>
    </row>
    <row r="328" spans="1:8">
      <c r="A328" s="816" t="s">
        <v>1086</v>
      </c>
      <c r="B328" s="815"/>
      <c r="C328" s="815"/>
      <c r="D328" s="815"/>
      <c r="E328" s="815"/>
      <c r="F328" s="815"/>
      <c r="G328" s="815"/>
      <c r="H328" s="815"/>
    </row>
    <row r="329" spans="1:8">
      <c r="A329" s="816" t="s">
        <v>1087</v>
      </c>
      <c r="B329" s="815"/>
      <c r="C329" s="815"/>
      <c r="D329" s="815"/>
      <c r="E329" s="815"/>
      <c r="F329" s="815"/>
      <c r="G329" s="815"/>
      <c r="H329" s="815"/>
    </row>
    <row r="330" spans="1:8">
      <c r="A330" s="816" t="s">
        <v>1088</v>
      </c>
      <c r="B330" s="815"/>
      <c r="C330" s="815"/>
      <c r="D330" s="815"/>
      <c r="E330" s="815"/>
      <c r="F330" s="815"/>
      <c r="G330" s="815"/>
      <c r="H330" s="815"/>
    </row>
    <row r="331" spans="1:8">
      <c r="A331" s="816" t="s">
        <v>1089</v>
      </c>
      <c r="B331" s="815"/>
      <c r="C331" s="815"/>
      <c r="D331" s="815"/>
      <c r="E331" s="815"/>
      <c r="F331" s="815"/>
      <c r="G331" s="815"/>
      <c r="H331" s="815"/>
    </row>
    <row r="332" spans="1:8">
      <c r="A332" s="816" t="s">
        <v>1090</v>
      </c>
      <c r="B332" s="815"/>
      <c r="C332" s="815"/>
      <c r="D332" s="815"/>
      <c r="E332" s="815"/>
      <c r="F332" s="815"/>
      <c r="G332" s="815"/>
      <c r="H332" s="815"/>
    </row>
    <row r="333" spans="1:8">
      <c r="A333" s="816" t="s">
        <v>1091</v>
      </c>
      <c r="B333" s="815"/>
      <c r="C333" s="815"/>
      <c r="D333" s="815"/>
      <c r="E333" s="815"/>
      <c r="F333" s="815"/>
      <c r="G333" s="815"/>
      <c r="H333" s="815"/>
    </row>
    <row r="334" spans="1:8">
      <c r="A334" s="816" t="s">
        <v>1092</v>
      </c>
      <c r="B334" s="815"/>
      <c r="C334" s="815"/>
      <c r="D334" s="815"/>
      <c r="E334" s="815"/>
      <c r="F334" s="815"/>
      <c r="G334" s="815"/>
      <c r="H334" s="815"/>
    </row>
    <row r="335" spans="1:8">
      <c r="A335" s="816" t="s">
        <v>1093</v>
      </c>
      <c r="B335" s="815"/>
      <c r="C335" s="815"/>
      <c r="D335" s="815"/>
      <c r="E335" s="815"/>
      <c r="F335" s="815"/>
      <c r="G335" s="815"/>
      <c r="H335" s="815"/>
    </row>
    <row r="336" spans="1:8">
      <c r="A336" s="815"/>
      <c r="B336" s="815"/>
      <c r="C336" s="815"/>
      <c r="D336" s="815"/>
      <c r="E336" s="815"/>
      <c r="F336" s="815"/>
      <c r="G336" s="815"/>
      <c r="H336" s="815"/>
    </row>
    <row r="337" spans="1:8">
      <c r="A337" s="816" t="s">
        <v>1051</v>
      </c>
      <c r="B337" s="815"/>
      <c r="C337" s="815"/>
      <c r="D337" s="815"/>
      <c r="E337" s="815"/>
      <c r="F337" s="815"/>
      <c r="G337" s="815"/>
      <c r="H337" s="815"/>
    </row>
    <row r="338" spans="1:8">
      <c r="A338" s="816" t="s">
        <v>1052</v>
      </c>
      <c r="B338" s="815"/>
      <c r="C338" s="815"/>
      <c r="D338" s="815"/>
      <c r="E338" s="815"/>
      <c r="F338" s="815"/>
      <c r="G338" s="815"/>
      <c r="H338" s="815"/>
    </row>
    <row r="339" spans="1:8">
      <c r="A339" s="816" t="s">
        <v>1053</v>
      </c>
      <c r="B339" s="815"/>
      <c r="C339" s="815"/>
      <c r="D339" s="815"/>
      <c r="E339" s="815"/>
      <c r="F339" s="815"/>
      <c r="G339" s="815"/>
      <c r="H339" s="815"/>
    </row>
    <row r="340" spans="1:8">
      <c r="A340" s="816" t="s">
        <v>1054</v>
      </c>
      <c r="B340" s="815"/>
      <c r="C340" s="815"/>
      <c r="D340" s="815"/>
      <c r="E340" s="815"/>
      <c r="F340" s="815"/>
      <c r="G340" s="815"/>
      <c r="H340" s="815"/>
    </row>
    <row r="341" spans="1:8">
      <c r="A341" s="816" t="s">
        <v>1055</v>
      </c>
      <c r="B341" s="815"/>
      <c r="C341" s="815"/>
      <c r="D341" s="815"/>
      <c r="E341" s="815"/>
      <c r="F341" s="815"/>
      <c r="G341" s="815"/>
      <c r="H341" s="815"/>
    </row>
    <row r="342" spans="1:8">
      <c r="A342" s="816" t="s">
        <v>1056</v>
      </c>
      <c r="B342" s="815"/>
      <c r="C342" s="815"/>
      <c r="D342" s="815"/>
      <c r="E342" s="815"/>
      <c r="F342" s="815"/>
      <c r="G342" s="815"/>
      <c r="H342" s="815"/>
    </row>
    <row r="343" spans="1:8">
      <c r="A343" s="816" t="s">
        <v>1057</v>
      </c>
      <c r="B343" s="815"/>
      <c r="C343" s="815"/>
      <c r="D343" s="815"/>
      <c r="E343" s="815"/>
      <c r="F343" s="815"/>
      <c r="G343" s="815"/>
      <c r="H343" s="815"/>
    </row>
    <row r="344" spans="1:8">
      <c r="A344" s="816" t="s">
        <v>1058</v>
      </c>
      <c r="B344" s="815"/>
      <c r="C344" s="815"/>
      <c r="D344" s="815"/>
      <c r="E344" s="815"/>
      <c r="F344" s="815"/>
      <c r="G344" s="815"/>
      <c r="H344" s="815"/>
    </row>
    <row r="345" spans="1:8">
      <c r="A345" s="816" t="s">
        <v>1059</v>
      </c>
      <c r="B345" s="815"/>
      <c r="C345" s="815"/>
      <c r="D345" s="815"/>
      <c r="E345" s="815"/>
      <c r="F345" s="815"/>
      <c r="G345" s="815"/>
      <c r="H345" s="815"/>
    </row>
    <row r="346" spans="1:8">
      <c r="A346" s="816" t="s">
        <v>1060</v>
      </c>
      <c r="B346" s="815"/>
      <c r="C346" s="815"/>
      <c r="D346" s="815"/>
      <c r="E346" s="815"/>
      <c r="F346" s="815"/>
      <c r="G346" s="815"/>
      <c r="H346" s="815"/>
    </row>
    <row r="347" spans="1:8">
      <c r="A347" s="816" t="s">
        <v>1061</v>
      </c>
      <c r="B347" s="815"/>
      <c r="C347" s="815"/>
      <c r="D347" s="815"/>
      <c r="E347" s="815"/>
      <c r="F347" s="815"/>
      <c r="G347" s="815"/>
      <c r="H347" s="815"/>
    </row>
    <row r="348" spans="1:8">
      <c r="A348" s="816" t="s">
        <v>1062</v>
      </c>
      <c r="B348" s="815"/>
      <c r="C348" s="815"/>
      <c r="D348" s="815"/>
      <c r="E348" s="815"/>
      <c r="F348" s="815"/>
      <c r="G348" s="815"/>
      <c r="H348" s="815"/>
    </row>
    <row r="349" spans="1:8">
      <c r="A349" s="816" t="s">
        <v>1063</v>
      </c>
      <c r="B349" s="815"/>
      <c r="C349" s="815"/>
      <c r="D349" s="815"/>
      <c r="E349" s="815"/>
      <c r="F349" s="815"/>
      <c r="G349" s="815"/>
      <c r="H349" s="815"/>
    </row>
    <row r="350" spans="1:8">
      <c r="A350" s="816" t="s">
        <v>1064</v>
      </c>
      <c r="B350" s="815"/>
      <c r="C350" s="815"/>
      <c r="D350" s="815"/>
      <c r="E350" s="815"/>
      <c r="F350" s="815"/>
      <c r="G350" s="815"/>
      <c r="H350" s="815"/>
    </row>
    <row r="351" spans="1:8">
      <c r="A351" s="816" t="s">
        <v>1065</v>
      </c>
      <c r="B351" s="815"/>
      <c r="C351" s="815"/>
      <c r="D351" s="815"/>
      <c r="E351" s="815"/>
      <c r="F351" s="815"/>
      <c r="G351" s="815"/>
      <c r="H351" s="815"/>
    </row>
    <row r="352" spans="1:8">
      <c r="A352" s="816" t="s">
        <v>1066</v>
      </c>
      <c r="B352" s="815"/>
      <c r="C352" s="815"/>
      <c r="D352" s="815"/>
      <c r="E352" s="815"/>
      <c r="F352" s="815"/>
      <c r="G352" s="815"/>
      <c r="H352" s="815"/>
    </row>
    <row r="353" spans="1:8">
      <c r="A353" s="816" t="s">
        <v>1067</v>
      </c>
      <c r="B353" s="815"/>
      <c r="C353" s="815"/>
      <c r="D353" s="815"/>
      <c r="E353" s="815"/>
      <c r="F353" s="815"/>
      <c r="G353" s="815"/>
      <c r="H353" s="815"/>
    </row>
    <row r="354" spans="1:8">
      <c r="A354" s="816" t="s">
        <v>1068</v>
      </c>
      <c r="B354" s="815"/>
      <c r="C354" s="815"/>
      <c r="D354" s="815"/>
      <c r="E354" s="815"/>
      <c r="F354" s="815"/>
      <c r="G354" s="815"/>
      <c r="H354" s="815"/>
    </row>
    <row r="355" spans="1:8">
      <c r="A355" s="816" t="s">
        <v>1069</v>
      </c>
      <c r="B355" s="815"/>
      <c r="C355" s="815"/>
      <c r="D355" s="815"/>
      <c r="E355" s="815"/>
      <c r="F355" s="815"/>
      <c r="G355" s="815"/>
      <c r="H355" s="815"/>
    </row>
    <row r="356" spans="1:8">
      <c r="A356" s="816" t="s">
        <v>1070</v>
      </c>
      <c r="B356" s="815"/>
      <c r="C356" s="815"/>
      <c r="D356" s="815"/>
      <c r="E356" s="815"/>
      <c r="F356" s="815"/>
      <c r="G356" s="815"/>
      <c r="H356" s="815"/>
    </row>
    <row r="357" spans="1:8">
      <c r="A357" s="816" t="s">
        <v>1071</v>
      </c>
      <c r="B357" s="815"/>
      <c r="C357" s="815"/>
      <c r="D357" s="815"/>
      <c r="E357" s="815"/>
      <c r="F357" s="815"/>
      <c r="G357" s="815"/>
      <c r="H357" s="815"/>
    </row>
    <row r="358" spans="1:8">
      <c r="A358" s="816" t="s">
        <v>1072</v>
      </c>
      <c r="B358" s="815"/>
      <c r="C358" s="815"/>
      <c r="D358" s="815"/>
      <c r="E358" s="815"/>
      <c r="F358" s="815"/>
      <c r="G358" s="815"/>
      <c r="H358" s="815"/>
    </row>
    <row r="359" spans="1:8">
      <c r="A359" s="816" t="s">
        <v>1073</v>
      </c>
      <c r="B359" s="815"/>
      <c r="C359" s="815"/>
      <c r="D359" s="815"/>
      <c r="E359" s="815"/>
      <c r="F359" s="815"/>
      <c r="G359" s="815"/>
      <c r="H359" s="815"/>
    </row>
    <row r="360" spans="1:8">
      <c r="A360" s="816" t="s">
        <v>1074</v>
      </c>
      <c r="B360" s="815"/>
      <c r="C360" s="815"/>
      <c r="D360" s="815"/>
      <c r="E360" s="815"/>
      <c r="F360" s="815"/>
      <c r="G360" s="815"/>
      <c r="H360" s="815"/>
    </row>
    <row r="361" spans="1:8">
      <c r="A361" s="816" t="s">
        <v>1075</v>
      </c>
      <c r="B361" s="815"/>
      <c r="C361" s="815"/>
      <c r="D361" s="815"/>
      <c r="E361" s="815"/>
      <c r="F361" s="815"/>
      <c r="G361" s="815"/>
      <c r="H361" s="815"/>
    </row>
    <row r="362" spans="1:8">
      <c r="A362" s="816" t="s">
        <v>1076</v>
      </c>
      <c r="B362" s="815"/>
      <c r="C362" s="815"/>
      <c r="D362" s="815"/>
      <c r="E362" s="815"/>
      <c r="F362" s="815"/>
      <c r="G362" s="815"/>
      <c r="H362" s="815"/>
    </row>
    <row r="363" spans="1:8">
      <c r="A363" s="816" t="s">
        <v>1077</v>
      </c>
      <c r="B363" s="815"/>
      <c r="C363" s="815"/>
      <c r="D363" s="815"/>
      <c r="E363" s="815"/>
      <c r="F363" s="815"/>
      <c r="G363" s="815"/>
      <c r="H363" s="815"/>
    </row>
    <row r="364" spans="1:8">
      <c r="A364" s="816" t="s">
        <v>1078</v>
      </c>
      <c r="B364" s="815"/>
      <c r="C364" s="815"/>
      <c r="D364" s="815"/>
      <c r="E364" s="815"/>
      <c r="F364" s="815"/>
      <c r="G364" s="815"/>
      <c r="H364" s="815"/>
    </row>
    <row r="365" spans="1:8">
      <c r="A365" s="816" t="s">
        <v>1079</v>
      </c>
      <c r="B365" s="815"/>
      <c r="C365" s="815"/>
      <c r="D365" s="815"/>
      <c r="E365" s="815"/>
      <c r="F365" s="815"/>
      <c r="G365" s="815"/>
      <c r="H365" s="815"/>
    </row>
    <row r="366" spans="1:8">
      <c r="A366" s="816" t="s">
        <v>1080</v>
      </c>
      <c r="B366" s="815"/>
      <c r="C366" s="815"/>
      <c r="D366" s="815"/>
      <c r="E366" s="815"/>
      <c r="F366" s="815"/>
      <c r="G366" s="815"/>
      <c r="H366" s="815"/>
    </row>
    <row r="367" spans="1:8">
      <c r="A367" s="816" t="s">
        <v>1081</v>
      </c>
      <c r="B367" s="815"/>
      <c r="C367" s="815"/>
      <c r="D367" s="815"/>
      <c r="E367" s="815"/>
      <c r="F367" s="815"/>
      <c r="G367" s="815"/>
      <c r="H367" s="815"/>
    </row>
    <row r="368" spans="1:8">
      <c r="A368" s="816" t="s">
        <v>1082</v>
      </c>
      <c r="B368" s="815"/>
      <c r="C368" s="815"/>
      <c r="D368" s="815"/>
      <c r="E368" s="815"/>
      <c r="F368" s="815"/>
      <c r="G368" s="815"/>
      <c r="H368" s="815"/>
    </row>
    <row r="369" spans="1:8">
      <c r="A369" s="816" t="s">
        <v>1083</v>
      </c>
      <c r="B369" s="815"/>
      <c r="C369" s="815"/>
      <c r="D369" s="815"/>
      <c r="E369" s="815"/>
      <c r="F369" s="815"/>
      <c r="G369" s="815"/>
      <c r="H369" s="815"/>
    </row>
    <row r="370" spans="1:8">
      <c r="A370" s="816" t="s">
        <v>1084</v>
      </c>
      <c r="B370" s="815"/>
      <c r="C370" s="815"/>
      <c r="D370" s="815"/>
      <c r="E370" s="815"/>
      <c r="F370" s="815"/>
      <c r="G370" s="815"/>
      <c r="H370" s="815"/>
    </row>
    <row r="371" spans="1:8">
      <c r="A371" s="816" t="s">
        <v>1085</v>
      </c>
      <c r="B371" s="815"/>
      <c r="C371" s="815"/>
      <c r="D371" s="815"/>
      <c r="E371" s="815"/>
      <c r="F371" s="815"/>
      <c r="G371" s="815"/>
      <c r="H371" s="815"/>
    </row>
    <row r="372" spans="1:8">
      <c r="A372" s="815"/>
      <c r="B372" s="815"/>
      <c r="C372" s="815"/>
      <c r="D372" s="815"/>
      <c r="E372" s="815"/>
      <c r="F372" s="815"/>
      <c r="G372" s="815"/>
      <c r="H372" s="815"/>
    </row>
    <row r="373" spans="1:8">
      <c r="A373" s="816" t="s">
        <v>1043</v>
      </c>
      <c r="B373" s="815"/>
      <c r="C373" s="815"/>
      <c r="D373" s="815"/>
      <c r="E373" s="815"/>
      <c r="F373" s="815"/>
      <c r="G373" s="815"/>
      <c r="H373" s="815"/>
    </row>
    <row r="374" spans="1:8">
      <c r="A374" s="816" t="s">
        <v>1047</v>
      </c>
      <c r="B374" s="815"/>
      <c r="C374" s="815"/>
      <c r="D374" s="815"/>
      <c r="E374" s="815"/>
      <c r="F374" s="815"/>
      <c r="G374" s="815"/>
      <c r="H374" s="815"/>
    </row>
    <row r="375" spans="1:8">
      <c r="A375" s="816" t="s">
        <v>1048</v>
      </c>
      <c r="B375" s="815"/>
      <c r="C375" s="815"/>
      <c r="D375" s="815"/>
      <c r="E375" s="815"/>
      <c r="F375" s="815"/>
      <c r="G375" s="815"/>
      <c r="H375" s="815"/>
    </row>
    <row r="376" spans="1:8">
      <c r="A376" s="816" t="s">
        <v>1049</v>
      </c>
      <c r="B376" s="815"/>
      <c r="C376" s="815"/>
      <c r="D376" s="815"/>
      <c r="E376" s="815"/>
      <c r="F376" s="815"/>
      <c r="G376" s="815"/>
      <c r="H376" s="815"/>
    </row>
    <row r="377" spans="1:8">
      <c r="A377" s="816" t="s">
        <v>1050</v>
      </c>
      <c r="B377" s="815"/>
      <c r="C377" s="815"/>
      <c r="D377" s="815"/>
      <c r="E377" s="815"/>
      <c r="F377" s="815"/>
      <c r="G377" s="815"/>
      <c r="H377" s="815"/>
    </row>
    <row r="378" spans="1:8">
      <c r="A378" s="815"/>
      <c r="B378" s="815"/>
      <c r="C378" s="815"/>
      <c r="D378" s="815"/>
      <c r="E378" s="815"/>
      <c r="F378" s="815"/>
      <c r="G378" s="815"/>
      <c r="H378" s="815"/>
    </row>
    <row r="379" spans="1:8">
      <c r="A379" s="816" t="s">
        <v>1043</v>
      </c>
      <c r="B379" s="815"/>
      <c r="C379" s="815"/>
      <c r="D379" s="815"/>
      <c r="E379" s="815"/>
      <c r="F379" s="815"/>
      <c r="G379" s="815"/>
      <c r="H379" s="815"/>
    </row>
    <row r="380" spans="1:8">
      <c r="A380" s="816" t="s">
        <v>1044</v>
      </c>
      <c r="B380" s="815"/>
      <c r="C380" s="815"/>
      <c r="D380" s="815"/>
      <c r="E380" s="815"/>
      <c r="F380" s="815"/>
      <c r="G380" s="815"/>
      <c r="H380" s="815"/>
    </row>
    <row r="381" spans="1:8">
      <c r="A381" s="816" t="s">
        <v>1045</v>
      </c>
      <c r="B381" s="815"/>
      <c r="C381" s="815"/>
      <c r="D381" s="815"/>
      <c r="E381" s="815"/>
      <c r="F381" s="815"/>
      <c r="G381" s="815"/>
      <c r="H381" s="815"/>
    </row>
    <row r="382" spans="1:8">
      <c r="A382" s="816" t="s">
        <v>1046</v>
      </c>
      <c r="B382" s="815"/>
      <c r="C382" s="815"/>
      <c r="D382" s="815"/>
      <c r="E382" s="815"/>
      <c r="F382" s="815"/>
      <c r="G382" s="815"/>
      <c r="H382" s="815"/>
    </row>
    <row r="383" spans="1:8">
      <c r="A383" s="815"/>
      <c r="B383" s="815"/>
      <c r="C383" s="815"/>
      <c r="D383" s="815"/>
      <c r="E383" s="815"/>
      <c r="F383" s="815"/>
      <c r="G383" s="815"/>
      <c r="H383" s="815"/>
    </row>
    <row r="384" spans="1:8">
      <c r="A384" s="816" t="s">
        <v>1037</v>
      </c>
      <c r="B384" s="815"/>
      <c r="C384" s="815"/>
      <c r="D384" s="815"/>
      <c r="E384" s="815"/>
      <c r="F384" s="815"/>
      <c r="G384" s="815"/>
      <c r="H384" s="815"/>
    </row>
    <row r="385" spans="1:8">
      <c r="A385" s="816" t="s">
        <v>1038</v>
      </c>
      <c r="B385" s="815"/>
      <c r="C385" s="815"/>
      <c r="D385" s="815"/>
      <c r="E385" s="815"/>
      <c r="F385" s="815"/>
      <c r="G385" s="815"/>
      <c r="H385" s="815"/>
    </row>
    <row r="386" spans="1:8">
      <c r="A386" s="816" t="s">
        <v>1039</v>
      </c>
      <c r="B386" s="815"/>
      <c r="C386" s="815"/>
      <c r="D386" s="815"/>
      <c r="E386" s="815"/>
      <c r="F386" s="815"/>
      <c r="G386" s="815"/>
      <c r="H386" s="815"/>
    </row>
    <row r="387" spans="1:8">
      <c r="A387" s="816" t="s">
        <v>1040</v>
      </c>
      <c r="B387" s="815"/>
      <c r="C387" s="815"/>
      <c r="D387" s="815"/>
      <c r="E387" s="815"/>
      <c r="F387" s="815"/>
      <c r="G387" s="815"/>
      <c r="H387" s="815"/>
    </row>
    <row r="388" spans="1:8">
      <c r="A388" s="816" t="s">
        <v>1041</v>
      </c>
      <c r="B388" s="815"/>
      <c r="C388" s="815"/>
      <c r="D388" s="815"/>
      <c r="E388" s="815"/>
      <c r="F388" s="815"/>
      <c r="G388" s="815"/>
      <c r="H388" s="815"/>
    </row>
    <row r="389" spans="1:8">
      <c r="A389" s="816" t="s">
        <v>1042</v>
      </c>
      <c r="B389" s="815"/>
      <c r="C389" s="815"/>
      <c r="D389" s="815"/>
      <c r="E389" s="815"/>
      <c r="F389" s="815"/>
      <c r="G389" s="815"/>
      <c r="H389" s="815"/>
    </row>
    <row r="390" spans="1:8">
      <c r="A390" s="815"/>
      <c r="B390" s="815"/>
      <c r="C390" s="815"/>
      <c r="D390" s="815"/>
      <c r="E390" s="815"/>
      <c r="F390" s="815"/>
      <c r="G390" s="815"/>
      <c r="H390" s="815"/>
    </row>
    <row r="391" spans="1:8">
      <c r="A391" s="816" t="s">
        <v>1032</v>
      </c>
      <c r="B391" s="815"/>
      <c r="C391" s="815"/>
      <c r="D391" s="815"/>
      <c r="E391" s="815"/>
      <c r="F391" s="815"/>
      <c r="G391" s="815"/>
      <c r="H391" s="815"/>
    </row>
    <row r="392" spans="1:8">
      <c r="A392" s="816" t="s">
        <v>1033</v>
      </c>
      <c r="B392" s="815"/>
      <c r="C392" s="815"/>
      <c r="D392" s="815"/>
      <c r="E392" s="815"/>
      <c r="F392" s="815"/>
      <c r="G392" s="815"/>
      <c r="H392" s="815"/>
    </row>
    <row r="393" spans="1:8">
      <c r="A393" s="816" t="s">
        <v>1034</v>
      </c>
      <c r="B393" s="815"/>
      <c r="C393" s="815"/>
      <c r="D393" s="815"/>
      <c r="E393" s="815"/>
      <c r="F393" s="815"/>
      <c r="G393" s="815"/>
      <c r="H393" s="815"/>
    </row>
    <row r="394" spans="1:8">
      <c r="A394" s="816" t="s">
        <v>1035</v>
      </c>
      <c r="B394" s="815"/>
      <c r="C394" s="815"/>
      <c r="D394" s="815"/>
      <c r="E394" s="815"/>
      <c r="F394" s="815"/>
      <c r="G394" s="815"/>
      <c r="H394" s="815"/>
    </row>
    <row r="395" spans="1:8">
      <c r="A395" s="816" t="s">
        <v>1036</v>
      </c>
      <c r="B395" s="815"/>
      <c r="C395" s="815"/>
      <c r="D395" s="815"/>
      <c r="E395" s="815"/>
      <c r="F395" s="815"/>
      <c r="G395" s="815"/>
      <c r="H395" s="815"/>
    </row>
    <row r="396" spans="1:8">
      <c r="A396" s="815"/>
      <c r="B396" s="815"/>
      <c r="C396" s="815"/>
      <c r="D396" s="815"/>
      <c r="E396" s="815"/>
      <c r="F396" s="815"/>
      <c r="G396" s="815"/>
      <c r="H396" s="815"/>
    </row>
    <row r="397" spans="1:8">
      <c r="A397" s="816" t="s">
        <v>1030</v>
      </c>
      <c r="B397" s="815"/>
      <c r="C397" s="815"/>
      <c r="D397" s="815"/>
      <c r="E397" s="815"/>
      <c r="F397" s="815"/>
      <c r="G397" s="815"/>
      <c r="H397" s="815"/>
    </row>
    <row r="398" spans="1:8">
      <c r="A398" s="816" t="s">
        <v>1031</v>
      </c>
      <c r="B398" s="815"/>
      <c r="C398" s="815"/>
      <c r="D398" s="815"/>
      <c r="E398" s="815"/>
      <c r="F398" s="815"/>
      <c r="G398" s="815"/>
      <c r="H398" s="815"/>
    </row>
    <row r="400" spans="1:8">
      <c r="A400" s="693" t="s">
        <v>1292</v>
      </c>
    </row>
  </sheetData>
  <mergeCells count="12">
    <mergeCell ref="A123:H123"/>
    <mergeCell ref="A130:H130"/>
    <mergeCell ref="A117:H117"/>
    <mergeCell ref="A118:H118"/>
    <mergeCell ref="A119:H119"/>
    <mergeCell ref="A120:H120"/>
    <mergeCell ref="A122:H122"/>
    <mergeCell ref="A138:H138"/>
    <mergeCell ref="A139:H139"/>
    <mergeCell ref="B131:C131"/>
    <mergeCell ref="D131:F131"/>
    <mergeCell ref="G131:H131"/>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T27"/>
  <sheetViews>
    <sheetView showGridLines="0" zoomScaleNormal="100" workbookViewId="0">
      <selection activeCell="C26" sqref="C26"/>
    </sheetView>
  </sheetViews>
  <sheetFormatPr defaultRowHeight="12.75"/>
  <cols>
    <col min="1" max="1" width="2.7109375" style="402" customWidth="1"/>
    <col min="2" max="2" width="22.140625" style="402" customWidth="1"/>
    <col min="3" max="3" width="9" style="402" customWidth="1"/>
    <col min="4" max="19" width="7.7109375" style="402" customWidth="1"/>
    <col min="20" max="20" width="8.5703125" style="402" bestFit="1" customWidth="1"/>
    <col min="21" max="16384" width="9.140625" style="402"/>
  </cols>
  <sheetData>
    <row r="1" spans="2:20" s="401" customFormat="1"/>
    <row r="2" spans="2:20">
      <c r="C2" s="843" t="s">
        <v>205</v>
      </c>
      <c r="D2" s="844"/>
      <c r="E2" s="845"/>
      <c r="F2" s="403"/>
      <c r="G2" s="403"/>
      <c r="H2" s="403"/>
      <c r="I2" s="403"/>
      <c r="J2" s="403"/>
      <c r="K2" s="404"/>
      <c r="L2" s="404"/>
      <c r="M2" s="404"/>
      <c r="N2" s="404"/>
      <c r="O2" s="846" t="s">
        <v>656</v>
      </c>
      <c r="P2" s="404"/>
      <c r="Q2" s="404"/>
      <c r="R2" s="404"/>
      <c r="S2" s="404"/>
    </row>
    <row r="3" spans="2:20">
      <c r="C3" s="405"/>
      <c r="D3" s="404"/>
      <c r="E3" s="406" t="s">
        <v>122</v>
      </c>
      <c r="F3" s="403"/>
      <c r="G3" s="403"/>
      <c r="H3" s="407" t="s">
        <v>47</v>
      </c>
      <c r="I3" s="403"/>
      <c r="J3" s="407" t="s">
        <v>120</v>
      </c>
      <c r="K3" s="404"/>
      <c r="L3" s="407" t="s">
        <v>46</v>
      </c>
      <c r="M3" s="405"/>
      <c r="N3" s="408" t="s">
        <v>123</v>
      </c>
      <c r="O3" s="847"/>
      <c r="P3" s="403"/>
      <c r="Q3" s="403"/>
      <c r="R3" s="403"/>
      <c r="S3" s="407" t="s">
        <v>235</v>
      </c>
    </row>
    <row r="4" spans="2:20" s="409" customFormat="1">
      <c r="D4" s="410"/>
      <c r="E4" s="403"/>
      <c r="F4" s="403"/>
      <c r="G4" s="403"/>
      <c r="H4" s="403"/>
      <c r="I4" s="403"/>
      <c r="J4" s="403"/>
      <c r="K4" s="410"/>
      <c r="L4" s="410"/>
      <c r="M4" s="410"/>
      <c r="N4" s="403"/>
      <c r="O4" s="403"/>
      <c r="P4" s="403"/>
      <c r="Q4" s="410"/>
      <c r="R4" s="403"/>
      <c r="T4" s="405" t="s">
        <v>642</v>
      </c>
    </row>
    <row r="5" spans="2:20">
      <c r="D5" s="339">
        <v>2014</v>
      </c>
      <c r="E5" s="339">
        <f>D5+1</f>
        <v>2015</v>
      </c>
      <c r="F5" s="339">
        <f t="shared" ref="F5:T5" si="0">E5+1</f>
        <v>2016</v>
      </c>
      <c r="G5" s="339">
        <f t="shared" si="0"/>
        <v>2017</v>
      </c>
      <c r="H5" s="339">
        <f t="shared" si="0"/>
        <v>2018</v>
      </c>
      <c r="I5" s="339">
        <f t="shared" si="0"/>
        <v>2019</v>
      </c>
      <c r="J5" s="339">
        <f t="shared" si="0"/>
        <v>2020</v>
      </c>
      <c r="K5" s="339">
        <f t="shared" si="0"/>
        <v>2021</v>
      </c>
      <c r="L5" s="339">
        <f t="shared" si="0"/>
        <v>2022</v>
      </c>
      <c r="M5" s="339">
        <f t="shared" si="0"/>
        <v>2023</v>
      </c>
      <c r="N5" s="339">
        <f t="shared" si="0"/>
        <v>2024</v>
      </c>
      <c r="O5" s="339">
        <f t="shared" si="0"/>
        <v>2025</v>
      </c>
      <c r="P5" s="339">
        <f t="shared" si="0"/>
        <v>2026</v>
      </c>
      <c r="Q5" s="339">
        <f t="shared" si="0"/>
        <v>2027</v>
      </c>
      <c r="R5" s="339">
        <f t="shared" si="0"/>
        <v>2028</v>
      </c>
      <c r="S5" s="339">
        <f t="shared" si="0"/>
        <v>2029</v>
      </c>
      <c r="T5" s="339">
        <f t="shared" si="0"/>
        <v>2030</v>
      </c>
    </row>
    <row r="6" spans="2:20">
      <c r="B6" s="411" t="s">
        <v>344</v>
      </c>
      <c r="C6" s="411"/>
      <c r="D6" s="412">
        <f>CF!X56</f>
        <v>7837</v>
      </c>
      <c r="E6" s="412">
        <f>CF!Y56</f>
        <v>8483</v>
      </c>
      <c r="F6" s="412">
        <f>CF!Z56</f>
        <v>9616</v>
      </c>
      <c r="G6" s="412">
        <f>CF!AB56</f>
        <v>11620.472610981766</v>
      </c>
      <c r="H6" s="412">
        <f>CF!AB56</f>
        <v>11620.472610981766</v>
      </c>
      <c r="I6" s="412">
        <f>CF!AC56</f>
        <v>11703.286546636387</v>
      </c>
      <c r="J6" s="412">
        <f>CF!AD56</f>
        <v>11877.572955651993</v>
      </c>
      <c r="K6" s="412">
        <f>CF!AE56</f>
        <v>11919.575306920709</v>
      </c>
      <c r="L6" s="412">
        <f>CF!AF56</f>
        <v>12431.219757992152</v>
      </c>
      <c r="M6" s="412">
        <f>CF!AG56</f>
        <v>12365.318057425846</v>
      </c>
      <c r="N6" s="412">
        <f>CF!AH56</f>
        <v>12173.58274639025</v>
      </c>
      <c r="O6" s="412">
        <f>CF!AI56</f>
        <v>12526.294566872775</v>
      </c>
      <c r="P6" s="412">
        <f>CF!AJ56</f>
        <v>12700.933814100557</v>
      </c>
      <c r="Q6" s="412">
        <f>CF!AK56</f>
        <v>12239.939523770774</v>
      </c>
      <c r="R6" s="412">
        <f>CF!AL56</f>
        <v>11603.315742227463</v>
      </c>
      <c r="S6" s="412">
        <f>CF!AM56</f>
        <v>10776.940629180459</v>
      </c>
      <c r="T6" s="412">
        <f>S6*(1+C20)/(C18-C20)</f>
        <v>140237.51404723359</v>
      </c>
    </row>
    <row r="7" spans="2:20">
      <c r="B7" s="411"/>
      <c r="C7" s="411"/>
      <c r="D7" s="412"/>
      <c r="E7" s="412"/>
      <c r="F7" s="412"/>
      <c r="G7" s="412"/>
      <c r="H7" s="412"/>
      <c r="I7" s="412"/>
      <c r="J7" s="412"/>
      <c r="K7" s="412"/>
      <c r="L7" s="412"/>
      <c r="M7" s="412"/>
      <c r="N7" s="412"/>
      <c r="O7" s="412"/>
      <c r="P7" s="412"/>
      <c r="Q7" s="412"/>
      <c r="R7" s="412"/>
      <c r="S7" s="412"/>
      <c r="T7" s="412"/>
    </row>
    <row r="8" spans="2:20">
      <c r="B8" s="413" t="s">
        <v>643</v>
      </c>
      <c r="C8" s="413"/>
      <c r="D8" s="412"/>
      <c r="E8" s="340">
        <f>E6/D6-1</f>
        <v>8.2429501084598789E-2</v>
      </c>
      <c r="F8" s="340">
        <f t="shared" ref="F8:O8" si="1">F6/E6-1</f>
        <v>0.13356124012731341</v>
      </c>
      <c r="G8" s="340">
        <f t="shared" si="1"/>
        <v>0.20845181062622364</v>
      </c>
      <c r="H8" s="340">
        <f t="shared" si="1"/>
        <v>0</v>
      </c>
      <c r="I8" s="340">
        <f t="shared" si="1"/>
        <v>7.1265548680317092E-3</v>
      </c>
      <c r="J8" s="611">
        <f t="shared" si="1"/>
        <v>1.4892091065282553E-2</v>
      </c>
      <c r="K8" s="608">
        <f t="shared" si="1"/>
        <v>3.5362739025508461E-3</v>
      </c>
      <c r="L8" s="609">
        <f t="shared" si="1"/>
        <v>4.2924721552316747E-2</v>
      </c>
      <c r="M8" s="609">
        <f t="shared" si="1"/>
        <v>-5.3013060543747326E-3</v>
      </c>
      <c r="N8" s="609">
        <f t="shared" si="1"/>
        <v>-1.5505893996835107E-2</v>
      </c>
      <c r="O8" s="610">
        <f t="shared" si="1"/>
        <v>2.8973542779516803E-2</v>
      </c>
      <c r="P8" s="414">
        <f t="shared" ref="P8" si="2">P6/O6-1</f>
        <v>1.3941812265028108E-2</v>
      </c>
      <c r="Q8" s="414">
        <f t="shared" ref="Q8" si="3">Q6/P6-1</f>
        <v>-3.6296094214583463E-2</v>
      </c>
      <c r="R8" s="414">
        <f t="shared" ref="R8" si="4">R6/Q6-1</f>
        <v>-5.2012003842579868E-2</v>
      </c>
      <c r="S8" s="415">
        <f t="shared" ref="S8" si="5">S6/R6-1</f>
        <v>-7.121887669053184E-2</v>
      </c>
    </row>
    <row r="9" spans="2:20" ht="15" customHeight="1">
      <c r="K9" s="848" t="s">
        <v>644</v>
      </c>
      <c r="L9" s="849"/>
      <c r="M9" s="849"/>
      <c r="N9" s="849"/>
      <c r="O9" s="850"/>
      <c r="P9" s="834" t="s">
        <v>645</v>
      </c>
      <c r="Q9" s="835"/>
      <c r="R9" s="835"/>
      <c r="S9" s="836"/>
    </row>
    <row r="10" spans="2:20" s="409" customFormat="1" ht="15" customHeight="1">
      <c r="K10" s="416"/>
      <c r="L10" s="416"/>
      <c r="M10" s="416"/>
      <c r="N10" s="416"/>
      <c r="O10" s="416"/>
      <c r="P10" s="416"/>
      <c r="Q10" s="416"/>
      <c r="R10" s="416"/>
      <c r="S10" s="416"/>
    </row>
    <row r="11" spans="2:20">
      <c r="B11" s="402" t="s">
        <v>646</v>
      </c>
      <c r="D11" s="417">
        <f t="shared" ref="D11:R11" si="6">D6/(1+$C$18)^(D5-$C$21)</f>
        <v>12034.191828206591</v>
      </c>
      <c r="E11" s="417">
        <f t="shared" si="6"/>
        <v>11841.967505965466</v>
      </c>
      <c r="F11" s="417">
        <f t="shared" si="6"/>
        <v>12203.268519645057</v>
      </c>
      <c r="G11" s="417">
        <f t="shared" si="6"/>
        <v>13406.419943748238</v>
      </c>
      <c r="H11" s="417">
        <f t="shared" si="6"/>
        <v>12187.654494316581</v>
      </c>
      <c r="I11" s="417">
        <f t="shared" si="6"/>
        <v>11158.645893439036</v>
      </c>
      <c r="J11" s="417">
        <f t="shared" si="6"/>
        <v>10295.2922402267</v>
      </c>
      <c r="K11" s="417">
        <f t="shared" si="6"/>
        <v>9392.4538304499529</v>
      </c>
      <c r="L11" s="417">
        <f t="shared" si="6"/>
        <v>8905.1111780136453</v>
      </c>
      <c r="M11" s="417">
        <f t="shared" si="6"/>
        <v>8052.6385983734172</v>
      </c>
      <c r="N11" s="417">
        <f t="shared" si="6"/>
        <v>7207.0683980656513</v>
      </c>
      <c r="O11" s="417">
        <f t="shared" si="6"/>
        <v>6741.7115478290089</v>
      </c>
      <c r="P11" s="417">
        <f t="shared" si="6"/>
        <v>6214.2756587034655</v>
      </c>
      <c r="Q11" s="417">
        <f t="shared" si="6"/>
        <v>5444.2924762907005</v>
      </c>
      <c r="R11" s="417">
        <f t="shared" si="6"/>
        <v>4691.9308319033998</v>
      </c>
      <c r="S11" s="417">
        <f>S6/(1+$C$18)^(S5-$C$21)</f>
        <v>3961.6152623141516</v>
      </c>
      <c r="T11" s="417">
        <f>T6/(1+$C$18)^(T5-$C$21)</f>
        <v>46864.968042315049</v>
      </c>
    </row>
    <row r="12" spans="2:20">
      <c r="T12" s="417"/>
    </row>
    <row r="13" spans="2:20">
      <c r="B13" s="418" t="s">
        <v>647</v>
      </c>
      <c r="C13" s="419">
        <f>SUM(I11:T11)+H11*0.5</f>
        <v>135023.8312050825</v>
      </c>
      <c r="G13" s="405"/>
      <c r="I13" s="405"/>
    </row>
    <row r="14" spans="2:20">
      <c r="B14" s="402" t="s">
        <v>649</v>
      </c>
      <c r="C14" s="417">
        <f>BS!AB3+BS!AB4-BS!AB23-BS!AB29+BS!AB14</f>
        <v>200.61285219772253</v>
      </c>
      <c r="G14" s="405"/>
      <c r="H14" s="679"/>
      <c r="I14" s="405"/>
    </row>
    <row r="15" spans="2:20">
      <c r="B15" s="402" t="s">
        <v>650</v>
      </c>
      <c r="C15" s="417">
        <f>C13+C14</f>
        <v>135224.44405728023</v>
      </c>
      <c r="E15" s="420"/>
      <c r="F15" s="420"/>
      <c r="G15" s="767"/>
      <c r="H15" s="680"/>
      <c r="I15" s="678"/>
      <c r="J15" s="420"/>
      <c r="K15" s="420"/>
    </row>
    <row r="16" spans="2:20">
      <c r="B16" s="418" t="s">
        <v>651</v>
      </c>
      <c r="C16" s="419">
        <f>C15/C22</f>
        <v>200.36961519878528</v>
      </c>
      <c r="E16" s="421"/>
      <c r="F16" s="765"/>
      <c r="G16" s="767"/>
      <c r="H16" s="766"/>
      <c r="I16" s="680"/>
      <c r="J16" s="680"/>
      <c r="K16" s="420"/>
    </row>
    <row r="17" spans="2:11">
      <c r="E17" s="420"/>
      <c r="F17" s="765"/>
      <c r="G17" s="767"/>
      <c r="H17" s="767"/>
      <c r="I17" s="680"/>
      <c r="J17" s="680"/>
      <c r="K17" s="420"/>
    </row>
    <row r="18" spans="2:11">
      <c r="B18" s="402" t="s">
        <v>652</v>
      </c>
      <c r="C18" s="422">
        <v>0.1</v>
      </c>
      <c r="F18" s="417"/>
      <c r="G18" s="768"/>
      <c r="H18" s="768"/>
      <c r="I18" s="679"/>
      <c r="J18" s="679"/>
    </row>
    <row r="19" spans="2:11">
      <c r="B19" s="402" t="s">
        <v>653</v>
      </c>
      <c r="C19" s="422">
        <f>AVERAGE(K8:T8)</f>
        <v>-1.0106424922165834E-2</v>
      </c>
    </row>
    <row r="20" spans="2:11">
      <c r="B20" s="402" t="s">
        <v>654</v>
      </c>
      <c r="C20" s="422">
        <f>IF(C25=3,0%,2.15%)</f>
        <v>2.1499999999999998E-2</v>
      </c>
    </row>
    <row r="21" spans="2:11">
      <c r="B21" s="402" t="s">
        <v>655</v>
      </c>
      <c r="C21" s="643">
        <v>2018.5</v>
      </c>
    </row>
    <row r="22" spans="2:11">
      <c r="B22" s="402" t="s">
        <v>306</v>
      </c>
      <c r="C22" s="423">
        <f>IS!CR88</f>
        <v>674.875</v>
      </c>
    </row>
    <row r="23" spans="2:11">
      <c r="C23" s="424"/>
    </row>
    <row r="24" spans="2:11" ht="13.5" thickBot="1">
      <c r="B24" s="593" t="s">
        <v>697</v>
      </c>
    </row>
    <row r="25" spans="2:11">
      <c r="B25" s="588" t="s">
        <v>693</v>
      </c>
      <c r="C25" s="587">
        <v>2</v>
      </c>
      <c r="D25" s="839" t="s">
        <v>694</v>
      </c>
      <c r="E25" s="840"/>
    </row>
    <row r="26" spans="2:11">
      <c r="B26" s="589"/>
      <c r="C26" s="591"/>
      <c r="D26" s="841" t="s">
        <v>695</v>
      </c>
      <c r="E26" s="842"/>
    </row>
    <row r="27" spans="2:11" ht="13.5" thickBot="1">
      <c r="B27" s="590"/>
      <c r="C27" s="592"/>
      <c r="D27" s="837" t="s">
        <v>696</v>
      </c>
      <c r="E27" s="838"/>
    </row>
  </sheetData>
  <mergeCells count="7">
    <mergeCell ref="P9:S9"/>
    <mergeCell ref="D27:E27"/>
    <mergeCell ref="D25:E25"/>
    <mergeCell ref="D26:E26"/>
    <mergeCell ref="C2:E2"/>
    <mergeCell ref="O2:O3"/>
    <mergeCell ref="K9:O9"/>
  </mergeCells>
  <phoneticPr fontId="57"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2"/>
  <sheetViews>
    <sheetView zoomScaleNormal="100" workbookViewId="0"/>
  </sheetViews>
  <sheetFormatPr defaultRowHeight="12.75"/>
  <sheetData>
    <row r="1" spans="1:12">
      <c r="A1" t="s">
        <v>219</v>
      </c>
    </row>
    <row r="2" spans="1:12">
      <c r="A2" s="376" t="s">
        <v>218</v>
      </c>
      <c r="B2" s="376" t="s">
        <v>232</v>
      </c>
      <c r="C2" s="376" t="s">
        <v>2</v>
      </c>
      <c r="D2" s="376" t="s">
        <v>3</v>
      </c>
      <c r="E2" s="376" t="s">
        <v>1</v>
      </c>
      <c r="F2" s="376" t="s">
        <v>3</v>
      </c>
      <c r="G2" s="376" t="s">
        <v>217</v>
      </c>
      <c r="H2" s="376" t="s">
        <v>704</v>
      </c>
      <c r="I2" s="376" t="s">
        <v>216</v>
      </c>
      <c r="J2" s="376" t="s">
        <v>953</v>
      </c>
      <c r="K2" s="376" t="s">
        <v>0</v>
      </c>
      <c r="L2" s="376" t="s">
        <v>3</v>
      </c>
    </row>
  </sheetData>
  <phoneticPr fontId="57"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B1:FQ177"/>
  <sheetViews>
    <sheetView showGridLines="0" zoomScaleNormal="100" workbookViewId="0">
      <pane xSplit="2" ySplit="2" topLeftCell="CQ9" activePane="bottomRight" state="frozen"/>
      <selection pane="topRight" activeCell="C1" sqref="C1"/>
      <selection pane="bottomLeft" activeCell="A3" sqref="A3"/>
      <selection pane="bottomRight" activeCell="B1" sqref="B1:EA88"/>
    </sheetView>
  </sheetViews>
  <sheetFormatPr defaultRowHeight="12.75" outlineLevelRow="2" outlineLevelCol="2"/>
  <cols>
    <col min="1" max="1" width="2.140625" customWidth="1"/>
    <col min="2" max="2" width="47.140625" bestFit="1" customWidth="1"/>
    <col min="3" max="11" width="9.140625" hidden="1" customWidth="1" outlineLevel="1"/>
    <col min="12" max="15" width="9.140625" hidden="1" customWidth="1" outlineLevel="2"/>
    <col min="16" max="16" width="9.140625" hidden="1" customWidth="1" outlineLevel="1"/>
    <col min="17" max="20" width="9.140625" hidden="1" customWidth="1" outlineLevel="2"/>
    <col min="21" max="21" width="9.140625" hidden="1" customWidth="1" outlineLevel="1"/>
    <col min="22" max="25" width="9.140625" hidden="1" customWidth="1" outlineLevel="2"/>
    <col min="26" max="26" width="9.140625" hidden="1" customWidth="1" outlineLevel="1"/>
    <col min="27" max="30" width="9.140625" hidden="1" customWidth="1" outlineLevel="2"/>
    <col min="31" max="31" width="9.140625" hidden="1" customWidth="1" outlineLevel="1"/>
    <col min="32" max="35" width="9.140625" hidden="1" customWidth="1" outlineLevel="2"/>
    <col min="36" max="36" width="9.140625" hidden="1" customWidth="1" outlineLevel="1"/>
    <col min="37" max="40" width="9.140625" hidden="1" customWidth="1" outlineLevel="2"/>
    <col min="41" max="41" width="9.140625" hidden="1" customWidth="1" outlineLevel="1"/>
    <col min="42" max="45" width="9.140625" hidden="1" customWidth="1" outlineLevel="2"/>
    <col min="46" max="50" width="9.140625" hidden="1" customWidth="1" outlineLevel="1"/>
    <col min="51" max="51" width="9.140625" customWidth="1" collapsed="1"/>
    <col min="52" max="55" width="9.140625" hidden="1" customWidth="1" outlineLevel="1"/>
    <col min="56" max="56" width="9.140625" customWidth="1" collapsed="1"/>
    <col min="57" max="60" width="9.140625" hidden="1" customWidth="1" outlineLevel="1"/>
    <col min="61" max="61" width="0" hidden="1" customWidth="1" collapsed="1"/>
    <col min="62" max="65" width="10.140625" hidden="1" customWidth="1" outlineLevel="1"/>
    <col min="66" max="66" width="10.140625" hidden="1" customWidth="1" collapsed="1"/>
    <col min="67" max="70" width="9.140625" hidden="1" customWidth="1" outlineLevel="1"/>
    <col min="71" max="71" width="10.28515625" hidden="1" customWidth="1" collapsed="1"/>
    <col min="72" max="74" width="9.140625" hidden="1" customWidth="1" outlineLevel="1"/>
    <col min="75" max="75" width="8.7109375" hidden="1" customWidth="1" outlineLevel="1"/>
    <col min="76" max="76" width="9.140625" hidden="1" customWidth="1" collapsed="1"/>
    <col min="77" max="80" width="9.140625" hidden="1" customWidth="1" outlineLevel="1"/>
    <col min="81" max="81" width="9.140625" customWidth="1" collapsed="1"/>
    <col min="82" max="85" width="9.140625" hidden="1" customWidth="1" outlineLevel="1"/>
    <col min="86" max="86" width="9.140625" customWidth="1" collapsed="1"/>
    <col min="87" max="90" width="9.140625" hidden="1" customWidth="1" outlineLevel="1"/>
    <col min="91" max="91" width="11.28515625" customWidth="1" collapsed="1"/>
    <col min="92" max="95" width="9.140625" customWidth="1" outlineLevel="1"/>
    <col min="96" max="96" width="9.140625" customWidth="1"/>
    <col min="97" max="100" width="9.140625" hidden="1" customWidth="1" outlineLevel="1"/>
    <col min="101" max="101" width="9.140625" customWidth="1" collapsed="1"/>
    <col min="102" max="105" width="9.140625" hidden="1" customWidth="1" outlineLevel="1"/>
    <col min="106" max="106" width="9.140625" customWidth="1" collapsed="1"/>
    <col min="107" max="110" width="9.140625" hidden="1" customWidth="1" outlineLevel="1"/>
    <col min="111" max="111" width="9.140625" customWidth="1" collapsed="1"/>
    <col min="112" max="115" width="9.140625" hidden="1" customWidth="1" outlineLevel="1"/>
    <col min="116" max="116" width="9.140625" customWidth="1" collapsed="1"/>
    <col min="117" max="120" width="9.140625" hidden="1" customWidth="1" outlineLevel="1"/>
    <col min="121" max="121" width="9.140625" customWidth="1" collapsed="1"/>
    <col min="122" max="125" width="9.140625" hidden="1" customWidth="1" outlineLevel="1"/>
    <col min="126" max="126" width="9.140625" customWidth="1" collapsed="1"/>
    <col min="127" max="130" width="9.140625" hidden="1" customWidth="1" outlineLevel="1"/>
    <col min="131" max="131" width="9.140625" customWidth="1" collapsed="1"/>
    <col min="132" max="135" width="9.140625" hidden="1" customWidth="1" outlineLevel="1"/>
    <col min="136" max="136" width="9.140625" customWidth="1" collapsed="1"/>
    <col min="137" max="140" width="9.140625" hidden="1" customWidth="1" outlineLevel="1"/>
    <col min="141" max="141" width="9.140625" customWidth="1" collapsed="1"/>
    <col min="142" max="145" width="9.140625" hidden="1" customWidth="1" outlineLevel="1"/>
    <col min="146" max="146" width="9.140625" customWidth="1" collapsed="1"/>
    <col min="147" max="150" width="9.140625" hidden="1" customWidth="1" outlineLevel="1"/>
    <col min="151" max="151" width="9.140625" customWidth="1" collapsed="1"/>
    <col min="152" max="155" width="9.140625" hidden="1" customWidth="1" outlineLevel="1"/>
    <col min="156" max="156" width="9.140625" customWidth="1" collapsed="1"/>
    <col min="157" max="160" width="9.140625" customWidth="1"/>
    <col min="161" max="161" width="26" customWidth="1"/>
  </cols>
  <sheetData>
    <row r="1" spans="2:173" ht="13.5" thickBot="1">
      <c r="B1" s="3"/>
      <c r="C1" s="398" t="s">
        <v>124</v>
      </c>
      <c r="D1" s="398" t="s">
        <v>125</v>
      </c>
      <c r="E1" s="398" t="s">
        <v>126</v>
      </c>
      <c r="F1" s="398" t="s">
        <v>127</v>
      </c>
      <c r="G1" s="398" t="s">
        <v>128</v>
      </c>
      <c r="H1" s="398" t="s">
        <v>129</v>
      </c>
      <c r="I1" s="398" t="s">
        <v>130</v>
      </c>
      <c r="J1" s="398" t="s">
        <v>131</v>
      </c>
      <c r="K1" s="398" t="s">
        <v>50</v>
      </c>
      <c r="L1" s="852" t="s">
        <v>98</v>
      </c>
      <c r="M1" s="852"/>
      <c r="N1" s="852"/>
      <c r="O1" s="852"/>
      <c r="P1" s="852"/>
      <c r="Q1" s="852" t="s">
        <v>99</v>
      </c>
      <c r="R1" s="852"/>
      <c r="S1" s="852"/>
      <c r="T1" s="852"/>
      <c r="U1" s="852"/>
      <c r="V1" s="852" t="s">
        <v>100</v>
      </c>
      <c r="W1" s="852"/>
      <c r="X1" s="852"/>
      <c r="Y1" s="852"/>
      <c r="Z1" s="852"/>
      <c r="AA1" s="852" t="s">
        <v>101</v>
      </c>
      <c r="AB1" s="852"/>
      <c r="AC1" s="852"/>
      <c r="AD1" s="852"/>
      <c r="AE1" s="852"/>
      <c r="AF1" s="852" t="s">
        <v>102</v>
      </c>
      <c r="AG1" s="852"/>
      <c r="AH1" s="852"/>
      <c r="AI1" s="852"/>
      <c r="AJ1" s="852"/>
      <c r="AK1" s="852" t="s">
        <v>103</v>
      </c>
      <c r="AL1" s="852"/>
      <c r="AM1" s="852"/>
      <c r="AN1" s="852"/>
      <c r="AO1" s="852"/>
      <c r="AP1" s="852" t="s">
        <v>104</v>
      </c>
      <c r="AQ1" s="852"/>
      <c r="AR1" s="852"/>
      <c r="AS1" s="852"/>
      <c r="AT1" s="852"/>
      <c r="AU1" s="852" t="s">
        <v>49</v>
      </c>
      <c r="AV1" s="852"/>
      <c r="AW1" s="852"/>
      <c r="AX1" s="852"/>
      <c r="AY1" s="852"/>
      <c r="AZ1" s="852" t="s">
        <v>48</v>
      </c>
      <c r="BA1" s="852"/>
      <c r="BB1" s="852"/>
      <c r="BC1" s="852"/>
      <c r="BD1" s="852"/>
      <c r="BE1" s="852" t="s">
        <v>45</v>
      </c>
      <c r="BF1" s="852"/>
      <c r="BG1" s="852"/>
      <c r="BH1" s="852"/>
      <c r="BI1" s="852"/>
      <c r="BJ1" s="852" t="s">
        <v>105</v>
      </c>
      <c r="BK1" s="852"/>
      <c r="BL1" s="852"/>
      <c r="BM1" s="852"/>
      <c r="BN1" s="852"/>
      <c r="BO1" s="852" t="s">
        <v>28</v>
      </c>
      <c r="BP1" s="852"/>
      <c r="BQ1" s="852"/>
      <c r="BR1" s="852"/>
      <c r="BS1" s="852"/>
      <c r="BT1" s="851" t="s">
        <v>726</v>
      </c>
      <c r="BU1" s="851"/>
      <c r="BV1" s="851"/>
      <c r="BW1" s="851"/>
      <c r="BX1" s="851"/>
      <c r="BY1" s="851" t="s">
        <v>731</v>
      </c>
      <c r="BZ1" s="851"/>
      <c r="CA1" s="851"/>
      <c r="CB1" s="851"/>
      <c r="CC1" s="851"/>
      <c r="CD1" s="851" t="s">
        <v>922</v>
      </c>
      <c r="CE1" s="851"/>
      <c r="CF1" s="851"/>
      <c r="CG1" s="851"/>
      <c r="CH1" s="851"/>
      <c r="CI1" s="851" t="s">
        <v>942</v>
      </c>
      <c r="CJ1" s="851"/>
      <c r="CK1" s="851"/>
      <c r="CL1" s="851"/>
      <c r="CM1" s="851"/>
      <c r="CN1" s="851" t="s">
        <v>114</v>
      </c>
      <c r="CO1" s="851"/>
      <c r="CP1" s="851"/>
      <c r="CQ1" s="851"/>
      <c r="CR1" s="851"/>
      <c r="CS1" s="851" t="s">
        <v>113</v>
      </c>
      <c r="CT1" s="851"/>
      <c r="CU1" s="851"/>
      <c r="CV1" s="851"/>
      <c r="CW1" s="851"/>
      <c r="CX1" s="851" t="s">
        <v>67</v>
      </c>
      <c r="CY1" s="851"/>
      <c r="CZ1" s="851"/>
      <c r="DA1" s="851"/>
      <c r="DB1" s="851"/>
      <c r="DC1" s="851" t="s">
        <v>787</v>
      </c>
      <c r="DD1" s="851"/>
      <c r="DE1" s="851"/>
      <c r="DF1" s="851"/>
      <c r="DG1" s="851"/>
      <c r="DH1" s="851" t="s">
        <v>788</v>
      </c>
      <c r="DI1" s="851"/>
      <c r="DJ1" s="851"/>
      <c r="DK1" s="851"/>
      <c r="DL1" s="851"/>
      <c r="DM1" s="851" t="s">
        <v>789</v>
      </c>
      <c r="DN1" s="851"/>
      <c r="DO1" s="851"/>
      <c r="DP1" s="851"/>
      <c r="DQ1" s="851"/>
      <c r="DR1" s="851" t="s">
        <v>790</v>
      </c>
      <c r="DS1" s="851"/>
      <c r="DT1" s="851"/>
      <c r="DU1" s="851"/>
      <c r="DV1" s="851"/>
      <c r="DW1" s="851" t="s">
        <v>791</v>
      </c>
      <c r="DX1" s="851"/>
      <c r="DY1" s="851"/>
      <c r="DZ1" s="851"/>
      <c r="EA1" s="851"/>
      <c r="EB1" s="851" t="s">
        <v>792</v>
      </c>
      <c r="EC1" s="851"/>
      <c r="ED1" s="851"/>
      <c r="EE1" s="851"/>
      <c r="EF1" s="851"/>
      <c r="EG1" s="851" t="s">
        <v>793</v>
      </c>
      <c r="EH1" s="851"/>
      <c r="EI1" s="851"/>
      <c r="EJ1" s="851"/>
      <c r="EK1" s="851"/>
      <c r="EL1" s="851" t="s">
        <v>794</v>
      </c>
      <c r="EM1" s="851"/>
      <c r="EN1" s="851"/>
      <c r="EO1" s="851"/>
      <c r="EP1" s="851"/>
      <c r="EQ1" s="851" t="s">
        <v>795</v>
      </c>
      <c r="ER1" s="851"/>
      <c r="ES1" s="851"/>
      <c r="ET1" s="851"/>
      <c r="EU1" s="851"/>
      <c r="EV1" s="851" t="s">
        <v>796</v>
      </c>
      <c r="EW1" s="851"/>
      <c r="EX1" s="851"/>
      <c r="EY1" s="851"/>
      <c r="EZ1" s="851"/>
      <c r="FQ1" s="795" t="s">
        <v>214</v>
      </c>
    </row>
    <row r="2" spans="2:173">
      <c r="B2" s="41" t="s">
        <v>91</v>
      </c>
      <c r="C2" s="41"/>
      <c r="D2" s="42"/>
      <c r="E2" s="42"/>
      <c r="F2" s="42"/>
      <c r="G2" s="42"/>
      <c r="H2" s="42"/>
      <c r="I2" s="42"/>
      <c r="J2" s="42"/>
      <c r="K2" s="42"/>
      <c r="L2" s="47" t="s">
        <v>132</v>
      </c>
      <c r="M2" s="47" t="s">
        <v>133</v>
      </c>
      <c r="N2" s="47" t="s">
        <v>134</v>
      </c>
      <c r="O2" s="47" t="s">
        <v>135</v>
      </c>
      <c r="P2" s="42"/>
      <c r="Q2" s="47" t="s">
        <v>136</v>
      </c>
      <c r="R2" s="47" t="s">
        <v>137</v>
      </c>
      <c r="S2" s="47" t="s">
        <v>138</v>
      </c>
      <c r="T2" s="47" t="s">
        <v>139</v>
      </c>
      <c r="U2" s="42"/>
      <c r="V2" s="47" t="s">
        <v>140</v>
      </c>
      <c r="W2" s="47" t="s">
        <v>141</v>
      </c>
      <c r="X2" s="47" t="s">
        <v>142</v>
      </c>
      <c r="Y2" s="47" t="s">
        <v>143</v>
      </c>
      <c r="Z2" s="42"/>
      <c r="AA2" s="47" t="s">
        <v>144</v>
      </c>
      <c r="AB2" s="47" t="s">
        <v>145</v>
      </c>
      <c r="AC2" s="47" t="s">
        <v>146</v>
      </c>
      <c r="AD2" s="47" t="s">
        <v>147</v>
      </c>
      <c r="AE2" s="42"/>
      <c r="AF2" s="47" t="s">
        <v>148</v>
      </c>
      <c r="AG2" s="47" t="s">
        <v>149</v>
      </c>
      <c r="AH2" s="47" t="s">
        <v>150</v>
      </c>
      <c r="AI2" s="47" t="s">
        <v>151</v>
      </c>
      <c r="AJ2" s="42"/>
      <c r="AK2" s="47" t="s">
        <v>152</v>
      </c>
      <c r="AL2" s="47" t="s">
        <v>153</v>
      </c>
      <c r="AM2" s="47" t="s">
        <v>154</v>
      </c>
      <c r="AN2" s="47" t="s">
        <v>155</v>
      </c>
      <c r="AO2" s="42"/>
      <c r="AP2" s="47" t="s">
        <v>156</v>
      </c>
      <c r="AQ2" s="47" t="s">
        <v>157</v>
      </c>
      <c r="AR2" s="47" t="s">
        <v>158</v>
      </c>
      <c r="AS2" s="47" t="s">
        <v>159</v>
      </c>
      <c r="AT2" s="42"/>
      <c r="AU2" s="425" t="s">
        <v>191</v>
      </c>
      <c r="AV2" s="425" t="s">
        <v>192</v>
      </c>
      <c r="AW2" s="425" t="s">
        <v>193</v>
      </c>
      <c r="AX2" s="425" t="s">
        <v>194</v>
      </c>
      <c r="AY2" s="42"/>
      <c r="AZ2" s="47" t="s">
        <v>195</v>
      </c>
      <c r="BA2" s="47" t="s">
        <v>196</v>
      </c>
      <c r="BB2" s="47" t="s">
        <v>197</v>
      </c>
      <c r="BC2" s="47" t="s">
        <v>198</v>
      </c>
      <c r="BD2" s="42"/>
      <c r="BE2" s="47" t="s">
        <v>199</v>
      </c>
      <c r="BF2" s="47" t="s">
        <v>200</v>
      </c>
      <c r="BG2" s="47" t="s">
        <v>201</v>
      </c>
      <c r="BH2" s="47" t="s">
        <v>202</v>
      </c>
      <c r="BI2" s="42"/>
      <c r="BJ2" s="425" t="s">
        <v>160</v>
      </c>
      <c r="BK2" s="425" t="s">
        <v>161</v>
      </c>
      <c r="BL2" s="425" t="s">
        <v>162</v>
      </c>
      <c r="BM2" s="425" t="s">
        <v>163</v>
      </c>
      <c r="BN2" s="42"/>
      <c r="BO2" s="425" t="s">
        <v>164</v>
      </c>
      <c r="BP2" s="425" t="s">
        <v>165</v>
      </c>
      <c r="BQ2" s="425" t="s">
        <v>166</v>
      </c>
      <c r="BR2" s="425" t="s">
        <v>27</v>
      </c>
      <c r="BS2" s="43"/>
      <c r="BT2" s="378" t="s">
        <v>536</v>
      </c>
      <c r="BU2" s="378" t="s">
        <v>711</v>
      </c>
      <c r="BV2" s="378" t="s">
        <v>712</v>
      </c>
      <c r="BW2" s="378" t="s">
        <v>716</v>
      </c>
      <c r="BY2" s="378" t="s">
        <v>535</v>
      </c>
      <c r="BZ2" s="378" t="s">
        <v>727</v>
      </c>
      <c r="CA2" s="378" t="s">
        <v>728</v>
      </c>
      <c r="CB2" s="378" t="s">
        <v>730</v>
      </c>
      <c r="CD2" s="378" t="s">
        <v>736</v>
      </c>
      <c r="CE2" s="378" t="s">
        <v>798</v>
      </c>
      <c r="CF2" s="378" t="s">
        <v>919</v>
      </c>
      <c r="CG2" s="378" t="s">
        <v>921</v>
      </c>
      <c r="CH2" s="1"/>
      <c r="CI2" s="378" t="s">
        <v>926</v>
      </c>
      <c r="CJ2" s="378" t="s">
        <v>937</v>
      </c>
      <c r="CK2" s="378" t="s">
        <v>938</v>
      </c>
      <c r="CL2" s="378" t="s">
        <v>941</v>
      </c>
      <c r="CN2" s="378" t="s">
        <v>813</v>
      </c>
      <c r="CO2" s="378" t="s">
        <v>814</v>
      </c>
      <c r="CP2" s="378" t="s">
        <v>815</v>
      </c>
      <c r="CQ2" s="378" t="s">
        <v>534</v>
      </c>
      <c r="CS2" s="378" t="s">
        <v>816</v>
      </c>
      <c r="CT2" s="378" t="s">
        <v>817</v>
      </c>
      <c r="CU2" s="378" t="s">
        <v>818</v>
      </c>
      <c r="CV2" s="378" t="s">
        <v>533</v>
      </c>
      <c r="CX2" s="378" t="s">
        <v>819</v>
      </c>
      <c r="CY2" s="378" t="s">
        <v>803</v>
      </c>
      <c r="CZ2" s="378" t="s">
        <v>804</v>
      </c>
      <c r="DA2" s="378" t="s">
        <v>532</v>
      </c>
      <c r="DC2" s="378" t="s">
        <v>802</v>
      </c>
      <c r="DD2" s="378" t="s">
        <v>820</v>
      </c>
      <c r="DE2" s="378" t="s">
        <v>821</v>
      </c>
      <c r="DF2" s="378" t="s">
        <v>822</v>
      </c>
      <c r="DH2" s="378" t="s">
        <v>823</v>
      </c>
      <c r="DI2" s="378" t="s">
        <v>824</v>
      </c>
      <c r="DJ2" s="378" t="s">
        <v>825</v>
      </c>
      <c r="DK2" s="378" t="s">
        <v>826</v>
      </c>
      <c r="DM2" s="378" t="s">
        <v>827</v>
      </c>
      <c r="DN2" s="378" t="s">
        <v>828</v>
      </c>
      <c r="DO2" s="378" t="s">
        <v>829</v>
      </c>
      <c r="DP2" s="378" t="s">
        <v>830</v>
      </c>
      <c r="DR2" s="378" t="s">
        <v>831</v>
      </c>
      <c r="DS2" s="378" t="s">
        <v>832</v>
      </c>
      <c r="DT2" s="378" t="s">
        <v>833</v>
      </c>
      <c r="DU2" s="378" t="s">
        <v>834</v>
      </c>
      <c r="DW2" s="378" t="s">
        <v>835</v>
      </c>
      <c r="DX2" s="378" t="s">
        <v>836</v>
      </c>
      <c r="DY2" s="378" t="s">
        <v>837</v>
      </c>
      <c r="DZ2" s="378" t="s">
        <v>838</v>
      </c>
      <c r="EB2" s="378" t="s">
        <v>839</v>
      </c>
      <c r="EC2" s="378" t="s">
        <v>840</v>
      </c>
      <c r="ED2" s="378" t="s">
        <v>841</v>
      </c>
      <c r="EE2" s="378" t="s">
        <v>842</v>
      </c>
      <c r="EG2" s="378" t="s">
        <v>843</v>
      </c>
      <c r="EH2" s="378" t="s">
        <v>844</v>
      </c>
      <c r="EI2" s="378" t="s">
        <v>845</v>
      </c>
      <c r="EJ2" s="378" t="s">
        <v>846</v>
      </c>
      <c r="EL2" s="378" t="s">
        <v>847</v>
      </c>
      <c r="EM2" s="378" t="s">
        <v>848</v>
      </c>
      <c r="EN2" s="378" t="s">
        <v>849</v>
      </c>
      <c r="EO2" s="378" t="s">
        <v>850</v>
      </c>
      <c r="EQ2" s="378" t="s">
        <v>851</v>
      </c>
      <c r="ER2" s="378" t="s">
        <v>852</v>
      </c>
      <c r="ES2" s="378" t="s">
        <v>853</v>
      </c>
      <c r="ET2" s="378" t="s">
        <v>854</v>
      </c>
      <c r="EV2" s="378" t="s">
        <v>855</v>
      </c>
      <c r="EW2" s="378" t="s">
        <v>856</v>
      </c>
      <c r="EX2" s="378" t="s">
        <v>857</v>
      </c>
      <c r="EY2" s="378" t="s">
        <v>858</v>
      </c>
      <c r="FQ2" s="795" t="e">
        <f ca="1">_xll.TR($FQ$1,"TR.NetIncome.currency","Null=-")</f>
        <v>#NAME?</v>
      </c>
    </row>
    <row r="3" spans="2:173">
      <c r="B3" s="2" t="s">
        <v>92</v>
      </c>
      <c r="C3" s="1">
        <f>REVS!C75</f>
        <v>1306.3219999999999</v>
      </c>
      <c r="D3" s="1">
        <f>REVS!D75</f>
        <v>1549.6</v>
      </c>
      <c r="E3" s="1">
        <f>REVS!E75</f>
        <v>1818.6</v>
      </c>
      <c r="F3" s="1">
        <f>REVS!F75</f>
        <v>2088.1999999999998</v>
      </c>
      <c r="G3" s="1">
        <f>REVS!G75</f>
        <v>2219.8000000000002</v>
      </c>
      <c r="H3" s="1">
        <f>REVS!H75</f>
        <v>2514.3999999999996</v>
      </c>
      <c r="I3" s="1">
        <f>REVS!I75</f>
        <v>3042.7999999999997</v>
      </c>
      <c r="J3" s="1">
        <f>REVS!J75</f>
        <v>3202.2</v>
      </c>
      <c r="K3" s="1">
        <f>REVS!K75</f>
        <v>3511</v>
      </c>
      <c r="L3" s="48">
        <f>REVS!L75</f>
        <v>908.6</v>
      </c>
      <c r="M3" s="48">
        <f>REVS!M75</f>
        <v>1115.1999999999998</v>
      </c>
      <c r="N3" s="48">
        <f>REVS!N75</f>
        <v>1345.8000000000002</v>
      </c>
      <c r="O3" s="48">
        <f>REVS!O75</f>
        <v>1621.6</v>
      </c>
      <c r="P3" s="1">
        <f>REVS!P75</f>
        <v>4991.2</v>
      </c>
      <c r="Q3" s="48">
        <f>REVS!Q75</f>
        <v>1635.9</v>
      </c>
      <c r="R3" s="48">
        <f>REVS!R75</f>
        <v>1916.5</v>
      </c>
      <c r="S3" s="48">
        <f>REVS!S75</f>
        <v>2078</v>
      </c>
      <c r="T3" s="48">
        <f>REVS!T75</f>
        <v>2238</v>
      </c>
      <c r="U3" s="1">
        <f>REVS!U75</f>
        <v>7868.4</v>
      </c>
      <c r="V3" s="48">
        <f>REVS!V75</f>
        <v>2207.8000000000002</v>
      </c>
      <c r="W3" s="48">
        <f>REVS!W75</f>
        <v>2431</v>
      </c>
      <c r="X3" s="48">
        <f>REVS!X75</f>
        <v>2560</v>
      </c>
      <c r="Y3" s="48">
        <f>REVS!Y75</f>
        <v>2778</v>
      </c>
      <c r="Z3" s="1">
        <f>REVS!Z75</f>
        <v>9976.7999999999993</v>
      </c>
      <c r="AA3" s="48">
        <f>REVS!AA75</f>
        <v>2735</v>
      </c>
      <c r="AB3" s="48">
        <f>REVS!AB75</f>
        <v>3072</v>
      </c>
      <c r="AC3" s="48">
        <f>REVS!AC75</f>
        <v>3047</v>
      </c>
      <c r="AD3" s="48">
        <f>REVS!AD75</f>
        <v>3168</v>
      </c>
      <c r="AE3" s="1">
        <f>REVS!AE75</f>
        <v>12022</v>
      </c>
      <c r="AF3" s="48">
        <f>REVS!AF75</f>
        <v>3127</v>
      </c>
      <c r="AG3" s="48">
        <f>REVS!AG75</f>
        <v>3491</v>
      </c>
      <c r="AH3" s="48">
        <f>REVS!AH75</f>
        <v>3503</v>
      </c>
      <c r="AI3" s="48">
        <f>REVS!AI75</f>
        <v>3737</v>
      </c>
      <c r="AJ3" s="1">
        <f>REVS!AJ75</f>
        <v>13858</v>
      </c>
      <c r="AK3" s="48">
        <f>REVS!AK75</f>
        <v>3565</v>
      </c>
      <c r="AL3" s="48">
        <f>REVS!AL75</f>
        <v>3604</v>
      </c>
      <c r="AM3" s="48">
        <f>REVS!AM75</f>
        <v>3524</v>
      </c>
      <c r="AN3" s="48">
        <f>REVS!AN75</f>
        <v>3618</v>
      </c>
      <c r="AO3" s="1">
        <f>REVS!AO75</f>
        <v>14311</v>
      </c>
      <c r="AP3" s="48">
        <f>REVS!AP75</f>
        <v>3537</v>
      </c>
      <c r="AQ3" s="48">
        <f>REVS!AQ75</f>
        <v>3692</v>
      </c>
      <c r="AR3" s="48">
        <f>REVS!AR75</f>
        <v>3784</v>
      </c>
      <c r="AS3" s="48">
        <f>REVS!AS75</f>
        <v>3674</v>
      </c>
      <c r="AT3" s="1">
        <f>REVS!AT75</f>
        <v>14687</v>
      </c>
      <c r="AU3" s="379">
        <f>REVS!AU75</f>
        <v>3238</v>
      </c>
      <c r="AV3" s="379">
        <f>REVS!AV75</f>
        <v>3634</v>
      </c>
      <c r="AW3" s="379">
        <f>REVS!AW75</f>
        <v>3736</v>
      </c>
      <c r="AX3" s="379">
        <f>REVS!AX75</f>
        <v>3743</v>
      </c>
      <c r="AY3" s="1">
        <f>REVS!AY75</f>
        <v>14351</v>
      </c>
      <c r="AZ3" s="48">
        <f>REVS!AZ75</f>
        <v>3528</v>
      </c>
      <c r="BA3" s="48">
        <f>REVS!BA75</f>
        <v>3613</v>
      </c>
      <c r="BB3" s="48">
        <f>REVS!BB75</f>
        <v>3759</v>
      </c>
      <c r="BC3" s="48">
        <f>REVS!BC75</f>
        <v>3760</v>
      </c>
      <c r="BD3" s="1">
        <f>REVS!BD75</f>
        <v>14660</v>
      </c>
      <c r="BE3" s="48">
        <f>REVS!BE75</f>
        <v>3618</v>
      </c>
      <c r="BF3" s="48">
        <f>REVS!BF75</f>
        <v>3893</v>
      </c>
      <c r="BG3" s="48">
        <f>REVS!BG75</f>
        <v>3877</v>
      </c>
      <c r="BH3" s="48">
        <f>REVS!BH75</f>
        <v>3907</v>
      </c>
      <c r="BI3" s="1">
        <f>REVS!BI75</f>
        <v>15295</v>
      </c>
      <c r="BJ3" s="379">
        <f>REVS!BJ75</f>
        <v>3901</v>
      </c>
      <c r="BK3" s="379">
        <f>REVS!BK75</f>
        <v>4200</v>
      </c>
      <c r="BL3" s="379">
        <f>REVS!BL75</f>
        <v>4201</v>
      </c>
      <c r="BM3" s="379">
        <f>REVS!BM75</f>
        <v>4337</v>
      </c>
      <c r="BN3" s="1">
        <f>REVS!BN75</f>
        <v>16639</v>
      </c>
      <c r="BO3" s="379">
        <f>REVS!BO75</f>
        <v>4151</v>
      </c>
      <c r="BP3" s="379">
        <f>REVS!BP75</f>
        <v>4595</v>
      </c>
      <c r="BQ3" s="379">
        <f>REVS!BQ75</f>
        <v>4647</v>
      </c>
      <c r="BR3" s="379">
        <f>REVS!BR75</f>
        <v>4799</v>
      </c>
      <c r="BS3" s="1">
        <f>REVS!BS75</f>
        <v>18192</v>
      </c>
      <c r="BT3" s="379">
        <f>REVS!BT75</f>
        <v>4356</v>
      </c>
      <c r="BU3" s="379">
        <f>REVS!BU75</f>
        <v>4949</v>
      </c>
      <c r="BV3" s="379">
        <f>REVS!BV75</f>
        <v>4848</v>
      </c>
      <c r="BW3" s="379">
        <f>REVS!BW75</f>
        <v>5174</v>
      </c>
      <c r="BX3" s="641">
        <f>REVS!BX75</f>
        <v>19327</v>
      </c>
      <c r="BY3" s="379">
        <f>REVS!BY75</f>
        <v>4874</v>
      </c>
      <c r="BZ3" s="379">
        <f>REVS!BZ75</f>
        <v>5225</v>
      </c>
      <c r="CA3" s="379">
        <f>REVS!CA75</f>
        <v>5516</v>
      </c>
      <c r="CB3" s="379">
        <f>REVS!CB75</f>
        <v>5329</v>
      </c>
      <c r="CC3" s="1">
        <f>REVS!CC75</f>
        <v>20944</v>
      </c>
      <c r="CD3" s="379">
        <f>REVS!CD75</f>
        <v>5239</v>
      </c>
      <c r="CE3" s="379">
        <f>REVS!CE75</f>
        <v>5474</v>
      </c>
      <c r="CF3" s="379">
        <f>REVS!CF75</f>
        <v>5516</v>
      </c>
      <c r="CG3" s="379">
        <f>REVS!CG75</f>
        <v>5663</v>
      </c>
      <c r="CH3" s="1">
        <f>REVS!CH75</f>
        <v>21892</v>
      </c>
      <c r="CI3" s="379">
        <f>REVS!CI75</f>
        <v>5199</v>
      </c>
      <c r="CJ3" s="379">
        <f>REVS!CJ75</f>
        <v>5574</v>
      </c>
      <c r="CK3" s="379">
        <f>REVS!CK75</f>
        <v>5453</v>
      </c>
      <c r="CL3" s="379">
        <f>REVS!CL75</f>
        <v>5569</v>
      </c>
      <c r="CM3" s="1">
        <f>REVS!CM75</f>
        <v>21795</v>
      </c>
      <c r="CN3" s="379">
        <f>REVS!CN75</f>
        <v>5343</v>
      </c>
      <c r="CO3" s="379">
        <f>REVS!CO75</f>
        <v>5336.1863294911536</v>
      </c>
      <c r="CP3" s="379">
        <f>REVS!CP75</f>
        <v>5471.95500265805</v>
      </c>
      <c r="CQ3" s="379">
        <f>REVS!CQ75</f>
        <v>5399.745880320449</v>
      </c>
      <c r="CR3" s="1">
        <f>REVS!CR75</f>
        <v>21550.887212469646</v>
      </c>
      <c r="CS3" s="379"/>
      <c r="CT3" s="379"/>
      <c r="CU3" s="379"/>
      <c r="CV3" s="379"/>
      <c r="CW3" s="1">
        <f>REVS!CW75</f>
        <v>21240.428344157972</v>
      </c>
      <c r="CX3" s="379"/>
      <c r="CY3" s="379"/>
      <c r="CZ3" s="379"/>
      <c r="DA3" s="379"/>
      <c r="DB3" s="1">
        <f>REVS!DB75</f>
        <v>21385.647947747846</v>
      </c>
      <c r="DC3" s="379"/>
      <c r="DD3" s="379"/>
      <c r="DE3" s="379"/>
      <c r="DF3" s="379"/>
      <c r="DG3" s="1">
        <f>REVS!DG75</f>
        <v>21658.142699956872</v>
      </c>
      <c r="DH3" s="379"/>
      <c r="DI3" s="379"/>
      <c r="DJ3" s="379"/>
      <c r="DK3" s="379"/>
      <c r="DL3" s="1">
        <f>REVS!DL75</f>
        <v>22634.161750498577</v>
      </c>
      <c r="DM3" s="379"/>
      <c r="DN3" s="379"/>
      <c r="DO3" s="379"/>
      <c r="DP3" s="379"/>
      <c r="DQ3" s="1">
        <f>REVS!DQ75</f>
        <v>23807.627698733162</v>
      </c>
      <c r="DR3" s="379"/>
      <c r="DS3" s="379"/>
      <c r="DT3" s="379"/>
      <c r="DU3" s="379"/>
      <c r="DV3" s="1">
        <f>REVS!DV75</f>
        <v>24645.415388143196</v>
      </c>
      <c r="DW3" s="379"/>
      <c r="DX3" s="379"/>
      <c r="DY3" s="379"/>
      <c r="DZ3" s="379"/>
      <c r="EA3" s="1">
        <f>REVS!EA75</f>
        <v>25353.531884474382</v>
      </c>
      <c r="EB3" s="379"/>
      <c r="EC3" s="379"/>
      <c r="ED3" s="379"/>
      <c r="EE3" s="379"/>
      <c r="EF3" s="1">
        <f>REVS!EF75</f>
        <v>25285.763751668208</v>
      </c>
      <c r="EG3" s="379"/>
      <c r="EH3" s="379"/>
      <c r="EI3" s="379"/>
      <c r="EJ3" s="379"/>
      <c r="EK3" s="1">
        <f>REVS!EK75</f>
        <v>25278.602264276495</v>
      </c>
      <c r="EL3" s="379"/>
      <c r="EM3" s="379"/>
      <c r="EN3" s="379"/>
      <c r="EO3" s="379"/>
      <c r="EP3" s="1">
        <f>REVS!EP75</f>
        <v>23492.995377998999</v>
      </c>
      <c r="EQ3" s="379"/>
      <c r="ER3" s="379"/>
      <c r="ES3" s="379"/>
      <c r="ET3" s="379"/>
      <c r="EU3" s="1">
        <f>REVS!EU75</f>
        <v>22541.791123518935</v>
      </c>
      <c r="EV3" s="379"/>
      <c r="EW3" s="379"/>
      <c r="EX3" s="379"/>
      <c r="EY3" s="379"/>
      <c r="EZ3" s="1">
        <f>REVS!EZ75</f>
        <v>21944.891072642524</v>
      </c>
    </row>
    <row r="4" spans="2:173">
      <c r="B4" s="2" t="s">
        <v>71</v>
      </c>
      <c r="C4" s="1">
        <f>REVS!C76+REVS!C83</f>
        <v>67.52</v>
      </c>
      <c r="D4" s="1">
        <f>REVS!D76+REVS!D83</f>
        <v>98.300000000000011</v>
      </c>
      <c r="E4" s="1">
        <f>REVS!E76+REVS!E83</f>
        <v>121.30000000000001</v>
      </c>
      <c r="F4" s="1">
        <f>REVS!F76+REVS!F83</f>
        <v>151.60000000000002</v>
      </c>
      <c r="G4" s="1">
        <f>REVS!G76+REVS!G83</f>
        <v>181.2</v>
      </c>
      <c r="H4" s="1">
        <f>REVS!H76+REVS!H83</f>
        <v>203.8</v>
      </c>
      <c r="I4" s="1">
        <f>REVS!I76+REVS!I83</f>
        <v>297.3</v>
      </c>
      <c r="J4" s="1">
        <f>REVS!J76+REVS!J83</f>
        <v>427.2</v>
      </c>
      <c r="K4" s="1">
        <f>REVS!K76+REVS!K83</f>
        <v>504.7</v>
      </c>
      <c r="L4" s="48">
        <f>REVS!L76+REVS!L83</f>
        <v>99.9</v>
      </c>
      <c r="M4" s="48">
        <f>REVS!M76+REVS!M83</f>
        <v>133.9</v>
      </c>
      <c r="N4" s="48">
        <f>REVS!N76+REVS!N83</f>
        <v>153.5</v>
      </c>
      <c r="O4" s="48">
        <f>REVS!O76+REVS!O83</f>
        <v>144.5</v>
      </c>
      <c r="P4" s="1">
        <f>REVS!P76+REVS!P83</f>
        <v>531.79999999999995</v>
      </c>
      <c r="Q4" s="48">
        <f>REVS!Q76+REVS!Q83</f>
        <v>125.30000000000001</v>
      </c>
      <c r="R4" s="48">
        <f>REVS!R76+REVS!R83</f>
        <v>124.60000000000001</v>
      </c>
      <c r="S4" s="48">
        <f>REVS!S76+REVS!S83</f>
        <v>130</v>
      </c>
      <c r="T4" s="48">
        <f>REVS!T76+REVS!T83</f>
        <v>108</v>
      </c>
      <c r="U4" s="1">
        <f>REVS!U76+REVS!U83</f>
        <v>487.9</v>
      </c>
      <c r="V4" s="48">
        <f>REVS!V76+REVS!V83</f>
        <v>135.19999999999999</v>
      </c>
      <c r="W4" s="48">
        <f>REVS!W76+REVS!W83</f>
        <v>154</v>
      </c>
      <c r="X4" s="48">
        <f>REVS!X76+REVS!X83</f>
        <v>153</v>
      </c>
      <c r="Y4" s="48">
        <f>REVS!Y76+REVS!Y83</f>
        <v>131</v>
      </c>
      <c r="Z4" s="1">
        <f>REVS!Z76+REVS!Z83</f>
        <v>573.20000000000005</v>
      </c>
      <c r="AA4" s="48">
        <f>REVS!AA76+REVS!AA83</f>
        <v>98</v>
      </c>
      <c r="AB4" s="48">
        <f>REVS!AB76+REVS!AB83</f>
        <v>100</v>
      </c>
      <c r="AC4" s="48">
        <f>REVS!AC76+REVS!AC83</f>
        <v>107</v>
      </c>
      <c r="AD4" s="48">
        <f>REVS!AD76+REVS!AD83</f>
        <v>103</v>
      </c>
      <c r="AE4" s="1">
        <f>REVS!AE76+REVS!AE83</f>
        <v>408</v>
      </c>
      <c r="AF4" s="48">
        <f>REVS!AF76+REVS!AF83</f>
        <v>90</v>
      </c>
      <c r="AG4" s="48">
        <f>REVS!AG76+REVS!AG83</f>
        <v>113</v>
      </c>
      <c r="AH4" s="48">
        <f>REVS!AH76+REVS!AH83</f>
        <v>109</v>
      </c>
      <c r="AI4" s="48">
        <f>REVS!AI76+REVS!AI83</f>
        <v>98</v>
      </c>
      <c r="AJ4" s="1">
        <f>REVS!AJ76+REVS!AJ83</f>
        <v>410</v>
      </c>
      <c r="AK4" s="48">
        <f>REVS!AK76+REVS!AK83</f>
        <v>122</v>
      </c>
      <c r="AL4" s="48">
        <f>REVS!AL76+REVS!AL83</f>
        <v>124</v>
      </c>
      <c r="AM4" s="48">
        <f>REVS!AM76+REVS!AM83</f>
        <v>87</v>
      </c>
      <c r="AN4" s="48">
        <f>REVS!AN76+REVS!AN83</f>
        <v>127</v>
      </c>
      <c r="AO4" s="1">
        <f>REVS!AO76+REVS!AO83</f>
        <v>460</v>
      </c>
      <c r="AP4" s="48">
        <f>REVS!AP76+REVS!AP83</f>
        <v>76</v>
      </c>
      <c r="AQ4" s="48">
        <f>REVS!AQ76+REVS!AQ83</f>
        <v>72</v>
      </c>
      <c r="AR4" s="48">
        <f>REVS!AR76+REVS!AR83</f>
        <v>91</v>
      </c>
      <c r="AS4" s="48">
        <f>REVS!AS76+REVS!AS83</f>
        <v>77</v>
      </c>
      <c r="AT4" s="1">
        <f>REVS!AT76+REVS!AT83</f>
        <v>316</v>
      </c>
      <c r="AU4" s="379">
        <f>REVS!AU76+REVS!AU83</f>
        <v>70</v>
      </c>
      <c r="AV4" s="379">
        <f>REVS!AV76+REVS!AV83</f>
        <v>79</v>
      </c>
      <c r="AW4" s="379">
        <f>REVS!AW76+REVS!AW83</f>
        <v>76</v>
      </c>
      <c r="AX4" s="379">
        <f>REVS!AX76+REVS!AX83</f>
        <v>66</v>
      </c>
      <c r="AY4" s="1">
        <f>REVS!AY76+REVS!AY83</f>
        <v>291</v>
      </c>
      <c r="AZ4" s="48">
        <f>REVS!AZ76+REVS!AZ83</f>
        <v>64</v>
      </c>
      <c r="BA4" s="48">
        <f>REVS!BA76+REVS!BA83</f>
        <v>191</v>
      </c>
      <c r="BB4" s="48">
        <f>REVS!BB76+REVS!BB83</f>
        <v>57</v>
      </c>
      <c r="BC4" s="48">
        <f>REVS!BC76+REVS!BC83</f>
        <v>81</v>
      </c>
      <c r="BD4" s="1">
        <f>REVS!BD76+REVS!BD83</f>
        <v>393</v>
      </c>
      <c r="BE4" s="48">
        <f>REVS!BE76+REVS!BE83</f>
        <v>88</v>
      </c>
      <c r="BF4" s="48">
        <f>REVS!BF76+REVS!BF83</f>
        <v>66</v>
      </c>
      <c r="BG4" s="48">
        <f>REVS!BG76+REVS!BG83</f>
        <v>67</v>
      </c>
      <c r="BH4" s="48">
        <f>REVS!BH76+REVS!BH83</f>
        <v>66</v>
      </c>
      <c r="BI4" s="1">
        <f>REVS!BI76+REVS!BI83</f>
        <v>287</v>
      </c>
      <c r="BJ4" s="379">
        <f>REVS!BJ76+REVS!BJ83</f>
        <v>147</v>
      </c>
      <c r="BK4" s="379">
        <f>REVS!BK76+REVS!BK83</f>
        <v>277</v>
      </c>
      <c r="BL4" s="379">
        <f>REVS!BL76+REVS!BL83</f>
        <v>118</v>
      </c>
      <c r="BM4" s="379">
        <f>REVS!BM76+REVS!BM83</f>
        <v>84</v>
      </c>
      <c r="BN4" s="1">
        <f>REVS!BN76+REVS!BN83</f>
        <v>626</v>
      </c>
      <c r="BO4" s="379">
        <f>REVS!BO76+REVS!BO83</f>
        <v>87</v>
      </c>
      <c r="BP4" s="379">
        <f>REVS!BP76+REVS!BP83</f>
        <v>84</v>
      </c>
      <c r="BQ4" s="379">
        <f>REVS!BQ76+REVS!BQ83</f>
        <v>101</v>
      </c>
      <c r="BR4" s="379">
        <f>REVS!BR83</f>
        <v>212</v>
      </c>
      <c r="BS4" s="1">
        <f>REVS!BS83</f>
        <v>484</v>
      </c>
      <c r="BT4" s="379">
        <f>REVS!BT83</f>
        <v>165</v>
      </c>
      <c r="BU4" s="379">
        <f>REVS!BU83</f>
        <v>231</v>
      </c>
      <c r="BV4" s="379">
        <f>REVS!BV83</f>
        <v>183</v>
      </c>
      <c r="BW4" s="379">
        <f>REVS!BW83</f>
        <v>157</v>
      </c>
      <c r="BX4" s="641">
        <f>REVS!BX83</f>
        <v>736</v>
      </c>
      <c r="BY4" s="379">
        <f>REVS!BY83</f>
        <v>159</v>
      </c>
      <c r="BZ4" s="379">
        <f>REVS!BZ83</f>
        <v>145</v>
      </c>
      <c r="CA4" s="379">
        <f>REVS!CA83</f>
        <v>207</v>
      </c>
      <c r="CB4" s="379">
        <f>REVS!CB83</f>
        <v>207</v>
      </c>
      <c r="CC4" s="1">
        <f>REVS!CC83</f>
        <v>718</v>
      </c>
      <c r="CD4" s="379">
        <f>REVS!CD83</f>
        <v>288</v>
      </c>
      <c r="CE4" s="379">
        <f>REVS!CE83</f>
        <v>214</v>
      </c>
      <c r="CF4" s="379">
        <f>REVS!CF83</f>
        <v>295</v>
      </c>
      <c r="CG4" s="379">
        <f>REVS!CG83</f>
        <v>302</v>
      </c>
      <c r="CH4" s="1">
        <f>REVS!CH83</f>
        <v>1099</v>
      </c>
      <c r="CI4" s="379">
        <f>REVS!CI83</f>
        <v>265</v>
      </c>
      <c r="CJ4" s="379">
        <f>REVS!CJ83</f>
        <v>236</v>
      </c>
      <c r="CK4" s="379">
        <f>REVS!CK83</f>
        <v>320</v>
      </c>
      <c r="CL4" s="379">
        <f>REVS!CL83</f>
        <v>233</v>
      </c>
      <c r="CM4" s="1">
        <f>REVS!CM83</f>
        <v>1054</v>
      </c>
      <c r="CN4" s="379">
        <f>REVS!CN83</f>
        <v>211</v>
      </c>
      <c r="CO4" s="379">
        <f>REVS!CO83</f>
        <v>333.73774049574399</v>
      </c>
      <c r="CP4" s="379">
        <f>REVS!CP83</f>
        <v>260.73774049574399</v>
      </c>
      <c r="CQ4" s="379">
        <f>REVS!CQ83</f>
        <v>276.77726909087619</v>
      </c>
      <c r="CR4" s="1">
        <f>REVS!CR83</f>
        <v>1082.2527500823644</v>
      </c>
      <c r="CS4" s="379"/>
      <c r="CT4" s="379"/>
      <c r="CU4" s="379"/>
      <c r="CV4" s="379"/>
      <c r="CW4" s="1">
        <f>REVS!CW83</f>
        <v>1241.3031495720566</v>
      </c>
      <c r="CX4" s="379"/>
      <c r="CY4" s="379"/>
      <c r="CZ4" s="379"/>
      <c r="DA4" s="379"/>
      <c r="DB4" s="1">
        <f>REVS!DB83</f>
        <v>1340.952048084152</v>
      </c>
      <c r="DC4" s="379"/>
      <c r="DD4" s="379"/>
      <c r="DE4" s="379"/>
      <c r="DF4" s="379"/>
      <c r="DG4" s="1">
        <f>REVS!DG83</f>
        <v>923.00540005883602</v>
      </c>
      <c r="DH4" s="379"/>
      <c r="DI4" s="379"/>
      <c r="DJ4" s="379"/>
      <c r="DK4" s="379"/>
      <c r="DL4" s="1">
        <f>REVS!DL83</f>
        <v>779.59522736854399</v>
      </c>
      <c r="DM4" s="379"/>
      <c r="DN4" s="379"/>
      <c r="DO4" s="379"/>
      <c r="DP4" s="379"/>
      <c r="DQ4" s="1">
        <f>REVS!DQ83</f>
        <v>784.0865437928137</v>
      </c>
      <c r="DR4" s="379"/>
      <c r="DS4" s="379"/>
      <c r="DT4" s="379"/>
      <c r="DU4" s="379"/>
      <c r="DV4" s="1">
        <f>REVS!DV83</f>
        <v>687.29907968969655</v>
      </c>
      <c r="DW4" s="379"/>
      <c r="DX4" s="379"/>
      <c r="DY4" s="379"/>
      <c r="DZ4" s="379"/>
      <c r="EA4" s="1">
        <f>REVS!EA83</f>
        <v>369.65061560232573</v>
      </c>
      <c r="EB4" s="379"/>
      <c r="EC4" s="379"/>
      <c r="ED4" s="379"/>
      <c r="EE4" s="379"/>
      <c r="EF4" s="1">
        <f>REVS!EF83</f>
        <v>303.38331704373627</v>
      </c>
      <c r="EG4" s="379"/>
      <c r="EH4" s="379"/>
      <c r="EI4" s="379"/>
      <c r="EJ4" s="379"/>
      <c r="EK4" s="1">
        <f>REVS!EK83</f>
        <v>302.97488470941084</v>
      </c>
      <c r="EL4" s="379"/>
      <c r="EM4" s="379"/>
      <c r="EN4" s="379"/>
      <c r="EO4" s="379"/>
      <c r="EP4" s="1">
        <f>REVS!EP83</f>
        <v>309.40355821738177</v>
      </c>
      <c r="EQ4" s="379"/>
      <c r="ER4" s="379"/>
      <c r="ES4" s="379"/>
      <c r="ET4" s="379"/>
      <c r="EU4" s="1">
        <f>REVS!EU83</f>
        <v>316.77731078593513</v>
      </c>
      <c r="EV4" s="379"/>
      <c r="EW4" s="379"/>
      <c r="EX4" s="379"/>
      <c r="EY4" s="379"/>
      <c r="EZ4" s="1">
        <f>REVS!EZ83</f>
        <v>324.51749902334393</v>
      </c>
    </row>
    <row r="5" spans="2:173" ht="13.5" thickBot="1">
      <c r="B5" s="26" t="s">
        <v>111</v>
      </c>
      <c r="C5" s="36">
        <v>1374</v>
      </c>
      <c r="D5" s="36">
        <v>1648</v>
      </c>
      <c r="E5" s="36">
        <v>1940</v>
      </c>
      <c r="F5" s="36">
        <v>2240</v>
      </c>
      <c r="G5" s="36">
        <v>2401</v>
      </c>
      <c r="H5" s="36">
        <v>2718</v>
      </c>
      <c r="I5" s="36">
        <v>3340</v>
      </c>
      <c r="J5" s="36">
        <v>3629</v>
      </c>
      <c r="K5" s="36">
        <v>4016</v>
      </c>
      <c r="L5" s="49">
        <v>1009</v>
      </c>
      <c r="M5" s="49">
        <v>1249</v>
      </c>
      <c r="N5" s="49">
        <v>1499</v>
      </c>
      <c r="O5" s="49">
        <v>1766</v>
      </c>
      <c r="P5" s="36">
        <v>5523</v>
      </c>
      <c r="Q5" s="49">
        <v>1761</v>
      </c>
      <c r="R5" s="49">
        <v>2041</v>
      </c>
      <c r="S5" s="49">
        <v>2208</v>
      </c>
      <c r="T5" s="49">
        <v>2346</v>
      </c>
      <c r="U5" s="36">
        <v>8356</v>
      </c>
      <c r="V5" s="49">
        <v>2343</v>
      </c>
      <c r="W5" s="49">
        <v>2585</v>
      </c>
      <c r="X5" s="49">
        <v>2713</v>
      </c>
      <c r="Y5" s="49">
        <v>2909</v>
      </c>
      <c r="Z5" s="36">
        <v>10550</v>
      </c>
      <c r="AA5" s="49">
        <v>2833</v>
      </c>
      <c r="AB5" s="49">
        <v>3172</v>
      </c>
      <c r="AC5" s="49">
        <v>3154</v>
      </c>
      <c r="AD5" s="49">
        <v>3271</v>
      </c>
      <c r="AE5" s="36">
        <v>12430</v>
      </c>
      <c r="AF5" s="49">
        <v>3217</v>
      </c>
      <c r="AG5" s="49">
        <v>3604</v>
      </c>
      <c r="AH5" s="49">
        <v>3612</v>
      </c>
      <c r="AI5" s="49">
        <v>3835</v>
      </c>
      <c r="AJ5" s="36">
        <v>14268</v>
      </c>
      <c r="AK5" s="49">
        <v>3687</v>
      </c>
      <c r="AL5" s="49">
        <v>3728</v>
      </c>
      <c r="AM5" s="49">
        <v>3611</v>
      </c>
      <c r="AN5" s="49">
        <v>3745</v>
      </c>
      <c r="AO5" s="36">
        <v>14771</v>
      </c>
      <c r="AP5" s="49">
        <v>3613</v>
      </c>
      <c r="AQ5" s="49">
        <v>3764</v>
      </c>
      <c r="AR5" s="49">
        <v>3875</v>
      </c>
      <c r="AS5" s="49">
        <v>3751</v>
      </c>
      <c r="AT5" s="36">
        <v>15003</v>
      </c>
      <c r="AU5" s="380">
        <v>3308</v>
      </c>
      <c r="AV5" s="380">
        <v>3713</v>
      </c>
      <c r="AW5" s="380">
        <v>3812</v>
      </c>
      <c r="AX5" s="380">
        <v>3809</v>
      </c>
      <c r="AY5" s="36">
        <v>14642</v>
      </c>
      <c r="AZ5" s="49">
        <v>3592</v>
      </c>
      <c r="BA5" s="49">
        <v>3804</v>
      </c>
      <c r="BB5" s="49">
        <v>3816</v>
      </c>
      <c r="BC5" s="49">
        <v>3841</v>
      </c>
      <c r="BD5" s="36">
        <v>15053</v>
      </c>
      <c r="BE5" s="49">
        <v>3706</v>
      </c>
      <c r="BF5" s="49">
        <v>3959</v>
      </c>
      <c r="BG5" s="49">
        <v>3944</v>
      </c>
      <c r="BH5" s="49">
        <v>3973</v>
      </c>
      <c r="BI5" s="36">
        <v>15582</v>
      </c>
      <c r="BJ5" s="380">
        <v>4048</v>
      </c>
      <c r="BK5" s="380">
        <v>4477</v>
      </c>
      <c r="BL5" s="380">
        <v>4319</v>
      </c>
      <c r="BM5" s="380">
        <v>4421</v>
      </c>
      <c r="BN5" s="36">
        <v>17265</v>
      </c>
      <c r="BO5" s="380">
        <v>4238</v>
      </c>
      <c r="BP5" s="380">
        <v>4679</v>
      </c>
      <c r="BQ5" s="380">
        <v>4748</v>
      </c>
      <c r="BR5" s="380">
        <f>BR3+BR4</f>
        <v>5011</v>
      </c>
      <c r="BS5" s="36">
        <f>BS3+BS4</f>
        <v>18676</v>
      </c>
      <c r="BT5" s="380">
        <f t="shared" ref="BT5:DB5" si="0">BT3+BT4</f>
        <v>4521</v>
      </c>
      <c r="BU5" s="380">
        <f t="shared" si="0"/>
        <v>5180</v>
      </c>
      <c r="BV5" s="380">
        <f t="shared" si="0"/>
        <v>5031</v>
      </c>
      <c r="BW5" s="380">
        <f t="shared" si="0"/>
        <v>5331</v>
      </c>
      <c r="BX5" s="36">
        <f t="shared" si="0"/>
        <v>20063</v>
      </c>
      <c r="BY5" s="380">
        <f t="shared" si="0"/>
        <v>5033</v>
      </c>
      <c r="BZ5" s="380">
        <f>BZ3+BZ4</f>
        <v>5370</v>
      </c>
      <c r="CA5" s="380">
        <f t="shared" si="0"/>
        <v>5723</v>
      </c>
      <c r="CB5" s="380">
        <f>CB3+CB4</f>
        <v>5536</v>
      </c>
      <c r="CC5" s="36">
        <f t="shared" si="0"/>
        <v>21662</v>
      </c>
      <c r="CD5" s="380">
        <f t="shared" si="0"/>
        <v>5527</v>
      </c>
      <c r="CE5" s="380">
        <f t="shared" si="0"/>
        <v>5688</v>
      </c>
      <c r="CF5" s="380">
        <f t="shared" si="0"/>
        <v>5811</v>
      </c>
      <c r="CG5" s="380">
        <f t="shared" si="0"/>
        <v>5965</v>
      </c>
      <c r="CH5" s="36">
        <f t="shared" si="0"/>
        <v>22991</v>
      </c>
      <c r="CI5" s="380">
        <f t="shared" si="0"/>
        <v>5464</v>
      </c>
      <c r="CJ5" s="380">
        <f t="shared" si="0"/>
        <v>5810</v>
      </c>
      <c r="CK5" s="380">
        <f t="shared" si="0"/>
        <v>5773</v>
      </c>
      <c r="CL5" s="380">
        <f t="shared" si="0"/>
        <v>5802</v>
      </c>
      <c r="CM5" s="36">
        <f t="shared" si="0"/>
        <v>22849</v>
      </c>
      <c r="CN5" s="380">
        <f t="shared" si="0"/>
        <v>5554</v>
      </c>
      <c r="CO5" s="380">
        <f t="shared" si="0"/>
        <v>5669.9240699868978</v>
      </c>
      <c r="CP5" s="380">
        <f t="shared" si="0"/>
        <v>5732.6927431537943</v>
      </c>
      <c r="CQ5" s="380">
        <f t="shared" si="0"/>
        <v>5676.523149411325</v>
      </c>
      <c r="CR5" s="36">
        <f t="shared" si="0"/>
        <v>22633.13996255201</v>
      </c>
      <c r="CS5" s="380"/>
      <c r="CT5" s="380"/>
      <c r="CU5" s="380"/>
      <c r="CV5" s="380"/>
      <c r="CW5" s="36">
        <f t="shared" si="0"/>
        <v>22481.731493730029</v>
      </c>
      <c r="CX5" s="380"/>
      <c r="CY5" s="380"/>
      <c r="CZ5" s="380"/>
      <c r="DA5" s="380"/>
      <c r="DB5" s="36">
        <f t="shared" si="0"/>
        <v>22726.599995831999</v>
      </c>
      <c r="DC5" s="380"/>
      <c r="DD5" s="380"/>
      <c r="DE5" s="380"/>
      <c r="DF5" s="380"/>
      <c r="DG5" s="36">
        <f>DG3+DG4</f>
        <v>22581.148100015707</v>
      </c>
      <c r="DH5" s="380"/>
      <c r="DI5" s="380"/>
      <c r="DJ5" s="380"/>
      <c r="DK5" s="380"/>
      <c r="DL5" s="36">
        <f>DL3+DL4</f>
        <v>23413.75697786712</v>
      </c>
      <c r="DM5" s="380"/>
      <c r="DN5" s="380"/>
      <c r="DO5" s="380"/>
      <c r="DP5" s="380"/>
      <c r="DQ5" s="36">
        <f>DQ3+DQ4</f>
        <v>24591.714242525977</v>
      </c>
      <c r="DR5" s="380"/>
      <c r="DS5" s="380"/>
      <c r="DT5" s="380"/>
      <c r="DU5" s="380"/>
      <c r="DV5" s="36">
        <f>DV3+DV4</f>
        <v>25332.714467832891</v>
      </c>
      <c r="DW5" s="380"/>
      <c r="DX5" s="380"/>
      <c r="DY5" s="380"/>
      <c r="DZ5" s="380"/>
      <c r="EA5" s="36">
        <f>EA3+EA4</f>
        <v>25723.182500076706</v>
      </c>
      <c r="EB5" s="380"/>
      <c r="EC5" s="380"/>
      <c r="ED5" s="380"/>
      <c r="EE5" s="380"/>
      <c r="EF5" s="36">
        <f>EF3+EF4</f>
        <v>25589.147068711944</v>
      </c>
      <c r="EG5" s="380"/>
      <c r="EH5" s="380"/>
      <c r="EI5" s="380"/>
      <c r="EJ5" s="380"/>
      <c r="EK5" s="36">
        <f>EK3+EK4</f>
        <v>25581.577148985907</v>
      </c>
      <c r="EL5" s="380"/>
      <c r="EM5" s="380"/>
      <c r="EN5" s="380"/>
      <c r="EO5" s="380"/>
      <c r="EP5" s="36">
        <f>EP3+EP4</f>
        <v>23802.398936216381</v>
      </c>
      <c r="EQ5" s="380"/>
      <c r="ER5" s="380"/>
      <c r="ES5" s="380"/>
      <c r="ET5" s="380"/>
      <c r="EU5" s="36">
        <f>EU3+EU4</f>
        <v>22858.568434304871</v>
      </c>
      <c r="EV5" s="380"/>
      <c r="EW5" s="380"/>
      <c r="EX5" s="380"/>
      <c r="EY5" s="380"/>
      <c r="EZ5" s="36">
        <f>EZ3+EZ4</f>
        <v>22269.408571665866</v>
      </c>
    </row>
    <row r="6" spans="2:173" ht="13.5" thickBot="1">
      <c r="B6" s="82"/>
      <c r="C6" s="374"/>
      <c r="D6" s="374"/>
      <c r="E6" s="374"/>
      <c r="F6" s="374"/>
      <c r="G6" s="374"/>
      <c r="H6" s="374"/>
      <c r="I6" s="374"/>
      <c r="J6" s="374"/>
      <c r="K6" s="374"/>
      <c r="L6" s="373"/>
      <c r="M6" s="373"/>
      <c r="N6" s="373"/>
      <c r="O6" s="373"/>
      <c r="P6" s="374"/>
      <c r="Q6" s="373"/>
      <c r="R6" s="373"/>
      <c r="S6" s="373"/>
      <c r="T6" s="373"/>
      <c r="U6" s="374"/>
      <c r="V6" s="373"/>
      <c r="W6" s="373"/>
      <c r="X6" s="373"/>
      <c r="Y6" s="373"/>
      <c r="Z6" s="374"/>
      <c r="AA6" s="373"/>
      <c r="AB6" s="373"/>
      <c r="AC6" s="373"/>
      <c r="AD6" s="373"/>
      <c r="AE6" s="374"/>
      <c r="AF6" s="373"/>
      <c r="AG6" s="373"/>
      <c r="AH6" s="373"/>
      <c r="AI6" s="373"/>
      <c r="AJ6" s="374"/>
      <c r="AK6" s="373"/>
      <c r="AL6" s="373"/>
      <c r="AM6" s="373"/>
      <c r="AN6" s="373"/>
      <c r="AO6" s="374"/>
      <c r="AP6" s="373"/>
      <c r="AQ6" s="373"/>
      <c r="AR6" s="373"/>
      <c r="AS6" s="373"/>
      <c r="AT6" s="374"/>
      <c r="AU6" s="381"/>
      <c r="AV6" s="381"/>
      <c r="AW6" s="381"/>
      <c r="AX6" s="381"/>
      <c r="AY6" s="374"/>
      <c r="AZ6" s="373"/>
      <c r="BA6" s="373"/>
      <c r="BB6" s="373"/>
      <c r="BC6" s="373"/>
      <c r="BD6" s="374"/>
      <c r="BE6" s="373"/>
      <c r="BF6" s="373"/>
      <c r="BG6" s="373"/>
      <c r="BH6" s="373"/>
      <c r="BI6" s="374"/>
      <c r="BJ6" s="381"/>
      <c r="BK6" s="381"/>
      <c r="BL6" s="381"/>
      <c r="BM6" s="381"/>
      <c r="BN6" s="374"/>
      <c r="BO6" s="381"/>
      <c r="BP6" s="381"/>
      <c r="BQ6" s="381"/>
      <c r="BR6" s="381"/>
      <c r="BS6" s="374"/>
      <c r="BT6" s="381"/>
      <c r="BU6" s="381"/>
      <c r="BV6" s="381"/>
      <c r="BW6" s="381"/>
      <c r="BX6" s="521"/>
      <c r="BY6" s="381"/>
      <c r="BZ6" s="381"/>
      <c r="CA6" s="381"/>
      <c r="CB6" s="381"/>
      <c r="CC6" s="521"/>
      <c r="CD6" s="381"/>
      <c r="CE6" s="381"/>
      <c r="CF6" s="381"/>
      <c r="CG6" s="381"/>
      <c r="CH6" s="655"/>
      <c r="CI6" s="381"/>
      <c r="CJ6" s="381"/>
      <c r="CK6" s="381"/>
      <c r="CL6" s="381"/>
      <c r="CM6" s="655"/>
      <c r="CN6" s="381"/>
      <c r="CO6" s="381"/>
      <c r="CP6" s="426" t="s">
        <v>32</v>
      </c>
      <c r="CQ6" s="427"/>
      <c r="CR6" s="428" t="s">
        <v>955</v>
      </c>
      <c r="CS6" s="381"/>
      <c r="CT6" s="381"/>
      <c r="CU6" s="381"/>
      <c r="CV6" s="381"/>
      <c r="CW6" s="374"/>
      <c r="CX6" s="381"/>
      <c r="CY6" s="381"/>
      <c r="CZ6" s="381"/>
      <c r="DA6" s="381"/>
      <c r="DB6" s="374"/>
      <c r="DC6" s="381"/>
      <c r="DD6" s="381"/>
      <c r="DE6" s="381"/>
      <c r="DF6" s="381"/>
      <c r="DG6" s="374"/>
      <c r="DH6" s="381"/>
      <c r="DI6" s="381"/>
      <c r="DJ6" s="381"/>
      <c r="DK6" s="381"/>
      <c r="DM6" s="381"/>
      <c r="DN6" s="381"/>
      <c r="DO6" s="381"/>
      <c r="DP6" s="381"/>
      <c r="DR6" s="381"/>
      <c r="DS6" s="381"/>
      <c r="DT6" s="381"/>
      <c r="DU6" s="381"/>
      <c r="DW6" s="381"/>
      <c r="DX6" s="381"/>
      <c r="DY6" s="381"/>
      <c r="DZ6" s="381"/>
      <c r="EB6" s="381"/>
      <c r="EC6" s="381"/>
      <c r="ED6" s="381"/>
      <c r="EE6" s="381"/>
      <c r="EG6" s="381"/>
      <c r="EH6" s="381"/>
      <c r="EI6" s="381"/>
      <c r="EJ6" s="381"/>
      <c r="EL6" s="381"/>
      <c r="EM6" s="381"/>
      <c r="EN6" s="381"/>
      <c r="EO6" s="381"/>
      <c r="EQ6" s="381"/>
      <c r="ER6" s="381"/>
      <c r="ES6" s="381"/>
      <c r="ET6" s="381"/>
      <c r="EV6" s="381"/>
      <c r="EW6" s="381"/>
      <c r="EX6" s="381"/>
      <c r="EY6" s="381"/>
    </row>
    <row r="7" spans="2:173">
      <c r="B7" s="438" t="s">
        <v>72</v>
      </c>
      <c r="C7" s="441"/>
      <c r="D7" s="441"/>
      <c r="E7" s="441"/>
      <c r="F7" s="441"/>
      <c r="G7" s="441"/>
      <c r="H7" s="441"/>
      <c r="I7" s="441"/>
      <c r="J7" s="441"/>
      <c r="K7" s="441"/>
      <c r="L7" s="441"/>
      <c r="M7" s="441"/>
      <c r="N7" s="441"/>
      <c r="O7" s="441"/>
      <c r="P7" s="441"/>
      <c r="Q7" s="441"/>
      <c r="R7" s="441"/>
      <c r="S7" s="441"/>
      <c r="T7" s="441"/>
      <c r="U7" s="441"/>
      <c r="V7" s="441"/>
      <c r="W7" s="441"/>
      <c r="X7" s="441"/>
      <c r="Y7" s="441"/>
      <c r="Z7" s="441"/>
      <c r="AA7" s="441"/>
      <c r="AB7" s="441"/>
      <c r="AC7" s="441"/>
      <c r="AD7" s="441"/>
      <c r="AE7" s="441"/>
      <c r="AF7" s="441"/>
      <c r="AG7" s="441"/>
      <c r="AH7" s="441"/>
      <c r="AI7" s="441"/>
      <c r="AJ7" s="441"/>
      <c r="AK7" s="441"/>
      <c r="AL7" s="441"/>
      <c r="AM7" s="441"/>
      <c r="AN7" s="441"/>
      <c r="AO7" s="441"/>
      <c r="AP7" s="441"/>
      <c r="AQ7" s="441"/>
      <c r="AR7" s="441"/>
      <c r="AS7" s="441"/>
      <c r="AT7" s="441"/>
      <c r="AU7" s="441"/>
      <c r="AV7" s="441"/>
      <c r="AW7" s="441"/>
      <c r="AX7" s="441"/>
      <c r="AY7" s="441"/>
      <c r="AZ7" s="441"/>
      <c r="BA7" s="441"/>
      <c r="BB7" s="441"/>
      <c r="BC7" s="441"/>
      <c r="BD7" s="441"/>
      <c r="BE7" s="441"/>
      <c r="BF7" s="441"/>
      <c r="BG7" s="441"/>
      <c r="BH7" s="441"/>
      <c r="BI7" s="441"/>
      <c r="BJ7" s="441"/>
      <c r="BK7" s="441"/>
      <c r="BL7" s="441"/>
      <c r="BM7" s="441"/>
      <c r="BN7" s="441"/>
      <c r="BO7" s="441"/>
      <c r="BP7" s="441"/>
      <c r="BQ7" s="441"/>
      <c r="BR7" s="442"/>
      <c r="BS7" s="442"/>
      <c r="BT7" s="443"/>
      <c r="BU7" s="443"/>
      <c r="BV7" s="443"/>
      <c r="BW7" s="443"/>
      <c r="BX7" s="443"/>
      <c r="BY7" s="443"/>
      <c r="BZ7" s="443"/>
      <c r="CA7" s="443"/>
      <c r="CB7" s="443"/>
      <c r="CC7" s="443"/>
      <c r="CD7" s="443"/>
      <c r="CE7" s="443"/>
      <c r="CF7" s="443"/>
      <c r="CG7" s="443"/>
      <c r="CH7" s="443"/>
      <c r="CI7" s="443"/>
      <c r="CJ7" s="443"/>
      <c r="CK7" s="443"/>
      <c r="CL7" s="443"/>
      <c r="CM7" s="443"/>
      <c r="CN7" s="443" t="e">
        <f ca="1">_xll.TR($FQ$1,"TR.RevenueMean","Period=#1 Curn=#2 Scale=6 Null=-",,LEFT(CN2,1)&amp;"CQ20"&amp;MID(CN2,3,2),$FQ$2)</f>
        <v>#NAME?</v>
      </c>
      <c r="CO7" s="443" t="e">
        <f ca="1">_xll.TR($FQ$1,"TR.RevenueMean","Period=#1 Curn=#2 Scale=6 Null=-",,LEFT(CO2,1)&amp;"CQ20"&amp;MID(CO2,3,2),$FQ$2)</f>
        <v>#NAME?</v>
      </c>
      <c r="CP7" s="443" t="e">
        <f ca="1">_xll.TR($FQ$1,"TR.RevenueMean","Period=#1 Curn=#2 Scale=6 Null=-",,LEFT(CP2,1)&amp;"CQ20"&amp;MID(CP2,3,2),$FQ$2)</f>
        <v>#NAME?</v>
      </c>
      <c r="CQ7" s="443" t="e">
        <f ca="1">_xll.TR($FQ$1,"TR.RevenueMean","Period=#1 Curn=#2 Scale=6 Null=-",,LEFT(CQ2,1)&amp;"CQ20"&amp;MID(CQ2,3,2),$FQ$2)</f>
        <v>#NAME?</v>
      </c>
      <c r="CR7" s="443" t="e">
        <f ca="1">_xll.TR($FQ$1,"Avail(TR.RevenueMean(Methodology=WeightedAnnual),TR.RevenueMean(Methodology=InterimSum))","Period=#1 Curn=#2 Scale=6 Null=-",,"CY"&amp;LEFT(CN1,4),$FQ$2)</f>
        <v>#NAME?</v>
      </c>
      <c r="CS7" s="443"/>
      <c r="CT7" s="443"/>
      <c r="CU7" s="443"/>
      <c r="CV7" s="443"/>
      <c r="CW7" s="443" t="e">
        <f ca="1">_xll.TR($FQ$1,"Avail(TR.RevenueMean(Methodology=WeightedAnnual),TR.RevenueMean(Methodology=InterimSum))","Period=#1 Curn=#2 Scale=6 Null=-",,"CY"&amp;LEFT(CS1,4),$FQ$2)</f>
        <v>#NAME?</v>
      </c>
      <c r="CX7" s="443"/>
      <c r="CY7" s="443"/>
      <c r="CZ7" s="443"/>
      <c r="DA7" s="443"/>
      <c r="DB7" s="443" t="e">
        <f ca="1">_xll.TR($FQ$1,"Avail(TR.RevenueMean(Methodology=WeightedAnnual),TR.RevenueMean(Methodology=InterimSum))","Period=#1 Curn=#2 Scale=6 Null=-",,"CY"&amp;LEFT(CX1,4),$FQ$2)</f>
        <v>#NAME?</v>
      </c>
      <c r="DC7" s="443"/>
      <c r="DD7" s="443"/>
      <c r="DE7" s="443"/>
      <c r="DF7" s="443"/>
      <c r="DG7" s="443"/>
      <c r="DH7" s="443"/>
      <c r="DI7" s="443"/>
      <c r="DJ7" s="443"/>
      <c r="DK7" s="443"/>
      <c r="DL7" s="443"/>
      <c r="DM7" s="443"/>
      <c r="DN7" s="443"/>
      <c r="DO7" s="443"/>
      <c r="DP7" s="443"/>
      <c r="DQ7" s="443"/>
      <c r="DR7" s="443"/>
      <c r="DS7" s="443"/>
      <c r="DT7" s="443"/>
      <c r="DU7" s="443"/>
      <c r="DV7" s="443"/>
      <c r="DW7" s="443"/>
      <c r="DX7" s="443"/>
      <c r="DY7" s="443"/>
      <c r="DZ7" s="443"/>
      <c r="EA7" s="443"/>
      <c r="EB7" s="443"/>
      <c r="EC7" s="443"/>
      <c r="ED7" s="443"/>
      <c r="EE7" s="443"/>
      <c r="EF7" s="443"/>
      <c r="EG7" s="443"/>
      <c r="EH7" s="443"/>
      <c r="EI7" s="443"/>
      <c r="EJ7" s="443"/>
      <c r="EK7" s="443"/>
      <c r="EL7" s="443"/>
      <c r="EM7" s="443"/>
      <c r="EN7" s="443"/>
      <c r="EO7" s="443"/>
      <c r="EP7" s="443"/>
      <c r="EQ7" s="443"/>
      <c r="ER7" s="443"/>
      <c r="ES7" s="443"/>
      <c r="ET7" s="443"/>
      <c r="EU7" s="443"/>
      <c r="EV7" s="443"/>
      <c r="EW7" s="443"/>
      <c r="EX7" s="443"/>
      <c r="EY7" s="443"/>
      <c r="EZ7" s="443"/>
    </row>
    <row r="8" spans="2:173">
      <c r="C8" s="1"/>
      <c r="D8" s="1"/>
      <c r="E8" s="1"/>
      <c r="F8" s="1"/>
      <c r="G8" s="1"/>
      <c r="H8" s="1"/>
      <c r="I8" s="1"/>
      <c r="J8" s="1"/>
      <c r="K8" s="1"/>
      <c r="L8" s="48"/>
      <c r="M8" s="48"/>
      <c r="N8" s="48"/>
      <c r="O8" s="48"/>
      <c r="P8" s="1"/>
      <c r="Q8" s="48"/>
      <c r="R8" s="48"/>
      <c r="S8" s="48"/>
      <c r="T8" s="48"/>
      <c r="U8" s="1"/>
      <c r="V8" s="48"/>
      <c r="W8" s="48"/>
      <c r="X8" s="48"/>
      <c r="Y8" s="48"/>
      <c r="Z8" s="1"/>
      <c r="AA8" s="48"/>
      <c r="AB8" s="48"/>
      <c r="AC8" s="48"/>
      <c r="AD8" s="48"/>
      <c r="AE8" s="1"/>
      <c r="AF8" s="48"/>
      <c r="AG8" s="48"/>
      <c r="AH8" s="48"/>
      <c r="AI8" s="48"/>
      <c r="AJ8" s="1"/>
      <c r="AK8" s="48"/>
      <c r="AL8" s="48"/>
      <c r="AM8" s="48"/>
      <c r="AN8" s="48"/>
      <c r="AO8" s="1"/>
      <c r="AP8" s="48"/>
      <c r="AQ8" s="48"/>
      <c r="AR8" s="48"/>
      <c r="AS8" s="48"/>
      <c r="AT8" s="1"/>
      <c r="AU8" s="379"/>
      <c r="AV8" s="379"/>
      <c r="AW8" s="379"/>
      <c r="AX8" s="379"/>
      <c r="AY8" s="1"/>
      <c r="AZ8" s="48"/>
      <c r="BA8" s="48"/>
      <c r="BB8" s="48"/>
      <c r="BC8" s="48"/>
      <c r="BD8" s="1"/>
      <c r="BE8" s="48"/>
      <c r="BF8" s="48"/>
      <c r="BG8" s="48"/>
      <c r="BH8" s="48"/>
      <c r="BI8" s="1"/>
      <c r="BJ8" s="379"/>
      <c r="BK8" s="379"/>
      <c r="BL8" s="379"/>
      <c r="BM8" s="379"/>
      <c r="BN8" s="1"/>
      <c r="BO8" s="379"/>
      <c r="BP8" s="379"/>
      <c r="BQ8" s="379"/>
      <c r="BR8" s="382"/>
      <c r="BS8" s="1"/>
      <c r="BT8" s="624"/>
      <c r="BU8" s="382"/>
      <c r="BV8" s="382"/>
      <c r="BW8" s="382"/>
      <c r="BX8" s="1"/>
      <c r="BY8" s="382"/>
      <c r="BZ8" s="382"/>
      <c r="CA8" s="382"/>
      <c r="CB8" s="382"/>
      <c r="CD8" s="667"/>
      <c r="CE8" s="667"/>
      <c r="CF8" s="667"/>
      <c r="CG8" s="667"/>
      <c r="CI8" s="382"/>
      <c r="CJ8" s="382"/>
      <c r="CK8" s="382"/>
      <c r="CL8" s="383"/>
      <c r="CM8" s="77"/>
      <c r="CN8" s="383"/>
      <c r="CO8" s="383"/>
      <c r="CP8" s="383"/>
      <c r="CQ8" s="383"/>
      <c r="CR8" s="77"/>
      <c r="CS8" s="383"/>
      <c r="CT8" s="383"/>
      <c r="CU8" s="383"/>
      <c r="CV8" s="383"/>
      <c r="CW8" s="77"/>
      <c r="CX8" s="383"/>
      <c r="CY8" s="383"/>
      <c r="CZ8" s="383"/>
      <c r="DA8" s="383"/>
      <c r="DB8" s="77"/>
      <c r="DC8" s="383"/>
      <c r="DD8" s="383"/>
      <c r="DE8" s="383"/>
      <c r="DF8" s="383"/>
      <c r="DG8" s="77"/>
      <c r="DH8" s="383"/>
      <c r="DI8" s="383"/>
      <c r="DJ8" s="383"/>
      <c r="DK8" s="383"/>
      <c r="DL8" s="77"/>
      <c r="DM8" s="383"/>
      <c r="DN8" s="383"/>
      <c r="DO8" s="383"/>
      <c r="DP8" s="383"/>
      <c r="DQ8" s="77"/>
      <c r="DR8" s="383"/>
      <c r="DS8" s="383"/>
      <c r="DT8" s="383"/>
      <c r="DU8" s="383"/>
      <c r="DV8" s="77"/>
      <c r="DW8" s="383"/>
      <c r="DX8" s="383"/>
      <c r="DY8" s="383"/>
      <c r="DZ8" s="383"/>
      <c r="EA8" s="77"/>
      <c r="EB8" s="383"/>
      <c r="EC8" s="383"/>
      <c r="ED8" s="383"/>
      <c r="EE8" s="383"/>
      <c r="EF8" s="77"/>
      <c r="EG8" s="383"/>
      <c r="EH8" s="383"/>
      <c r="EI8" s="383"/>
      <c r="EJ8" s="383"/>
      <c r="EK8" s="77"/>
      <c r="EL8" s="383"/>
      <c r="EM8" s="383"/>
      <c r="EN8" s="383"/>
      <c r="EO8" s="383"/>
      <c r="EP8" s="77"/>
      <c r="EQ8" s="383"/>
      <c r="ER8" s="383"/>
      <c r="ES8" s="383"/>
      <c r="ET8" s="383"/>
      <c r="EU8" s="77"/>
      <c r="EV8" s="383"/>
      <c r="EW8" s="383"/>
      <c r="EX8" s="383"/>
      <c r="EY8" s="383"/>
      <c r="EZ8" s="77"/>
    </row>
    <row r="9" spans="2:173">
      <c r="B9" s="29" t="s">
        <v>63</v>
      </c>
      <c r="C9" s="1">
        <v>220</v>
      </c>
      <c r="D9" s="1">
        <v>238</v>
      </c>
      <c r="E9" s="1">
        <v>273</v>
      </c>
      <c r="F9" s="1">
        <v>283</v>
      </c>
      <c r="G9" s="1">
        <v>301</v>
      </c>
      <c r="H9" s="1">
        <v>345</v>
      </c>
      <c r="I9" s="1">
        <v>402</v>
      </c>
      <c r="J9" s="1">
        <v>408</v>
      </c>
      <c r="K9" s="1">
        <v>443</v>
      </c>
      <c r="L9" s="48">
        <v>104</v>
      </c>
      <c r="M9" s="48">
        <v>132</v>
      </c>
      <c r="N9" s="48">
        <v>201</v>
      </c>
      <c r="O9" s="48">
        <v>253</v>
      </c>
      <c r="P9" s="1">
        <v>690</v>
      </c>
      <c r="Q9" s="48">
        <v>278</v>
      </c>
      <c r="R9" s="48">
        <v>324</v>
      </c>
      <c r="S9" s="48">
        <v>336</v>
      </c>
      <c r="T9" s="48">
        <v>384</v>
      </c>
      <c r="U9" s="1">
        <v>1323</v>
      </c>
      <c r="V9" s="48">
        <v>371</v>
      </c>
      <c r="W9" s="48">
        <v>435</v>
      </c>
      <c r="X9" s="48">
        <v>447</v>
      </c>
      <c r="Y9" s="48">
        <v>476</v>
      </c>
      <c r="Z9" s="1">
        <v>1729</v>
      </c>
      <c r="AA9" s="48">
        <v>489</v>
      </c>
      <c r="AB9" s="48">
        <v>530</v>
      </c>
      <c r="AC9" s="48">
        <v>505</v>
      </c>
      <c r="AD9" s="48">
        <v>511</v>
      </c>
      <c r="AE9" s="1">
        <v>2035</v>
      </c>
      <c r="AF9" s="48">
        <v>552</v>
      </c>
      <c r="AG9" s="48">
        <v>492</v>
      </c>
      <c r="AH9" s="48">
        <v>485</v>
      </c>
      <c r="AI9" s="48">
        <v>551</v>
      </c>
      <c r="AJ9" s="1">
        <v>2080</v>
      </c>
      <c r="AK9" s="48">
        <v>559</v>
      </c>
      <c r="AL9" s="48">
        <v>546</v>
      </c>
      <c r="AM9" s="48">
        <v>585</v>
      </c>
      <c r="AN9" s="48">
        <v>565</v>
      </c>
      <c r="AO9" s="1">
        <v>2255</v>
      </c>
      <c r="AP9" s="48">
        <v>542</v>
      </c>
      <c r="AQ9" s="48">
        <v>512</v>
      </c>
      <c r="AR9" s="48">
        <v>590</v>
      </c>
      <c r="AS9" s="48">
        <v>549</v>
      </c>
      <c r="AT9" s="1">
        <v>2193</v>
      </c>
      <c r="AU9" s="379">
        <v>474</v>
      </c>
      <c r="AV9" s="379">
        <v>527</v>
      </c>
      <c r="AW9" s="379">
        <v>542</v>
      </c>
      <c r="AX9" s="379">
        <v>535</v>
      </c>
      <c r="AY9" s="1">
        <v>2078</v>
      </c>
      <c r="AZ9" s="48">
        <v>504</v>
      </c>
      <c r="BA9" s="48">
        <v>549</v>
      </c>
      <c r="BB9" s="48">
        <v>584</v>
      </c>
      <c r="BC9" s="48">
        <v>568</v>
      </c>
      <c r="BD9" s="1">
        <v>2205</v>
      </c>
      <c r="BE9" s="48">
        <v>540</v>
      </c>
      <c r="BF9" s="48">
        <v>569</v>
      </c>
      <c r="BG9" s="48">
        <v>593</v>
      </c>
      <c r="BH9" s="48">
        <v>643</v>
      </c>
      <c r="BI9" s="1">
        <v>2345</v>
      </c>
      <c r="BJ9" s="379">
        <v>666</v>
      </c>
      <c r="BK9" s="379">
        <v>668</v>
      </c>
      <c r="BL9" s="379">
        <v>674</v>
      </c>
      <c r="BM9" s="379">
        <v>727</v>
      </c>
      <c r="BN9" s="1">
        <v>2735</v>
      </c>
      <c r="BO9" s="379">
        <f>744-BO53-BO54</f>
        <v>671</v>
      </c>
      <c r="BP9" s="379">
        <f>785-BP53-BP54</f>
        <v>714</v>
      </c>
      <c r="BQ9" s="379">
        <f>788-BQ53-BQ54</f>
        <v>715</v>
      </c>
      <c r="BR9" s="430">
        <f>1029-BR54-BR55</f>
        <v>770</v>
      </c>
      <c r="BS9" s="1">
        <f>SUM(BO9:BR9)</f>
        <v>2870</v>
      </c>
      <c r="BT9" s="625">
        <f>1090-BT54-BT55</f>
        <v>684</v>
      </c>
      <c r="BU9" s="625">
        <f>1081-BU54-BU55</f>
        <v>789</v>
      </c>
      <c r="BV9" s="625">
        <f>1068-BV54-BV55-BV56</f>
        <v>761</v>
      </c>
      <c r="BW9" s="383">
        <f>1183-279-76-3</f>
        <v>825</v>
      </c>
      <c r="BX9" s="1">
        <f>SUM(BT9:BW9)</f>
        <v>3059</v>
      </c>
      <c r="BY9" s="625">
        <f>1033-BY54-BY55-BY56</f>
        <v>735</v>
      </c>
      <c r="BZ9" s="383">
        <f>1089-BZ54-BZ55-BZ56</f>
        <v>789</v>
      </c>
      <c r="CA9" s="383">
        <f>1034-CA54-CA55-CA56</f>
        <v>745</v>
      </c>
      <c r="CB9" s="383">
        <f>1071-CB54-CB55-CB56</f>
        <v>764</v>
      </c>
      <c r="CC9" s="1">
        <f>SUM(BY9:CB9)</f>
        <v>3033</v>
      </c>
      <c r="CD9" s="667">
        <f>1018-CD54-CD55-CD56</f>
        <v>707</v>
      </c>
      <c r="CE9" s="667">
        <f>1050-CE54-CE55-CE56</f>
        <v>738</v>
      </c>
      <c r="CF9" s="667">
        <f>1027-CF54-CF55-CF56</f>
        <v>715</v>
      </c>
      <c r="CG9" s="667">
        <f>1067-CG54-CG55-CG56</f>
        <v>753</v>
      </c>
      <c r="CH9" s="1">
        <f>SUM(CD9:CG9)</f>
        <v>2913</v>
      </c>
      <c r="CI9" s="383">
        <f>996-CI54-CI55-CI56</f>
        <v>682</v>
      </c>
      <c r="CJ9" s="383">
        <f>1024-CJ54-CJ55-CJ56</f>
        <v>710</v>
      </c>
      <c r="CK9" s="383">
        <f>990-CK54-CK55-CK56</f>
        <v>735</v>
      </c>
      <c r="CL9" s="383">
        <f>1059-CL54-CL55-CL56</f>
        <v>816</v>
      </c>
      <c r="CM9" s="1">
        <f>SUM(CI9:CL9)</f>
        <v>2943</v>
      </c>
      <c r="CN9" s="383">
        <f>944-CN54-CN55-CN56</f>
        <v>678</v>
      </c>
      <c r="CO9" s="383">
        <f>REVS!CO131</f>
        <v>690.15858244815252</v>
      </c>
      <c r="CP9" s="383">
        <f>REVS!CP131</f>
        <v>715.39683304069501</v>
      </c>
      <c r="CQ9" s="383">
        <f>REVS!CQ131</f>
        <v>706.14409304448168</v>
      </c>
      <c r="CR9" s="1">
        <f>REVS!CR131</f>
        <v>2789.6995085333288</v>
      </c>
      <c r="CS9" s="383"/>
      <c r="CT9" s="383"/>
      <c r="CU9" s="383"/>
      <c r="CV9" s="383"/>
      <c r="CW9" s="1">
        <f>REVS!CW131</f>
        <v>2804.5957960238029</v>
      </c>
      <c r="CX9" s="383"/>
      <c r="CY9" s="383"/>
      <c r="CZ9" s="383"/>
      <c r="DA9" s="383"/>
      <c r="DB9" s="1">
        <f>REVS!DB131</f>
        <v>2869.3393275510034</v>
      </c>
      <c r="DC9" s="383"/>
      <c r="DD9" s="383"/>
      <c r="DE9" s="383"/>
      <c r="DF9" s="383"/>
      <c r="DG9" s="1">
        <f>REVS!DG131</f>
        <v>2982.8986400767067</v>
      </c>
      <c r="DH9" s="383"/>
      <c r="DI9" s="383"/>
      <c r="DJ9" s="383"/>
      <c r="DK9" s="383"/>
      <c r="DL9" s="1">
        <f>REVS!DL131</f>
        <v>3241.3133507324201</v>
      </c>
      <c r="DM9" s="383"/>
      <c r="DN9" s="383"/>
      <c r="DO9" s="383"/>
      <c r="DP9" s="383"/>
      <c r="DQ9" s="1">
        <f>REVS!DQ131</f>
        <v>3592.1032019414956</v>
      </c>
      <c r="DR9" s="383"/>
      <c r="DS9" s="383"/>
      <c r="DT9" s="383"/>
      <c r="DU9" s="383"/>
      <c r="DV9" s="1">
        <f>REVS!DV131</f>
        <v>3836.9687111517633</v>
      </c>
      <c r="DW9" s="383"/>
      <c r="DX9" s="383"/>
      <c r="DY9" s="383"/>
      <c r="DZ9" s="383"/>
      <c r="EA9" s="1">
        <f>REVS!EA131</f>
        <v>4114.6635424854412</v>
      </c>
      <c r="EB9" s="383"/>
      <c r="EC9" s="383"/>
      <c r="ED9" s="383"/>
      <c r="EE9" s="383"/>
      <c r="EF9" s="1">
        <f>REVS!EF131</f>
        <v>4303.8729041560782</v>
      </c>
      <c r="EG9" s="383"/>
      <c r="EH9" s="383"/>
      <c r="EI9" s="383"/>
      <c r="EJ9" s="383"/>
      <c r="EK9" s="1">
        <f>REVS!EK131</f>
        <v>4523.3923626788164</v>
      </c>
      <c r="EL9" s="383"/>
      <c r="EM9" s="383"/>
      <c r="EN9" s="383"/>
      <c r="EO9" s="383"/>
      <c r="EP9" s="1">
        <f>REVS!EP131</f>
        <v>4430.1783190860142</v>
      </c>
      <c r="EQ9" s="383"/>
      <c r="ER9" s="383"/>
      <c r="ES9" s="383"/>
      <c r="ET9" s="383"/>
      <c r="EU9" s="1">
        <f>REVS!EU131</f>
        <v>4439.0458136686466</v>
      </c>
      <c r="EV9" s="383"/>
      <c r="EW9" s="383"/>
      <c r="EX9" s="383"/>
      <c r="EY9" s="383"/>
      <c r="EZ9" s="1">
        <f>REVS!EZ131</f>
        <v>4483.1183232754674</v>
      </c>
    </row>
    <row r="10" spans="2:173">
      <c r="B10" t="s">
        <v>64</v>
      </c>
      <c r="C10" s="1">
        <f t="shared" ref="C10:AH10" si="1">C5-C9</f>
        <v>1154</v>
      </c>
      <c r="D10" s="1">
        <f t="shared" si="1"/>
        <v>1410</v>
      </c>
      <c r="E10" s="1">
        <f t="shared" si="1"/>
        <v>1667</v>
      </c>
      <c r="F10" s="1">
        <f t="shared" si="1"/>
        <v>1957</v>
      </c>
      <c r="G10" s="1">
        <f t="shared" si="1"/>
        <v>2100</v>
      </c>
      <c r="H10" s="1">
        <f t="shared" si="1"/>
        <v>2373</v>
      </c>
      <c r="I10" s="1">
        <f t="shared" si="1"/>
        <v>2938</v>
      </c>
      <c r="J10" s="1">
        <f t="shared" si="1"/>
        <v>3221</v>
      </c>
      <c r="K10" s="1">
        <f t="shared" si="1"/>
        <v>3573</v>
      </c>
      <c r="L10" s="48">
        <f t="shared" si="1"/>
        <v>905</v>
      </c>
      <c r="M10" s="48">
        <f t="shared" si="1"/>
        <v>1117</v>
      </c>
      <c r="N10" s="48">
        <f t="shared" si="1"/>
        <v>1298</v>
      </c>
      <c r="O10" s="48">
        <f t="shared" si="1"/>
        <v>1513</v>
      </c>
      <c r="P10" s="1">
        <f t="shared" si="1"/>
        <v>4833</v>
      </c>
      <c r="Q10" s="48">
        <f t="shared" si="1"/>
        <v>1483</v>
      </c>
      <c r="R10" s="48">
        <f t="shared" si="1"/>
        <v>1717</v>
      </c>
      <c r="S10" s="48">
        <f t="shared" si="1"/>
        <v>1872</v>
      </c>
      <c r="T10" s="48">
        <f t="shared" si="1"/>
        <v>1962</v>
      </c>
      <c r="U10" s="1">
        <f t="shared" si="1"/>
        <v>7033</v>
      </c>
      <c r="V10" s="48">
        <f t="shared" si="1"/>
        <v>1972</v>
      </c>
      <c r="W10" s="48">
        <f t="shared" si="1"/>
        <v>2150</v>
      </c>
      <c r="X10" s="48">
        <f t="shared" si="1"/>
        <v>2266</v>
      </c>
      <c r="Y10" s="48">
        <f t="shared" si="1"/>
        <v>2433</v>
      </c>
      <c r="Z10" s="1">
        <f t="shared" si="1"/>
        <v>8821</v>
      </c>
      <c r="AA10" s="48">
        <f t="shared" si="1"/>
        <v>2344</v>
      </c>
      <c r="AB10" s="48">
        <f t="shared" si="1"/>
        <v>2642</v>
      </c>
      <c r="AC10" s="48">
        <f t="shared" si="1"/>
        <v>2649</v>
      </c>
      <c r="AD10" s="48">
        <f t="shared" si="1"/>
        <v>2760</v>
      </c>
      <c r="AE10" s="1">
        <f t="shared" si="1"/>
        <v>10395</v>
      </c>
      <c r="AF10" s="48">
        <f t="shared" si="1"/>
        <v>2665</v>
      </c>
      <c r="AG10" s="48">
        <f t="shared" si="1"/>
        <v>3112</v>
      </c>
      <c r="AH10" s="48">
        <f t="shared" si="1"/>
        <v>3127</v>
      </c>
      <c r="AI10" s="48">
        <f t="shared" ref="AI10:BN10" si="2">AI5-AI9</f>
        <v>3284</v>
      </c>
      <c r="AJ10" s="1">
        <f t="shared" si="2"/>
        <v>12188</v>
      </c>
      <c r="AK10" s="48">
        <f t="shared" si="2"/>
        <v>3128</v>
      </c>
      <c r="AL10" s="48">
        <f t="shared" si="2"/>
        <v>3182</v>
      </c>
      <c r="AM10" s="48">
        <f t="shared" si="2"/>
        <v>3026</v>
      </c>
      <c r="AN10" s="48">
        <f t="shared" si="2"/>
        <v>3180</v>
      </c>
      <c r="AO10" s="1">
        <f t="shared" si="2"/>
        <v>12516</v>
      </c>
      <c r="AP10" s="48">
        <f t="shared" si="2"/>
        <v>3071</v>
      </c>
      <c r="AQ10" s="48">
        <f t="shared" si="2"/>
        <v>3252</v>
      </c>
      <c r="AR10" s="48">
        <f t="shared" si="2"/>
        <v>3285</v>
      </c>
      <c r="AS10" s="48">
        <f t="shared" si="2"/>
        <v>3202</v>
      </c>
      <c r="AT10" s="1">
        <f t="shared" si="2"/>
        <v>12810</v>
      </c>
      <c r="AU10" s="379">
        <f t="shared" si="2"/>
        <v>2834</v>
      </c>
      <c r="AV10" s="379">
        <f t="shared" si="2"/>
        <v>3186</v>
      </c>
      <c r="AW10" s="379">
        <f t="shared" si="2"/>
        <v>3270</v>
      </c>
      <c r="AX10" s="379">
        <f t="shared" si="2"/>
        <v>3274</v>
      </c>
      <c r="AY10" s="1">
        <f t="shared" si="2"/>
        <v>12564</v>
      </c>
      <c r="AZ10" s="48">
        <f t="shared" si="2"/>
        <v>3088</v>
      </c>
      <c r="BA10" s="48">
        <f t="shared" si="2"/>
        <v>3255</v>
      </c>
      <c r="BB10" s="48">
        <f t="shared" si="2"/>
        <v>3232</v>
      </c>
      <c r="BC10" s="48">
        <f t="shared" si="2"/>
        <v>3273</v>
      </c>
      <c r="BD10" s="1">
        <f t="shared" si="2"/>
        <v>12848</v>
      </c>
      <c r="BE10" s="48">
        <f t="shared" si="2"/>
        <v>3166</v>
      </c>
      <c r="BF10" s="48">
        <f t="shared" si="2"/>
        <v>3390</v>
      </c>
      <c r="BG10" s="48">
        <f t="shared" si="2"/>
        <v>3351</v>
      </c>
      <c r="BH10" s="48">
        <f t="shared" si="2"/>
        <v>3330</v>
      </c>
      <c r="BI10" s="1">
        <f t="shared" si="2"/>
        <v>13237</v>
      </c>
      <c r="BJ10" s="379">
        <f t="shared" si="2"/>
        <v>3382</v>
      </c>
      <c r="BK10" s="379">
        <f t="shared" si="2"/>
        <v>3809</v>
      </c>
      <c r="BL10" s="379">
        <f t="shared" si="2"/>
        <v>3645</v>
      </c>
      <c r="BM10" s="379">
        <f t="shared" si="2"/>
        <v>3694</v>
      </c>
      <c r="BN10" s="1">
        <f t="shared" si="2"/>
        <v>14530</v>
      </c>
      <c r="BO10" s="379">
        <f t="shared" ref="BO10:CQ10" si="3">BO5-BO9</f>
        <v>3567</v>
      </c>
      <c r="BP10" s="379">
        <f t="shared" si="3"/>
        <v>3965</v>
      </c>
      <c r="BQ10" s="379">
        <f t="shared" si="3"/>
        <v>4033</v>
      </c>
      <c r="BR10" s="379">
        <f t="shared" si="3"/>
        <v>4241</v>
      </c>
      <c r="BS10" s="1">
        <f t="shared" si="3"/>
        <v>15806</v>
      </c>
      <c r="BT10" s="626">
        <f t="shared" si="3"/>
        <v>3837</v>
      </c>
      <c r="BU10" s="379">
        <f t="shared" si="3"/>
        <v>4391</v>
      </c>
      <c r="BV10" s="379">
        <f t="shared" si="3"/>
        <v>4270</v>
      </c>
      <c r="BW10" s="379">
        <f t="shared" si="3"/>
        <v>4506</v>
      </c>
      <c r="BX10" s="1">
        <f t="shared" si="3"/>
        <v>17004</v>
      </c>
      <c r="BY10" s="626">
        <f t="shared" si="3"/>
        <v>4298</v>
      </c>
      <c r="BZ10" s="379">
        <f t="shared" si="3"/>
        <v>4581</v>
      </c>
      <c r="CA10" s="379">
        <f t="shared" si="3"/>
        <v>4978</v>
      </c>
      <c r="CB10" s="379">
        <f t="shared" si="3"/>
        <v>4772</v>
      </c>
      <c r="CC10" s="1">
        <f t="shared" si="3"/>
        <v>18629</v>
      </c>
      <c r="CD10" s="668">
        <f t="shared" si="3"/>
        <v>4820</v>
      </c>
      <c r="CE10" s="668">
        <f t="shared" si="3"/>
        <v>4950</v>
      </c>
      <c r="CF10" s="668">
        <f t="shared" si="3"/>
        <v>5096</v>
      </c>
      <c r="CG10" s="668">
        <f t="shared" si="3"/>
        <v>5212</v>
      </c>
      <c r="CH10" s="1">
        <f t="shared" si="3"/>
        <v>20078</v>
      </c>
      <c r="CI10" s="379">
        <f t="shared" si="3"/>
        <v>4782</v>
      </c>
      <c r="CJ10" s="379">
        <f t="shared" si="3"/>
        <v>5100</v>
      </c>
      <c r="CK10" s="379">
        <f t="shared" si="3"/>
        <v>5038</v>
      </c>
      <c r="CL10" s="379">
        <f t="shared" si="3"/>
        <v>4986</v>
      </c>
      <c r="CM10" s="1">
        <f t="shared" si="3"/>
        <v>19906</v>
      </c>
      <c r="CN10" s="379">
        <f t="shared" si="3"/>
        <v>4876</v>
      </c>
      <c r="CO10" s="379">
        <f t="shared" si="3"/>
        <v>4979.7654875387452</v>
      </c>
      <c r="CP10" s="379">
        <f t="shared" si="3"/>
        <v>5017.2959101130991</v>
      </c>
      <c r="CQ10" s="379">
        <f t="shared" si="3"/>
        <v>4970.3790563668435</v>
      </c>
      <c r="CR10" s="1">
        <f>CR5-CR9</f>
        <v>19843.440454018681</v>
      </c>
      <c r="CS10" s="379"/>
      <c r="CT10" s="379"/>
      <c r="CU10" s="379"/>
      <c r="CV10" s="379"/>
      <c r="CW10" s="1">
        <f>CW5-CW9</f>
        <v>19677.135697706224</v>
      </c>
      <c r="CX10" s="379"/>
      <c r="CY10" s="379"/>
      <c r="CZ10" s="379"/>
      <c r="DA10" s="379"/>
      <c r="DB10" s="1">
        <f>DB5-DB9</f>
        <v>19857.260668280996</v>
      </c>
      <c r="DC10" s="379"/>
      <c r="DD10" s="379"/>
      <c r="DE10" s="379"/>
      <c r="DF10" s="379"/>
      <c r="DG10" s="1">
        <f>DG5-DG9</f>
        <v>19598.249459939001</v>
      </c>
      <c r="DH10" s="379"/>
      <c r="DI10" s="379"/>
      <c r="DJ10" s="379"/>
      <c r="DK10" s="379"/>
      <c r="DL10" s="1">
        <f>DL5-DL9</f>
        <v>20172.4436271347</v>
      </c>
      <c r="DM10" s="379"/>
      <c r="DN10" s="379"/>
      <c r="DO10" s="379"/>
      <c r="DP10" s="379"/>
      <c r="DQ10" s="1">
        <f>DQ5-DQ9</f>
        <v>20999.611040584481</v>
      </c>
      <c r="DR10" s="379"/>
      <c r="DS10" s="379"/>
      <c r="DT10" s="379"/>
      <c r="DU10" s="379"/>
      <c r="DV10" s="1">
        <f>DV5-DV9</f>
        <v>21495.745756681128</v>
      </c>
      <c r="DW10" s="379"/>
      <c r="DX10" s="379"/>
      <c r="DY10" s="379"/>
      <c r="DZ10" s="379"/>
      <c r="EA10" s="1">
        <f>EA5-EA9</f>
        <v>21608.518957591266</v>
      </c>
      <c r="EB10" s="379"/>
      <c r="EC10" s="379"/>
      <c r="ED10" s="379"/>
      <c r="EE10" s="379"/>
      <c r="EF10" s="1">
        <f>EF5-EF9</f>
        <v>21285.274164555864</v>
      </c>
      <c r="EG10" s="379"/>
      <c r="EH10" s="379"/>
      <c r="EI10" s="379"/>
      <c r="EJ10" s="379"/>
      <c r="EK10" s="1">
        <f>EK5-EK9</f>
        <v>21058.184786307091</v>
      </c>
      <c r="EL10" s="379"/>
      <c r="EM10" s="379"/>
      <c r="EN10" s="379"/>
      <c r="EO10" s="379"/>
      <c r="EP10" s="1">
        <f>EP5-EP9</f>
        <v>19372.220617130366</v>
      </c>
      <c r="EQ10" s="379"/>
      <c r="ER10" s="379"/>
      <c r="ES10" s="379"/>
      <c r="ET10" s="379"/>
      <c r="EU10" s="1">
        <f>EU5-EU9</f>
        <v>18419.522620636224</v>
      </c>
      <c r="EV10" s="379"/>
      <c r="EW10" s="379"/>
      <c r="EX10" s="379"/>
      <c r="EY10" s="379"/>
      <c r="EZ10" s="1">
        <f>EZ5-EZ9</f>
        <v>17786.2902483904</v>
      </c>
    </row>
    <row r="11" spans="2:173">
      <c r="C11" s="1"/>
      <c r="D11" s="1"/>
      <c r="E11" s="1"/>
      <c r="F11" s="1"/>
      <c r="G11" s="1"/>
      <c r="H11" s="1"/>
      <c r="I11" s="1"/>
      <c r="J11" s="1"/>
      <c r="K11" s="1"/>
      <c r="L11" s="48"/>
      <c r="M11" s="48"/>
      <c r="N11" s="48"/>
      <c r="O11" s="48"/>
      <c r="P11" s="1"/>
      <c r="Q11" s="48"/>
      <c r="R11" s="48"/>
      <c r="S11" s="48"/>
      <c r="T11" s="48"/>
      <c r="U11" s="1"/>
      <c r="V11" s="48"/>
      <c r="W11" s="48"/>
      <c r="X11" s="48"/>
      <c r="Y11" s="48"/>
      <c r="Z11" s="1"/>
      <c r="AA11" s="48"/>
      <c r="AB11" s="48"/>
      <c r="AC11" s="48"/>
      <c r="AD11" s="48"/>
      <c r="AE11" s="1"/>
      <c r="AF11" s="48"/>
      <c r="AG11" s="48"/>
      <c r="AH11" s="48"/>
      <c r="AI11" s="48"/>
      <c r="AJ11" s="1"/>
      <c r="AK11" s="48"/>
      <c r="AL11" s="48"/>
      <c r="AM11" s="48"/>
      <c r="AN11" s="48"/>
      <c r="AO11" s="1"/>
      <c r="AP11" s="48"/>
      <c r="AQ11" s="48"/>
      <c r="AR11" s="48"/>
      <c r="AS11" s="48"/>
      <c r="AT11" s="1"/>
      <c r="AU11" s="379"/>
      <c r="AV11" s="379"/>
      <c r="AW11" s="379"/>
      <c r="AX11" s="379"/>
      <c r="AY11" s="1"/>
      <c r="AZ11" s="48"/>
      <c r="BA11" s="48"/>
      <c r="BB11" s="48"/>
      <c r="BC11" s="48"/>
      <c r="BD11" s="1"/>
      <c r="BE11" s="48"/>
      <c r="BF11" s="48"/>
      <c r="BG11" s="48"/>
      <c r="BH11" s="48"/>
      <c r="BI11" s="1"/>
      <c r="BJ11" s="379"/>
      <c r="BK11" s="379"/>
      <c r="BL11" s="379"/>
      <c r="BM11" s="379"/>
      <c r="BN11" s="1"/>
      <c r="BO11" s="379"/>
      <c r="BP11" s="379"/>
      <c r="BQ11" s="379"/>
      <c r="BR11" s="379"/>
      <c r="BS11" s="33"/>
      <c r="BT11" s="624"/>
      <c r="BU11" s="382"/>
      <c r="BV11" s="382"/>
      <c r="BW11" s="382"/>
      <c r="BX11" s="33"/>
      <c r="BY11" s="382"/>
      <c r="BZ11" s="382"/>
      <c r="CA11" s="382"/>
      <c r="CB11" s="382"/>
      <c r="CC11" s="33"/>
      <c r="CD11" s="667"/>
      <c r="CE11" s="667"/>
      <c r="CF11" s="667"/>
      <c r="CG11" s="667"/>
      <c r="CH11" s="33"/>
      <c r="CI11" s="382"/>
      <c r="CJ11" s="382"/>
      <c r="CK11" s="382"/>
      <c r="CL11" s="382"/>
      <c r="CM11" s="33"/>
      <c r="CN11" s="382"/>
      <c r="CO11" s="382"/>
      <c r="CP11" s="382"/>
      <c r="CQ11" s="382"/>
      <c r="CR11" s="689"/>
      <c r="CS11" s="798"/>
      <c r="CT11" s="798"/>
      <c r="CU11" s="798"/>
      <c r="CV11" s="798"/>
      <c r="CW11" s="689"/>
      <c r="CX11" s="798"/>
      <c r="CY11" s="798"/>
      <c r="CZ11" s="798"/>
      <c r="DA11" s="798"/>
      <c r="DB11" s="689"/>
      <c r="DC11" s="798"/>
      <c r="DD11" s="798"/>
      <c r="DE11" s="798"/>
      <c r="DF11" s="798"/>
      <c r="DG11" s="689"/>
      <c r="DH11" s="798"/>
      <c r="DI11" s="798"/>
      <c r="DJ11" s="798"/>
      <c r="DK11" s="798"/>
      <c r="DL11" s="689"/>
      <c r="DM11" s="798"/>
      <c r="DN11" s="798"/>
      <c r="DO11" s="798"/>
      <c r="DP11" s="798"/>
      <c r="DQ11" s="689"/>
      <c r="DR11" s="798"/>
      <c r="DS11" s="798"/>
      <c r="DT11" s="798"/>
      <c r="DU11" s="798"/>
      <c r="DV11" s="689"/>
      <c r="DW11" s="798"/>
      <c r="DX11" s="798"/>
      <c r="DY11" s="798"/>
      <c r="DZ11" s="798"/>
      <c r="EA11" s="689"/>
      <c r="EB11" s="798"/>
      <c r="EC11" s="798"/>
      <c r="ED11" s="798"/>
      <c r="EE11" s="798"/>
      <c r="EF11" s="689"/>
      <c r="EG11" s="798"/>
      <c r="EH11" s="798"/>
      <c r="EI11" s="798"/>
      <c r="EJ11" s="798"/>
      <c r="EK11" s="689"/>
      <c r="EL11" s="798"/>
      <c r="EM11" s="798"/>
      <c r="EN11" s="798"/>
      <c r="EO11" s="798"/>
      <c r="EP11" s="689"/>
      <c r="EQ11" s="798"/>
      <c r="ER11" s="798"/>
      <c r="ES11" s="798"/>
      <c r="ET11" s="798"/>
      <c r="EU11" s="689"/>
      <c r="EV11" s="798"/>
      <c r="EW11" s="798"/>
      <c r="EX11" s="798"/>
      <c r="EY11" s="798"/>
      <c r="EZ11" s="689"/>
    </row>
    <row r="12" spans="2:173" hidden="1" outlineLevel="1">
      <c r="B12" s="346" t="s">
        <v>670</v>
      </c>
      <c r="C12" s="1"/>
      <c r="D12" s="1"/>
      <c r="E12" s="1"/>
      <c r="F12" s="1"/>
      <c r="G12" s="1"/>
      <c r="H12" s="1"/>
      <c r="I12" s="1"/>
      <c r="J12" s="1"/>
      <c r="K12" s="1"/>
      <c r="L12" s="48"/>
      <c r="M12" s="48"/>
      <c r="N12" s="48"/>
      <c r="O12" s="48"/>
      <c r="P12" s="1"/>
      <c r="Q12" s="48"/>
      <c r="R12" s="48"/>
      <c r="S12" s="48"/>
      <c r="T12" s="48"/>
      <c r="U12" s="1"/>
      <c r="V12" s="48"/>
      <c r="W12" s="48"/>
      <c r="X12" s="48"/>
      <c r="Y12" s="48"/>
      <c r="Z12" s="1"/>
      <c r="AA12" s="48"/>
      <c r="AB12" s="48"/>
      <c r="AC12" s="48"/>
      <c r="AD12" s="48"/>
      <c r="AE12" s="1"/>
      <c r="AF12" s="48"/>
      <c r="AG12" s="48"/>
      <c r="AH12" s="48"/>
      <c r="AI12" s="48"/>
      <c r="AJ12" s="1"/>
      <c r="AK12" s="48"/>
      <c r="AL12" s="48"/>
      <c r="AM12" s="48"/>
      <c r="AN12" s="48"/>
      <c r="AO12" s="1"/>
      <c r="AP12" s="48"/>
      <c r="AQ12" s="48"/>
      <c r="AR12" s="48"/>
      <c r="AS12" s="48"/>
      <c r="AT12" s="1"/>
      <c r="AU12" s="379"/>
      <c r="AV12" s="379"/>
      <c r="AW12" s="379"/>
      <c r="AX12" s="379"/>
      <c r="AY12" s="1"/>
      <c r="AZ12" s="48"/>
      <c r="BA12" s="48"/>
      <c r="BB12" s="48"/>
      <c r="BC12" s="48"/>
      <c r="BD12" s="1"/>
      <c r="BE12" s="48"/>
      <c r="BF12" s="48"/>
      <c r="BG12" s="48"/>
      <c r="BH12" s="48"/>
      <c r="BI12" s="1">
        <v>1125</v>
      </c>
      <c r="BJ12" s="379"/>
      <c r="BK12" s="379"/>
      <c r="BL12" s="379"/>
      <c r="BM12" s="379"/>
      <c r="BN12" s="1">
        <v>1137</v>
      </c>
      <c r="BO12" s="379"/>
      <c r="BP12" s="379"/>
      <c r="BQ12" s="379"/>
      <c r="BR12" s="379"/>
      <c r="BS12" s="1">
        <v>1233</v>
      </c>
      <c r="BT12" s="624"/>
      <c r="BU12" s="382"/>
      <c r="BV12" s="382"/>
      <c r="BW12" s="382"/>
      <c r="BX12" s="1">
        <v>1330</v>
      </c>
      <c r="BY12" s="382"/>
      <c r="BZ12" s="382"/>
      <c r="CA12" s="382"/>
      <c r="CB12" s="382"/>
      <c r="CC12" s="1">
        <v>1470</v>
      </c>
      <c r="CD12" s="667"/>
      <c r="CE12" s="667"/>
      <c r="CF12" s="667"/>
      <c r="CG12" s="667"/>
      <c r="CH12" s="33"/>
      <c r="CI12" s="382"/>
      <c r="CJ12" s="382"/>
      <c r="CK12" s="382"/>
      <c r="CL12" s="382"/>
      <c r="CM12" s="33"/>
      <c r="CN12" s="382"/>
      <c r="CO12" s="382"/>
      <c r="CP12" s="382"/>
      <c r="CQ12" s="382"/>
      <c r="CR12" s="33"/>
      <c r="CS12" s="382"/>
      <c r="CT12" s="382"/>
      <c r="CU12" s="382"/>
      <c r="CV12" s="382"/>
      <c r="CW12" s="33"/>
      <c r="CX12" s="382"/>
      <c r="CY12" s="382"/>
      <c r="CZ12" s="382"/>
      <c r="DA12" s="382"/>
      <c r="DB12" s="33"/>
      <c r="DC12" s="382"/>
      <c r="DD12" s="382"/>
      <c r="DE12" s="382"/>
      <c r="DF12" s="382"/>
      <c r="DG12" s="33"/>
      <c r="DH12" s="382"/>
      <c r="DI12" s="382"/>
      <c r="DJ12" s="382"/>
      <c r="DK12" s="382"/>
      <c r="DM12" s="382"/>
      <c r="DN12" s="382"/>
      <c r="DO12" s="382"/>
      <c r="DP12" s="382"/>
      <c r="DR12" s="382"/>
      <c r="DS12" s="382"/>
      <c r="DT12" s="382"/>
      <c r="DU12" s="382"/>
      <c r="DW12" s="382"/>
      <c r="DX12" s="382"/>
      <c r="DY12" s="382"/>
      <c r="DZ12" s="382"/>
      <c r="EB12" s="382"/>
      <c r="EC12" s="382"/>
      <c r="ED12" s="382"/>
      <c r="EE12" s="382"/>
      <c r="EG12" s="382"/>
      <c r="EH12" s="382"/>
      <c r="EI12" s="382"/>
      <c r="EJ12" s="382"/>
      <c r="EL12" s="382"/>
      <c r="EM12" s="382"/>
      <c r="EN12" s="382"/>
      <c r="EO12" s="382"/>
      <c r="EQ12" s="382"/>
      <c r="ER12" s="382"/>
      <c r="ES12" s="382"/>
      <c r="ET12" s="382"/>
      <c r="EV12" s="382"/>
      <c r="EW12" s="382"/>
      <c r="EX12" s="382"/>
      <c r="EY12" s="382"/>
    </row>
    <row r="13" spans="2:173" hidden="1" outlineLevel="1">
      <c r="B13" s="346" t="s">
        <v>669</v>
      </c>
      <c r="C13" s="1"/>
      <c r="D13" s="1"/>
      <c r="E13" s="1"/>
      <c r="F13" s="1"/>
      <c r="G13" s="1"/>
      <c r="H13" s="1"/>
      <c r="I13" s="1"/>
      <c r="J13" s="1"/>
      <c r="K13" s="1"/>
      <c r="L13" s="48"/>
      <c r="M13" s="48"/>
      <c r="N13" s="48"/>
      <c r="O13" s="48"/>
      <c r="P13" s="1"/>
      <c r="Q13" s="48"/>
      <c r="R13" s="48"/>
      <c r="S13" s="48"/>
      <c r="T13" s="48"/>
      <c r="U13" s="1"/>
      <c r="V13" s="48"/>
      <c r="W13" s="48"/>
      <c r="X13" s="48"/>
      <c r="Y13" s="48"/>
      <c r="Z13" s="1"/>
      <c r="AA13" s="48"/>
      <c r="AB13" s="48"/>
      <c r="AC13" s="48"/>
      <c r="AD13" s="48"/>
      <c r="AE13" s="1"/>
      <c r="AF13" s="48"/>
      <c r="AG13" s="48"/>
      <c r="AH13" s="48"/>
      <c r="AI13" s="48"/>
      <c r="AJ13" s="1"/>
      <c r="AK13" s="48"/>
      <c r="AL13" s="48"/>
      <c r="AM13" s="48"/>
      <c r="AN13" s="48"/>
      <c r="AO13" s="1"/>
      <c r="AP13" s="48"/>
      <c r="AQ13" s="48"/>
      <c r="AR13" s="48"/>
      <c r="AS13" s="48"/>
      <c r="AT13" s="1"/>
      <c r="AU13" s="379"/>
      <c r="AV13" s="379"/>
      <c r="AW13" s="379"/>
      <c r="AX13" s="379"/>
      <c r="AY13" s="1"/>
      <c r="AZ13" s="48"/>
      <c r="BA13" s="48"/>
      <c r="BB13" s="48"/>
      <c r="BC13" s="48"/>
      <c r="BD13" s="1"/>
      <c r="BE13" s="48"/>
      <c r="BF13" s="48"/>
      <c r="BG13" s="48"/>
      <c r="BH13" s="48"/>
      <c r="BI13" s="1">
        <v>983</v>
      </c>
      <c r="BJ13" s="379"/>
      <c r="BK13" s="379"/>
      <c r="BL13" s="379"/>
      <c r="BM13" s="379"/>
      <c r="BN13" s="1">
        <v>1285</v>
      </c>
      <c r="BO13" s="379"/>
      <c r="BP13" s="379"/>
      <c r="BQ13" s="379"/>
      <c r="BR13" s="379"/>
      <c r="BS13" s="1">
        <v>1950</v>
      </c>
      <c r="BT13" s="624"/>
      <c r="BU13" s="382"/>
      <c r="BV13" s="382"/>
      <c r="BW13" s="382"/>
      <c r="BX13" s="1">
        <v>2000</v>
      </c>
      <c r="BY13" s="382"/>
      <c r="BZ13" s="382"/>
      <c r="CA13" s="382"/>
      <c r="CB13" s="382"/>
      <c r="CC13" s="1">
        <v>1900</v>
      </c>
      <c r="CD13" s="667"/>
      <c r="CE13" s="667"/>
      <c r="CF13" s="667"/>
      <c r="CG13" s="667"/>
      <c r="CH13" s="33"/>
      <c r="CI13" s="382"/>
      <c r="CJ13" s="382"/>
      <c r="CK13" s="382"/>
      <c r="CL13" s="382"/>
      <c r="CM13" s="33"/>
      <c r="CN13" s="382"/>
      <c r="CO13" s="382"/>
      <c r="CP13" s="382"/>
      <c r="CQ13" s="382"/>
      <c r="CR13" s="33"/>
      <c r="CS13" s="382"/>
      <c r="CT13" s="382"/>
      <c r="CU13" s="382"/>
      <c r="CV13" s="382"/>
      <c r="CW13" s="33"/>
      <c r="CX13" s="382"/>
      <c r="CY13" s="382"/>
      <c r="CZ13" s="382"/>
      <c r="DA13" s="382"/>
      <c r="DB13" s="33"/>
      <c r="DC13" s="382"/>
      <c r="DD13" s="382"/>
      <c r="DE13" s="382"/>
      <c r="DF13" s="382"/>
      <c r="DG13" s="33"/>
      <c r="DH13" s="382"/>
      <c r="DI13" s="382"/>
      <c r="DJ13" s="382"/>
      <c r="DK13" s="382"/>
      <c r="DM13" s="382"/>
      <c r="DN13" s="382"/>
      <c r="DO13" s="382"/>
      <c r="DP13" s="382"/>
      <c r="DR13" s="382"/>
      <c r="DS13" s="382"/>
      <c r="DT13" s="382"/>
      <c r="DU13" s="382"/>
      <c r="DW13" s="382"/>
      <c r="DX13" s="382"/>
      <c r="DY13" s="382"/>
      <c r="DZ13" s="382"/>
      <c r="EB13" s="382"/>
      <c r="EC13" s="382"/>
      <c r="ED13" s="382"/>
      <c r="EE13" s="382"/>
      <c r="EG13" s="382"/>
      <c r="EH13" s="382"/>
      <c r="EI13" s="382"/>
      <c r="EJ13" s="382"/>
      <c r="EL13" s="382"/>
      <c r="EM13" s="382"/>
      <c r="EN13" s="382"/>
      <c r="EO13" s="382"/>
      <c r="EQ13" s="382"/>
      <c r="ER13" s="382"/>
      <c r="ES13" s="382"/>
      <c r="ET13" s="382"/>
      <c r="EV13" s="382"/>
      <c r="EW13" s="382"/>
      <c r="EX13" s="382"/>
      <c r="EY13" s="382"/>
    </row>
    <row r="14" spans="2:173" hidden="1" outlineLevel="1">
      <c r="B14" s="346" t="s">
        <v>671</v>
      </c>
      <c r="C14" s="1"/>
      <c r="D14" s="1"/>
      <c r="E14" s="1"/>
      <c r="F14" s="1"/>
      <c r="G14" s="1"/>
      <c r="H14" s="1"/>
      <c r="I14" s="1"/>
      <c r="J14" s="1"/>
      <c r="K14" s="1"/>
      <c r="L14" s="48"/>
      <c r="M14" s="48"/>
      <c r="N14" s="48"/>
      <c r="O14" s="48"/>
      <c r="P14" s="1"/>
      <c r="Q14" s="48"/>
      <c r="R14" s="48"/>
      <c r="S14" s="48"/>
      <c r="T14" s="48"/>
      <c r="U14" s="1"/>
      <c r="V14" s="48"/>
      <c r="W14" s="48"/>
      <c r="X14" s="48"/>
      <c r="Y14" s="48"/>
      <c r="Z14" s="1"/>
      <c r="AA14" s="48"/>
      <c r="AB14" s="48"/>
      <c r="AC14" s="48"/>
      <c r="AD14" s="48"/>
      <c r="AE14" s="1"/>
      <c r="AF14" s="48"/>
      <c r="AG14" s="48"/>
      <c r="AH14" s="48"/>
      <c r="AI14" s="48"/>
      <c r="AJ14" s="1"/>
      <c r="AK14" s="48"/>
      <c r="AL14" s="48"/>
      <c r="AM14" s="48"/>
      <c r="AN14" s="48"/>
      <c r="AO14" s="1"/>
      <c r="AP14" s="48"/>
      <c r="AQ14" s="48"/>
      <c r="AR14" s="48"/>
      <c r="AS14" s="48"/>
      <c r="AT14" s="1"/>
      <c r="AU14" s="379"/>
      <c r="AV14" s="379"/>
      <c r="AW14" s="379"/>
      <c r="AX14" s="379"/>
      <c r="AY14" s="1"/>
      <c r="AZ14" s="48"/>
      <c r="BA14" s="48"/>
      <c r="BB14" s="48"/>
      <c r="BC14" s="48"/>
      <c r="BD14" s="1"/>
      <c r="BE14" s="48"/>
      <c r="BF14" s="48"/>
      <c r="BG14" s="48"/>
      <c r="BH14" s="48"/>
      <c r="BI14" s="1">
        <v>1059</v>
      </c>
      <c r="BJ14" s="379"/>
      <c r="BK14" s="379"/>
      <c r="BL14" s="379"/>
      <c r="BM14" s="379"/>
      <c r="BN14" s="1">
        <v>958</v>
      </c>
      <c r="BO14" s="379"/>
      <c r="BP14" s="379"/>
      <c r="BQ14" s="379"/>
      <c r="BR14" s="379"/>
      <c r="BS14" s="1">
        <v>900</v>
      </c>
      <c r="BT14" s="624"/>
      <c r="BU14" s="382"/>
      <c r="BV14" s="382"/>
      <c r="BW14" s="382"/>
      <c r="BX14" s="1">
        <v>900</v>
      </c>
      <c r="BY14" s="382"/>
      <c r="BZ14" s="382"/>
      <c r="CA14" s="382"/>
      <c r="CB14" s="382"/>
      <c r="CC14" s="1">
        <v>870</v>
      </c>
      <c r="CD14" s="667"/>
      <c r="CE14" s="667"/>
      <c r="CF14" s="667"/>
      <c r="CG14" s="667"/>
      <c r="CH14" s="33"/>
      <c r="CI14" s="382"/>
      <c r="CJ14" s="382"/>
      <c r="CK14" s="382"/>
      <c r="CL14" s="382"/>
      <c r="CM14" s="33"/>
      <c r="CN14" s="382"/>
      <c r="CO14" s="382"/>
      <c r="CP14" s="382"/>
      <c r="CQ14" s="382"/>
      <c r="CR14" s="33"/>
      <c r="CS14" s="382"/>
      <c r="CT14" s="382"/>
      <c r="CU14" s="382"/>
      <c r="CV14" s="382"/>
      <c r="CW14" s="33"/>
      <c r="CX14" s="382"/>
      <c r="CY14" s="382"/>
      <c r="CZ14" s="382"/>
      <c r="DA14" s="382"/>
      <c r="DB14" s="33"/>
      <c r="DC14" s="382"/>
      <c r="DD14" s="382"/>
      <c r="DE14" s="382"/>
      <c r="DF14" s="382"/>
      <c r="DG14" s="33"/>
      <c r="DH14" s="382"/>
      <c r="DI14" s="382"/>
      <c r="DJ14" s="382"/>
      <c r="DK14" s="382"/>
      <c r="DM14" s="382"/>
      <c r="DN14" s="382"/>
      <c r="DO14" s="382"/>
      <c r="DP14" s="382"/>
      <c r="DR14" s="382"/>
      <c r="DS14" s="382"/>
      <c r="DT14" s="382"/>
      <c r="DU14" s="382"/>
      <c r="DW14" s="382"/>
      <c r="DX14" s="382"/>
      <c r="DY14" s="382"/>
      <c r="DZ14" s="382"/>
      <c r="EB14" s="382"/>
      <c r="EC14" s="382"/>
      <c r="ED14" s="382"/>
      <c r="EE14" s="382"/>
      <c r="EG14" s="382"/>
      <c r="EH14" s="382"/>
      <c r="EI14" s="382"/>
      <c r="EJ14" s="382"/>
      <c r="EL14" s="382"/>
      <c r="EM14" s="382"/>
      <c r="EN14" s="382"/>
      <c r="EO14" s="382"/>
      <c r="EQ14" s="382"/>
      <c r="ER14" s="382"/>
      <c r="ES14" s="382"/>
      <c r="ET14" s="382"/>
      <c r="EV14" s="382"/>
      <c r="EW14" s="382"/>
      <c r="EX14" s="382"/>
      <c r="EY14" s="382"/>
    </row>
    <row r="15" spans="2:173" hidden="1" outlineLevel="1">
      <c r="B15" s="346" t="s">
        <v>107</v>
      </c>
      <c r="C15" s="1"/>
      <c r="D15" s="1"/>
      <c r="E15" s="1"/>
      <c r="F15" s="1"/>
      <c r="G15" s="1"/>
      <c r="H15" s="1"/>
      <c r="I15" s="1"/>
      <c r="J15" s="1"/>
      <c r="K15" s="1"/>
      <c r="L15" s="48"/>
      <c r="M15" s="48"/>
      <c r="N15" s="48"/>
      <c r="O15" s="48"/>
      <c r="P15" s="1"/>
      <c r="Q15" s="48"/>
      <c r="R15" s="48"/>
      <c r="S15" s="48"/>
      <c r="T15" s="48"/>
      <c r="U15" s="1"/>
      <c r="V15" s="48"/>
      <c r="W15" s="48"/>
      <c r="X15" s="48"/>
      <c r="Y15" s="48"/>
      <c r="Z15" s="1"/>
      <c r="AA15" s="48"/>
      <c r="AB15" s="48"/>
      <c r="AC15" s="48"/>
      <c r="AD15" s="48"/>
      <c r="AE15" s="1"/>
      <c r="AF15" s="48"/>
      <c r="AG15" s="48"/>
      <c r="AH15" s="48"/>
      <c r="AI15" s="48"/>
      <c r="AJ15" s="1"/>
      <c r="AK15" s="48"/>
      <c r="AL15" s="48"/>
      <c r="AM15" s="48"/>
      <c r="AN15" s="48"/>
      <c r="AO15" s="1"/>
      <c r="AP15" s="48"/>
      <c r="AQ15" s="48"/>
      <c r="AR15" s="48"/>
      <c r="AS15" s="48"/>
      <c r="AT15" s="1"/>
      <c r="AU15" s="379"/>
      <c r="AV15" s="379"/>
      <c r="AW15" s="379"/>
      <c r="AX15" s="379"/>
      <c r="AY15" s="1"/>
      <c r="AZ15" s="48"/>
      <c r="BA15" s="48"/>
      <c r="BB15" s="48"/>
      <c r="BC15" s="48"/>
      <c r="BD15" s="1"/>
      <c r="BE15" s="48"/>
      <c r="BF15" s="48"/>
      <c r="BG15" s="48"/>
      <c r="BH15" s="48"/>
      <c r="BI15" s="1">
        <f>BI19-BI12-BI13-BI14</f>
        <v>-51</v>
      </c>
      <c r="BJ15" s="379"/>
      <c r="BK15" s="379"/>
      <c r="BL15" s="379"/>
      <c r="BM15" s="379"/>
      <c r="BN15" s="1">
        <f>BN19-BN12-BN13-BN14</f>
        <v>-84</v>
      </c>
      <c r="BO15" s="379"/>
      <c r="BP15" s="379"/>
      <c r="BQ15" s="379"/>
      <c r="BR15" s="379"/>
      <c r="BS15" s="641">
        <f>BS19-BS12-BS13-BS14</f>
        <v>-154</v>
      </c>
      <c r="BT15" s="624"/>
      <c r="BU15" s="382"/>
      <c r="BV15" s="382"/>
      <c r="BW15" s="382"/>
      <c r="BX15" s="641">
        <f>BX19-BX12-BX13-BX14</f>
        <v>-109</v>
      </c>
      <c r="BY15" s="382"/>
      <c r="BZ15" s="382"/>
      <c r="CA15" s="382"/>
      <c r="CB15" s="382"/>
      <c r="CC15" s="1">
        <v>-120</v>
      </c>
      <c r="CD15" s="667"/>
      <c r="CE15" s="667"/>
      <c r="CF15" s="667"/>
      <c r="CG15" s="667"/>
      <c r="CH15" s="33"/>
      <c r="CI15" s="382"/>
      <c r="CJ15" s="382"/>
      <c r="CK15" s="382"/>
      <c r="CL15" s="382"/>
      <c r="CM15" s="33"/>
      <c r="CN15" s="382"/>
      <c r="CO15" s="382"/>
      <c r="CP15" s="382"/>
      <c r="CQ15" s="382"/>
      <c r="CR15" s="33"/>
      <c r="CS15" s="382"/>
      <c r="CT15" s="382"/>
      <c r="CU15" s="382"/>
      <c r="CV15" s="382"/>
      <c r="CW15" s="33"/>
      <c r="CX15" s="382"/>
      <c r="CY15" s="382"/>
      <c r="CZ15" s="382"/>
      <c r="DA15" s="382"/>
      <c r="DB15" s="33"/>
      <c r="DC15" s="382"/>
      <c r="DD15" s="382"/>
      <c r="DE15" s="382"/>
      <c r="DF15" s="382"/>
      <c r="DG15" s="33"/>
      <c r="DH15" s="382"/>
      <c r="DI15" s="382"/>
      <c r="DJ15" s="382"/>
      <c r="DK15" s="382"/>
      <c r="DM15" s="382"/>
      <c r="DN15" s="382"/>
      <c r="DO15" s="382"/>
      <c r="DP15" s="382"/>
      <c r="DR15" s="382"/>
      <c r="DS15" s="382"/>
      <c r="DT15" s="382"/>
      <c r="DU15" s="382"/>
      <c r="DW15" s="382"/>
      <c r="DX15" s="382"/>
      <c r="DY15" s="382"/>
      <c r="DZ15" s="382"/>
      <c r="EB15" s="382"/>
      <c r="EC15" s="382"/>
      <c r="ED15" s="382"/>
      <c r="EE15" s="382"/>
      <c r="EG15" s="382"/>
      <c r="EH15" s="382"/>
      <c r="EI15" s="382"/>
      <c r="EJ15" s="382"/>
      <c r="EL15" s="382"/>
      <c r="EM15" s="382"/>
      <c r="EN15" s="382"/>
      <c r="EO15" s="382"/>
      <c r="EQ15" s="382"/>
      <c r="ER15" s="382"/>
      <c r="ES15" s="382"/>
      <c r="ET15" s="382"/>
      <c r="EV15" s="382"/>
      <c r="EW15" s="382"/>
      <c r="EX15" s="382"/>
      <c r="EY15" s="382"/>
    </row>
    <row r="16" spans="2:173" hidden="1" outlineLevel="1">
      <c r="B16" s="366" t="s">
        <v>662</v>
      </c>
      <c r="C16" s="1"/>
      <c r="D16" s="1"/>
      <c r="E16" s="1"/>
      <c r="F16" s="1"/>
      <c r="G16" s="1"/>
      <c r="H16" s="1"/>
      <c r="I16" s="1"/>
      <c r="J16" s="1"/>
      <c r="K16" s="1"/>
      <c r="L16" s="48"/>
      <c r="M16" s="48"/>
      <c r="N16" s="48"/>
      <c r="O16" s="48"/>
      <c r="P16" s="1"/>
      <c r="Q16" s="48"/>
      <c r="R16" s="48"/>
      <c r="S16" s="48"/>
      <c r="T16" s="48"/>
      <c r="U16" s="1"/>
      <c r="V16" s="48"/>
      <c r="W16" s="48"/>
      <c r="X16" s="48"/>
      <c r="Y16" s="48"/>
      <c r="Z16" s="1"/>
      <c r="AA16" s="48"/>
      <c r="AB16" s="48"/>
      <c r="AC16" s="48"/>
      <c r="AD16" s="48"/>
      <c r="AE16" s="1"/>
      <c r="AF16" s="48"/>
      <c r="AG16" s="48"/>
      <c r="AH16" s="48"/>
      <c r="AI16" s="48"/>
      <c r="AJ16" s="1"/>
      <c r="AK16" s="48"/>
      <c r="AL16" s="48"/>
      <c r="AM16" s="48"/>
      <c r="AN16" s="48"/>
      <c r="AO16" s="1"/>
      <c r="AP16" s="48"/>
      <c r="AQ16" s="48"/>
      <c r="AR16" s="48"/>
      <c r="AS16" s="48"/>
      <c r="AT16" s="1"/>
      <c r="AU16" s="379"/>
      <c r="AV16" s="379"/>
      <c r="AW16" s="379"/>
      <c r="AX16" s="379"/>
      <c r="AY16" s="1"/>
      <c r="AZ16" s="48"/>
      <c r="BA16" s="48"/>
      <c r="BB16" s="48"/>
      <c r="BC16" s="48"/>
      <c r="BD16" s="1"/>
      <c r="BE16" s="48"/>
      <c r="BF16" s="48"/>
      <c r="BG16" s="48"/>
      <c r="BH16" s="48"/>
      <c r="BI16" s="1"/>
      <c r="BJ16" s="379"/>
      <c r="BK16" s="379"/>
      <c r="BL16" s="379"/>
      <c r="BM16" s="379"/>
      <c r="BN16" s="1"/>
      <c r="BO16" s="379"/>
      <c r="BP16" s="379"/>
      <c r="BQ16" s="379"/>
      <c r="BR16" s="379"/>
      <c r="BS16" s="641"/>
      <c r="BT16" s="624"/>
      <c r="BU16" s="382"/>
      <c r="BV16" s="382"/>
      <c r="BW16" s="382"/>
      <c r="BX16" s="641"/>
      <c r="BY16" s="382"/>
      <c r="BZ16" s="382"/>
      <c r="CA16" s="382"/>
      <c r="CB16" s="382"/>
      <c r="CC16" s="1"/>
      <c r="CD16" s="667"/>
      <c r="CE16" s="667"/>
      <c r="CF16" s="667"/>
      <c r="CG16" s="667"/>
      <c r="CH16" s="1">
        <f>CH17</f>
        <v>3868.0375000000004</v>
      </c>
      <c r="CI16" s="382"/>
      <c r="CJ16" s="382"/>
      <c r="CK16" s="382"/>
      <c r="CL16" s="382"/>
      <c r="CM16" s="1">
        <f>CH16*1.05</f>
        <v>4061.4393750000004</v>
      </c>
      <c r="CN16" s="382"/>
      <c r="CO16" s="379"/>
      <c r="CP16" s="379"/>
      <c r="CQ16" s="379"/>
      <c r="CR16" s="1">
        <f>CM16*1.075</f>
        <v>4366.0473281250006</v>
      </c>
      <c r="CS16" s="379"/>
      <c r="CT16" s="379"/>
      <c r="CU16" s="379"/>
      <c r="CV16" s="379"/>
      <c r="CW16" s="1">
        <f>CR16*1.075</f>
        <v>4693.5008777343755</v>
      </c>
      <c r="CX16" s="379"/>
      <c r="CY16" s="379"/>
      <c r="CZ16" s="379"/>
      <c r="DA16" s="379"/>
      <c r="DB16" s="1">
        <f>CW16*1.075</f>
        <v>5045.5134435644532</v>
      </c>
      <c r="DC16" s="379"/>
      <c r="DD16" s="379"/>
      <c r="DE16" s="379"/>
      <c r="DF16" s="379"/>
      <c r="DG16" s="1">
        <f>DB16*1.075</f>
        <v>5423.9269518317869</v>
      </c>
      <c r="DH16" s="379"/>
      <c r="DI16" s="379"/>
      <c r="DJ16" s="379"/>
      <c r="DK16" s="379"/>
      <c r="DL16" s="1">
        <f>DG16*1.05</f>
        <v>5695.1232994233769</v>
      </c>
      <c r="DM16" s="379"/>
      <c r="DN16" s="379"/>
      <c r="DO16" s="379"/>
      <c r="DP16" s="379"/>
      <c r="DQ16" s="1">
        <f>DL16*1.05</f>
        <v>5979.8794643945457</v>
      </c>
      <c r="DR16" s="379"/>
      <c r="DS16" s="379"/>
      <c r="DT16" s="379"/>
      <c r="DU16" s="379"/>
      <c r="DV16" s="1">
        <f>DQ16*1.05</f>
        <v>6278.8734376142729</v>
      </c>
      <c r="DW16" s="379"/>
      <c r="DX16" s="379"/>
      <c r="DY16" s="379"/>
      <c r="DZ16" s="379"/>
      <c r="EA16" s="1">
        <f>DV16*1.05</f>
        <v>6592.8171094949867</v>
      </c>
      <c r="EB16" s="379"/>
      <c r="EC16" s="379"/>
      <c r="ED16" s="379"/>
      <c r="EE16" s="379"/>
      <c r="EF16" s="1">
        <f>EA16*1.025</f>
        <v>6757.637537232361</v>
      </c>
      <c r="EG16" s="379"/>
      <c r="EH16" s="379"/>
      <c r="EI16" s="379"/>
      <c r="EJ16" s="379"/>
      <c r="EK16" s="1">
        <f>EF16*1.025</f>
        <v>6926.5784756631692</v>
      </c>
      <c r="EL16" s="379"/>
      <c r="EM16" s="379"/>
      <c r="EN16" s="379"/>
      <c r="EO16" s="379"/>
      <c r="EP16" s="1">
        <f>EK16*1.025</f>
        <v>7099.7429375547481</v>
      </c>
      <c r="EQ16" s="379"/>
      <c r="ER16" s="379"/>
      <c r="ES16" s="379"/>
      <c r="ET16" s="379"/>
      <c r="EU16" s="1">
        <f>EP16*1.025</f>
        <v>7277.2365109936163</v>
      </c>
      <c r="EV16" s="379"/>
      <c r="EW16" s="379"/>
      <c r="EX16" s="379"/>
      <c r="EY16" s="379"/>
      <c r="EZ16" s="1">
        <f>EU16*1.025</f>
        <v>7459.1674237684565</v>
      </c>
    </row>
    <row r="17" spans="2:156" hidden="1" outlineLevel="1">
      <c r="B17" s="366" t="s">
        <v>663</v>
      </c>
      <c r="C17" s="1"/>
      <c r="D17" s="1"/>
      <c r="E17" s="1"/>
      <c r="F17" s="1"/>
      <c r="G17" s="1"/>
      <c r="H17" s="1"/>
      <c r="I17" s="1"/>
      <c r="J17" s="1"/>
      <c r="K17" s="1"/>
      <c r="L17" s="48"/>
      <c r="M17" s="48"/>
      <c r="N17" s="48"/>
      <c r="O17" s="48"/>
      <c r="P17" s="1"/>
      <c r="Q17" s="48"/>
      <c r="R17" s="48"/>
      <c r="S17" s="48"/>
      <c r="T17" s="48"/>
      <c r="U17" s="1"/>
      <c r="V17" s="48"/>
      <c r="W17" s="48"/>
      <c r="X17" s="48"/>
      <c r="Y17" s="48"/>
      <c r="Z17" s="1"/>
      <c r="AA17" s="48"/>
      <c r="AB17" s="48"/>
      <c r="AC17" s="48"/>
      <c r="AD17" s="48"/>
      <c r="AE17" s="1"/>
      <c r="AF17" s="48"/>
      <c r="AG17" s="48"/>
      <c r="AH17" s="48"/>
      <c r="AI17" s="48"/>
      <c r="AJ17" s="1"/>
      <c r="AK17" s="48"/>
      <c r="AL17" s="48"/>
      <c r="AM17" s="48"/>
      <c r="AN17" s="48"/>
      <c r="AO17" s="1"/>
      <c r="AP17" s="48"/>
      <c r="AQ17" s="48"/>
      <c r="AR17" s="48"/>
      <c r="AS17" s="48"/>
      <c r="AT17" s="1"/>
      <c r="AU17" s="379"/>
      <c r="AV17" s="379"/>
      <c r="AW17" s="379"/>
      <c r="AX17" s="379"/>
      <c r="AY17" s="1"/>
      <c r="AZ17" s="48"/>
      <c r="BA17" s="48"/>
      <c r="BB17" s="48"/>
      <c r="BC17" s="48"/>
      <c r="BD17" s="1"/>
      <c r="BE17" s="48"/>
      <c r="BF17" s="48"/>
      <c r="BG17" s="48"/>
      <c r="BH17" s="48"/>
      <c r="BI17" s="1"/>
      <c r="BJ17" s="379"/>
      <c r="BK17" s="379"/>
      <c r="BL17" s="379"/>
      <c r="BM17" s="379"/>
      <c r="BN17" s="1"/>
      <c r="BO17" s="379"/>
      <c r="BP17" s="379"/>
      <c r="BQ17" s="379"/>
      <c r="BR17" s="379"/>
      <c r="BS17" s="641"/>
      <c r="BT17" s="624"/>
      <c r="BU17" s="382"/>
      <c r="BV17" s="382"/>
      <c r="BW17" s="382"/>
      <c r="BX17" s="641"/>
      <c r="BY17" s="382"/>
      <c r="BZ17" s="382"/>
      <c r="CA17" s="382"/>
      <c r="CB17" s="382"/>
      <c r="CC17" s="1"/>
      <c r="CD17" s="667"/>
      <c r="CE17" s="667"/>
      <c r="CF17" s="667"/>
      <c r="CG17" s="667"/>
      <c r="CH17" s="1">
        <f>CC19*0.9875</f>
        <v>3868.0375000000004</v>
      </c>
      <c r="CI17" s="383"/>
      <c r="CJ17" s="383"/>
      <c r="CK17" s="383"/>
      <c r="CL17" s="383"/>
      <c r="CM17" s="1">
        <v>3650</v>
      </c>
      <c r="CN17" s="383"/>
      <c r="CO17" s="383"/>
      <c r="CP17" s="383"/>
      <c r="CQ17" s="383"/>
      <c r="CR17" s="1">
        <f>CM19*1.025</f>
        <v>3569.0499999999997</v>
      </c>
      <c r="CS17" s="383"/>
      <c r="CT17" s="383"/>
      <c r="CU17" s="383"/>
      <c r="CV17" s="383"/>
      <c r="CW17" s="1">
        <f>CR17*1.025</f>
        <v>3658.2762499999994</v>
      </c>
      <c r="CX17" s="383"/>
      <c r="CY17" s="383"/>
      <c r="CZ17" s="383"/>
      <c r="DA17" s="383"/>
      <c r="DB17" s="1">
        <f>CW17*1.025</f>
        <v>3749.733156249999</v>
      </c>
      <c r="DC17" s="383"/>
      <c r="DD17" s="383"/>
      <c r="DE17" s="383"/>
      <c r="DF17" s="383"/>
      <c r="DG17" s="1">
        <f>DB17*1.015</f>
        <v>3805.9791535937484</v>
      </c>
      <c r="DH17" s="383"/>
      <c r="DI17" s="383"/>
      <c r="DJ17" s="383"/>
      <c r="DK17" s="383"/>
      <c r="DL17" s="1">
        <f>DG17*1.015</f>
        <v>3863.0688408976544</v>
      </c>
      <c r="DM17" s="383"/>
      <c r="DN17" s="383"/>
      <c r="DO17" s="383"/>
      <c r="DP17" s="383"/>
      <c r="DQ17" s="1">
        <f>DL17*1.015</f>
        <v>3921.0148735111188</v>
      </c>
      <c r="DR17" s="383"/>
      <c r="DS17" s="383"/>
      <c r="DT17" s="383"/>
      <c r="DU17" s="383"/>
      <c r="DV17" s="1">
        <f>DQ17*0.9875</f>
        <v>3872.0021875922298</v>
      </c>
      <c r="DW17" s="1">
        <f t="shared" ref="DW17:EZ17" si="4">DR17*0.9875</f>
        <v>0</v>
      </c>
      <c r="DX17" s="1">
        <f t="shared" si="4"/>
        <v>0</v>
      </c>
      <c r="DY17" s="1">
        <f t="shared" si="4"/>
        <v>0</v>
      </c>
      <c r="DZ17" s="1">
        <f t="shared" si="4"/>
        <v>0</v>
      </c>
      <c r="EA17" s="1">
        <f t="shared" si="4"/>
        <v>3823.602160247327</v>
      </c>
      <c r="EB17" s="1">
        <f t="shared" si="4"/>
        <v>0</v>
      </c>
      <c r="EC17" s="1">
        <f t="shared" si="4"/>
        <v>0</v>
      </c>
      <c r="ED17" s="1">
        <f t="shared" si="4"/>
        <v>0</v>
      </c>
      <c r="EE17" s="1">
        <f t="shared" si="4"/>
        <v>0</v>
      </c>
      <c r="EF17" s="1">
        <f t="shared" si="4"/>
        <v>3775.8071332442355</v>
      </c>
      <c r="EG17" s="1">
        <f t="shared" si="4"/>
        <v>0</v>
      </c>
      <c r="EH17" s="1">
        <f t="shared" si="4"/>
        <v>0</v>
      </c>
      <c r="EI17" s="1">
        <f t="shared" si="4"/>
        <v>0</v>
      </c>
      <c r="EJ17" s="1">
        <f t="shared" si="4"/>
        <v>0</v>
      </c>
      <c r="EK17" s="1">
        <f t="shared" si="4"/>
        <v>3728.6095440786826</v>
      </c>
      <c r="EL17" s="1">
        <f t="shared" si="4"/>
        <v>0</v>
      </c>
      <c r="EM17" s="1">
        <f t="shared" si="4"/>
        <v>0</v>
      </c>
      <c r="EN17" s="1">
        <f t="shared" si="4"/>
        <v>0</v>
      </c>
      <c r="EO17" s="1">
        <f t="shared" si="4"/>
        <v>0</v>
      </c>
      <c r="EP17" s="1">
        <f t="shared" si="4"/>
        <v>3682.0019247776991</v>
      </c>
      <c r="EQ17" s="1">
        <f t="shared" si="4"/>
        <v>0</v>
      </c>
      <c r="ER17" s="1">
        <f t="shared" si="4"/>
        <v>0</v>
      </c>
      <c r="ES17" s="1">
        <f t="shared" si="4"/>
        <v>0</v>
      </c>
      <c r="ET17" s="1">
        <f t="shared" si="4"/>
        <v>0</v>
      </c>
      <c r="EU17" s="1">
        <f t="shared" si="4"/>
        <v>3635.976900717978</v>
      </c>
      <c r="EV17" s="1">
        <f t="shared" si="4"/>
        <v>0</v>
      </c>
      <c r="EW17" s="1">
        <f t="shared" si="4"/>
        <v>0</v>
      </c>
      <c r="EX17" s="1">
        <f t="shared" si="4"/>
        <v>0</v>
      </c>
      <c r="EY17" s="1">
        <f t="shared" si="4"/>
        <v>0</v>
      </c>
      <c r="EZ17" s="1">
        <f t="shared" si="4"/>
        <v>3590.5271894590032</v>
      </c>
    </row>
    <row r="18" spans="2:156" hidden="1" outlineLevel="1">
      <c r="B18" s="366" t="s">
        <v>664</v>
      </c>
      <c r="C18" s="1"/>
      <c r="D18" s="1"/>
      <c r="E18" s="1"/>
      <c r="F18" s="1"/>
      <c r="G18" s="1"/>
      <c r="H18" s="1"/>
      <c r="I18" s="1"/>
      <c r="J18" s="1"/>
      <c r="K18" s="1"/>
      <c r="L18" s="48"/>
      <c r="M18" s="48"/>
      <c r="N18" s="48"/>
      <c r="O18" s="48"/>
      <c r="P18" s="1"/>
      <c r="Q18" s="48"/>
      <c r="R18" s="48"/>
      <c r="S18" s="48"/>
      <c r="T18" s="48"/>
      <c r="U18" s="1"/>
      <c r="V18" s="48"/>
      <c r="W18" s="48"/>
      <c r="X18" s="48"/>
      <c r="Y18" s="48"/>
      <c r="Z18" s="1"/>
      <c r="AA18" s="48"/>
      <c r="AB18" s="48"/>
      <c r="AC18" s="48"/>
      <c r="AD18" s="48"/>
      <c r="AE18" s="1"/>
      <c r="AF18" s="48"/>
      <c r="AG18" s="48"/>
      <c r="AH18" s="48"/>
      <c r="AI18" s="48"/>
      <c r="AJ18" s="1"/>
      <c r="AK18" s="48"/>
      <c r="AL18" s="48"/>
      <c r="AM18" s="48"/>
      <c r="AN18" s="48"/>
      <c r="AO18" s="1"/>
      <c r="AP18" s="48"/>
      <c r="AQ18" s="48"/>
      <c r="AR18" s="48"/>
      <c r="AS18" s="48"/>
      <c r="AT18" s="1"/>
      <c r="AU18" s="379"/>
      <c r="AV18" s="379"/>
      <c r="AW18" s="379"/>
      <c r="AX18" s="379"/>
      <c r="AY18" s="1"/>
      <c r="AZ18" s="48"/>
      <c r="BA18" s="48"/>
      <c r="BB18" s="48"/>
      <c r="BC18" s="48"/>
      <c r="BD18" s="1"/>
      <c r="BE18" s="48"/>
      <c r="BF18" s="48"/>
      <c r="BG18" s="48"/>
      <c r="BH18" s="48"/>
      <c r="BI18" s="1"/>
      <c r="BJ18" s="379"/>
      <c r="BK18" s="379"/>
      <c r="BL18" s="379"/>
      <c r="BM18" s="379"/>
      <c r="BN18" s="1"/>
      <c r="BO18" s="379"/>
      <c r="BP18" s="379"/>
      <c r="BQ18" s="379"/>
      <c r="BR18" s="379"/>
      <c r="BS18" s="641"/>
      <c r="BT18" s="624"/>
      <c r="BU18" s="382"/>
      <c r="BV18" s="382"/>
      <c r="BW18" s="382"/>
      <c r="BX18" s="641"/>
      <c r="BY18" s="382"/>
      <c r="BZ18" s="382"/>
      <c r="CA18" s="382"/>
      <c r="CB18" s="382"/>
      <c r="CC18" s="1"/>
      <c r="CD18" s="667"/>
      <c r="CE18" s="667"/>
      <c r="CF18" s="667"/>
      <c r="CG18" s="667"/>
      <c r="CH18" s="1">
        <f>CH17-100</f>
        <v>3768.0375000000004</v>
      </c>
      <c r="CI18" s="382"/>
      <c r="CJ18" s="382"/>
      <c r="CK18" s="382"/>
      <c r="CL18" s="382"/>
      <c r="CM18" s="1">
        <f>CM17-250</f>
        <v>3400</v>
      </c>
      <c r="CN18" s="382"/>
      <c r="CO18" s="382"/>
      <c r="CP18" s="382"/>
      <c r="CQ18" s="382"/>
      <c r="CR18" s="1">
        <f>CR5*0.17</f>
        <v>3847.6337936338418</v>
      </c>
      <c r="CS18" s="382"/>
      <c r="CT18" s="382"/>
      <c r="CU18" s="382"/>
      <c r="CV18" s="382"/>
      <c r="CW18" s="1">
        <f>CW5*0.17</f>
        <v>3821.8943539341053</v>
      </c>
      <c r="CX18" s="382"/>
      <c r="CY18" s="382"/>
      <c r="CZ18" s="382"/>
      <c r="DA18" s="382"/>
      <c r="DB18" s="1">
        <f>DB5*0.17</f>
        <v>3863.5219992914399</v>
      </c>
      <c r="DC18" s="382"/>
      <c r="DD18" s="382"/>
      <c r="DE18" s="382"/>
      <c r="DF18" s="382"/>
      <c r="DG18" s="1">
        <f>DG5*0.17</f>
        <v>3838.7951770026707</v>
      </c>
      <c r="DH18" s="382"/>
      <c r="DI18" s="382"/>
      <c r="DJ18" s="382"/>
      <c r="DK18" s="382"/>
      <c r="DL18" s="1">
        <f>DL5*0.17</f>
        <v>3980.3386862374109</v>
      </c>
      <c r="DM18" s="382"/>
      <c r="DN18" s="382"/>
      <c r="DO18" s="382"/>
      <c r="DP18" s="382"/>
      <c r="DQ18" s="1">
        <f>DQ5*0.17</f>
        <v>4180.5914212294165</v>
      </c>
      <c r="DR18" s="382"/>
      <c r="DS18" s="382"/>
      <c r="DT18" s="382"/>
      <c r="DU18" s="382"/>
      <c r="DV18" s="1">
        <f>DV5*0.17</f>
        <v>4306.5614595315919</v>
      </c>
      <c r="DW18" s="382"/>
      <c r="DX18" s="382"/>
      <c r="DY18" s="382"/>
      <c r="DZ18" s="382"/>
      <c r="EA18" s="1">
        <f>EA5*0.17</f>
        <v>4372.9410250130404</v>
      </c>
      <c r="EB18" s="382"/>
      <c r="EC18" s="382"/>
      <c r="ED18" s="382"/>
      <c r="EE18" s="382"/>
      <c r="EF18" s="1">
        <f>EF5*0.17</f>
        <v>4350.1550016810306</v>
      </c>
      <c r="EG18" s="382"/>
      <c r="EH18" s="382"/>
      <c r="EI18" s="382"/>
      <c r="EJ18" s="382"/>
      <c r="EK18" s="1">
        <f>EK5*0.17</f>
        <v>4348.8681153276048</v>
      </c>
      <c r="EL18" s="382"/>
      <c r="EM18" s="382"/>
      <c r="EN18" s="382"/>
      <c r="EO18" s="382"/>
      <c r="EP18" s="1">
        <f>EP5*0.17</f>
        <v>4046.4078191567851</v>
      </c>
      <c r="EQ18" s="382"/>
      <c r="ER18" s="382"/>
      <c r="ES18" s="382"/>
      <c r="ET18" s="382"/>
      <c r="EU18" s="1">
        <f>EU5*0.17</f>
        <v>3885.9566338318282</v>
      </c>
      <c r="EV18" s="382"/>
      <c r="EW18" s="382"/>
      <c r="EX18" s="382"/>
      <c r="EY18" s="382"/>
      <c r="EZ18" s="1">
        <f>EZ5*0.17</f>
        <v>3785.7994571831978</v>
      </c>
    </row>
    <row r="19" spans="2:156" collapsed="1">
      <c r="B19" t="s">
        <v>167</v>
      </c>
      <c r="C19" s="1">
        <v>255</v>
      </c>
      <c r="D19" s="1">
        <v>324</v>
      </c>
      <c r="E19" s="1">
        <v>452</v>
      </c>
      <c r="F19" s="1">
        <v>528</v>
      </c>
      <c r="G19" s="1">
        <v>631</v>
      </c>
      <c r="H19" s="1">
        <v>663</v>
      </c>
      <c r="I19" s="1">
        <v>823</v>
      </c>
      <c r="J19" s="1">
        <v>845</v>
      </c>
      <c r="K19" s="1">
        <v>865</v>
      </c>
      <c r="L19" s="48">
        <v>203</v>
      </c>
      <c r="M19" s="48">
        <v>234</v>
      </c>
      <c r="N19" s="48">
        <v>304</v>
      </c>
      <c r="O19" s="48">
        <v>357</v>
      </c>
      <c r="P19" s="1">
        <v>1099</v>
      </c>
      <c r="Q19" s="48">
        <v>342</v>
      </c>
      <c r="R19" s="48">
        <v>385</v>
      </c>
      <c r="S19" s="48">
        <v>400</v>
      </c>
      <c r="T19" s="48">
        <v>494</v>
      </c>
      <c r="U19" s="1">
        <v>1620</v>
      </c>
      <c r="V19" s="48">
        <v>433</v>
      </c>
      <c r="W19" s="48">
        <v>460</v>
      </c>
      <c r="X19" s="48">
        <v>495</v>
      </c>
      <c r="Y19" s="48">
        <v>608</v>
      </c>
      <c r="Z19" s="1">
        <v>1996</v>
      </c>
      <c r="AA19" s="48">
        <v>521</v>
      </c>
      <c r="AB19" s="48">
        <v>564</v>
      </c>
      <c r="AC19" s="48">
        <v>559</v>
      </c>
      <c r="AD19" s="48">
        <v>658</v>
      </c>
      <c r="AE19" s="1">
        <v>2302</v>
      </c>
      <c r="AF19" s="48">
        <v>624</v>
      </c>
      <c r="AG19" s="48">
        <v>729</v>
      </c>
      <c r="AH19" s="48">
        <v>835</v>
      </c>
      <c r="AI19" s="48">
        <v>1003</v>
      </c>
      <c r="AJ19" s="1">
        <v>3191</v>
      </c>
      <c r="AK19" s="48">
        <v>803</v>
      </c>
      <c r="AL19" s="48">
        <v>777</v>
      </c>
      <c r="AM19" s="48">
        <v>699</v>
      </c>
      <c r="AN19" s="48">
        <v>785</v>
      </c>
      <c r="AO19" s="1">
        <v>3064</v>
      </c>
      <c r="AP19" s="48">
        <v>661</v>
      </c>
      <c r="AQ19" s="48">
        <v>779</v>
      </c>
      <c r="AR19" s="48">
        <v>700</v>
      </c>
      <c r="AS19" s="48">
        <v>770</v>
      </c>
      <c r="AT19" s="1">
        <v>2910</v>
      </c>
      <c r="AU19" s="379">
        <v>605</v>
      </c>
      <c r="AV19" s="379">
        <v>657</v>
      </c>
      <c r="AW19" s="379">
        <v>613</v>
      </c>
      <c r="AX19" s="379">
        <v>864</v>
      </c>
      <c r="AY19" s="1">
        <v>2739</v>
      </c>
      <c r="AZ19" s="48">
        <v>617</v>
      </c>
      <c r="BA19" s="48">
        <v>642</v>
      </c>
      <c r="BB19" s="48">
        <v>689</v>
      </c>
      <c r="BC19" s="48">
        <v>825</v>
      </c>
      <c r="BD19" s="1">
        <v>2773</v>
      </c>
      <c r="BE19" s="48">
        <v>703</v>
      </c>
      <c r="BF19" s="48">
        <v>808</v>
      </c>
      <c r="BG19" s="48">
        <v>763</v>
      </c>
      <c r="BH19" s="48">
        <v>842</v>
      </c>
      <c r="BI19" s="1">
        <v>3116</v>
      </c>
      <c r="BJ19" s="379">
        <v>723</v>
      </c>
      <c r="BK19" s="379">
        <v>807</v>
      </c>
      <c r="BL19" s="379">
        <v>849</v>
      </c>
      <c r="BM19" s="379">
        <v>917</v>
      </c>
      <c r="BN19" s="1">
        <v>3296</v>
      </c>
      <c r="BO19" s="379">
        <f>878-BO58-BO59</f>
        <v>851</v>
      </c>
      <c r="BP19" s="379">
        <f>967-BP58-BP59</f>
        <v>944</v>
      </c>
      <c r="BQ19" s="379">
        <f>989-BQ58-BQ59</f>
        <v>966</v>
      </c>
      <c r="BR19" s="431">
        <f>1249-BR59-BR60</f>
        <v>1168</v>
      </c>
      <c r="BS19" s="1">
        <f>SUM(BO19:BR19)</f>
        <v>3929</v>
      </c>
      <c r="BT19" s="626">
        <f>1027-BT59-BT60</f>
        <v>994</v>
      </c>
      <c r="BU19" s="626">
        <f>1018-BU59-BU60</f>
        <v>979</v>
      </c>
      <c r="BV19" s="626">
        <f>1018-BV59-BV60-BV61</f>
        <v>980</v>
      </c>
      <c r="BW19" s="379">
        <f>1234-32-34</f>
        <v>1168</v>
      </c>
      <c r="BX19" s="1">
        <f>SUM(BT19:BW19)</f>
        <v>4121</v>
      </c>
      <c r="BY19" s="379">
        <f>894-BY59-BY60-BY61</f>
        <v>856</v>
      </c>
      <c r="BZ19" s="379">
        <f>964-BZ59-BZ60-BZ61</f>
        <v>918</v>
      </c>
      <c r="CA19" s="379">
        <f>1119-CA59-CA60-CA61</f>
        <v>1086</v>
      </c>
      <c r="CB19" s="379">
        <f>1093-CB59-CB60-CB61</f>
        <v>1057</v>
      </c>
      <c r="CC19" s="1">
        <f>SUM(BY19:CB19)</f>
        <v>3917</v>
      </c>
      <c r="CD19" s="667">
        <f>872-CD59-CD60-CD61</f>
        <v>858</v>
      </c>
      <c r="CE19" s="667">
        <f>900-CE59-CE60-CE61</f>
        <v>878</v>
      </c>
      <c r="CF19" s="667">
        <f>990-CF59-CF60-CF61</f>
        <v>963</v>
      </c>
      <c r="CG19" s="667">
        <f>1078-CG59-CG60-CG61</f>
        <v>1056</v>
      </c>
      <c r="CH19" s="1">
        <f>SUM(CD19:CG19)</f>
        <v>3755</v>
      </c>
      <c r="CI19" s="379">
        <f>769-CI59-CI60-CI61</f>
        <v>748</v>
      </c>
      <c r="CJ19" s="379">
        <f>873-CJ59-CJ60-CJ61</f>
        <v>851</v>
      </c>
      <c r="CK19" s="379">
        <f>877-CK59-CK60-CK61</f>
        <v>858</v>
      </c>
      <c r="CL19" s="379">
        <f>1043-CL59-CL60-CL61</f>
        <v>1025</v>
      </c>
      <c r="CM19" s="1">
        <f>SUM(CI19:CL19)</f>
        <v>3482</v>
      </c>
      <c r="CN19" s="379">
        <f>760-CN59-CN60-CN61</f>
        <v>739</v>
      </c>
      <c r="CO19" s="379">
        <f>CR19*0.24</f>
        <v>856.57199999999989</v>
      </c>
      <c r="CP19" s="379">
        <f>CR19*0.26</f>
        <v>927.95299999999997</v>
      </c>
      <c r="CQ19" s="379">
        <f>CR19-SUM(CN19:CP19)</f>
        <v>1045.5250000000001</v>
      </c>
      <c r="CR19" s="1">
        <f>CHOOSE(DCF!$C$25,IS!CR16,IS!CR17,IS!CR18)</f>
        <v>3569.0499999999997</v>
      </c>
      <c r="CS19" s="379"/>
      <c r="CT19" s="379"/>
      <c r="CU19" s="379"/>
      <c r="CV19" s="379"/>
      <c r="CW19" s="1">
        <f>CHOOSE(DCF!$C$25,IS!CW16,IS!CW17,IS!CW18)</f>
        <v>3658.2762499999994</v>
      </c>
      <c r="CX19" s="379"/>
      <c r="CY19" s="379"/>
      <c r="CZ19" s="379"/>
      <c r="DA19" s="379"/>
      <c r="DB19" s="1">
        <f>CHOOSE(DCF!$C$25,IS!DB16,IS!DB17,IS!DB18)</f>
        <v>3749.733156249999</v>
      </c>
      <c r="DC19" s="379"/>
      <c r="DD19" s="379"/>
      <c r="DE19" s="379"/>
      <c r="DF19" s="379"/>
      <c r="DG19" s="1">
        <f>CHOOSE(DCF!$C$25,IS!DG16,IS!DG17,IS!DG18)</f>
        <v>3805.9791535937484</v>
      </c>
      <c r="DH19" s="379"/>
      <c r="DI19" s="379"/>
      <c r="DJ19" s="379"/>
      <c r="DK19" s="379"/>
      <c r="DL19" s="1">
        <f>CHOOSE(DCF!$C$25,IS!DL16,IS!DL17,IS!DL18)</f>
        <v>3863.0688408976544</v>
      </c>
      <c r="DM19" s="379"/>
      <c r="DN19" s="379"/>
      <c r="DO19" s="379"/>
      <c r="DP19" s="379"/>
      <c r="DQ19" s="1">
        <f>CHOOSE(DCF!$C$25,IS!DQ16,IS!DQ17,IS!DQ18)</f>
        <v>3921.0148735111188</v>
      </c>
      <c r="DR19" s="379"/>
      <c r="DS19" s="379"/>
      <c r="DT19" s="379"/>
      <c r="DU19" s="379"/>
      <c r="DV19" s="1">
        <f>CHOOSE(DCF!$C$25,IS!DV16,IS!DV17,IS!DV18)</f>
        <v>3872.0021875922298</v>
      </c>
      <c r="DW19" s="379"/>
      <c r="DX19" s="379"/>
      <c r="DY19" s="379"/>
      <c r="DZ19" s="379"/>
      <c r="EA19" s="1">
        <f>CHOOSE(DCF!$C$25,IS!EA16,IS!EA17,IS!EA18)</f>
        <v>3823.602160247327</v>
      </c>
      <c r="EB19" s="379"/>
      <c r="EC19" s="379"/>
      <c r="ED19" s="379"/>
      <c r="EE19" s="379"/>
      <c r="EF19" s="1">
        <f>CHOOSE(DCF!$C$25,IS!EF16,IS!EF17,IS!EF18)</f>
        <v>3775.8071332442355</v>
      </c>
      <c r="EG19" s="379"/>
      <c r="EH19" s="379"/>
      <c r="EI19" s="379"/>
      <c r="EJ19" s="379"/>
      <c r="EK19" s="1">
        <f>CHOOSE(DCF!$C$25,IS!EK16,IS!EK17,IS!EK18)</f>
        <v>3728.6095440786826</v>
      </c>
      <c r="EL19" s="379"/>
      <c r="EM19" s="379"/>
      <c r="EN19" s="379"/>
      <c r="EO19" s="379"/>
      <c r="EP19" s="1">
        <f>CHOOSE(DCF!$C$25,IS!EP16,IS!EP17,IS!EP18)</f>
        <v>3682.0019247776991</v>
      </c>
      <c r="EQ19" s="379"/>
      <c r="ER19" s="379"/>
      <c r="ES19" s="379"/>
      <c r="ET19" s="379"/>
      <c r="EU19" s="1">
        <f>CHOOSE(DCF!$C$25,IS!EU16,IS!EU17,IS!EU18)</f>
        <v>3635.976900717978</v>
      </c>
      <c r="EV19" s="379"/>
      <c r="EW19" s="379"/>
      <c r="EX19" s="379"/>
      <c r="EY19" s="379"/>
      <c r="EZ19" s="1">
        <f>CHOOSE(DCF!$C$25,IS!EZ16,IS!EZ17,IS!EZ18)</f>
        <v>3590.5271894590032</v>
      </c>
    </row>
    <row r="20" spans="2:156" hidden="1" outlineLevel="1">
      <c r="B20" s="346" t="s">
        <v>639</v>
      </c>
      <c r="C20" s="1"/>
      <c r="D20" s="1"/>
      <c r="E20" s="1"/>
      <c r="F20" s="1"/>
      <c r="G20" s="1"/>
      <c r="H20" s="1"/>
      <c r="I20" s="1"/>
      <c r="J20" s="1"/>
      <c r="K20" s="1"/>
      <c r="L20" s="48"/>
      <c r="M20" s="48"/>
      <c r="N20" s="48"/>
      <c r="O20" s="48"/>
      <c r="P20" s="1"/>
      <c r="Q20" s="48"/>
      <c r="R20" s="48"/>
      <c r="S20" s="48"/>
      <c r="T20" s="48"/>
      <c r="U20" s="1"/>
      <c r="V20" s="48"/>
      <c r="W20" s="48"/>
      <c r="X20" s="48"/>
      <c r="Y20" s="48"/>
      <c r="Z20" s="1"/>
      <c r="AA20" s="48"/>
      <c r="AB20" s="48"/>
      <c r="AC20" s="48"/>
      <c r="AD20" s="48"/>
      <c r="AE20" s="1"/>
      <c r="AF20" s="48"/>
      <c r="AG20" s="48"/>
      <c r="AH20" s="48"/>
      <c r="AI20" s="48"/>
      <c r="AJ20" s="1"/>
      <c r="AK20" s="48"/>
      <c r="AL20" s="48"/>
      <c r="AM20" s="48"/>
      <c r="AN20" s="48"/>
      <c r="AO20" s="1"/>
      <c r="AP20" s="48"/>
      <c r="AQ20" s="48"/>
      <c r="AR20" s="48"/>
      <c r="AS20" s="48"/>
      <c r="AT20" s="1"/>
      <c r="AU20" s="379"/>
      <c r="AV20" s="379"/>
      <c r="AW20" s="379"/>
      <c r="AX20" s="379"/>
      <c r="AY20" s="1"/>
      <c r="AZ20" s="48"/>
      <c r="BA20" s="48"/>
      <c r="BB20" s="48"/>
      <c r="BC20" s="48"/>
      <c r="BD20" s="1">
        <f>1154*BD19/2894</f>
        <v>1105.7505183137525</v>
      </c>
      <c r="BE20" s="48"/>
      <c r="BF20" s="48"/>
      <c r="BG20" s="48"/>
      <c r="BH20" s="48"/>
      <c r="BI20" s="1">
        <f>1125*BI19/3167</f>
        <v>1106.8834859488475</v>
      </c>
      <c r="BJ20" s="379"/>
      <c r="BK20" s="379"/>
      <c r="BL20" s="379"/>
      <c r="BM20" s="379"/>
      <c r="BN20" s="1">
        <f>1137*BN19/3380</f>
        <v>1108.7431952662721</v>
      </c>
      <c r="BO20" s="379"/>
      <c r="BP20" s="379"/>
      <c r="BQ20" s="379"/>
      <c r="BR20" s="383"/>
      <c r="BS20" s="1"/>
      <c r="BT20" s="625"/>
      <c r="BU20" s="383"/>
      <c r="BV20" s="383"/>
      <c r="BW20" s="383"/>
      <c r="BX20" s="1"/>
      <c r="BY20" s="383"/>
      <c r="BZ20" s="383"/>
      <c r="CA20" s="383"/>
      <c r="CB20" s="383"/>
      <c r="CC20" s="1"/>
      <c r="CD20" s="667"/>
      <c r="CE20" s="667"/>
      <c r="CF20" s="667"/>
      <c r="CG20" s="667"/>
      <c r="CH20" s="1"/>
      <c r="CI20" s="383"/>
      <c r="CJ20" s="383"/>
      <c r="CK20" s="383"/>
      <c r="CL20" s="383"/>
      <c r="CM20" s="1"/>
      <c r="CN20" s="383"/>
      <c r="CO20" s="383"/>
      <c r="CP20" s="383"/>
      <c r="CQ20" s="383"/>
      <c r="CR20" s="1"/>
      <c r="CS20" s="383"/>
      <c r="CT20" s="383"/>
      <c r="CU20" s="383"/>
      <c r="CV20" s="383"/>
      <c r="CW20" s="1"/>
      <c r="CX20" s="383"/>
      <c r="CY20" s="383"/>
      <c r="CZ20" s="383"/>
      <c r="DA20" s="383"/>
      <c r="DB20" s="1"/>
      <c r="DC20" s="383"/>
      <c r="DD20" s="383"/>
      <c r="DE20" s="383"/>
      <c r="DF20" s="383"/>
      <c r="DG20" s="1"/>
      <c r="DH20" s="383"/>
      <c r="DI20" s="383"/>
      <c r="DJ20" s="383"/>
      <c r="DK20" s="383"/>
      <c r="DM20" s="383"/>
      <c r="DN20" s="383"/>
      <c r="DO20" s="383"/>
      <c r="DP20" s="383"/>
      <c r="DR20" s="383"/>
      <c r="DS20" s="383"/>
      <c r="DT20" s="383"/>
      <c r="DU20" s="383"/>
      <c r="DW20" s="383"/>
      <c r="DX20" s="383"/>
      <c r="DY20" s="383"/>
      <c r="DZ20" s="383"/>
      <c r="EB20" s="383"/>
      <c r="EC20" s="383"/>
      <c r="ED20" s="383"/>
      <c r="EE20" s="383"/>
      <c r="EG20" s="383"/>
      <c r="EH20" s="383"/>
      <c r="EI20" s="383"/>
      <c r="EJ20" s="383"/>
      <c r="EL20" s="383"/>
      <c r="EM20" s="383"/>
      <c r="EN20" s="383"/>
      <c r="EO20" s="383"/>
      <c r="EQ20" s="383"/>
      <c r="ER20" s="383"/>
      <c r="ES20" s="383"/>
      <c r="ET20" s="383"/>
      <c r="EV20" s="383"/>
      <c r="EW20" s="383"/>
      <c r="EX20" s="383"/>
      <c r="EY20" s="383"/>
    </row>
    <row r="21" spans="2:156" hidden="1" outlineLevel="1">
      <c r="B21" s="346" t="s">
        <v>640</v>
      </c>
      <c r="C21" s="1"/>
      <c r="D21" s="1"/>
      <c r="E21" s="1"/>
      <c r="F21" s="1"/>
      <c r="G21" s="1"/>
      <c r="H21" s="1"/>
      <c r="I21" s="1"/>
      <c r="J21" s="1"/>
      <c r="K21" s="1"/>
      <c r="L21" s="48"/>
      <c r="M21" s="48"/>
      <c r="N21" s="48"/>
      <c r="O21" s="48"/>
      <c r="P21" s="1"/>
      <c r="Q21" s="48"/>
      <c r="R21" s="48"/>
      <c r="S21" s="48"/>
      <c r="T21" s="48"/>
      <c r="U21" s="1"/>
      <c r="V21" s="48"/>
      <c r="W21" s="48"/>
      <c r="X21" s="48"/>
      <c r="Y21" s="48"/>
      <c r="Z21" s="1"/>
      <c r="AA21" s="48"/>
      <c r="AB21" s="48"/>
      <c r="AC21" s="48"/>
      <c r="AD21" s="48"/>
      <c r="AE21" s="1"/>
      <c r="AF21" s="48"/>
      <c r="AG21" s="48"/>
      <c r="AH21" s="48"/>
      <c r="AI21" s="48"/>
      <c r="AJ21" s="1"/>
      <c r="AK21" s="48"/>
      <c r="AL21" s="48"/>
      <c r="AM21" s="48"/>
      <c r="AN21" s="48"/>
      <c r="AO21" s="1"/>
      <c r="AP21" s="48"/>
      <c r="AQ21" s="48"/>
      <c r="AR21" s="48"/>
      <c r="AS21" s="48"/>
      <c r="AT21" s="1"/>
      <c r="AU21" s="379"/>
      <c r="AV21" s="379"/>
      <c r="AW21" s="379"/>
      <c r="AX21" s="379"/>
      <c r="AY21" s="1"/>
      <c r="AZ21" s="48"/>
      <c r="BA21" s="48"/>
      <c r="BB21" s="48"/>
      <c r="BC21" s="48"/>
      <c r="BD21" s="1">
        <f>832*BD19/2894</f>
        <v>797.21354526606774</v>
      </c>
      <c r="BE21" s="48"/>
      <c r="BF21" s="48"/>
      <c r="BG21" s="48"/>
      <c r="BH21" s="48"/>
      <c r="BI21" s="1">
        <f>983*BI19/3167</f>
        <v>967.17019261130406</v>
      </c>
      <c r="BJ21" s="379"/>
      <c r="BK21" s="379"/>
      <c r="BL21" s="379"/>
      <c r="BM21" s="379"/>
      <c r="BN21" s="1">
        <f>1285*BN19/3380</f>
        <v>1253.0650887573966</v>
      </c>
      <c r="BO21" s="379"/>
      <c r="BP21" s="379"/>
      <c r="BQ21" s="379"/>
      <c r="BR21" s="383"/>
      <c r="BS21" s="1"/>
      <c r="BT21" s="625"/>
      <c r="BU21" s="383"/>
      <c r="BV21" s="383"/>
      <c r="BW21" s="383"/>
      <c r="BX21" s="1"/>
      <c r="BY21" s="383"/>
      <c r="BZ21" s="383"/>
      <c r="CA21" s="383"/>
      <c r="CB21" s="383"/>
      <c r="CC21" s="1"/>
      <c r="CD21" s="667"/>
      <c r="CE21" s="667"/>
      <c r="CF21" s="667"/>
      <c r="CG21" s="667"/>
      <c r="CH21" s="1"/>
      <c r="CI21" s="383"/>
      <c r="CJ21" s="383"/>
      <c r="CK21" s="383"/>
      <c r="CL21" s="383"/>
      <c r="CM21" s="1"/>
      <c r="CN21" s="383"/>
      <c r="CO21" s="383"/>
      <c r="CP21" s="383"/>
      <c r="CQ21" s="383"/>
      <c r="CR21" s="1"/>
      <c r="CS21" s="383"/>
      <c r="CT21" s="383"/>
      <c r="CU21" s="383"/>
      <c r="CV21" s="383"/>
      <c r="CW21" s="1"/>
      <c r="CX21" s="383"/>
      <c r="CY21" s="383"/>
      <c r="CZ21" s="383"/>
      <c r="DA21" s="383"/>
      <c r="DB21" s="1"/>
      <c r="DC21" s="383"/>
      <c r="DD21" s="383"/>
      <c r="DE21" s="383"/>
      <c r="DF21" s="383"/>
      <c r="DG21" s="1"/>
      <c r="DH21" s="383"/>
      <c r="DI21" s="383"/>
      <c r="DJ21" s="383"/>
      <c r="DK21" s="383"/>
      <c r="DM21" s="383"/>
      <c r="DN21" s="383"/>
      <c r="DO21" s="383"/>
      <c r="DP21" s="383"/>
      <c r="DR21" s="383"/>
      <c r="DS21" s="383"/>
      <c r="DT21" s="383"/>
      <c r="DU21" s="383"/>
      <c r="DW21" s="383"/>
      <c r="DX21" s="383"/>
      <c r="DY21" s="383"/>
      <c r="DZ21" s="383"/>
      <c r="EB21" s="383"/>
      <c r="EC21" s="383"/>
      <c r="ED21" s="383"/>
      <c r="EE21" s="383"/>
      <c r="EG21" s="383"/>
      <c r="EH21" s="383"/>
      <c r="EI21" s="383"/>
      <c r="EJ21" s="383"/>
      <c r="EL21" s="383"/>
      <c r="EM21" s="383"/>
      <c r="EN21" s="383"/>
      <c r="EO21" s="383"/>
      <c r="EQ21" s="383"/>
      <c r="ER21" s="383"/>
      <c r="ES21" s="383"/>
      <c r="ET21" s="383"/>
      <c r="EV21" s="383"/>
      <c r="EW21" s="383"/>
      <c r="EX21" s="383"/>
      <c r="EY21" s="383"/>
    </row>
    <row r="22" spans="2:156" hidden="1" outlineLevel="1">
      <c r="B22" s="346" t="s">
        <v>641</v>
      </c>
      <c r="C22" s="1"/>
      <c r="D22" s="1"/>
      <c r="E22" s="1"/>
      <c r="F22" s="1"/>
      <c r="G22" s="1"/>
      <c r="H22" s="1"/>
      <c r="I22" s="1"/>
      <c r="J22" s="1"/>
      <c r="K22" s="1"/>
      <c r="L22" s="48"/>
      <c r="M22" s="48"/>
      <c r="N22" s="48"/>
      <c r="O22" s="48"/>
      <c r="P22" s="1"/>
      <c r="Q22" s="48"/>
      <c r="R22" s="48"/>
      <c r="S22" s="48"/>
      <c r="T22" s="48"/>
      <c r="U22" s="1"/>
      <c r="V22" s="48"/>
      <c r="W22" s="48"/>
      <c r="X22" s="48"/>
      <c r="Y22" s="48"/>
      <c r="Z22" s="1"/>
      <c r="AA22" s="48"/>
      <c r="AB22" s="48"/>
      <c r="AC22" s="48"/>
      <c r="AD22" s="48"/>
      <c r="AE22" s="1"/>
      <c r="AF22" s="48"/>
      <c r="AG22" s="48"/>
      <c r="AH22" s="48"/>
      <c r="AI22" s="48"/>
      <c r="AJ22" s="1"/>
      <c r="AK22" s="48"/>
      <c r="AL22" s="48"/>
      <c r="AM22" s="48"/>
      <c r="AN22" s="48"/>
      <c r="AO22" s="1"/>
      <c r="AP22" s="48"/>
      <c r="AQ22" s="48"/>
      <c r="AR22" s="48"/>
      <c r="AS22" s="48"/>
      <c r="AT22" s="1"/>
      <c r="AU22" s="379"/>
      <c r="AV22" s="379"/>
      <c r="AW22" s="379"/>
      <c r="AX22" s="379"/>
      <c r="AY22" s="1"/>
      <c r="AZ22" s="48"/>
      <c r="BA22" s="48"/>
      <c r="BB22" s="48"/>
      <c r="BC22" s="48"/>
      <c r="BD22" s="1">
        <f>908*BD19/2894</f>
        <v>870.03593642017972</v>
      </c>
      <c r="BE22" s="48"/>
      <c r="BF22" s="48"/>
      <c r="BG22" s="48"/>
      <c r="BH22" s="48"/>
      <c r="BI22" s="1">
        <f>1059*BI19/3167</f>
        <v>1041.9463214398484</v>
      </c>
      <c r="BJ22" s="379"/>
      <c r="BK22" s="379"/>
      <c r="BL22" s="379"/>
      <c r="BM22" s="379"/>
      <c r="BN22" s="1">
        <f>958*BN19/3380</f>
        <v>934.19171597633135</v>
      </c>
      <c r="BO22" s="379"/>
      <c r="BP22" s="379"/>
      <c r="BQ22" s="379"/>
      <c r="BR22" s="383"/>
      <c r="BS22" s="1"/>
      <c r="BT22" s="625"/>
      <c r="BU22" s="383"/>
      <c r="BV22" s="383"/>
      <c r="BW22" s="383"/>
      <c r="BX22" s="1"/>
      <c r="BY22" s="383"/>
      <c r="BZ22" s="383"/>
      <c r="CA22" s="383"/>
      <c r="CB22" s="383"/>
      <c r="CC22" s="70"/>
      <c r="CD22" s="667"/>
      <c r="CE22" s="667"/>
      <c r="CF22" s="667"/>
      <c r="CG22" s="667"/>
      <c r="CH22" s="70"/>
      <c r="CI22" s="383"/>
      <c r="CJ22" s="383"/>
      <c r="CK22" s="383"/>
      <c r="CL22" s="383"/>
      <c r="CM22" s="1"/>
      <c r="CN22" s="383"/>
      <c r="CO22" s="383"/>
      <c r="CP22" s="383"/>
      <c r="CQ22" s="383"/>
      <c r="CR22" s="1"/>
      <c r="CS22" s="383"/>
      <c r="CT22" s="383"/>
      <c r="CU22" s="383"/>
      <c r="CV22" s="383"/>
      <c r="CW22" s="1"/>
      <c r="CX22" s="383"/>
      <c r="CY22" s="383"/>
      <c r="CZ22" s="383"/>
      <c r="DA22" s="383"/>
      <c r="DB22" s="1"/>
      <c r="DC22" s="383"/>
      <c r="DD22" s="383"/>
      <c r="DE22" s="383"/>
      <c r="DF22" s="383"/>
      <c r="DG22" s="1"/>
      <c r="DH22" s="383"/>
      <c r="DI22" s="383"/>
      <c r="DJ22" s="383"/>
      <c r="DK22" s="383"/>
      <c r="DM22" s="383"/>
      <c r="DN22" s="383"/>
      <c r="DO22" s="383"/>
      <c r="DP22" s="383"/>
      <c r="DR22" s="383"/>
      <c r="DS22" s="383"/>
      <c r="DT22" s="383"/>
      <c r="DU22" s="383"/>
      <c r="DW22" s="383"/>
      <c r="DX22" s="383"/>
      <c r="DY22" s="383"/>
      <c r="DZ22" s="383"/>
      <c r="EB22" s="383"/>
      <c r="EC22" s="383"/>
      <c r="ED22" s="383"/>
      <c r="EE22" s="383"/>
      <c r="EG22" s="383"/>
      <c r="EH22" s="383"/>
      <c r="EI22" s="383"/>
      <c r="EJ22" s="383"/>
      <c r="EL22" s="383"/>
      <c r="EM22" s="383"/>
      <c r="EN22" s="383"/>
      <c r="EO22" s="383"/>
      <c r="EQ22" s="383"/>
      <c r="ER22" s="383"/>
      <c r="ES22" s="383"/>
      <c r="ET22" s="383"/>
      <c r="EV22" s="383"/>
      <c r="EW22" s="383"/>
      <c r="EX22" s="383"/>
      <c r="EY22" s="383"/>
    </row>
    <row r="23" spans="2:156" hidden="1" outlineLevel="1">
      <c r="B23" s="366" t="s">
        <v>662</v>
      </c>
      <c r="C23" s="1"/>
      <c r="D23" s="1"/>
      <c r="E23" s="1"/>
      <c r="F23" s="1"/>
      <c r="G23" s="1"/>
      <c r="H23" s="1"/>
      <c r="I23" s="1"/>
      <c r="J23" s="1"/>
      <c r="K23" s="1"/>
      <c r="L23" s="48"/>
      <c r="M23" s="48"/>
      <c r="N23" s="48"/>
      <c r="O23" s="48"/>
      <c r="P23" s="1"/>
      <c r="Q23" s="48"/>
      <c r="R23" s="48"/>
      <c r="S23" s="48"/>
      <c r="T23" s="48"/>
      <c r="U23" s="1"/>
      <c r="V23" s="48"/>
      <c r="W23" s="48"/>
      <c r="X23" s="48"/>
      <c r="Y23" s="48"/>
      <c r="Z23" s="1"/>
      <c r="AA23" s="48"/>
      <c r="AB23" s="48"/>
      <c r="AC23" s="48"/>
      <c r="AD23" s="48"/>
      <c r="AE23" s="1"/>
      <c r="AF23" s="48"/>
      <c r="AG23" s="48"/>
      <c r="AH23" s="48"/>
      <c r="AI23" s="48"/>
      <c r="AJ23" s="1"/>
      <c r="AK23" s="48"/>
      <c r="AL23" s="48"/>
      <c r="AM23" s="48"/>
      <c r="AN23" s="48"/>
      <c r="AO23" s="1"/>
      <c r="AP23" s="48"/>
      <c r="AQ23" s="48"/>
      <c r="AR23" s="48"/>
      <c r="AS23" s="48"/>
      <c r="AT23" s="1"/>
      <c r="AU23" s="379"/>
      <c r="AV23" s="379"/>
      <c r="AW23" s="379"/>
      <c r="AX23" s="379"/>
      <c r="AY23" s="1"/>
      <c r="AZ23" s="48"/>
      <c r="BA23" s="48"/>
      <c r="BB23" s="48"/>
      <c r="BC23" s="48"/>
      <c r="BD23" s="1"/>
      <c r="BE23" s="48"/>
      <c r="BF23" s="48"/>
      <c r="BG23" s="48"/>
      <c r="BH23" s="48"/>
      <c r="BI23" s="1"/>
      <c r="BJ23" s="379"/>
      <c r="BK23" s="379"/>
      <c r="BL23" s="379"/>
      <c r="BM23" s="379"/>
      <c r="BN23" s="1"/>
      <c r="BO23" s="379"/>
      <c r="BP23" s="379"/>
      <c r="BQ23" s="379"/>
      <c r="BR23" s="383"/>
      <c r="BS23" s="1"/>
      <c r="BT23" s="625"/>
      <c r="BU23" s="383"/>
      <c r="BV23" s="383"/>
      <c r="BW23" s="383"/>
      <c r="BX23" s="641">
        <f>BX24</f>
        <v>4380</v>
      </c>
      <c r="BY23" s="383"/>
      <c r="BZ23" s="383"/>
      <c r="CA23" s="383"/>
      <c r="CB23" s="383"/>
      <c r="CC23" s="1">
        <f>CC24</f>
        <v>4450</v>
      </c>
      <c r="CD23" s="667"/>
      <c r="CE23" s="667"/>
      <c r="CF23" s="667"/>
      <c r="CG23" s="667"/>
      <c r="CH23" s="1">
        <f>CH24</f>
        <v>4750</v>
      </c>
      <c r="CI23" s="383"/>
      <c r="CJ23" s="383"/>
      <c r="CK23" s="383"/>
      <c r="CL23" s="383"/>
      <c r="CM23" s="1">
        <f>CH23*1.025</f>
        <v>4868.75</v>
      </c>
      <c r="CN23" s="383"/>
      <c r="CO23" s="383"/>
      <c r="CP23" s="383"/>
      <c r="CQ23" s="383"/>
      <c r="CR23" s="1">
        <f>CM23*1.05</f>
        <v>5112.1875</v>
      </c>
      <c r="CS23" s="383"/>
      <c r="CT23" s="383"/>
      <c r="CU23" s="383"/>
      <c r="CV23" s="383"/>
      <c r="CW23" s="1">
        <f>CR23*1.075</f>
        <v>5495.6015625</v>
      </c>
      <c r="CX23" s="383"/>
      <c r="CY23" s="383"/>
      <c r="CZ23" s="383"/>
      <c r="DA23" s="383"/>
      <c r="DB23" s="1">
        <f>CW23*1.075</f>
        <v>5907.7716796875002</v>
      </c>
      <c r="DC23" s="383"/>
      <c r="DD23" s="383"/>
      <c r="DE23" s="383"/>
      <c r="DF23" s="383"/>
      <c r="DG23" s="1">
        <f>DB23*1.075</f>
        <v>6350.854555664062</v>
      </c>
      <c r="DH23" s="383"/>
      <c r="DI23" s="383"/>
      <c r="DJ23" s="383"/>
      <c r="DK23" s="383"/>
      <c r="DL23" s="1">
        <f>DG23*1.075</f>
        <v>6827.1686473388663</v>
      </c>
      <c r="DM23" s="383"/>
      <c r="DN23" s="383"/>
      <c r="DO23" s="383"/>
      <c r="DP23" s="383"/>
      <c r="DQ23" s="1">
        <f>DL23*1.075</f>
        <v>7339.2062958892811</v>
      </c>
      <c r="DR23" s="383"/>
      <c r="DS23" s="383"/>
      <c r="DT23" s="383"/>
      <c r="DU23" s="383"/>
      <c r="DV23" s="1">
        <f>DQ23*1.05</f>
        <v>7706.1666106837456</v>
      </c>
      <c r="DW23" s="383"/>
      <c r="DX23" s="383"/>
      <c r="DY23" s="383"/>
      <c r="DZ23" s="383"/>
      <c r="EA23" s="1">
        <f>DV23*1.05</f>
        <v>8091.4749412179335</v>
      </c>
      <c r="EB23" s="383"/>
      <c r="EC23" s="383"/>
      <c r="ED23" s="383"/>
      <c r="EE23" s="383"/>
      <c r="EF23" s="1">
        <f>EA23*1.05</f>
        <v>8496.04868827883</v>
      </c>
      <c r="EG23" s="383"/>
      <c r="EH23" s="383"/>
      <c r="EI23" s="383"/>
      <c r="EJ23" s="383"/>
      <c r="EK23" s="1">
        <f>EF23*1.015</f>
        <v>8623.4894186030124</v>
      </c>
      <c r="EL23" s="383"/>
      <c r="EM23" s="383"/>
      <c r="EN23" s="383"/>
      <c r="EO23" s="383"/>
      <c r="EP23" s="1">
        <f>EK23*1.015</f>
        <v>8752.8417598820561</v>
      </c>
      <c r="EQ23" s="383"/>
      <c r="ER23" s="383"/>
      <c r="ES23" s="383"/>
      <c r="ET23" s="383"/>
      <c r="EU23" s="1">
        <f>EP23*1.015</f>
        <v>8884.134386280286</v>
      </c>
      <c r="EV23" s="383"/>
      <c r="EW23" s="383"/>
      <c r="EX23" s="383"/>
      <c r="EY23" s="383"/>
      <c r="EZ23" s="1">
        <f>EU23*1.015</f>
        <v>9017.3964020744897</v>
      </c>
    </row>
    <row r="24" spans="2:156" hidden="1" outlineLevel="1">
      <c r="B24" s="366" t="s">
        <v>663</v>
      </c>
      <c r="C24" s="1"/>
      <c r="D24" s="1"/>
      <c r="E24" s="1"/>
      <c r="F24" s="1"/>
      <c r="G24" s="1"/>
      <c r="H24" s="1"/>
      <c r="I24" s="1"/>
      <c r="J24" s="1"/>
      <c r="K24" s="1"/>
      <c r="L24" s="48"/>
      <c r="M24" s="48"/>
      <c r="N24" s="48"/>
      <c r="O24" s="48"/>
      <c r="P24" s="1"/>
      <c r="Q24" s="48"/>
      <c r="R24" s="48"/>
      <c r="S24" s="48"/>
      <c r="T24" s="48"/>
      <c r="U24" s="1"/>
      <c r="V24" s="48"/>
      <c r="W24" s="48"/>
      <c r="X24" s="48"/>
      <c r="Y24" s="48"/>
      <c r="Z24" s="1"/>
      <c r="AA24" s="48"/>
      <c r="AB24" s="48"/>
      <c r="AC24" s="48"/>
      <c r="AD24" s="48"/>
      <c r="AE24" s="1"/>
      <c r="AF24" s="48"/>
      <c r="AG24" s="48"/>
      <c r="AH24" s="48"/>
      <c r="AI24" s="48"/>
      <c r="AJ24" s="1"/>
      <c r="AK24" s="48"/>
      <c r="AL24" s="48"/>
      <c r="AM24" s="48"/>
      <c r="AN24" s="48"/>
      <c r="AO24" s="1"/>
      <c r="AP24" s="48"/>
      <c r="AQ24" s="48"/>
      <c r="AR24" s="48"/>
      <c r="AS24" s="48"/>
      <c r="AT24" s="1"/>
      <c r="AU24" s="379"/>
      <c r="AV24" s="379"/>
      <c r="AW24" s="379"/>
      <c r="AX24" s="379"/>
      <c r="AY24" s="1"/>
      <c r="AZ24" s="48"/>
      <c r="BA24" s="48"/>
      <c r="BB24" s="48"/>
      <c r="BC24" s="48"/>
      <c r="BD24" s="1"/>
      <c r="BE24" s="48"/>
      <c r="BF24" s="48"/>
      <c r="BG24" s="48"/>
      <c r="BH24" s="48"/>
      <c r="BI24" s="1"/>
      <c r="BJ24" s="379"/>
      <c r="BK24" s="379"/>
      <c r="BL24" s="379"/>
      <c r="BM24" s="379"/>
      <c r="BN24" s="1"/>
      <c r="BO24" s="379"/>
      <c r="BP24" s="379"/>
      <c r="BQ24" s="379"/>
      <c r="BR24" s="383"/>
      <c r="BS24" s="1"/>
      <c r="BT24" s="625"/>
      <c r="BU24" s="383"/>
      <c r="BV24" s="383"/>
      <c r="BW24" s="383"/>
      <c r="BX24" s="641">
        <f>BS26+130-52-800+50*4-3</f>
        <v>4380</v>
      </c>
      <c r="BY24" s="379"/>
      <c r="BZ24" s="379"/>
      <c r="CA24" s="379"/>
      <c r="CB24" s="379"/>
      <c r="CC24" s="641">
        <v>4450</v>
      </c>
      <c r="CD24" s="667"/>
      <c r="CE24" s="667"/>
      <c r="CF24" s="667"/>
      <c r="CG24" s="667"/>
      <c r="CH24" s="1">
        <f>CC24+300</f>
        <v>4750</v>
      </c>
      <c r="CI24" s="379"/>
      <c r="CJ24" s="379"/>
      <c r="CK24" s="379"/>
      <c r="CL24" s="379"/>
      <c r="CM24" s="1">
        <v>4700</v>
      </c>
      <c r="CN24" s="379"/>
      <c r="CO24" s="379"/>
      <c r="CP24" s="379"/>
      <c r="CQ24" s="379"/>
      <c r="CR24" s="1">
        <f>CM24*1.015</f>
        <v>4770.4999999999991</v>
      </c>
      <c r="CS24" s="379"/>
      <c r="CT24" s="379"/>
      <c r="CU24" s="379"/>
      <c r="CV24" s="379"/>
      <c r="CW24" s="1">
        <f>CR24*1.015</f>
        <v>4842.057499999999</v>
      </c>
      <c r="CX24" s="379"/>
      <c r="CY24" s="379"/>
      <c r="CZ24" s="379"/>
      <c r="DA24" s="379"/>
      <c r="DB24" s="1">
        <f>CW24*1.015</f>
        <v>4914.6883624999982</v>
      </c>
      <c r="DC24" s="379"/>
      <c r="DD24" s="379"/>
      <c r="DE24" s="379"/>
      <c r="DF24" s="379"/>
      <c r="DG24" s="1">
        <f>DB24*0.97</f>
        <v>4767.2477116249984</v>
      </c>
      <c r="DH24" s="379"/>
      <c r="DI24" s="379"/>
      <c r="DJ24" s="379"/>
      <c r="DK24" s="379"/>
      <c r="DL24" s="1">
        <f>DG24*0.97</f>
        <v>4624.2302802762479</v>
      </c>
      <c r="DM24" s="379"/>
      <c r="DN24" s="379"/>
      <c r="DO24" s="379"/>
      <c r="DP24" s="379"/>
      <c r="DQ24" s="1">
        <f>DL24*0.99</f>
        <v>4577.9879774734854</v>
      </c>
      <c r="DR24" s="379"/>
      <c r="DS24" s="379"/>
      <c r="DT24" s="379"/>
      <c r="DU24" s="379"/>
      <c r="DV24" s="1">
        <f>DQ24*0.99</f>
        <v>4532.2080976987509</v>
      </c>
      <c r="DW24" s="379"/>
      <c r="DX24" s="379"/>
      <c r="DY24" s="379"/>
      <c r="DZ24" s="379"/>
      <c r="EA24" s="1">
        <f>DV24*0.97</f>
        <v>4396.241854767788</v>
      </c>
      <c r="EB24" s="379"/>
      <c r="EC24" s="379"/>
      <c r="ED24" s="379"/>
      <c r="EE24" s="379"/>
      <c r="EF24" s="1">
        <f>EA24*0.9875</f>
        <v>4341.2888315831906</v>
      </c>
      <c r="EG24" s="1">
        <f t="shared" ref="EG24:EY24" si="5">EB24*0.9875</f>
        <v>0</v>
      </c>
      <c r="EH24" s="1">
        <f t="shared" si="5"/>
        <v>0</v>
      </c>
      <c r="EI24" s="1">
        <f t="shared" si="5"/>
        <v>0</v>
      </c>
      <c r="EJ24" s="1">
        <f t="shared" si="5"/>
        <v>0</v>
      </c>
      <c r="EK24" s="1">
        <f t="shared" si="5"/>
        <v>4287.0227211884012</v>
      </c>
      <c r="EL24" s="1">
        <f t="shared" si="5"/>
        <v>0</v>
      </c>
      <c r="EM24" s="1">
        <f t="shared" si="5"/>
        <v>0</v>
      </c>
      <c r="EN24" s="1">
        <f t="shared" si="5"/>
        <v>0</v>
      </c>
      <c r="EO24" s="1">
        <f t="shared" si="5"/>
        <v>0</v>
      </c>
      <c r="EP24" s="1">
        <f>EK24*0.97</f>
        <v>4158.4120395527489</v>
      </c>
      <c r="EQ24" s="1">
        <f t="shared" si="5"/>
        <v>0</v>
      </c>
      <c r="ER24" s="1">
        <f t="shared" si="5"/>
        <v>0</v>
      </c>
      <c r="ES24" s="1">
        <f t="shared" si="5"/>
        <v>0</v>
      </c>
      <c r="ET24" s="1">
        <f t="shared" si="5"/>
        <v>0</v>
      </c>
      <c r="EU24" s="1">
        <f>EP24*0.95</f>
        <v>3950.4914375751114</v>
      </c>
      <c r="EV24" s="1">
        <f t="shared" si="5"/>
        <v>0</v>
      </c>
      <c r="EW24" s="1">
        <f t="shared" si="5"/>
        <v>0</v>
      </c>
      <c r="EX24" s="1">
        <f t="shared" si="5"/>
        <v>0</v>
      </c>
      <c r="EY24" s="1">
        <f t="shared" si="5"/>
        <v>0</v>
      </c>
      <c r="EZ24" s="1">
        <f>EU24*0.95</f>
        <v>3752.9668656963559</v>
      </c>
    </row>
    <row r="25" spans="2:156" hidden="1" outlineLevel="1">
      <c r="B25" s="366" t="s">
        <v>664</v>
      </c>
      <c r="C25" s="1"/>
      <c r="D25" s="1"/>
      <c r="E25" s="1"/>
      <c r="F25" s="1"/>
      <c r="G25" s="1"/>
      <c r="H25" s="1"/>
      <c r="I25" s="1"/>
      <c r="J25" s="1"/>
      <c r="K25" s="1"/>
      <c r="L25" s="48"/>
      <c r="M25" s="48"/>
      <c r="N25" s="48"/>
      <c r="O25" s="48"/>
      <c r="P25" s="1"/>
      <c r="Q25" s="48"/>
      <c r="R25" s="48"/>
      <c r="S25" s="48"/>
      <c r="T25" s="48"/>
      <c r="U25" s="1"/>
      <c r="V25" s="48"/>
      <c r="W25" s="48"/>
      <c r="X25" s="48"/>
      <c r="Y25" s="48"/>
      <c r="Z25" s="1"/>
      <c r="AA25" s="48"/>
      <c r="AB25" s="48"/>
      <c r="AC25" s="48"/>
      <c r="AD25" s="48"/>
      <c r="AE25" s="1"/>
      <c r="AF25" s="48"/>
      <c r="AG25" s="48"/>
      <c r="AH25" s="48"/>
      <c r="AI25" s="48"/>
      <c r="AJ25" s="1"/>
      <c r="AK25" s="48"/>
      <c r="AL25" s="48"/>
      <c r="AM25" s="48"/>
      <c r="AN25" s="48"/>
      <c r="AO25" s="1"/>
      <c r="AP25" s="48"/>
      <c r="AQ25" s="48"/>
      <c r="AR25" s="48"/>
      <c r="AS25" s="48"/>
      <c r="AT25" s="1"/>
      <c r="AU25" s="379"/>
      <c r="AV25" s="379"/>
      <c r="AW25" s="379"/>
      <c r="AX25" s="379"/>
      <c r="AY25" s="1"/>
      <c r="AZ25" s="48"/>
      <c r="BA25" s="48"/>
      <c r="BB25" s="48"/>
      <c r="BC25" s="48"/>
      <c r="BD25" s="1"/>
      <c r="BE25" s="48"/>
      <c r="BF25" s="48"/>
      <c r="BG25" s="48"/>
      <c r="BH25" s="48"/>
      <c r="BI25" s="1"/>
      <c r="BJ25" s="379"/>
      <c r="BK25" s="379"/>
      <c r="BL25" s="379"/>
      <c r="BM25" s="379"/>
      <c r="BN25" s="1"/>
      <c r="BO25" s="379"/>
      <c r="BP25" s="379"/>
      <c r="BQ25" s="379"/>
      <c r="BR25" s="383"/>
      <c r="BS25" s="1"/>
      <c r="BT25" s="625"/>
      <c r="BU25" s="383"/>
      <c r="BV25" s="383"/>
      <c r="BW25" s="383"/>
      <c r="BX25" s="641">
        <f>BX24</f>
        <v>4380</v>
      </c>
      <c r="BY25" s="383"/>
      <c r="BZ25" s="383"/>
      <c r="CA25" s="383"/>
      <c r="CB25" s="383"/>
      <c r="CC25" s="1">
        <f>CC24-200</f>
        <v>4250</v>
      </c>
      <c r="CD25" s="667"/>
      <c r="CE25" s="667"/>
      <c r="CF25" s="667"/>
      <c r="CG25" s="667"/>
      <c r="CH25" s="1">
        <f>CH24-100</f>
        <v>4650</v>
      </c>
      <c r="CI25" s="383"/>
      <c r="CJ25" s="383"/>
      <c r="CK25" s="383"/>
      <c r="CL25" s="383"/>
      <c r="CM25" s="1">
        <f>CM24-150</f>
        <v>4550</v>
      </c>
      <c r="CN25" s="383"/>
      <c r="CO25" s="383"/>
      <c r="CP25" s="383"/>
      <c r="CQ25" s="383"/>
      <c r="CR25" s="1">
        <f>CR5*0.22</f>
        <v>4979.2907917614421</v>
      </c>
      <c r="CS25" s="383"/>
      <c r="CT25" s="383"/>
      <c r="CU25" s="383"/>
      <c r="CV25" s="383"/>
      <c r="CW25" s="1">
        <f>CW5*0.22</f>
        <v>4945.9809286206064</v>
      </c>
      <c r="CX25" s="383"/>
      <c r="CY25" s="383"/>
      <c r="CZ25" s="383"/>
      <c r="DA25" s="383"/>
      <c r="DB25" s="1">
        <f>DB5*0.22</f>
        <v>4999.85199908304</v>
      </c>
      <c r="DC25" s="383"/>
      <c r="DD25" s="383"/>
      <c r="DE25" s="383"/>
      <c r="DF25" s="383"/>
      <c r="DG25" s="1">
        <f>DG5*0.22</f>
        <v>4967.8525820034556</v>
      </c>
      <c r="DH25" s="383"/>
      <c r="DI25" s="383"/>
      <c r="DJ25" s="383"/>
      <c r="DK25" s="383"/>
      <c r="DL25" s="1">
        <f>DL5*0.22</f>
        <v>5151.0265351307662</v>
      </c>
      <c r="DM25" s="383"/>
      <c r="DN25" s="383"/>
      <c r="DO25" s="383"/>
      <c r="DP25" s="383"/>
      <c r="DQ25" s="1">
        <f>DQ5*0.22</f>
        <v>5410.1771333557153</v>
      </c>
      <c r="DR25" s="383"/>
      <c r="DS25" s="383"/>
      <c r="DT25" s="383"/>
      <c r="DU25" s="383"/>
      <c r="DV25" s="1">
        <f>DV5*0.22</f>
        <v>5573.1971829232361</v>
      </c>
      <c r="DW25" s="383"/>
      <c r="DX25" s="383"/>
      <c r="DY25" s="383"/>
      <c r="DZ25" s="383"/>
      <c r="EA25" s="1">
        <f>EA5*0.22</f>
        <v>5659.100150016875</v>
      </c>
      <c r="EB25" s="383"/>
      <c r="EC25" s="383"/>
      <c r="ED25" s="383"/>
      <c r="EE25" s="383"/>
      <c r="EF25" s="1">
        <f>EF5*0.22</f>
        <v>5629.6123551166274</v>
      </c>
      <c r="EG25" s="383"/>
      <c r="EH25" s="383"/>
      <c r="EI25" s="383"/>
      <c r="EJ25" s="383"/>
      <c r="EK25" s="1">
        <f>EK5*0.22</f>
        <v>5627.9469727768992</v>
      </c>
      <c r="EL25" s="383"/>
      <c r="EM25" s="383"/>
      <c r="EN25" s="383"/>
      <c r="EO25" s="383"/>
      <c r="EP25" s="1">
        <f>EP5*0.22</f>
        <v>5236.527765967604</v>
      </c>
      <c r="EQ25" s="383"/>
      <c r="ER25" s="383"/>
      <c r="ES25" s="383"/>
      <c r="ET25" s="383"/>
      <c r="EU25" s="1">
        <f>EU5*0.22</f>
        <v>5028.8850555470717</v>
      </c>
      <c r="EV25" s="383"/>
      <c r="EW25" s="383"/>
      <c r="EX25" s="383"/>
      <c r="EY25" s="383"/>
      <c r="EZ25" s="1">
        <f>EZ5*0.22</f>
        <v>4899.2698857664909</v>
      </c>
    </row>
    <row r="26" spans="2:156" collapsed="1">
      <c r="B26" t="s">
        <v>168</v>
      </c>
      <c r="C26" s="1">
        <v>328</v>
      </c>
      <c r="D26" s="1">
        <v>360</v>
      </c>
      <c r="E26" s="1">
        <v>418</v>
      </c>
      <c r="F26" s="1">
        <v>471</v>
      </c>
      <c r="G26" s="1">
        <v>484</v>
      </c>
      <c r="H26" s="1">
        <v>515</v>
      </c>
      <c r="I26" s="1">
        <v>654</v>
      </c>
      <c r="J26" s="1">
        <v>827</v>
      </c>
      <c r="K26" s="1">
        <v>971</v>
      </c>
      <c r="L26" s="48">
        <v>246</v>
      </c>
      <c r="M26" s="48">
        <v>321</v>
      </c>
      <c r="N26" s="48">
        <v>377</v>
      </c>
      <c r="O26" s="48">
        <v>496</v>
      </c>
      <c r="P26" s="1">
        <v>1439</v>
      </c>
      <c r="Q26" s="48">
        <v>376</v>
      </c>
      <c r="R26" s="48">
        <v>438</v>
      </c>
      <c r="S26" s="48">
        <v>468</v>
      </c>
      <c r="T26" s="48">
        <v>611</v>
      </c>
      <c r="U26" s="1">
        <v>1892</v>
      </c>
      <c r="V26" s="48">
        <v>513</v>
      </c>
      <c r="W26" s="48">
        <v>587</v>
      </c>
      <c r="X26" s="48">
        <v>635</v>
      </c>
      <c r="Y26" s="48">
        <v>813</v>
      </c>
      <c r="Z26" s="1">
        <v>2548</v>
      </c>
      <c r="AA26" s="48">
        <v>577</v>
      </c>
      <c r="AB26" s="48">
        <v>646</v>
      </c>
      <c r="AC26" s="48">
        <v>656</v>
      </c>
      <c r="AD26" s="48">
        <v>913</v>
      </c>
      <c r="AE26" s="1">
        <v>2792</v>
      </c>
      <c r="AF26" s="48">
        <v>652</v>
      </c>
      <c r="AG26" s="48">
        <v>799</v>
      </c>
      <c r="AH26" s="48">
        <v>782</v>
      </c>
      <c r="AI26" s="48">
        <v>1001</v>
      </c>
      <c r="AJ26" s="1">
        <v>3234</v>
      </c>
      <c r="AK26" s="48">
        <v>748</v>
      </c>
      <c r="AL26" s="48">
        <v>840</v>
      </c>
      <c r="AM26" s="48">
        <v>804</v>
      </c>
      <c r="AN26" s="48">
        <v>990</v>
      </c>
      <c r="AO26" s="1">
        <v>3382</v>
      </c>
      <c r="AP26" s="48">
        <v>862</v>
      </c>
      <c r="AQ26" s="48">
        <v>894</v>
      </c>
      <c r="AR26" s="48">
        <v>890</v>
      </c>
      <c r="AS26" s="48">
        <v>1062</v>
      </c>
      <c r="AT26" s="1">
        <v>3708</v>
      </c>
      <c r="AU26" s="379">
        <v>774</v>
      </c>
      <c r="AV26" s="379">
        <v>891</v>
      </c>
      <c r="AW26" s="379">
        <v>913</v>
      </c>
      <c r="AX26" s="379">
        <v>1159</v>
      </c>
      <c r="AY26" s="1">
        <v>3737</v>
      </c>
      <c r="AZ26" s="48">
        <v>873</v>
      </c>
      <c r="BA26" s="48">
        <v>968</v>
      </c>
      <c r="BB26" s="48">
        <v>942</v>
      </c>
      <c r="BC26" s="48">
        <v>1142</v>
      </c>
      <c r="BD26" s="1">
        <v>3925</v>
      </c>
      <c r="BE26" s="48">
        <v>1011</v>
      </c>
      <c r="BF26" s="48">
        <v>1111</v>
      </c>
      <c r="BG26" s="48">
        <v>1113</v>
      </c>
      <c r="BH26" s="48">
        <v>1199</v>
      </c>
      <c r="BI26" s="1">
        <v>4434</v>
      </c>
      <c r="BJ26" s="379">
        <v>1057</v>
      </c>
      <c r="BK26" s="379">
        <v>1199</v>
      </c>
      <c r="BL26" s="379">
        <v>1110</v>
      </c>
      <c r="BM26" s="379">
        <v>1351</v>
      </c>
      <c r="BN26" s="1">
        <v>4717</v>
      </c>
      <c r="BO26" s="379">
        <f>1158-BO63-BO64</f>
        <v>1144</v>
      </c>
      <c r="BP26" s="379">
        <f>1256-BP63-BP64</f>
        <v>1237</v>
      </c>
      <c r="BQ26" s="379">
        <f>1249-BQ63-BQ64</f>
        <v>1218</v>
      </c>
      <c r="BR26" s="431">
        <f>1521-BR64-BR65</f>
        <v>1306</v>
      </c>
      <c r="BS26" s="1">
        <f>SUM(BO26:BR26)</f>
        <v>4905</v>
      </c>
      <c r="BT26" s="626">
        <f>1023-BT64-BT65-BT66</f>
        <v>983</v>
      </c>
      <c r="BU26" s="626">
        <f>1136-BU64-BU65-BU66</f>
        <v>1093</v>
      </c>
      <c r="BV26" s="626">
        <f>1213-BV64-BV65-BV66</f>
        <v>1027</v>
      </c>
      <c r="BW26" s="379">
        <f>1327-32+16-6</f>
        <v>1305</v>
      </c>
      <c r="BX26" s="1">
        <f>SUM(BT26:BW26)</f>
        <v>4408</v>
      </c>
      <c r="BY26" s="379">
        <f>1026-BY64-BY65-BY66</f>
        <v>993</v>
      </c>
      <c r="BZ26" s="379">
        <f>1160-BZ64-BZ65-BZ66</f>
        <v>1112</v>
      </c>
      <c r="CA26" s="379">
        <f>1244-CA64-CA65-CA66</f>
        <v>1206</v>
      </c>
      <c r="CB26" s="379">
        <f>1416-CB64-CB65-CB66</f>
        <v>1349</v>
      </c>
      <c r="CC26" s="1">
        <f>SUM(BY26:CB26)</f>
        <v>4660</v>
      </c>
      <c r="CD26" s="667">
        <f>1203-CD64-CD65-CD66</f>
        <v>1103</v>
      </c>
      <c r="CE26" s="667">
        <f>1292-CE64-CE65-CE66</f>
        <v>1260</v>
      </c>
      <c r="CF26" s="667">
        <f>1244-CF64-CF65-CF66</f>
        <v>1217</v>
      </c>
      <c r="CG26" s="667">
        <f>1323-CG64-CG65-CG66</f>
        <v>1297</v>
      </c>
      <c r="CH26" s="1">
        <f>SUM(CD26:CG26)</f>
        <v>4877</v>
      </c>
      <c r="CI26" s="379">
        <f>1064-CI64-CI65-CI66</f>
        <v>1039</v>
      </c>
      <c r="CJ26" s="379">
        <f>1209-CJ64-CJ65-CJ66</f>
        <v>1174</v>
      </c>
      <c r="CK26" s="379">
        <f>1170-CK64-CK65-CK66</f>
        <v>1147</v>
      </c>
      <c r="CL26" s="379">
        <f>1427-CL64-CL65-CL66</f>
        <v>1406</v>
      </c>
      <c r="CM26" s="1">
        <f>SUM(CI26:CL26)</f>
        <v>4766</v>
      </c>
      <c r="CN26" s="379">
        <f>1127-CN64-CN65-CN66</f>
        <v>1099</v>
      </c>
      <c r="CO26" s="379">
        <f>CR26*0.24</f>
        <v>1144.9199999999998</v>
      </c>
      <c r="CP26" s="379">
        <f>CR26*0.26</f>
        <v>1240.3299999999997</v>
      </c>
      <c r="CQ26" s="379">
        <f>CR26-SUM(CN26:CP26)</f>
        <v>1286.2499999999991</v>
      </c>
      <c r="CR26" s="1">
        <f>CHOOSE(DCF!$C$25,IS!CR23,IS!CR24,IS!CR25)</f>
        <v>4770.4999999999991</v>
      </c>
      <c r="CS26" s="379"/>
      <c r="CT26" s="379"/>
      <c r="CU26" s="379"/>
      <c r="CV26" s="379"/>
      <c r="CW26" s="1">
        <f>CHOOSE(DCF!$C$25,IS!CW23,IS!CW24,IS!CW25)</f>
        <v>4842.057499999999</v>
      </c>
      <c r="CX26" s="379"/>
      <c r="CY26" s="379"/>
      <c r="CZ26" s="379"/>
      <c r="DA26" s="379"/>
      <c r="DB26" s="1">
        <f>CHOOSE(DCF!$C$25,IS!DB23,IS!DB24,IS!DB25)</f>
        <v>4914.6883624999982</v>
      </c>
      <c r="DC26" s="379"/>
      <c r="DD26" s="379"/>
      <c r="DE26" s="379"/>
      <c r="DF26" s="379"/>
      <c r="DG26" s="1">
        <f>CHOOSE(DCF!$C$25,IS!DG23,IS!DG24,IS!DG25)</f>
        <v>4767.2477116249984</v>
      </c>
      <c r="DH26" s="379"/>
      <c r="DI26" s="379"/>
      <c r="DJ26" s="379"/>
      <c r="DK26" s="379"/>
      <c r="DL26" s="1">
        <f>CHOOSE(DCF!$C$25,IS!DL23,IS!DL24,IS!DL25)</f>
        <v>4624.2302802762479</v>
      </c>
      <c r="DM26" s="379"/>
      <c r="DN26" s="379"/>
      <c r="DO26" s="379"/>
      <c r="DP26" s="379"/>
      <c r="DQ26" s="1">
        <f>CHOOSE(DCF!$C$25,IS!DQ23,IS!DQ24,IS!DQ25)</f>
        <v>4577.9879774734854</v>
      </c>
      <c r="DR26" s="379"/>
      <c r="DS26" s="379"/>
      <c r="DT26" s="379"/>
      <c r="DU26" s="379"/>
      <c r="DV26" s="1">
        <f>CHOOSE(DCF!$C$25,IS!DV23,IS!DV24,IS!DV25)</f>
        <v>4532.2080976987509</v>
      </c>
      <c r="DW26" s="379"/>
      <c r="DX26" s="379"/>
      <c r="DY26" s="379"/>
      <c r="DZ26" s="379"/>
      <c r="EA26" s="1">
        <f>CHOOSE(DCF!$C$25,IS!EA23,IS!EA24,IS!EA25)</f>
        <v>4396.241854767788</v>
      </c>
      <c r="EB26" s="379"/>
      <c r="EC26" s="379"/>
      <c r="ED26" s="379"/>
      <c r="EE26" s="379"/>
      <c r="EF26" s="1">
        <f>CHOOSE(DCF!$C$25,IS!EF23,IS!EF24,IS!EF25)</f>
        <v>4341.2888315831906</v>
      </c>
      <c r="EG26" s="379"/>
      <c r="EH26" s="379"/>
      <c r="EI26" s="379"/>
      <c r="EJ26" s="379"/>
      <c r="EK26" s="1">
        <f>CHOOSE(DCF!$C$25,IS!EK23,IS!EK24,IS!EK25)</f>
        <v>4287.0227211884012</v>
      </c>
      <c r="EL26" s="379"/>
      <c r="EM26" s="379"/>
      <c r="EN26" s="379"/>
      <c r="EO26" s="379"/>
      <c r="EP26" s="1">
        <f>CHOOSE(DCF!$C$25,IS!EP23,IS!EP24,IS!EP25)</f>
        <v>4158.4120395527489</v>
      </c>
      <c r="EQ26" s="379"/>
      <c r="ER26" s="379"/>
      <c r="ES26" s="379"/>
      <c r="ET26" s="379"/>
      <c r="EU26" s="1">
        <f>CHOOSE(DCF!$C$25,IS!EU23,IS!EU24,IS!EU25)</f>
        <v>3950.4914375751114</v>
      </c>
      <c r="EV26" s="379"/>
      <c r="EW26" s="379"/>
      <c r="EX26" s="379"/>
      <c r="EY26" s="379"/>
      <c r="EZ26" s="1">
        <f>CHOOSE(DCF!$C$25,IS!EZ23,IS!EZ24,IS!EZ25)</f>
        <v>3752.9668656963559</v>
      </c>
    </row>
    <row r="27" spans="2:156" hidden="1" outlineLevel="1">
      <c r="B27" t="s">
        <v>169</v>
      </c>
      <c r="C27" s="1">
        <v>13</v>
      </c>
      <c r="D27" s="1">
        <v>31</v>
      </c>
      <c r="E27" s="1">
        <v>53</v>
      </c>
      <c r="F27" s="1">
        <v>53</v>
      </c>
      <c r="G27" s="1">
        <v>36</v>
      </c>
      <c r="H27" s="1">
        <v>29</v>
      </c>
      <c r="I27" s="1">
        <v>17</v>
      </c>
      <c r="J27" s="1">
        <v>24</v>
      </c>
      <c r="K27" s="1">
        <v>3</v>
      </c>
      <c r="L27" s="48">
        <v>-2</v>
      </c>
      <c r="M27" s="48">
        <v>-2</v>
      </c>
      <c r="N27" s="48">
        <v>-3</v>
      </c>
      <c r="O27" s="48">
        <v>-6</v>
      </c>
      <c r="P27" s="1">
        <v>-13</v>
      </c>
      <c r="Q27" s="48">
        <v>0</v>
      </c>
      <c r="R27" s="48">
        <v>0</v>
      </c>
      <c r="S27" s="48">
        <v>0</v>
      </c>
      <c r="T27" s="48">
        <v>0</v>
      </c>
      <c r="U27" s="1">
        <v>0</v>
      </c>
      <c r="V27" s="48">
        <v>0</v>
      </c>
      <c r="W27" s="48">
        <v>0</v>
      </c>
      <c r="X27" s="48">
        <v>0</v>
      </c>
      <c r="Y27" s="48">
        <v>0</v>
      </c>
      <c r="Z27" s="1">
        <v>0</v>
      </c>
      <c r="AA27" s="48">
        <v>0</v>
      </c>
      <c r="AB27" s="48">
        <v>0</v>
      </c>
      <c r="AC27" s="48">
        <v>0</v>
      </c>
      <c r="AD27" s="48">
        <v>0</v>
      </c>
      <c r="AE27" s="1">
        <v>0</v>
      </c>
      <c r="AF27" s="48">
        <v>0</v>
      </c>
      <c r="AG27" s="48">
        <v>0</v>
      </c>
      <c r="AH27" s="48">
        <v>0</v>
      </c>
      <c r="AI27" s="48">
        <v>0</v>
      </c>
      <c r="AJ27" s="1">
        <v>0</v>
      </c>
      <c r="AK27" s="48">
        <v>0</v>
      </c>
      <c r="AL27" s="48">
        <v>0</v>
      </c>
      <c r="AM27" s="48">
        <v>0</v>
      </c>
      <c r="AN27" s="48">
        <v>0</v>
      </c>
      <c r="AO27" s="1">
        <v>0</v>
      </c>
      <c r="AP27" s="48">
        <v>0</v>
      </c>
      <c r="AQ27" s="48">
        <v>0</v>
      </c>
      <c r="AR27" s="48">
        <v>0</v>
      </c>
      <c r="AS27" s="48">
        <v>0</v>
      </c>
      <c r="AT27" s="1">
        <v>0</v>
      </c>
      <c r="AU27" s="379"/>
      <c r="AV27" s="379"/>
      <c r="AW27" s="379"/>
      <c r="AX27" s="379"/>
      <c r="AY27" s="1">
        <v>0</v>
      </c>
      <c r="AZ27" s="48"/>
      <c r="BA27" s="48"/>
      <c r="BB27" s="48"/>
      <c r="BC27" s="48"/>
      <c r="BD27" s="1">
        <v>0</v>
      </c>
      <c r="BE27" s="48"/>
      <c r="BF27" s="48"/>
      <c r="BG27" s="48"/>
      <c r="BH27" s="48"/>
      <c r="BI27" s="1">
        <v>0</v>
      </c>
      <c r="BJ27" s="379">
        <v>0</v>
      </c>
      <c r="BK27" s="379">
        <v>0</v>
      </c>
      <c r="BL27" s="379">
        <v>0</v>
      </c>
      <c r="BM27" s="379">
        <v>0</v>
      </c>
      <c r="BN27" s="1">
        <v>0</v>
      </c>
      <c r="BO27" s="379">
        <v>0</v>
      </c>
      <c r="BP27" s="379">
        <v>0</v>
      </c>
      <c r="BQ27" s="379">
        <v>0</v>
      </c>
      <c r="BR27" s="382">
        <v>0</v>
      </c>
      <c r="BS27" s="1">
        <f>SUM(BO27:BR27)</f>
        <v>0</v>
      </c>
      <c r="BT27" s="624"/>
      <c r="BU27" s="382"/>
      <c r="BV27" s="382"/>
      <c r="BW27" s="382"/>
      <c r="BX27" s="1">
        <f>SUM(BT27:BW27)</f>
        <v>0</v>
      </c>
      <c r="BY27" s="382"/>
      <c r="BZ27" s="382"/>
      <c r="CA27" s="382"/>
      <c r="CB27" s="382"/>
      <c r="CC27" s="1">
        <f>SUM(BY27:CB27)</f>
        <v>0</v>
      </c>
      <c r="CD27" s="667"/>
      <c r="CE27" s="667"/>
      <c r="CF27" s="667"/>
      <c r="CG27" s="667"/>
      <c r="CH27" s="1">
        <f>SUM(CD27:CG27)</f>
        <v>0</v>
      </c>
      <c r="CI27" s="382"/>
      <c r="CJ27" s="382"/>
      <c r="CK27" s="382"/>
      <c r="CL27" s="382"/>
      <c r="CM27" s="1">
        <f>SUM(CI27:CL27)</f>
        <v>0</v>
      </c>
      <c r="CN27" s="382"/>
      <c r="CO27" s="382"/>
      <c r="CP27" s="382"/>
      <c r="CQ27" s="382"/>
      <c r="CR27" s="1">
        <f>SUM(CN27:CQ27)</f>
        <v>0</v>
      </c>
      <c r="CS27" s="382"/>
      <c r="CT27" s="382"/>
      <c r="CU27" s="382"/>
      <c r="CV27" s="382"/>
      <c r="CW27" s="1">
        <f>SUM(CS27:CV27)</f>
        <v>0</v>
      </c>
      <c r="CX27" s="382"/>
      <c r="CY27" s="382"/>
      <c r="CZ27" s="382"/>
      <c r="DA27" s="382"/>
      <c r="DB27" s="1">
        <f>SUM(CX27:DA27)</f>
        <v>0</v>
      </c>
      <c r="DC27" s="382"/>
      <c r="DD27" s="382"/>
      <c r="DE27" s="382"/>
      <c r="DF27" s="382"/>
      <c r="DG27" s="1">
        <f>SUM(DC27:DF27)</f>
        <v>0</v>
      </c>
      <c r="DH27" s="382"/>
      <c r="DI27" s="382"/>
      <c r="DJ27" s="382"/>
      <c r="DK27" s="382"/>
      <c r="DL27">
        <f>SUM(DH27:DK27)</f>
        <v>0</v>
      </c>
      <c r="DM27" s="382"/>
      <c r="DN27" s="382"/>
      <c r="DO27" s="382"/>
      <c r="DP27" s="382"/>
      <c r="DQ27">
        <f>SUM(DM27:DP27)</f>
        <v>0</v>
      </c>
      <c r="DR27" s="382"/>
      <c r="DS27" s="382"/>
      <c r="DT27" s="382"/>
      <c r="DU27" s="382"/>
      <c r="DV27">
        <f>SUM(DR27:DU27)</f>
        <v>0</v>
      </c>
      <c r="DW27" s="382"/>
      <c r="DX27" s="382"/>
      <c r="DY27" s="382"/>
      <c r="DZ27" s="382"/>
      <c r="EA27">
        <f>SUM(DW27:DZ27)</f>
        <v>0</v>
      </c>
      <c r="EB27" s="382"/>
      <c r="EC27" s="382"/>
      <c r="ED27" s="382"/>
      <c r="EE27" s="382"/>
      <c r="EF27">
        <f>SUM(EB27:EE27)</f>
        <v>0</v>
      </c>
      <c r="EG27" s="382"/>
      <c r="EH27" s="382"/>
      <c r="EI27" s="382"/>
      <c r="EJ27" s="382"/>
      <c r="EK27">
        <f>SUM(EG27:EJ27)</f>
        <v>0</v>
      </c>
      <c r="EL27" s="382"/>
      <c r="EM27" s="382"/>
      <c r="EN27" s="382"/>
      <c r="EO27" s="382"/>
      <c r="EP27">
        <f>SUM(EL27:EO27)</f>
        <v>0</v>
      </c>
      <c r="EQ27" s="382"/>
      <c r="ER27" s="382"/>
      <c r="ES27" s="382"/>
      <c r="ET27" s="382"/>
      <c r="EU27">
        <f>SUM(EQ27:ET27)</f>
        <v>0</v>
      </c>
      <c r="EV27" s="382"/>
      <c r="EW27" s="382"/>
      <c r="EX27" s="382"/>
      <c r="EY27" s="382"/>
      <c r="EZ27">
        <f>SUM(EV27:EY27)</f>
        <v>0</v>
      </c>
    </row>
    <row r="28" spans="2:156" hidden="1" outlineLevel="1">
      <c r="B28" t="s">
        <v>170</v>
      </c>
      <c r="C28" s="1">
        <v>-14</v>
      </c>
      <c r="D28" s="1">
        <v>116</v>
      </c>
      <c r="E28" s="1">
        <v>0</v>
      </c>
      <c r="F28" s="1">
        <v>0</v>
      </c>
      <c r="G28" s="1">
        <v>157</v>
      </c>
      <c r="H28" s="1">
        <v>-23</v>
      </c>
      <c r="I28" s="1">
        <v>-49</v>
      </c>
      <c r="J28" s="1">
        <v>-19</v>
      </c>
      <c r="K28" s="1">
        <v>203</v>
      </c>
      <c r="L28" s="48">
        <v>0</v>
      </c>
      <c r="M28" s="48">
        <v>0</v>
      </c>
      <c r="N28" s="48">
        <v>0</v>
      </c>
      <c r="O28" s="48">
        <v>0</v>
      </c>
      <c r="P28" s="1">
        <v>0</v>
      </c>
      <c r="Q28" s="48">
        <v>0</v>
      </c>
      <c r="R28" s="48">
        <v>0</v>
      </c>
      <c r="S28" s="48">
        <v>0</v>
      </c>
      <c r="T28" s="48">
        <v>0</v>
      </c>
      <c r="U28" s="1">
        <v>0</v>
      </c>
      <c r="V28" s="48">
        <v>0</v>
      </c>
      <c r="W28" s="48">
        <v>0</v>
      </c>
      <c r="X28" s="48">
        <v>0</v>
      </c>
      <c r="Y28" s="48">
        <v>0</v>
      </c>
      <c r="Z28" s="1">
        <v>0</v>
      </c>
      <c r="AA28" s="48">
        <v>0</v>
      </c>
      <c r="AB28" s="48">
        <v>0</v>
      </c>
      <c r="AC28" s="48">
        <v>0</v>
      </c>
      <c r="AD28" s="48">
        <v>0</v>
      </c>
      <c r="AE28" s="1">
        <v>0</v>
      </c>
      <c r="AF28" s="48">
        <v>0</v>
      </c>
      <c r="AG28" s="48">
        <v>0</v>
      </c>
      <c r="AH28" s="48">
        <v>0</v>
      </c>
      <c r="AI28" s="48">
        <v>0</v>
      </c>
      <c r="AJ28" s="1">
        <v>0</v>
      </c>
      <c r="AK28" s="48">
        <v>0</v>
      </c>
      <c r="AL28" s="48">
        <v>0</v>
      </c>
      <c r="AM28" s="48">
        <v>0</v>
      </c>
      <c r="AN28" s="48">
        <v>0</v>
      </c>
      <c r="AO28" s="1">
        <v>0</v>
      </c>
      <c r="AP28" s="48">
        <v>0</v>
      </c>
      <c r="AQ28" s="48">
        <v>0</v>
      </c>
      <c r="AR28" s="48">
        <v>0</v>
      </c>
      <c r="AS28" s="48">
        <v>0</v>
      </c>
      <c r="AT28" s="1">
        <v>0</v>
      </c>
      <c r="AU28" s="379"/>
      <c r="AV28" s="379"/>
      <c r="AW28" s="379"/>
      <c r="AX28" s="379"/>
      <c r="AY28" s="1">
        <v>0</v>
      </c>
      <c r="AZ28" s="48"/>
      <c r="BA28" s="48"/>
      <c r="BB28" s="48"/>
      <c r="BC28" s="48"/>
      <c r="BD28" s="1">
        <v>0</v>
      </c>
      <c r="BE28" s="48"/>
      <c r="BF28" s="48"/>
      <c r="BG28" s="48"/>
      <c r="BH28" s="48"/>
      <c r="BI28" s="1">
        <v>0</v>
      </c>
      <c r="BJ28" s="379">
        <v>0</v>
      </c>
      <c r="BK28" s="379">
        <v>0</v>
      </c>
      <c r="BL28" s="379">
        <v>0</v>
      </c>
      <c r="BM28" s="379">
        <v>0</v>
      </c>
      <c r="BN28" s="1">
        <v>0</v>
      </c>
      <c r="BO28" s="379">
        <v>0</v>
      </c>
      <c r="BP28" s="379">
        <v>0</v>
      </c>
      <c r="BQ28" s="379">
        <v>0</v>
      </c>
      <c r="BR28" s="382">
        <v>0</v>
      </c>
      <c r="BS28" s="1">
        <f>SUM(BO28:BR28)</f>
        <v>0</v>
      </c>
      <c r="BT28" s="624">
        <f>17+BT72</f>
        <v>0</v>
      </c>
      <c r="BU28" s="382">
        <f>6+14+23+BU72</f>
        <v>0</v>
      </c>
      <c r="BV28" s="382">
        <f>266+BV72</f>
        <v>0</v>
      </c>
      <c r="BW28" s="382">
        <f>128+BW72</f>
        <v>0</v>
      </c>
      <c r="BX28" s="1">
        <f>SUM(BT28:BW28)</f>
        <v>0</v>
      </c>
      <c r="BY28" s="382"/>
      <c r="BZ28" s="382"/>
      <c r="CA28" s="382"/>
      <c r="CB28" s="382"/>
      <c r="CC28" s="1">
        <f>SUM(BY28:CB28)</f>
        <v>0</v>
      </c>
      <c r="CD28" s="382"/>
      <c r="CE28" s="382"/>
      <c r="CF28" s="382"/>
      <c r="CG28" s="382"/>
      <c r="CH28" s="1">
        <f>SUM(CD28:CG28)</f>
        <v>0</v>
      </c>
      <c r="CI28" s="382"/>
      <c r="CJ28" s="382"/>
      <c r="CK28" s="382"/>
      <c r="CL28" s="382"/>
      <c r="CM28" s="1">
        <f>SUM(CI28:CL28)</f>
        <v>0</v>
      </c>
      <c r="CN28" s="382">
        <v>-3</v>
      </c>
      <c r="CO28" s="382"/>
      <c r="CP28" s="382"/>
      <c r="CQ28" s="382"/>
      <c r="CR28" s="1">
        <f>SUM(CN28:CQ28)</f>
        <v>-3</v>
      </c>
      <c r="CS28" s="382"/>
      <c r="CT28" s="382"/>
      <c r="CU28" s="382"/>
      <c r="CV28" s="382"/>
      <c r="CW28" s="1">
        <f>SUM(CS28:CV28)</f>
        <v>0</v>
      </c>
      <c r="CX28" s="382"/>
      <c r="CY28" s="382"/>
      <c r="CZ28" s="382"/>
      <c r="DA28" s="382"/>
      <c r="DB28" s="1">
        <f>SUM(CX28:DA28)</f>
        <v>0</v>
      </c>
      <c r="DC28" s="382"/>
      <c r="DD28" s="382"/>
      <c r="DE28" s="382"/>
      <c r="DF28" s="382"/>
      <c r="DG28" s="1">
        <f>SUM(DC28:DF28)</f>
        <v>0</v>
      </c>
      <c r="DH28" s="382"/>
      <c r="DI28" s="382"/>
      <c r="DJ28" s="382"/>
      <c r="DK28" s="382"/>
      <c r="DL28">
        <f>SUM(DH28:DK28)</f>
        <v>0</v>
      </c>
      <c r="DM28" s="382"/>
      <c r="DN28" s="382"/>
      <c r="DO28" s="382"/>
      <c r="DP28" s="382"/>
      <c r="DQ28">
        <f>SUM(DM28:DP28)</f>
        <v>0</v>
      </c>
      <c r="DR28" s="382"/>
      <c r="DS28" s="382"/>
      <c r="DT28" s="382"/>
      <c r="DU28" s="382"/>
      <c r="DV28">
        <f>SUM(DR28:DU28)</f>
        <v>0</v>
      </c>
      <c r="DW28" s="382"/>
      <c r="DX28" s="382"/>
      <c r="DY28" s="382"/>
      <c r="DZ28" s="382"/>
      <c r="EA28">
        <f>SUM(DW28:DZ28)</f>
        <v>0</v>
      </c>
      <c r="EB28" s="382"/>
      <c r="EC28" s="382"/>
      <c r="ED28" s="382"/>
      <c r="EE28" s="382"/>
      <c r="EF28">
        <f>SUM(EB28:EE28)</f>
        <v>0</v>
      </c>
      <c r="EG28" s="382"/>
      <c r="EH28" s="382"/>
      <c r="EI28" s="382"/>
      <c r="EJ28" s="382"/>
      <c r="EK28">
        <f>SUM(EG28:EJ28)</f>
        <v>0</v>
      </c>
      <c r="EL28" s="382"/>
      <c r="EM28" s="382"/>
      <c r="EN28" s="382"/>
      <c r="EO28" s="382"/>
      <c r="EP28">
        <f>SUM(EL28:EO28)</f>
        <v>0</v>
      </c>
      <c r="EQ28" s="382"/>
      <c r="ER28" s="382"/>
      <c r="ES28" s="382"/>
      <c r="ET28" s="382"/>
      <c r="EU28">
        <f>SUM(EQ28:ET28)</f>
        <v>0</v>
      </c>
      <c r="EV28" s="382"/>
      <c r="EW28" s="382"/>
      <c r="EX28" s="382"/>
      <c r="EY28" s="382"/>
      <c r="EZ28">
        <f>SUM(EV28:EY28)</f>
        <v>0</v>
      </c>
    </row>
    <row r="29" spans="2:156" collapsed="1">
      <c r="B29" s="26" t="s">
        <v>112</v>
      </c>
      <c r="C29" s="36">
        <f t="shared" ref="C29:AH29" si="6">C10-C19-C26-C27-C28</f>
        <v>572</v>
      </c>
      <c r="D29" s="36">
        <f t="shared" si="6"/>
        <v>579</v>
      </c>
      <c r="E29" s="36">
        <f t="shared" si="6"/>
        <v>744</v>
      </c>
      <c r="F29" s="36">
        <f t="shared" si="6"/>
        <v>905</v>
      </c>
      <c r="G29" s="36">
        <f t="shared" si="6"/>
        <v>792</v>
      </c>
      <c r="H29" s="36">
        <f t="shared" si="6"/>
        <v>1189</v>
      </c>
      <c r="I29" s="36">
        <f t="shared" si="6"/>
        <v>1493</v>
      </c>
      <c r="J29" s="36">
        <f t="shared" si="6"/>
        <v>1544</v>
      </c>
      <c r="K29" s="36">
        <f t="shared" si="6"/>
        <v>1531</v>
      </c>
      <c r="L29" s="49">
        <f t="shared" si="6"/>
        <v>458</v>
      </c>
      <c r="M29" s="49">
        <f t="shared" si="6"/>
        <v>564</v>
      </c>
      <c r="N29" s="49">
        <f t="shared" si="6"/>
        <v>620</v>
      </c>
      <c r="O29" s="49">
        <f t="shared" si="6"/>
        <v>666</v>
      </c>
      <c r="P29" s="36">
        <f t="shared" si="6"/>
        <v>2308</v>
      </c>
      <c r="Q29" s="49">
        <f t="shared" si="6"/>
        <v>765</v>
      </c>
      <c r="R29" s="49">
        <f t="shared" si="6"/>
        <v>894</v>
      </c>
      <c r="S29" s="49">
        <f t="shared" si="6"/>
        <v>1004</v>
      </c>
      <c r="T29" s="49">
        <f t="shared" si="6"/>
        <v>857</v>
      </c>
      <c r="U29" s="36">
        <f t="shared" si="6"/>
        <v>3521</v>
      </c>
      <c r="V29" s="49">
        <f t="shared" si="6"/>
        <v>1026</v>
      </c>
      <c r="W29" s="49">
        <f t="shared" si="6"/>
        <v>1103</v>
      </c>
      <c r="X29" s="49">
        <f t="shared" si="6"/>
        <v>1136</v>
      </c>
      <c r="Y29" s="49">
        <f t="shared" si="6"/>
        <v>1012</v>
      </c>
      <c r="Z29" s="36">
        <f t="shared" si="6"/>
        <v>4277</v>
      </c>
      <c r="AA29" s="49">
        <f t="shared" si="6"/>
        <v>1246</v>
      </c>
      <c r="AB29" s="49">
        <f t="shared" si="6"/>
        <v>1432</v>
      </c>
      <c r="AC29" s="49">
        <f t="shared" si="6"/>
        <v>1434</v>
      </c>
      <c r="AD29" s="49">
        <f t="shared" si="6"/>
        <v>1189</v>
      </c>
      <c r="AE29" s="36">
        <f t="shared" si="6"/>
        <v>5301</v>
      </c>
      <c r="AF29" s="49">
        <f t="shared" si="6"/>
        <v>1389</v>
      </c>
      <c r="AG29" s="49">
        <f t="shared" si="6"/>
        <v>1584</v>
      </c>
      <c r="AH29" s="49">
        <f t="shared" si="6"/>
        <v>1510</v>
      </c>
      <c r="AI29" s="49">
        <f t="shared" ref="AI29:BN29" si="7">AI10-AI19-AI26-AI27-AI28</f>
        <v>1280</v>
      </c>
      <c r="AJ29" s="36">
        <f t="shared" si="7"/>
        <v>5763</v>
      </c>
      <c r="AK29" s="49">
        <f t="shared" si="7"/>
        <v>1577</v>
      </c>
      <c r="AL29" s="49">
        <f t="shared" si="7"/>
        <v>1565</v>
      </c>
      <c r="AM29" s="49">
        <f t="shared" si="7"/>
        <v>1523</v>
      </c>
      <c r="AN29" s="49">
        <f t="shared" si="7"/>
        <v>1405</v>
      </c>
      <c r="AO29" s="36">
        <f t="shared" si="7"/>
        <v>6070</v>
      </c>
      <c r="AP29" s="49">
        <f t="shared" si="7"/>
        <v>1548</v>
      </c>
      <c r="AQ29" s="49">
        <f t="shared" si="7"/>
        <v>1579</v>
      </c>
      <c r="AR29" s="49">
        <f t="shared" si="7"/>
        <v>1695</v>
      </c>
      <c r="AS29" s="49">
        <f t="shared" si="7"/>
        <v>1370</v>
      </c>
      <c r="AT29" s="36">
        <f t="shared" si="7"/>
        <v>6192</v>
      </c>
      <c r="AU29" s="380">
        <f t="shared" si="7"/>
        <v>1455</v>
      </c>
      <c r="AV29" s="380">
        <f t="shared" si="7"/>
        <v>1638</v>
      </c>
      <c r="AW29" s="380">
        <f t="shared" si="7"/>
        <v>1744</v>
      </c>
      <c r="AX29" s="380">
        <f t="shared" si="7"/>
        <v>1251</v>
      </c>
      <c r="AY29" s="36">
        <f t="shared" si="7"/>
        <v>6088</v>
      </c>
      <c r="AZ29" s="49">
        <f t="shared" si="7"/>
        <v>1598</v>
      </c>
      <c r="BA29" s="49">
        <f t="shared" si="7"/>
        <v>1645</v>
      </c>
      <c r="BB29" s="49">
        <f t="shared" si="7"/>
        <v>1601</v>
      </c>
      <c r="BC29" s="49">
        <f t="shared" si="7"/>
        <v>1306</v>
      </c>
      <c r="BD29" s="36">
        <f t="shared" si="7"/>
        <v>6150</v>
      </c>
      <c r="BE29" s="49">
        <f t="shared" si="7"/>
        <v>1452</v>
      </c>
      <c r="BF29" s="49">
        <f t="shared" si="7"/>
        <v>1471</v>
      </c>
      <c r="BG29" s="49">
        <f t="shared" si="7"/>
        <v>1475</v>
      </c>
      <c r="BH29" s="49">
        <f t="shared" si="7"/>
        <v>1289</v>
      </c>
      <c r="BI29" s="36">
        <f t="shared" si="7"/>
        <v>5687</v>
      </c>
      <c r="BJ29" s="380">
        <f t="shared" si="7"/>
        <v>1602</v>
      </c>
      <c r="BK29" s="380">
        <f t="shared" si="7"/>
        <v>1803</v>
      </c>
      <c r="BL29" s="380">
        <f t="shared" si="7"/>
        <v>1686</v>
      </c>
      <c r="BM29" s="380">
        <f t="shared" si="7"/>
        <v>1426</v>
      </c>
      <c r="BN29" s="36">
        <f t="shared" si="7"/>
        <v>6517</v>
      </c>
      <c r="BO29" s="380">
        <f t="shared" ref="BO29:CQ29" si="8">BO10-BO19-BO26-BO27-BO28</f>
        <v>1572</v>
      </c>
      <c r="BP29" s="380">
        <f t="shared" si="8"/>
        <v>1784</v>
      </c>
      <c r="BQ29" s="380">
        <f t="shared" si="8"/>
        <v>1849</v>
      </c>
      <c r="BR29" s="380">
        <f t="shared" si="8"/>
        <v>1767</v>
      </c>
      <c r="BS29" s="36">
        <f t="shared" si="8"/>
        <v>6972</v>
      </c>
      <c r="BT29" s="380">
        <f t="shared" si="8"/>
        <v>1860</v>
      </c>
      <c r="BU29" s="380">
        <f>BU10-BU19-BU26-BU27-BU28</f>
        <v>2319</v>
      </c>
      <c r="BV29" s="380">
        <f>BV10-BV19-BV26-BV27-BV28</f>
        <v>2263</v>
      </c>
      <c r="BW29" s="380">
        <f t="shared" si="8"/>
        <v>2033</v>
      </c>
      <c r="BX29" s="36">
        <f t="shared" si="8"/>
        <v>8475</v>
      </c>
      <c r="BY29" s="380">
        <f t="shared" si="8"/>
        <v>2449</v>
      </c>
      <c r="BZ29" s="380">
        <f>BZ10-BZ19-BZ26-BZ27-BZ28</f>
        <v>2551</v>
      </c>
      <c r="CA29" s="380">
        <f>CA10-CA19-CA26-CA27-CA28</f>
        <v>2686</v>
      </c>
      <c r="CB29" s="380">
        <f t="shared" si="8"/>
        <v>2366</v>
      </c>
      <c r="CC29" s="36">
        <f>CC10-CC19-CC26-CC27-CC28</f>
        <v>10052</v>
      </c>
      <c r="CD29" s="380">
        <f t="shared" si="8"/>
        <v>2859</v>
      </c>
      <c r="CE29" s="380">
        <f>CE10-CE19-CE26-CE27-CE28</f>
        <v>2812</v>
      </c>
      <c r="CF29" s="380">
        <f>CF10-CF19-CF26-CF27-CF28</f>
        <v>2916</v>
      </c>
      <c r="CG29" s="380">
        <f t="shared" si="8"/>
        <v>2859</v>
      </c>
      <c r="CH29" s="36">
        <f>CH10-CH19-CH26-CH27-CH28</f>
        <v>11446</v>
      </c>
      <c r="CI29" s="380">
        <f t="shared" si="8"/>
        <v>2995</v>
      </c>
      <c r="CJ29" s="380">
        <f t="shared" si="8"/>
        <v>3075</v>
      </c>
      <c r="CK29" s="380">
        <f t="shared" si="8"/>
        <v>3033</v>
      </c>
      <c r="CL29" s="380">
        <f t="shared" si="8"/>
        <v>2555</v>
      </c>
      <c r="CM29" s="36">
        <f>CM10-CM19-CM26-CM27-CM28</f>
        <v>11658</v>
      </c>
      <c r="CN29" s="380">
        <f t="shared" si="8"/>
        <v>3041</v>
      </c>
      <c r="CO29" s="380">
        <f t="shared" si="8"/>
        <v>2978.273487538745</v>
      </c>
      <c r="CP29" s="380">
        <f t="shared" si="8"/>
        <v>2849.0129101130997</v>
      </c>
      <c r="CQ29" s="380">
        <f t="shared" si="8"/>
        <v>2638.6040563668444</v>
      </c>
      <c r="CR29" s="36">
        <f>CR10-CR19-CR26-CR27-CR28</f>
        <v>11506.890454018681</v>
      </c>
      <c r="CS29" s="380"/>
      <c r="CT29" s="380"/>
      <c r="CU29" s="380"/>
      <c r="CV29" s="380"/>
      <c r="CW29" s="36">
        <f>CW10-CW19-CW26-CW27-CW28</f>
        <v>11176.801947706226</v>
      </c>
      <c r="CX29" s="380"/>
      <c r="CY29" s="380"/>
      <c r="CZ29" s="380"/>
      <c r="DA29" s="380"/>
      <c r="DB29" s="36">
        <f>DB10-DB19-DB26-DB27-DB28</f>
        <v>11192.839149530999</v>
      </c>
      <c r="DC29" s="380"/>
      <c r="DD29" s="380"/>
      <c r="DE29" s="380"/>
      <c r="DF29" s="380"/>
      <c r="DG29" s="36">
        <f>DG10-DG19-DG26-DG27-DG28</f>
        <v>11025.022594720256</v>
      </c>
      <c r="DH29" s="380"/>
      <c r="DI29" s="380"/>
      <c r="DJ29" s="380"/>
      <c r="DK29" s="380"/>
      <c r="DL29" s="36">
        <f>DL10-DL19-DL26-DL27-DL28</f>
        <v>11685.144505960798</v>
      </c>
      <c r="DM29" s="380"/>
      <c r="DN29" s="380"/>
      <c r="DO29" s="380"/>
      <c r="DP29" s="380"/>
      <c r="DQ29" s="36">
        <f>DQ10-DQ19-DQ26-DQ27-DQ28</f>
        <v>12500.608189599878</v>
      </c>
      <c r="DR29" s="380"/>
      <c r="DS29" s="380"/>
      <c r="DT29" s="380"/>
      <c r="DU29" s="380"/>
      <c r="DV29" s="36">
        <f>DV10-DV19-DV26-DV27-DV28</f>
        <v>13091.535471390149</v>
      </c>
      <c r="DW29" s="380"/>
      <c r="DX29" s="380"/>
      <c r="DY29" s="380"/>
      <c r="DZ29" s="380"/>
      <c r="EA29" s="36">
        <f>EA10-EA19-EA26-EA27-EA28</f>
        <v>13388.674942576152</v>
      </c>
      <c r="EB29" s="380"/>
      <c r="EC29" s="380"/>
      <c r="ED29" s="380"/>
      <c r="EE29" s="380"/>
      <c r="EF29" s="36">
        <f>EF10-EF19-EF26-EF27-EF28</f>
        <v>13168.178199728438</v>
      </c>
      <c r="EG29" s="380"/>
      <c r="EH29" s="380"/>
      <c r="EI29" s="380"/>
      <c r="EJ29" s="380"/>
      <c r="EK29" s="36">
        <f>EK10-EK19-EK26-EK27-EK28</f>
        <v>13042.552521040008</v>
      </c>
      <c r="EL29" s="380"/>
      <c r="EM29" s="380"/>
      <c r="EN29" s="380"/>
      <c r="EO29" s="380"/>
      <c r="EP29" s="36">
        <f>EP10-EP19-EP26-EP27-EP28</f>
        <v>11531.806652799918</v>
      </c>
      <c r="EQ29" s="380"/>
      <c r="ER29" s="380"/>
      <c r="ES29" s="380"/>
      <c r="ET29" s="380"/>
      <c r="EU29" s="36">
        <f>EU10-EU19-EU26-EU27-EU28</f>
        <v>10833.054282343135</v>
      </c>
      <c r="EV29" s="380"/>
      <c r="EW29" s="380"/>
      <c r="EX29" s="380"/>
      <c r="EY29" s="380"/>
      <c r="EZ29" s="36">
        <f>EZ10-EZ19-EZ26-EZ27-EZ28</f>
        <v>10442.796193235041</v>
      </c>
    </row>
    <row r="30" spans="2:156">
      <c r="C30" s="1"/>
      <c r="D30" s="1"/>
      <c r="E30" s="1"/>
      <c r="F30" s="1"/>
      <c r="G30" s="1"/>
      <c r="H30" s="1"/>
      <c r="I30" s="1"/>
      <c r="J30" s="1"/>
      <c r="K30" s="1"/>
      <c r="L30" s="48"/>
      <c r="M30" s="48"/>
      <c r="N30" s="48"/>
      <c r="O30" s="48"/>
      <c r="P30" s="1"/>
      <c r="Q30" s="48"/>
      <c r="R30" s="48"/>
      <c r="S30" s="48"/>
      <c r="T30" s="48"/>
      <c r="U30" s="1"/>
      <c r="V30" s="48"/>
      <c r="W30" s="48"/>
      <c r="X30" s="48"/>
      <c r="Y30" s="48"/>
      <c r="Z30" s="1"/>
      <c r="AA30" s="48"/>
      <c r="AB30" s="48"/>
      <c r="AC30" s="48"/>
      <c r="AD30" s="48"/>
      <c r="AE30" s="1"/>
      <c r="AF30" s="48"/>
      <c r="AG30" s="48"/>
      <c r="AH30" s="48"/>
      <c r="AI30" s="48"/>
      <c r="AJ30" s="1"/>
      <c r="AK30" s="48"/>
      <c r="AL30" s="48"/>
      <c r="AM30" s="48"/>
      <c r="AN30" s="48"/>
      <c r="AO30" s="1"/>
      <c r="AP30" s="48"/>
      <c r="AQ30" s="48"/>
      <c r="AR30" s="48"/>
      <c r="AS30" s="48"/>
      <c r="AT30" s="1"/>
      <c r="AU30" s="379"/>
      <c r="AV30" s="379"/>
      <c r="AW30" s="379"/>
      <c r="AX30" s="379"/>
      <c r="AY30" s="1"/>
      <c r="AZ30" s="48"/>
      <c r="BA30" s="48"/>
      <c r="BB30" s="48"/>
      <c r="BC30" s="48"/>
      <c r="BD30" s="1"/>
      <c r="BE30" s="48"/>
      <c r="BF30" s="48"/>
      <c r="BG30" s="48"/>
      <c r="BH30" s="48"/>
      <c r="BI30" s="1"/>
      <c r="BJ30" s="379"/>
      <c r="BK30" s="379"/>
      <c r="BL30" s="379"/>
      <c r="BM30" s="379"/>
      <c r="BN30" s="1"/>
      <c r="BO30" s="379"/>
      <c r="BP30" s="379"/>
      <c r="BQ30" s="379"/>
      <c r="BR30" s="392"/>
      <c r="BS30" s="32"/>
      <c r="BT30" s="624"/>
      <c r="BU30" s="382"/>
      <c r="BV30" s="382"/>
      <c r="BW30" s="382"/>
      <c r="BY30" s="382"/>
      <c r="BZ30" s="382"/>
      <c r="CA30" s="382"/>
      <c r="CB30" s="379"/>
      <c r="CD30" s="379"/>
      <c r="CE30" s="382"/>
      <c r="CF30" s="382"/>
      <c r="CG30" s="382"/>
      <c r="CI30" s="382"/>
      <c r="CJ30" s="383"/>
      <c r="CK30" s="382"/>
      <c r="CL30" s="382"/>
      <c r="CN30" s="382"/>
      <c r="CO30" s="382"/>
      <c r="CP30" s="382"/>
      <c r="CQ30" s="382"/>
      <c r="CS30" s="382"/>
      <c r="CT30" s="382"/>
      <c r="CU30" s="382"/>
      <c r="CV30" s="382"/>
      <c r="CX30" s="382"/>
      <c r="CY30" s="382"/>
      <c r="CZ30" s="382"/>
      <c r="DA30" s="382"/>
      <c r="DC30" s="382"/>
      <c r="DD30" s="382"/>
      <c r="DE30" s="382"/>
      <c r="DF30" s="382"/>
      <c r="DH30" s="382"/>
      <c r="DI30" s="382"/>
      <c r="DJ30" s="382"/>
      <c r="DK30" s="382"/>
      <c r="DM30" s="382"/>
      <c r="DN30" s="382"/>
      <c r="DO30" s="382"/>
      <c r="DP30" s="382"/>
      <c r="DR30" s="382"/>
      <c r="DS30" s="382"/>
      <c r="DT30" s="382"/>
      <c r="DU30" s="382"/>
      <c r="DW30" s="382"/>
      <c r="DX30" s="382"/>
      <c r="DY30" s="382"/>
      <c r="DZ30" s="382"/>
      <c r="EB30" s="382"/>
      <c r="EC30" s="382"/>
      <c r="ED30" s="382"/>
      <c r="EE30" s="382"/>
      <c r="EG30" s="382"/>
      <c r="EH30" s="382"/>
      <c r="EI30" s="382"/>
      <c r="EJ30" s="382"/>
      <c r="EL30" s="382"/>
      <c r="EM30" s="382"/>
      <c r="EN30" s="382"/>
      <c r="EO30" s="382"/>
      <c r="EQ30" s="382"/>
      <c r="ER30" s="382"/>
      <c r="ES30" s="382"/>
      <c r="ET30" s="382"/>
      <c r="EV30" s="382"/>
      <c r="EW30" s="382"/>
      <c r="EX30" s="382"/>
      <c r="EY30" s="382"/>
    </row>
    <row r="31" spans="2:156">
      <c r="B31" t="s">
        <v>173</v>
      </c>
      <c r="C31" s="1">
        <v>27</v>
      </c>
      <c r="D31" s="1">
        <v>22</v>
      </c>
      <c r="E31" s="1">
        <v>66</v>
      </c>
      <c r="F31" s="1">
        <v>64</v>
      </c>
      <c r="G31" s="1">
        <v>73</v>
      </c>
      <c r="H31" s="1">
        <v>46</v>
      </c>
      <c r="I31" s="1">
        <v>88</v>
      </c>
      <c r="J31" s="1">
        <v>146</v>
      </c>
      <c r="K31" s="1">
        <v>169</v>
      </c>
      <c r="L31" s="48">
        <v>44</v>
      </c>
      <c r="M31" s="48">
        <v>46</v>
      </c>
      <c r="N31" s="48">
        <v>24</v>
      </c>
      <c r="O31" s="48">
        <v>31</v>
      </c>
      <c r="P31" s="1">
        <v>144</v>
      </c>
      <c r="Q31" s="48">
        <v>33</v>
      </c>
      <c r="R31" s="48">
        <v>40</v>
      </c>
      <c r="S31" s="48">
        <v>17</v>
      </c>
      <c r="T31" s="48">
        <v>23</v>
      </c>
      <c r="U31" s="1">
        <v>113</v>
      </c>
      <c r="V31" s="48">
        <v>29</v>
      </c>
      <c r="W31" s="48">
        <v>18</v>
      </c>
      <c r="X31" s="48">
        <v>23</v>
      </c>
      <c r="Y31" s="48">
        <v>31</v>
      </c>
      <c r="Z31" s="1">
        <v>100</v>
      </c>
      <c r="AA31" s="48">
        <v>45</v>
      </c>
      <c r="AB31" s="48">
        <v>20</v>
      </c>
      <c r="AC31" s="48">
        <v>48</v>
      </c>
      <c r="AD31" s="48">
        <v>44</v>
      </c>
      <c r="AE31" s="1">
        <v>157</v>
      </c>
      <c r="AF31" s="48">
        <v>114</v>
      </c>
      <c r="AG31" s="48">
        <v>55</v>
      </c>
      <c r="AH31" s="48">
        <v>73</v>
      </c>
      <c r="AI31" s="48">
        <v>74</v>
      </c>
      <c r="AJ31" s="1">
        <v>316</v>
      </c>
      <c r="AK31" s="48">
        <v>79</v>
      </c>
      <c r="AL31" s="48">
        <v>41</v>
      </c>
      <c r="AM31" s="48">
        <v>71</v>
      </c>
      <c r="AN31" s="48">
        <v>87</v>
      </c>
      <c r="AO31" s="1">
        <v>278</v>
      </c>
      <c r="AP31" s="48">
        <v>118</v>
      </c>
      <c r="AQ31" s="48">
        <v>88</v>
      </c>
      <c r="AR31" s="48">
        <v>71</v>
      </c>
      <c r="AS31" s="48">
        <v>89</v>
      </c>
      <c r="AT31" s="1">
        <v>366</v>
      </c>
      <c r="AU31" s="379">
        <v>58</v>
      </c>
      <c r="AV31" s="379">
        <v>50</v>
      </c>
      <c r="AW31" s="379">
        <v>74</v>
      </c>
      <c r="AX31" s="379">
        <v>94</v>
      </c>
      <c r="AY31" s="1">
        <v>276</v>
      </c>
      <c r="AZ31" s="48">
        <v>84</v>
      </c>
      <c r="BA31" s="48">
        <v>94</v>
      </c>
      <c r="BB31" s="48">
        <v>105</v>
      </c>
      <c r="BC31" s="48">
        <v>93</v>
      </c>
      <c r="BD31" s="1">
        <v>376</v>
      </c>
      <c r="BE31" s="48">
        <v>148</v>
      </c>
      <c r="BF31" s="48">
        <v>129</v>
      </c>
      <c r="BG31" s="48">
        <v>87</v>
      </c>
      <c r="BH31" s="48">
        <v>84</v>
      </c>
      <c r="BI31" s="1">
        <v>448</v>
      </c>
      <c r="BJ31" s="379">
        <v>124</v>
      </c>
      <c r="BK31" s="379">
        <v>124</v>
      </c>
      <c r="BL31" s="379">
        <v>111</v>
      </c>
      <c r="BM31" s="379">
        <v>126</v>
      </c>
      <c r="BN31" s="1">
        <v>485</v>
      </c>
      <c r="BO31" s="379">
        <v>164</v>
      </c>
      <c r="BP31" s="379">
        <v>96</v>
      </c>
      <c r="BQ31" s="379">
        <v>72</v>
      </c>
      <c r="BR31" s="432">
        <v>88</v>
      </c>
      <c r="BS31" s="1">
        <f>SUM(BO31:BR31)</f>
        <v>420</v>
      </c>
      <c r="BT31" s="432">
        <v>99</v>
      </c>
      <c r="BU31" s="430">
        <v>138</v>
      </c>
      <c r="BV31" s="430">
        <v>140</v>
      </c>
      <c r="BW31" s="431">
        <v>88</v>
      </c>
      <c r="BX31" s="1">
        <f>SUM(BT31:BW31)</f>
        <v>465</v>
      </c>
      <c r="BY31" s="430">
        <v>106</v>
      </c>
      <c r="BZ31" s="430">
        <v>198</v>
      </c>
      <c r="CA31" s="430">
        <v>135</v>
      </c>
      <c r="CB31" s="431">
        <v>164</v>
      </c>
      <c r="CC31" s="1">
        <f>SUM(BY31:CB31)</f>
        <v>603</v>
      </c>
      <c r="CD31" s="430">
        <v>150</v>
      </c>
      <c r="CE31" s="430">
        <v>137</v>
      </c>
      <c r="CF31" s="430">
        <v>216</v>
      </c>
      <c r="CG31" s="430">
        <v>126</v>
      </c>
      <c r="CH31" s="1">
        <f>SUM(CD31:CG31)</f>
        <v>629</v>
      </c>
      <c r="CI31" s="432">
        <v>195</v>
      </c>
      <c r="CJ31" s="430">
        <v>165</v>
      </c>
      <c r="CK31" s="430">
        <v>267</v>
      </c>
      <c r="CL31" s="431">
        <v>301</v>
      </c>
      <c r="CM31" s="1">
        <f>SUM(CI31:CL31)</f>
        <v>928</v>
      </c>
      <c r="CN31" s="431">
        <v>231</v>
      </c>
      <c r="CO31" s="383">
        <f>CR31*0.24</f>
        <v>215.05847999999997</v>
      </c>
      <c r="CP31" s="383">
        <f>CR31*0.26</f>
        <v>232.98001999999997</v>
      </c>
      <c r="CQ31" s="379">
        <f>CR31-SUM(CN31:CP31)</f>
        <v>217.0385</v>
      </c>
      <c r="CR31" s="1">
        <f>(BS!AA3+BS!AA4+BS!AA14)*0.0215</f>
        <v>896.07699999999988</v>
      </c>
      <c r="CS31" s="382"/>
      <c r="CT31" s="382"/>
      <c r="CU31" s="382"/>
      <c r="CV31" s="382"/>
      <c r="CW31" s="1">
        <f>(BS!AB3+BS!AB4+BS!AB14)*0.025</f>
        <v>882.96532130494313</v>
      </c>
      <c r="CX31" s="382"/>
      <c r="CY31" s="382"/>
      <c r="CZ31" s="382"/>
      <c r="DA31" s="382"/>
      <c r="DB31" s="1">
        <f>(BS!AC3+BS!AC4+BS!AC14)*0.0275</f>
        <v>995.04517514328074</v>
      </c>
      <c r="DC31" s="382"/>
      <c r="DD31" s="382"/>
      <c r="DE31" s="382"/>
      <c r="DF31" s="382"/>
      <c r="DG31" s="1">
        <f>(BS!AD3+BS!AD4+BS!AD14)*0.03</f>
        <v>1118.8500270891475</v>
      </c>
      <c r="DH31" s="382"/>
      <c r="DI31" s="382"/>
      <c r="DJ31" s="382"/>
      <c r="DK31" s="382"/>
      <c r="DL31" s="1">
        <f>(BS!AE3+BS!AE4+BS!AE14)*0.0315</f>
        <v>1179.757559117809</v>
      </c>
      <c r="DM31" s="382"/>
      <c r="DN31" s="382"/>
      <c r="DO31" s="382"/>
      <c r="DP31" s="382"/>
      <c r="DQ31" s="1">
        <f>(BS!AF3+BS!AF4+BS!AF14)*0.0325</f>
        <v>1198.8121391160041</v>
      </c>
      <c r="DR31" s="382"/>
      <c r="DS31" s="382"/>
      <c r="DT31" s="382"/>
      <c r="DU31" s="382"/>
      <c r="DV31" s="1">
        <f>(BS!AG3+BS!AG4+BS!AG14)*0.0325</f>
        <v>1252.544380359351</v>
      </c>
      <c r="DW31" s="382"/>
      <c r="DX31" s="382"/>
      <c r="DY31" s="382"/>
      <c r="DZ31" s="382"/>
      <c r="EA31" s="1">
        <f>(BS!AH3+BS!AH4+BS!AH14)*0.0325</f>
        <v>1288.045012263613</v>
      </c>
      <c r="EB31" s="382"/>
      <c r="EC31" s="382"/>
      <c r="ED31" s="382"/>
      <c r="EE31" s="382"/>
      <c r="EF31" s="1">
        <f>(BS!AI3+BS!AI4+BS!AI14)*0.0325</f>
        <v>1337.9513650004162</v>
      </c>
      <c r="EG31" s="382"/>
      <c r="EH31" s="382"/>
      <c r="EI31" s="382"/>
      <c r="EJ31" s="382"/>
      <c r="EK31" s="1">
        <f>(BS!AJ3+BS!AJ4+BS!AJ14)*0.035</f>
        <v>1433.5916033604788</v>
      </c>
      <c r="EL31" s="382"/>
      <c r="EM31" s="382"/>
      <c r="EN31" s="382"/>
      <c r="EO31" s="382"/>
      <c r="EP31" s="1">
        <f>(BS!AK3+BS!AK4+BS!AK14)*0.035</f>
        <v>1520.566223033908</v>
      </c>
      <c r="EQ31" s="382"/>
      <c r="ER31" s="382"/>
      <c r="ES31" s="382"/>
      <c r="ET31" s="382"/>
      <c r="EU31" s="1">
        <f>(BS!AL3+BS!AL4+BS!AL14)*0.035</f>
        <v>1630.2220685816478</v>
      </c>
      <c r="EV31" s="382"/>
      <c r="EW31" s="382"/>
      <c r="EX31" s="382"/>
      <c r="EY31" s="382"/>
      <c r="EZ31" s="1">
        <f>(BS!AM3+BS!AM4+BS!AM14)*0.035</f>
        <v>1675.4713474706616</v>
      </c>
    </row>
    <row r="32" spans="2:156">
      <c r="B32" t="s">
        <v>174</v>
      </c>
      <c r="C32" s="1">
        <v>-6</v>
      </c>
      <c r="D32" s="1">
        <v>-12</v>
      </c>
      <c r="E32" s="1">
        <v>-15</v>
      </c>
      <c r="F32" s="1">
        <v>-6</v>
      </c>
      <c r="G32" s="1">
        <v>-4</v>
      </c>
      <c r="H32" s="1">
        <v>-10</v>
      </c>
      <c r="I32" s="1">
        <v>-15</v>
      </c>
      <c r="J32" s="1">
        <v>-16</v>
      </c>
      <c r="K32" s="1">
        <v>-14</v>
      </c>
      <c r="L32" s="48">
        <v>-7</v>
      </c>
      <c r="M32" s="48">
        <v>-13</v>
      </c>
      <c r="N32" s="48">
        <v>-12</v>
      </c>
      <c r="O32" s="48">
        <v>-13</v>
      </c>
      <c r="P32" s="1">
        <v>-44</v>
      </c>
      <c r="Q32" s="48">
        <v>-7</v>
      </c>
      <c r="R32" s="48">
        <v>-9</v>
      </c>
      <c r="S32" s="48">
        <v>-8</v>
      </c>
      <c r="T32" s="48">
        <v>-8</v>
      </c>
      <c r="U32" s="1">
        <v>-32</v>
      </c>
      <c r="V32" s="48">
        <v>-8</v>
      </c>
      <c r="W32" s="48">
        <v>-8</v>
      </c>
      <c r="X32" s="48">
        <v>-8</v>
      </c>
      <c r="Y32" s="48">
        <v>-30</v>
      </c>
      <c r="Z32" s="1">
        <v>-53</v>
      </c>
      <c r="AA32" s="48">
        <v>-35</v>
      </c>
      <c r="AB32" s="48">
        <v>-34</v>
      </c>
      <c r="AC32" s="48">
        <v>-34</v>
      </c>
      <c r="AD32" s="48">
        <v>-34</v>
      </c>
      <c r="AE32" s="1">
        <v>-137</v>
      </c>
      <c r="AF32" s="48">
        <v>-34</v>
      </c>
      <c r="AG32" s="48">
        <v>-34</v>
      </c>
      <c r="AH32" s="48">
        <v>-34</v>
      </c>
      <c r="AI32" s="48">
        <v>-34</v>
      </c>
      <c r="AJ32" s="1">
        <v>-136</v>
      </c>
      <c r="AK32" s="48">
        <v>-34</v>
      </c>
      <c r="AL32" s="48">
        <v>-34</v>
      </c>
      <c r="AM32" s="48">
        <v>-92</v>
      </c>
      <c r="AN32" s="48">
        <v>-86</v>
      </c>
      <c r="AO32" s="1">
        <v>-246</v>
      </c>
      <c r="AP32" s="48">
        <v>-96</v>
      </c>
      <c r="AQ32" s="48">
        <v>-79</v>
      </c>
      <c r="AR32" s="48">
        <v>-74</v>
      </c>
      <c r="AS32" s="48">
        <v>-71</v>
      </c>
      <c r="AT32" s="1">
        <v>-320</v>
      </c>
      <c r="AU32" s="379">
        <v>-86</v>
      </c>
      <c r="AV32" s="379">
        <v>-88</v>
      </c>
      <c r="AW32" s="379">
        <v>-76</v>
      </c>
      <c r="AX32" s="379">
        <v>-78</v>
      </c>
      <c r="AY32" s="1">
        <v>-328</v>
      </c>
      <c r="AZ32" s="48">
        <v>-80</v>
      </c>
      <c r="BA32" s="48">
        <v>-81</v>
      </c>
      <c r="BB32" s="48">
        <v>-83</v>
      </c>
      <c r="BC32" s="48">
        <v>-94</v>
      </c>
      <c r="BD32" s="1">
        <v>-338</v>
      </c>
      <c r="BE32" s="48">
        <v>-91</v>
      </c>
      <c r="BF32" s="48">
        <v>-90</v>
      </c>
      <c r="BG32" s="48">
        <v>-125</v>
      </c>
      <c r="BH32" s="48">
        <v>-161</v>
      </c>
      <c r="BI32" s="1">
        <v>-467</v>
      </c>
      <c r="BJ32" s="379">
        <v>-201</v>
      </c>
      <c r="BK32" s="379">
        <v>-221</v>
      </c>
      <c r="BL32" s="379">
        <v>-236</v>
      </c>
      <c r="BM32" s="379">
        <v>-255</v>
      </c>
      <c r="BN32" s="1">
        <v>-913</v>
      </c>
      <c r="BO32" s="379">
        <f>-263-BO75</f>
        <v>-251</v>
      </c>
      <c r="BP32" s="379">
        <v>-241</v>
      </c>
      <c r="BQ32" s="379">
        <f>-257-BQ75</f>
        <v>-235</v>
      </c>
      <c r="BR32" s="431">
        <v>-261</v>
      </c>
      <c r="BS32" s="1">
        <f>SUM(BO32:BR32)</f>
        <v>-988</v>
      </c>
      <c r="BT32" s="431">
        <v>-259</v>
      </c>
      <c r="BU32" s="430">
        <v>-282</v>
      </c>
      <c r="BV32" s="430">
        <v>-269</v>
      </c>
      <c r="BW32" s="430">
        <v>-261</v>
      </c>
      <c r="BX32" s="1">
        <f>SUM(BT32:BW32)</f>
        <v>-1071</v>
      </c>
      <c r="BY32" s="430">
        <v>-252</v>
      </c>
      <c r="BZ32" s="430">
        <v>-277</v>
      </c>
      <c r="CA32" s="430">
        <v>-282</v>
      </c>
      <c r="CB32" s="431">
        <v>-284</v>
      </c>
      <c r="CC32" s="1">
        <f>SUM(BY32:CB32)</f>
        <v>-1095</v>
      </c>
      <c r="CD32" s="430">
        <v>-294</v>
      </c>
      <c r="CE32" s="430">
        <v>-313</v>
      </c>
      <c r="CF32" s="430">
        <v>-325</v>
      </c>
      <c r="CG32" s="430">
        <v>-328</v>
      </c>
      <c r="CH32" s="1">
        <f>SUM(CD32:CG32)</f>
        <v>-1260</v>
      </c>
      <c r="CI32" s="430">
        <v>-326</v>
      </c>
      <c r="CJ32" s="430">
        <v>-321</v>
      </c>
      <c r="CK32" s="430">
        <v>-325</v>
      </c>
      <c r="CL32" s="430">
        <v>-332</v>
      </c>
      <c r="CM32" s="1">
        <f>SUM(CI32:CL32)</f>
        <v>-1304</v>
      </c>
      <c r="CN32" s="430">
        <f>-338+CN74+CN72</f>
        <v>-416</v>
      </c>
      <c r="CO32" s="383">
        <v>-345</v>
      </c>
      <c r="CP32" s="383">
        <v>-345</v>
      </c>
      <c r="CQ32" s="383">
        <f>CR32-SUM(CN32:CP32)</f>
        <v>-340.51693</v>
      </c>
      <c r="CR32" s="1">
        <f>-Debt!AC275-75</f>
        <v>-1446.51693</v>
      </c>
      <c r="CS32" s="383"/>
      <c r="CT32" s="383"/>
      <c r="CU32" s="383"/>
      <c r="CV32" s="383"/>
      <c r="CW32" s="1">
        <f>-Debt!AD275</f>
        <v>-1098.6394300000002</v>
      </c>
      <c r="CX32" s="383"/>
      <c r="CY32" s="383"/>
      <c r="CZ32" s="383"/>
      <c r="DA32" s="383"/>
      <c r="DB32" s="1">
        <f>-Debt!AE275</f>
        <v>-1018.2519300000001</v>
      </c>
      <c r="DC32" s="383"/>
      <c r="DD32" s="383"/>
      <c r="DE32" s="383"/>
      <c r="DF32" s="383"/>
      <c r="DG32" s="1">
        <f>-Debt!AF275</f>
        <v>-895.56443000000013</v>
      </c>
      <c r="DH32" s="383"/>
      <c r="DI32" s="383"/>
      <c r="DJ32" s="383"/>
      <c r="DK32" s="383"/>
      <c r="DL32" s="1">
        <f>-Debt!AG275</f>
        <v>-796.36443000000008</v>
      </c>
      <c r="DM32" s="383"/>
      <c r="DN32" s="383"/>
      <c r="DO32" s="383"/>
      <c r="DP32" s="383"/>
      <c r="DQ32" s="1">
        <f>-Debt!AH275</f>
        <v>-776.54152999999997</v>
      </c>
      <c r="DR32" s="383"/>
      <c r="DS32" s="383"/>
      <c r="DT32" s="383"/>
      <c r="DU32" s="383"/>
      <c r="DV32" s="1">
        <f>-Debt!AI275</f>
        <v>-725.79152999999997</v>
      </c>
      <c r="DW32" s="383"/>
      <c r="DX32" s="383"/>
      <c r="DY32" s="383"/>
      <c r="DZ32" s="383"/>
      <c r="EA32" s="1">
        <f>-Debt!AJ275</f>
        <v>-694.54152999999997</v>
      </c>
      <c r="EB32" s="383"/>
      <c r="EC32" s="383"/>
      <c r="ED32" s="383"/>
      <c r="EE32" s="383"/>
      <c r="EF32" s="1">
        <f>-Debt!AK275</f>
        <v>-608.71153000000004</v>
      </c>
      <c r="EG32" s="383"/>
      <c r="EH32" s="383"/>
      <c r="EI32" s="383"/>
      <c r="EJ32" s="383"/>
      <c r="EK32" s="1">
        <f>-Debt!AL275</f>
        <v>-576.71153000000004</v>
      </c>
      <c r="EL32" s="383"/>
      <c r="EM32" s="383"/>
      <c r="EN32" s="383"/>
      <c r="EO32" s="383"/>
      <c r="EP32" s="1">
        <f>-Debt!AM275</f>
        <v>-576.71153000000004</v>
      </c>
      <c r="EQ32" s="383"/>
      <c r="ER32" s="383"/>
      <c r="ES32" s="383"/>
      <c r="ET32" s="383"/>
      <c r="EU32" s="1">
        <f>-Debt!AN275</f>
        <v>-538.87153000000001</v>
      </c>
      <c r="EV32" s="383"/>
      <c r="EW32" s="383"/>
      <c r="EX32" s="383"/>
      <c r="EY32" s="383"/>
      <c r="EZ32" s="1">
        <f>-Debt!AO275</f>
        <v>-538.87153000000001</v>
      </c>
    </row>
    <row r="33" spans="2:166">
      <c r="B33" t="s">
        <v>73</v>
      </c>
      <c r="C33" s="1">
        <f>C29+C31+C32</f>
        <v>593</v>
      </c>
      <c r="D33" s="1">
        <f>D29+D31+D32</f>
        <v>589</v>
      </c>
      <c r="E33" s="1">
        <f>E29+E31+E32</f>
        <v>795</v>
      </c>
      <c r="F33" s="1">
        <f>F29+F31+F32</f>
        <v>963</v>
      </c>
      <c r="G33" s="1">
        <f t="shared" ref="G33:BT33" si="9">G29+G31+G32</f>
        <v>861</v>
      </c>
      <c r="H33" s="1">
        <f t="shared" si="9"/>
        <v>1225</v>
      </c>
      <c r="I33" s="1">
        <f t="shared" si="9"/>
        <v>1566</v>
      </c>
      <c r="J33" s="1">
        <f t="shared" si="9"/>
        <v>1674</v>
      </c>
      <c r="K33" s="1">
        <f t="shared" si="9"/>
        <v>1686</v>
      </c>
      <c r="L33" s="48">
        <f t="shared" si="9"/>
        <v>495</v>
      </c>
      <c r="M33" s="48">
        <f t="shared" si="9"/>
        <v>597</v>
      </c>
      <c r="N33" s="48">
        <f t="shared" si="9"/>
        <v>632</v>
      </c>
      <c r="O33" s="48">
        <f t="shared" si="9"/>
        <v>684</v>
      </c>
      <c r="P33" s="1">
        <f t="shared" si="9"/>
        <v>2408</v>
      </c>
      <c r="Q33" s="48">
        <f t="shared" si="9"/>
        <v>791</v>
      </c>
      <c r="R33" s="48">
        <f t="shared" si="9"/>
        <v>925</v>
      </c>
      <c r="S33" s="48">
        <f t="shared" si="9"/>
        <v>1013</v>
      </c>
      <c r="T33" s="48">
        <f t="shared" si="9"/>
        <v>872</v>
      </c>
      <c r="U33" s="1">
        <f t="shared" si="9"/>
        <v>3602</v>
      </c>
      <c r="V33" s="48">
        <f t="shared" si="9"/>
        <v>1047</v>
      </c>
      <c r="W33" s="48">
        <f t="shared" si="9"/>
        <v>1113</v>
      </c>
      <c r="X33" s="48">
        <f t="shared" si="9"/>
        <v>1151</v>
      </c>
      <c r="Y33" s="48">
        <f t="shared" si="9"/>
        <v>1013</v>
      </c>
      <c r="Z33" s="1">
        <f t="shared" si="9"/>
        <v>4324</v>
      </c>
      <c r="AA33" s="48">
        <f t="shared" si="9"/>
        <v>1256</v>
      </c>
      <c r="AB33" s="48">
        <f t="shared" si="9"/>
        <v>1418</v>
      </c>
      <c r="AC33" s="48">
        <f t="shared" si="9"/>
        <v>1448</v>
      </c>
      <c r="AD33" s="48">
        <f t="shared" si="9"/>
        <v>1199</v>
      </c>
      <c r="AE33" s="1">
        <f t="shared" si="9"/>
        <v>5321</v>
      </c>
      <c r="AF33" s="48">
        <f t="shared" si="9"/>
        <v>1469</v>
      </c>
      <c r="AG33" s="48">
        <f t="shared" si="9"/>
        <v>1605</v>
      </c>
      <c r="AH33" s="48">
        <f t="shared" si="9"/>
        <v>1549</v>
      </c>
      <c r="AI33" s="48">
        <f t="shared" si="9"/>
        <v>1320</v>
      </c>
      <c r="AJ33" s="1">
        <f t="shared" si="9"/>
        <v>5943</v>
      </c>
      <c r="AK33" s="48">
        <f t="shared" si="9"/>
        <v>1622</v>
      </c>
      <c r="AL33" s="48">
        <f t="shared" si="9"/>
        <v>1572</v>
      </c>
      <c r="AM33" s="48">
        <f t="shared" si="9"/>
        <v>1502</v>
      </c>
      <c r="AN33" s="48">
        <f t="shared" si="9"/>
        <v>1406</v>
      </c>
      <c r="AO33" s="1">
        <f t="shared" si="9"/>
        <v>6102</v>
      </c>
      <c r="AP33" s="48">
        <f t="shared" si="9"/>
        <v>1570</v>
      </c>
      <c r="AQ33" s="48">
        <f t="shared" si="9"/>
        <v>1588</v>
      </c>
      <c r="AR33" s="48">
        <f t="shared" si="9"/>
        <v>1692</v>
      </c>
      <c r="AS33" s="48">
        <f t="shared" si="9"/>
        <v>1388</v>
      </c>
      <c r="AT33" s="1">
        <f t="shared" si="9"/>
        <v>6238</v>
      </c>
      <c r="AU33" s="379">
        <f t="shared" si="9"/>
        <v>1427</v>
      </c>
      <c r="AV33" s="379">
        <f t="shared" si="9"/>
        <v>1600</v>
      </c>
      <c r="AW33" s="379">
        <f t="shared" si="9"/>
        <v>1742</v>
      </c>
      <c r="AX33" s="379">
        <f t="shared" si="9"/>
        <v>1267</v>
      </c>
      <c r="AY33" s="1">
        <f t="shared" si="9"/>
        <v>6036</v>
      </c>
      <c r="AZ33" s="48">
        <f t="shared" si="9"/>
        <v>1602</v>
      </c>
      <c r="BA33" s="48">
        <f t="shared" si="9"/>
        <v>1658</v>
      </c>
      <c r="BB33" s="48">
        <f t="shared" si="9"/>
        <v>1623</v>
      </c>
      <c r="BC33" s="48">
        <f t="shared" si="9"/>
        <v>1305</v>
      </c>
      <c r="BD33" s="1">
        <f t="shared" si="9"/>
        <v>6188</v>
      </c>
      <c r="BE33" s="48">
        <f t="shared" si="9"/>
        <v>1509</v>
      </c>
      <c r="BF33" s="48">
        <f t="shared" si="9"/>
        <v>1510</v>
      </c>
      <c r="BG33" s="48">
        <f t="shared" si="9"/>
        <v>1437</v>
      </c>
      <c r="BH33" s="48">
        <f t="shared" si="9"/>
        <v>1212</v>
      </c>
      <c r="BI33" s="1">
        <f t="shared" si="9"/>
        <v>5668</v>
      </c>
      <c r="BJ33" s="379">
        <f t="shared" si="9"/>
        <v>1525</v>
      </c>
      <c r="BK33" s="379">
        <f t="shared" si="9"/>
        <v>1706</v>
      </c>
      <c r="BL33" s="379">
        <f t="shared" si="9"/>
        <v>1561</v>
      </c>
      <c r="BM33" s="379">
        <f t="shared" si="9"/>
        <v>1297</v>
      </c>
      <c r="BN33" s="1">
        <f t="shared" si="9"/>
        <v>6089</v>
      </c>
      <c r="BO33" s="379">
        <f t="shared" si="9"/>
        <v>1485</v>
      </c>
      <c r="BP33" s="379">
        <f t="shared" si="9"/>
        <v>1639</v>
      </c>
      <c r="BQ33" s="379">
        <f t="shared" si="9"/>
        <v>1686</v>
      </c>
      <c r="BR33" s="379">
        <f t="shared" si="9"/>
        <v>1594</v>
      </c>
      <c r="BS33" s="1">
        <f>BS29+BS31+BS32</f>
        <v>6404</v>
      </c>
      <c r="BT33" s="379">
        <f t="shared" si="9"/>
        <v>1700</v>
      </c>
      <c r="BU33" s="379">
        <f>BU29+BU31+BU32</f>
        <v>2175</v>
      </c>
      <c r="BV33" s="379">
        <f>BV29+BV31+BV32</f>
        <v>2134</v>
      </c>
      <c r="BW33" s="379">
        <f t="shared" ref="BW33:CQ33" si="10">BW29+BW31+BW32</f>
        <v>1860</v>
      </c>
      <c r="BX33" s="1">
        <f t="shared" si="10"/>
        <v>7869</v>
      </c>
      <c r="BY33" s="379">
        <f t="shared" si="10"/>
        <v>2303</v>
      </c>
      <c r="BZ33" s="379">
        <f>BZ29+BZ31+BZ32</f>
        <v>2472</v>
      </c>
      <c r="CA33" s="379">
        <f>CA29+CA31+CA32</f>
        <v>2539</v>
      </c>
      <c r="CB33" s="379">
        <f t="shared" si="10"/>
        <v>2246</v>
      </c>
      <c r="CC33" s="1">
        <f t="shared" si="10"/>
        <v>9560</v>
      </c>
      <c r="CD33" s="379">
        <f t="shared" si="10"/>
        <v>2715</v>
      </c>
      <c r="CE33" s="379">
        <f>CE29+CE31+CE32</f>
        <v>2636</v>
      </c>
      <c r="CF33" s="379">
        <f>CF29+CF31+CF32</f>
        <v>2807</v>
      </c>
      <c r="CG33" s="379">
        <f t="shared" si="10"/>
        <v>2657</v>
      </c>
      <c r="CH33" s="1">
        <f t="shared" si="10"/>
        <v>10815</v>
      </c>
      <c r="CI33" s="379">
        <f t="shared" si="10"/>
        <v>2864</v>
      </c>
      <c r="CJ33" s="379">
        <f t="shared" si="10"/>
        <v>2919</v>
      </c>
      <c r="CK33" s="379">
        <f t="shared" si="10"/>
        <v>2975</v>
      </c>
      <c r="CL33" s="379">
        <f t="shared" si="10"/>
        <v>2524</v>
      </c>
      <c r="CM33" s="1">
        <f>CM29+CM31+CM32</f>
        <v>11282</v>
      </c>
      <c r="CN33" s="379">
        <f t="shared" si="10"/>
        <v>2856</v>
      </c>
      <c r="CO33" s="379">
        <f t="shared" si="10"/>
        <v>2848.3319675387452</v>
      </c>
      <c r="CP33" s="379">
        <f t="shared" si="10"/>
        <v>2736.9929301130996</v>
      </c>
      <c r="CQ33" s="379">
        <f t="shared" si="10"/>
        <v>2515.1256263668447</v>
      </c>
      <c r="CR33" s="1">
        <f>CR29+CR31+CR32</f>
        <v>10956.450524018681</v>
      </c>
      <c r="CS33" s="379"/>
      <c r="CT33" s="379"/>
      <c r="CU33" s="379"/>
      <c r="CV33" s="379"/>
      <c r="CW33" s="1">
        <f>CW29+CW31+CW32</f>
        <v>10961.127839011169</v>
      </c>
      <c r="CX33" s="379"/>
      <c r="CY33" s="379"/>
      <c r="CZ33" s="379"/>
      <c r="DA33" s="379"/>
      <c r="DB33" s="1">
        <f>DB29+DB31+DB32</f>
        <v>11169.63239467428</v>
      </c>
      <c r="DC33" s="379"/>
      <c r="DD33" s="379"/>
      <c r="DE33" s="379"/>
      <c r="DF33" s="379"/>
      <c r="DG33" s="1">
        <f>DG29+DG31+DG32</f>
        <v>11248.308191809403</v>
      </c>
      <c r="DH33" s="379"/>
      <c r="DI33" s="379"/>
      <c r="DJ33" s="379"/>
      <c r="DK33" s="379"/>
      <c r="DL33" s="1">
        <f>DL29+DL31+DL32</f>
        <v>12068.537635078606</v>
      </c>
      <c r="DM33" s="379"/>
      <c r="DN33" s="379"/>
      <c r="DO33" s="379"/>
      <c r="DP33" s="379"/>
      <c r="DQ33" s="1">
        <f>DQ29+DQ31+DQ32</f>
        <v>12922.878798715881</v>
      </c>
      <c r="DR33" s="379"/>
      <c r="DS33" s="379"/>
      <c r="DT33" s="379"/>
      <c r="DU33" s="379"/>
      <c r="DV33" s="1">
        <f>DV29+DV31+DV32</f>
        <v>13618.2883217495</v>
      </c>
      <c r="DW33" s="379"/>
      <c r="DX33" s="379"/>
      <c r="DY33" s="379"/>
      <c r="DZ33" s="379"/>
      <c r="EA33" s="1">
        <f>EA29+EA31+EA32</f>
        <v>13982.178424839765</v>
      </c>
      <c r="EB33" s="379"/>
      <c r="EC33" s="379"/>
      <c r="ED33" s="379"/>
      <c r="EE33" s="379"/>
      <c r="EF33" s="1">
        <f>EF29+EF31+EF32</f>
        <v>13897.418034728853</v>
      </c>
      <c r="EG33" s="379"/>
      <c r="EH33" s="379"/>
      <c r="EI33" s="379"/>
      <c r="EJ33" s="379"/>
      <c r="EK33" s="1">
        <f>EK29+EK31+EK32</f>
        <v>13899.432594400487</v>
      </c>
      <c r="EL33" s="379"/>
      <c r="EM33" s="379"/>
      <c r="EN33" s="379"/>
      <c r="EO33" s="379"/>
      <c r="EP33" s="1">
        <f>EP29+EP31+EP32</f>
        <v>12475.661345833825</v>
      </c>
      <c r="EQ33" s="379"/>
      <c r="ER33" s="379"/>
      <c r="ES33" s="379"/>
      <c r="ET33" s="379"/>
      <c r="EU33" s="1">
        <f>EU29+EU31+EU32</f>
        <v>11924.404820924783</v>
      </c>
      <c r="EV33" s="379"/>
      <c r="EW33" s="379"/>
      <c r="EX33" s="379"/>
      <c r="EY33" s="379"/>
      <c r="EZ33" s="1">
        <f>EZ29+EZ31+EZ32</f>
        <v>11579.396010705703</v>
      </c>
    </row>
    <row r="34" spans="2:166">
      <c r="B34" t="s">
        <v>65</v>
      </c>
      <c r="C34" s="1">
        <v>218</v>
      </c>
      <c r="D34" s="1">
        <v>269</v>
      </c>
      <c r="E34" s="1">
        <v>257</v>
      </c>
      <c r="F34" s="1">
        <v>283</v>
      </c>
      <c r="G34" s="1">
        <v>217</v>
      </c>
      <c r="H34" s="1">
        <v>361</v>
      </c>
      <c r="I34" s="1">
        <v>470</v>
      </c>
      <c r="J34" s="1">
        <v>536</v>
      </c>
      <c r="K34" s="1">
        <v>567</v>
      </c>
      <c r="L34" s="48">
        <v>153</v>
      </c>
      <c r="M34" s="48">
        <v>185</v>
      </c>
      <c r="N34" s="48">
        <v>196</v>
      </c>
      <c r="O34" s="48">
        <v>212</v>
      </c>
      <c r="P34" s="1">
        <v>747</v>
      </c>
      <c r="Q34" s="48">
        <v>234</v>
      </c>
      <c r="R34" s="48">
        <v>273</v>
      </c>
      <c r="S34" s="48">
        <v>299</v>
      </c>
      <c r="T34" s="48">
        <v>257</v>
      </c>
      <c r="U34" s="1">
        <v>1063</v>
      </c>
      <c r="V34" s="48">
        <v>295</v>
      </c>
      <c r="W34" s="48">
        <v>304</v>
      </c>
      <c r="X34" s="48">
        <v>312</v>
      </c>
      <c r="Y34" s="48">
        <v>265</v>
      </c>
      <c r="Z34" s="1">
        <v>1176</v>
      </c>
      <c r="AA34" s="48">
        <v>332</v>
      </c>
      <c r="AB34" s="48">
        <v>314</v>
      </c>
      <c r="AC34" s="48">
        <v>381</v>
      </c>
      <c r="AD34" s="48">
        <v>271</v>
      </c>
      <c r="AE34" s="1">
        <v>1298</v>
      </c>
      <c r="AF34" s="48">
        <v>368</v>
      </c>
      <c r="AG34" s="48">
        <v>370</v>
      </c>
      <c r="AH34" s="48">
        <v>325</v>
      </c>
      <c r="AI34" s="48">
        <v>260</v>
      </c>
      <c r="AJ34" s="1">
        <v>1323</v>
      </c>
      <c r="AK34" s="48">
        <v>352</v>
      </c>
      <c r="AL34" s="48">
        <v>307</v>
      </c>
      <c r="AM34" s="48">
        <v>321</v>
      </c>
      <c r="AN34" s="48">
        <v>318</v>
      </c>
      <c r="AO34" s="1">
        <v>1298</v>
      </c>
      <c r="AP34" s="48">
        <v>352</v>
      </c>
      <c r="AQ34" s="48">
        <v>353</v>
      </c>
      <c r="AR34" s="48">
        <v>384</v>
      </c>
      <c r="AS34" s="48">
        <v>264</v>
      </c>
      <c r="AT34" s="1">
        <v>1353</v>
      </c>
      <c r="AU34" s="379">
        <v>307</v>
      </c>
      <c r="AV34" s="379">
        <v>289</v>
      </c>
      <c r="AW34" s="379">
        <v>224</v>
      </c>
      <c r="AX34" s="379">
        <v>202</v>
      </c>
      <c r="AY34" s="1">
        <v>1022</v>
      </c>
      <c r="AZ34" s="48">
        <v>320</v>
      </c>
      <c r="BA34" s="48">
        <v>332</v>
      </c>
      <c r="BB34" s="48">
        <v>310</v>
      </c>
      <c r="BC34" s="48">
        <v>202</v>
      </c>
      <c r="BD34" s="1">
        <v>1164</v>
      </c>
      <c r="BE34" s="48">
        <v>251</v>
      </c>
      <c r="BF34" s="48">
        <v>229</v>
      </c>
      <c r="BG34" s="48">
        <v>157</v>
      </c>
      <c r="BH34" s="48">
        <v>173</v>
      </c>
      <c r="BI34" s="1">
        <v>810</v>
      </c>
      <c r="BJ34" s="379">
        <v>238</v>
      </c>
      <c r="BK34" s="379">
        <v>273</v>
      </c>
      <c r="BL34" s="379">
        <v>250</v>
      </c>
      <c r="BM34" s="379">
        <v>209</v>
      </c>
      <c r="BN34" s="1">
        <v>970</v>
      </c>
      <c r="BO34" s="379">
        <f>-91+BO78</f>
        <v>-13</v>
      </c>
      <c r="BP34" s="379">
        <f>147+BP78</f>
        <v>195</v>
      </c>
      <c r="BQ34" s="379">
        <f>135+BQ78</f>
        <v>205</v>
      </c>
      <c r="BR34" s="379">
        <f>-7+BR78</f>
        <v>203</v>
      </c>
      <c r="BS34" s="1">
        <f>SUM(BO34:BR34)</f>
        <v>590</v>
      </c>
      <c r="BT34" s="379">
        <f>131+BT78</f>
        <v>262</v>
      </c>
      <c r="BU34" s="379">
        <f>211+BU78</f>
        <v>352</v>
      </c>
      <c r="BV34" s="379">
        <f>93+BV78</f>
        <v>365</v>
      </c>
      <c r="BW34" s="379">
        <f>-8+BW78</f>
        <v>190</v>
      </c>
      <c r="BX34" s="1">
        <f>SUM(BT34:BW34)</f>
        <v>1169</v>
      </c>
      <c r="BY34" s="383">
        <f>253+BY78</f>
        <v>392</v>
      </c>
      <c r="BZ34" s="383">
        <f>344+BZ78</f>
        <v>495</v>
      </c>
      <c r="CA34" s="383">
        <f>329+CA78</f>
        <v>458</v>
      </c>
      <c r="CB34" s="383">
        <f>113+CB78</f>
        <v>261</v>
      </c>
      <c r="CC34" s="1">
        <f>SUM(BY34:CB34)</f>
        <v>1606</v>
      </c>
      <c r="CD34" s="625">
        <f>358+CD78</f>
        <v>512</v>
      </c>
      <c r="CE34" s="383">
        <f>334+CE78</f>
        <v>490</v>
      </c>
      <c r="CF34" s="383">
        <f>401+CF78</f>
        <v>531</v>
      </c>
      <c r="CG34" s="383">
        <f>348+CG78</f>
        <v>497</v>
      </c>
      <c r="CH34" s="1">
        <f>SUM(CD34:CG34)</f>
        <v>2030</v>
      </c>
      <c r="CI34" s="383">
        <f>389+CI78</f>
        <v>531</v>
      </c>
      <c r="CJ34" s="383">
        <f>391+CJ78</f>
        <v>509</v>
      </c>
      <c r="CK34" s="383">
        <f>360+CK78</f>
        <v>576</v>
      </c>
      <c r="CL34" s="379">
        <f>6478+CL78</f>
        <v>420</v>
      </c>
      <c r="CM34" s="1">
        <f>SUM(CI34:CL34)</f>
        <v>2036</v>
      </c>
      <c r="CN34" s="379">
        <f>308+CN78</f>
        <v>390</v>
      </c>
      <c r="CO34" s="383">
        <f t="shared" ref="CO34:CQ34" si="11">CO33*CO35</f>
        <v>405.88730537427114</v>
      </c>
      <c r="CP34" s="383">
        <f t="shared" si="11"/>
        <v>390.02149254111669</v>
      </c>
      <c r="CQ34" s="383">
        <f t="shared" si="11"/>
        <v>358.40540175727534</v>
      </c>
      <c r="CR34" s="1">
        <f>SUM(CN34:CQ34)</f>
        <v>1544.3141996726631</v>
      </c>
      <c r="CS34" s="383"/>
      <c r="CT34" s="383"/>
      <c r="CU34" s="383"/>
      <c r="CV34" s="383"/>
      <c r="CW34" s="1">
        <f>CW35*CW33</f>
        <v>1589.3635366566195</v>
      </c>
      <c r="CX34" s="383"/>
      <c r="CY34" s="383"/>
      <c r="CZ34" s="383"/>
      <c r="DA34" s="383"/>
      <c r="DB34" s="1">
        <f>DB35*DB33</f>
        <v>1619.5966972277704</v>
      </c>
      <c r="DC34" s="383"/>
      <c r="DD34" s="383"/>
      <c r="DE34" s="383"/>
      <c r="DF34" s="383"/>
      <c r="DG34" s="1">
        <f>DG35*DG33</f>
        <v>1631.0046878123633</v>
      </c>
      <c r="DH34" s="383"/>
      <c r="DI34" s="383"/>
      <c r="DJ34" s="383"/>
      <c r="DK34" s="383"/>
      <c r="DL34" s="1">
        <f>DL35*DL33</f>
        <v>1749.9379570863978</v>
      </c>
      <c r="DM34" s="383"/>
      <c r="DN34" s="383"/>
      <c r="DO34" s="383"/>
      <c r="DP34" s="383"/>
      <c r="DQ34" s="1">
        <f>DQ35*DQ33</f>
        <v>1873.8174258138026</v>
      </c>
      <c r="DR34" s="383"/>
      <c r="DS34" s="383"/>
      <c r="DT34" s="383"/>
      <c r="DU34" s="383"/>
      <c r="DV34" s="1">
        <f>DV35*DV33</f>
        <v>1974.6518066536773</v>
      </c>
      <c r="DW34" s="383"/>
      <c r="DX34" s="383"/>
      <c r="DY34" s="383"/>
      <c r="DZ34" s="383"/>
      <c r="EA34" s="1">
        <f>EA35*EA33</f>
        <v>2027.4158716017657</v>
      </c>
      <c r="EB34" s="383"/>
      <c r="EC34" s="383"/>
      <c r="ED34" s="383"/>
      <c r="EE34" s="383"/>
      <c r="EF34" s="1">
        <f>EF35*EF33</f>
        <v>2015.1256150356835</v>
      </c>
      <c r="EG34" s="383"/>
      <c r="EH34" s="383"/>
      <c r="EI34" s="383"/>
      <c r="EJ34" s="383"/>
      <c r="EK34" s="1">
        <f>EK35*EK33</f>
        <v>2015.4177261880704</v>
      </c>
      <c r="EL34" s="383"/>
      <c r="EM34" s="383"/>
      <c r="EN34" s="383"/>
      <c r="EO34" s="383"/>
      <c r="EP34" s="1">
        <f>EP35*EP33</f>
        <v>1808.9708951459045</v>
      </c>
      <c r="EQ34" s="383"/>
      <c r="ER34" s="383"/>
      <c r="ES34" s="383"/>
      <c r="ET34" s="383"/>
      <c r="EU34" s="1">
        <f>EU35*EU33</f>
        <v>1729.0386990340935</v>
      </c>
      <c r="EV34" s="383"/>
      <c r="EW34" s="383"/>
      <c r="EX34" s="383"/>
      <c r="EY34" s="383"/>
      <c r="EZ34" s="1">
        <f>EZ35*EZ33</f>
        <v>1679.0124215523267</v>
      </c>
    </row>
    <row r="35" spans="2:166" s="78" customFormat="1" ht="13.5" thickBot="1">
      <c r="B35" s="27" t="s">
        <v>66</v>
      </c>
      <c r="C35" s="37">
        <f t="shared" ref="C35:BN35" si="12">C34/C33</f>
        <v>0.36762225969645868</v>
      </c>
      <c r="D35" s="37">
        <f t="shared" si="12"/>
        <v>0.45670628183361628</v>
      </c>
      <c r="E35" s="37">
        <f t="shared" si="12"/>
        <v>0.32327044025157231</v>
      </c>
      <c r="F35" s="37">
        <f t="shared" si="12"/>
        <v>0.29387331256490135</v>
      </c>
      <c r="G35" s="37">
        <f t="shared" si="12"/>
        <v>0.25203252032520324</v>
      </c>
      <c r="H35" s="37">
        <f t="shared" si="12"/>
        <v>0.29469387755102039</v>
      </c>
      <c r="I35" s="37">
        <f t="shared" si="12"/>
        <v>0.30012771392081738</v>
      </c>
      <c r="J35" s="37">
        <f t="shared" si="12"/>
        <v>0.32019115890083633</v>
      </c>
      <c r="K35" s="37">
        <f t="shared" si="12"/>
        <v>0.33629893238434166</v>
      </c>
      <c r="L35" s="50">
        <f t="shared" si="12"/>
        <v>0.30909090909090908</v>
      </c>
      <c r="M35" s="50">
        <f t="shared" si="12"/>
        <v>0.30988274706867669</v>
      </c>
      <c r="N35" s="50">
        <f t="shared" si="12"/>
        <v>0.310126582278481</v>
      </c>
      <c r="O35" s="50">
        <f t="shared" si="12"/>
        <v>0.30994152046783624</v>
      </c>
      <c r="P35" s="37">
        <f t="shared" si="12"/>
        <v>0.31021594684385384</v>
      </c>
      <c r="Q35" s="50">
        <f t="shared" si="12"/>
        <v>0.29582806573957016</v>
      </c>
      <c r="R35" s="50">
        <f t="shared" si="12"/>
        <v>0.29513513513513512</v>
      </c>
      <c r="S35" s="50">
        <f t="shared" si="12"/>
        <v>0.29516288252714706</v>
      </c>
      <c r="T35" s="50">
        <f t="shared" si="12"/>
        <v>0.29472477064220182</v>
      </c>
      <c r="U35" s="37">
        <f t="shared" si="12"/>
        <v>0.29511382565241534</v>
      </c>
      <c r="V35" s="50">
        <f t="shared" si="12"/>
        <v>0.28175740210124162</v>
      </c>
      <c r="W35" s="50">
        <f t="shared" si="12"/>
        <v>0.27313566936208444</v>
      </c>
      <c r="X35" s="50">
        <f t="shared" si="12"/>
        <v>0.27106863596872283</v>
      </c>
      <c r="Y35" s="50">
        <f t="shared" si="12"/>
        <v>0.26159921026653504</v>
      </c>
      <c r="Z35" s="37">
        <f t="shared" si="12"/>
        <v>0.27197039777983351</v>
      </c>
      <c r="AA35" s="50">
        <f t="shared" si="12"/>
        <v>0.2643312101910828</v>
      </c>
      <c r="AB35" s="50">
        <f t="shared" si="12"/>
        <v>0.22143864598025387</v>
      </c>
      <c r="AC35" s="50">
        <f t="shared" si="12"/>
        <v>0.26312154696132595</v>
      </c>
      <c r="AD35" s="50">
        <f t="shared" si="12"/>
        <v>0.22602168473728107</v>
      </c>
      <c r="AE35" s="37">
        <f t="shared" si="12"/>
        <v>0.24393910919000189</v>
      </c>
      <c r="AF35" s="50">
        <f t="shared" si="12"/>
        <v>0.25051055139550715</v>
      </c>
      <c r="AG35" s="50">
        <f t="shared" si="12"/>
        <v>0.23052959501557632</v>
      </c>
      <c r="AH35" s="50">
        <f t="shared" si="12"/>
        <v>0.20981278244028406</v>
      </c>
      <c r="AI35" s="50">
        <f t="shared" si="12"/>
        <v>0.19696969696969696</v>
      </c>
      <c r="AJ35" s="37">
        <f t="shared" si="12"/>
        <v>0.22261484098939929</v>
      </c>
      <c r="AK35" s="50">
        <f t="shared" si="12"/>
        <v>0.21701602959309493</v>
      </c>
      <c r="AL35" s="50">
        <f t="shared" si="12"/>
        <v>0.19529262086513996</v>
      </c>
      <c r="AM35" s="50">
        <f t="shared" si="12"/>
        <v>0.21371504660452731</v>
      </c>
      <c r="AN35" s="50">
        <f t="shared" si="12"/>
        <v>0.22617354196301565</v>
      </c>
      <c r="AO35" s="37">
        <f t="shared" si="12"/>
        <v>0.21271714192068175</v>
      </c>
      <c r="AP35" s="50">
        <f t="shared" si="12"/>
        <v>0.22420382165605096</v>
      </c>
      <c r="AQ35" s="50">
        <f t="shared" si="12"/>
        <v>0.22229219143576825</v>
      </c>
      <c r="AR35" s="50">
        <f t="shared" si="12"/>
        <v>0.22695035460992907</v>
      </c>
      <c r="AS35" s="50">
        <f t="shared" si="12"/>
        <v>0.19020172910662825</v>
      </c>
      <c r="AT35" s="37">
        <f t="shared" si="12"/>
        <v>0.21689644116704071</v>
      </c>
      <c r="AU35" s="433">
        <f t="shared" si="12"/>
        <v>0.21513665031534687</v>
      </c>
      <c r="AV35" s="433">
        <f t="shared" si="12"/>
        <v>0.18062500000000001</v>
      </c>
      <c r="AW35" s="433">
        <f t="shared" si="12"/>
        <v>0.12858783008036739</v>
      </c>
      <c r="AX35" s="433">
        <f t="shared" si="12"/>
        <v>0.15943172849250198</v>
      </c>
      <c r="AY35" s="37">
        <f t="shared" si="12"/>
        <v>0.16931742876076872</v>
      </c>
      <c r="AZ35" s="50">
        <f t="shared" si="12"/>
        <v>0.19975031210986266</v>
      </c>
      <c r="BA35" s="50">
        <f t="shared" si="12"/>
        <v>0.20024125452352232</v>
      </c>
      <c r="BB35" s="50">
        <f t="shared" si="12"/>
        <v>0.19100431300061615</v>
      </c>
      <c r="BC35" s="50">
        <f t="shared" si="12"/>
        <v>0.15478927203065135</v>
      </c>
      <c r="BD35" s="37">
        <f t="shared" si="12"/>
        <v>0.1881060116354234</v>
      </c>
      <c r="BE35" s="50">
        <f t="shared" si="12"/>
        <v>0.1663353214049039</v>
      </c>
      <c r="BF35" s="50">
        <f t="shared" si="12"/>
        <v>0.15165562913907285</v>
      </c>
      <c r="BG35" s="50">
        <f t="shared" si="12"/>
        <v>0.10925539318023661</v>
      </c>
      <c r="BH35" s="50">
        <f t="shared" si="12"/>
        <v>0.14273927392739275</v>
      </c>
      <c r="BI35" s="37">
        <f t="shared" si="12"/>
        <v>0.14290755116443191</v>
      </c>
      <c r="BJ35" s="433">
        <f t="shared" si="12"/>
        <v>0.15606557377049179</v>
      </c>
      <c r="BK35" s="433">
        <f t="shared" si="12"/>
        <v>0.16002344665885113</v>
      </c>
      <c r="BL35" s="433">
        <f t="shared" si="12"/>
        <v>0.1601537475976938</v>
      </c>
      <c r="BM35" s="433">
        <f t="shared" si="12"/>
        <v>0.16114109483423283</v>
      </c>
      <c r="BN35" s="37">
        <f t="shared" si="12"/>
        <v>0.15930366234192805</v>
      </c>
      <c r="BO35" s="433">
        <f t="shared" ref="BO35:BY35" si="13">BO34/BO33</f>
        <v>-8.7542087542087539E-3</v>
      </c>
      <c r="BP35" s="433">
        <f t="shared" si="13"/>
        <v>0.11897498474679682</v>
      </c>
      <c r="BQ35" s="433">
        <f t="shared" si="13"/>
        <v>0.12158956109134045</v>
      </c>
      <c r="BR35" s="433">
        <f t="shared" si="13"/>
        <v>0.12735257214554579</v>
      </c>
      <c r="BS35" s="37">
        <f t="shared" si="13"/>
        <v>9.2129918800749527E-2</v>
      </c>
      <c r="BT35" s="433">
        <f t="shared" si="13"/>
        <v>0.15411764705882353</v>
      </c>
      <c r="BU35" s="433">
        <f t="shared" si="13"/>
        <v>0.16183908045977011</v>
      </c>
      <c r="BV35" s="650">
        <f t="shared" si="13"/>
        <v>0.17104029990627928</v>
      </c>
      <c r="BW35" s="650">
        <f t="shared" si="13"/>
        <v>0.10215053763440861</v>
      </c>
      <c r="BX35" s="651">
        <f>BX34/BX33</f>
        <v>0.14855763121108145</v>
      </c>
      <c r="BY35" s="650">
        <f t="shared" si="13"/>
        <v>0.1702127659574468</v>
      </c>
      <c r="BZ35" s="433">
        <f t="shared" ref="BZ35:CN35" si="14">BZ34/BZ33</f>
        <v>0.20024271844660194</v>
      </c>
      <c r="CA35" s="433">
        <f t="shared" si="14"/>
        <v>0.18038597873178416</v>
      </c>
      <c r="CB35" s="433">
        <f t="shared" si="14"/>
        <v>0.11620658949243098</v>
      </c>
      <c r="CC35" s="37">
        <f t="shared" si="14"/>
        <v>0.16799163179916318</v>
      </c>
      <c r="CD35" s="433">
        <f t="shared" si="14"/>
        <v>0.18858195211786372</v>
      </c>
      <c r="CE35" s="433">
        <f t="shared" si="14"/>
        <v>0.18588770864946888</v>
      </c>
      <c r="CF35" s="433">
        <f t="shared" si="14"/>
        <v>0.18916993231207696</v>
      </c>
      <c r="CG35" s="433">
        <f t="shared" si="14"/>
        <v>0.1870530673692134</v>
      </c>
      <c r="CH35" s="37">
        <f>CH34/CH33</f>
        <v>0.18770226537216828</v>
      </c>
      <c r="CI35" s="433">
        <f t="shared" si="14"/>
        <v>0.1854050279329609</v>
      </c>
      <c r="CJ35" s="433">
        <f t="shared" si="14"/>
        <v>0.17437478588557725</v>
      </c>
      <c r="CK35" s="433">
        <f t="shared" si="14"/>
        <v>0.19361344537815126</v>
      </c>
      <c r="CL35" s="433">
        <f t="shared" si="14"/>
        <v>0.1664025356576862</v>
      </c>
      <c r="CM35" s="37">
        <f>CM34/CM33</f>
        <v>0.18046445665662117</v>
      </c>
      <c r="CN35" s="433">
        <f t="shared" si="14"/>
        <v>0.13655462184873948</v>
      </c>
      <c r="CO35" s="433">
        <v>0.14249999999999999</v>
      </c>
      <c r="CP35" s="433">
        <f t="shared" ref="CP35:CQ35" si="15">CO35</f>
        <v>0.14249999999999999</v>
      </c>
      <c r="CQ35" s="433">
        <f t="shared" si="15"/>
        <v>0.14249999999999999</v>
      </c>
      <c r="CR35" s="37">
        <f>CR34/CR33</f>
        <v>0.14095022802204277</v>
      </c>
      <c r="CS35" s="433"/>
      <c r="CT35" s="433"/>
      <c r="CU35" s="433"/>
      <c r="CV35" s="433"/>
      <c r="CW35" s="37">
        <v>0.14499999999999999</v>
      </c>
      <c r="CX35" s="433"/>
      <c r="CY35" s="433"/>
      <c r="CZ35" s="433"/>
      <c r="DA35" s="433"/>
      <c r="DB35" s="37">
        <f>CW35</f>
        <v>0.14499999999999999</v>
      </c>
      <c r="DC35" s="433"/>
      <c r="DD35" s="433"/>
      <c r="DE35" s="433"/>
      <c r="DF35" s="433"/>
      <c r="DG35" s="37">
        <f>DB35</f>
        <v>0.14499999999999999</v>
      </c>
      <c r="DH35" s="433"/>
      <c r="DI35" s="433"/>
      <c r="DJ35" s="433"/>
      <c r="DK35" s="433"/>
      <c r="DL35" s="37">
        <f>DG35</f>
        <v>0.14499999999999999</v>
      </c>
      <c r="DM35" s="433"/>
      <c r="DN35" s="433"/>
      <c r="DO35" s="433"/>
      <c r="DP35" s="433"/>
      <c r="DQ35" s="37">
        <f>DL35</f>
        <v>0.14499999999999999</v>
      </c>
      <c r="DR35" s="433"/>
      <c r="DS35" s="433"/>
      <c r="DT35" s="433"/>
      <c r="DU35" s="433"/>
      <c r="DV35" s="37">
        <f>DQ35</f>
        <v>0.14499999999999999</v>
      </c>
      <c r="DW35" s="433"/>
      <c r="DX35" s="433"/>
      <c r="DY35" s="433"/>
      <c r="DZ35" s="433"/>
      <c r="EA35" s="37">
        <f>DV35</f>
        <v>0.14499999999999999</v>
      </c>
      <c r="EB35" s="433"/>
      <c r="EC35" s="433"/>
      <c r="ED35" s="433"/>
      <c r="EE35" s="433"/>
      <c r="EF35" s="37">
        <f>EA35</f>
        <v>0.14499999999999999</v>
      </c>
      <c r="EG35" s="433"/>
      <c r="EH35" s="433"/>
      <c r="EI35" s="433"/>
      <c r="EJ35" s="433"/>
      <c r="EK35" s="37">
        <f>EF35</f>
        <v>0.14499999999999999</v>
      </c>
      <c r="EL35" s="433"/>
      <c r="EM35" s="433"/>
      <c r="EN35" s="433"/>
      <c r="EO35" s="433"/>
      <c r="EP35" s="37">
        <f>EK35</f>
        <v>0.14499999999999999</v>
      </c>
      <c r="EQ35" s="433"/>
      <c r="ER35" s="433"/>
      <c r="ES35" s="433"/>
      <c r="ET35" s="433"/>
      <c r="EU35" s="37">
        <f>EP35</f>
        <v>0.14499999999999999</v>
      </c>
      <c r="EV35" s="433"/>
      <c r="EW35" s="433"/>
      <c r="EX35" s="433"/>
      <c r="EY35" s="433"/>
      <c r="EZ35" s="37">
        <f>EU35</f>
        <v>0.14499999999999999</v>
      </c>
      <c r="FE35"/>
      <c r="FF35"/>
      <c r="FG35"/>
      <c r="FH35"/>
      <c r="FI35"/>
      <c r="FJ35"/>
    </row>
    <row r="36" spans="2:166" ht="13.5" thickBot="1">
      <c r="B36" s="27"/>
      <c r="C36" s="37"/>
      <c r="D36" s="37"/>
      <c r="E36" s="37"/>
      <c r="F36" s="37"/>
      <c r="G36" s="37"/>
      <c r="H36" s="37"/>
      <c r="I36" s="37"/>
      <c r="J36" s="37"/>
      <c r="K36" s="37"/>
      <c r="L36" s="50"/>
      <c r="M36" s="50"/>
      <c r="N36" s="50"/>
      <c r="O36" s="50"/>
      <c r="P36" s="37"/>
      <c r="Q36" s="50"/>
      <c r="R36" s="50"/>
      <c r="S36" s="50"/>
      <c r="T36" s="50"/>
      <c r="U36" s="37"/>
      <c r="V36" s="50"/>
      <c r="W36" s="50"/>
      <c r="X36" s="50"/>
      <c r="Y36" s="50"/>
      <c r="Z36" s="37"/>
      <c r="AA36" s="50"/>
      <c r="AB36" s="50"/>
      <c r="AC36" s="50"/>
      <c r="AD36" s="50"/>
      <c r="AE36" s="37"/>
      <c r="AF36" s="50"/>
      <c r="AG36" s="50"/>
      <c r="AH36" s="50"/>
      <c r="AI36" s="50"/>
      <c r="AJ36" s="37"/>
      <c r="AK36" s="50"/>
      <c r="AL36" s="50"/>
      <c r="AM36" s="50"/>
      <c r="AN36" s="50"/>
      <c r="AO36" s="37"/>
      <c r="AP36" s="50"/>
      <c r="AQ36" s="50"/>
      <c r="AR36" s="50"/>
      <c r="AS36" s="50"/>
      <c r="AT36" s="37"/>
      <c r="AU36" s="433"/>
      <c r="AV36" s="433"/>
      <c r="AW36" s="433"/>
      <c r="AX36" s="433"/>
      <c r="AY36" s="37"/>
      <c r="AZ36" s="50"/>
      <c r="BA36" s="50"/>
      <c r="BB36" s="50"/>
      <c r="BC36" s="50"/>
      <c r="BD36" s="37"/>
      <c r="BE36" s="50"/>
      <c r="BF36" s="50"/>
      <c r="BG36" s="50"/>
      <c r="BH36" s="50"/>
      <c r="BI36" s="37"/>
      <c r="BJ36" s="433"/>
      <c r="BK36" s="433"/>
      <c r="BL36" s="433"/>
      <c r="BM36" s="433"/>
      <c r="BN36" s="37"/>
      <c r="BO36" s="433"/>
      <c r="BP36" s="433"/>
      <c r="BQ36" s="433"/>
      <c r="BR36" s="433"/>
      <c r="BS36" s="37"/>
      <c r="BT36" s="384"/>
      <c r="BU36" s="384"/>
      <c r="BV36" s="653"/>
      <c r="BW36" s="653"/>
      <c r="BX36" s="652"/>
      <c r="BY36" s="384"/>
      <c r="BZ36" s="384"/>
      <c r="CA36" s="381"/>
      <c r="CB36" s="381"/>
      <c r="CC36" s="521"/>
      <c r="CD36" s="384"/>
      <c r="CE36" s="384"/>
      <c r="CF36" s="384"/>
      <c r="CG36" s="384"/>
      <c r="CH36" s="655"/>
      <c r="CI36" s="384"/>
      <c r="CJ36" s="384"/>
      <c r="CK36" s="803"/>
      <c r="CL36" s="803"/>
      <c r="CM36" s="804"/>
      <c r="CN36" s="803"/>
      <c r="CO36" s="384"/>
      <c r="CP36" s="426" t="s">
        <v>32</v>
      </c>
      <c r="CQ36" s="427"/>
      <c r="CR36" s="428" t="s">
        <v>956</v>
      </c>
      <c r="CS36" s="384"/>
      <c r="CT36" s="384"/>
      <c r="CU36" s="384"/>
      <c r="CV36" s="384"/>
      <c r="CW36" s="37"/>
      <c r="CX36" s="384"/>
      <c r="CY36" s="384"/>
      <c r="CZ36" s="384"/>
      <c r="DA36" s="384"/>
      <c r="DB36" s="37"/>
      <c r="DC36" s="384"/>
      <c r="DD36" s="384"/>
      <c r="DE36" s="384"/>
      <c r="DF36" s="384"/>
      <c r="DG36" s="37"/>
      <c r="DH36" s="384"/>
      <c r="DI36" s="384"/>
      <c r="DJ36" s="384"/>
      <c r="DK36" s="384"/>
      <c r="DM36" s="384"/>
      <c r="DN36" s="384"/>
      <c r="DO36" s="384"/>
      <c r="DP36" s="384"/>
      <c r="DR36" s="384"/>
      <c r="DS36" s="384"/>
      <c r="DT36" s="384"/>
      <c r="DU36" s="384"/>
      <c r="DW36" s="384"/>
      <c r="DX36" s="384"/>
      <c r="DY36" s="384"/>
      <c r="DZ36" s="384"/>
      <c r="EB36" s="384"/>
      <c r="EC36" s="384"/>
      <c r="ED36" s="384"/>
      <c r="EE36" s="384"/>
      <c r="EG36" s="384"/>
      <c r="EH36" s="384"/>
      <c r="EI36" s="384"/>
      <c r="EJ36" s="384"/>
      <c r="EL36" s="384"/>
      <c r="EM36" s="384"/>
      <c r="EN36" s="384"/>
      <c r="EO36" s="384"/>
      <c r="EQ36" s="384"/>
      <c r="ER36" s="384"/>
      <c r="ES36" s="384"/>
      <c r="ET36" s="384"/>
      <c r="EV36" s="384"/>
      <c r="EW36" s="384"/>
      <c r="EX36" s="384"/>
      <c r="EY36" s="384"/>
    </row>
    <row r="37" spans="2:166" ht="13.5" thickBot="1">
      <c r="B37" s="28" t="s">
        <v>701</v>
      </c>
      <c r="C37" s="38">
        <f t="shared" ref="C37:BN37" si="16">C33-C34</f>
        <v>375</v>
      </c>
      <c r="D37" s="38">
        <f t="shared" si="16"/>
        <v>320</v>
      </c>
      <c r="E37" s="38">
        <f t="shared" si="16"/>
        <v>538</v>
      </c>
      <c r="F37" s="38">
        <f t="shared" si="16"/>
        <v>680</v>
      </c>
      <c r="G37" s="38">
        <f t="shared" si="16"/>
        <v>644</v>
      </c>
      <c r="H37" s="38">
        <f t="shared" si="16"/>
        <v>864</v>
      </c>
      <c r="I37" s="38">
        <f t="shared" si="16"/>
        <v>1096</v>
      </c>
      <c r="J37" s="38">
        <f t="shared" si="16"/>
        <v>1138</v>
      </c>
      <c r="K37" s="38">
        <f t="shared" si="16"/>
        <v>1119</v>
      </c>
      <c r="L37" s="51">
        <f t="shared" si="16"/>
        <v>342</v>
      </c>
      <c r="M37" s="51">
        <f t="shared" si="16"/>
        <v>412</v>
      </c>
      <c r="N37" s="51">
        <f t="shared" si="16"/>
        <v>436</v>
      </c>
      <c r="O37" s="51">
        <f t="shared" si="16"/>
        <v>472</v>
      </c>
      <c r="P37" s="38">
        <f t="shared" si="16"/>
        <v>1661</v>
      </c>
      <c r="Q37" s="51">
        <f t="shared" si="16"/>
        <v>557</v>
      </c>
      <c r="R37" s="51">
        <f t="shared" si="16"/>
        <v>652</v>
      </c>
      <c r="S37" s="51">
        <f t="shared" si="16"/>
        <v>714</v>
      </c>
      <c r="T37" s="51">
        <f t="shared" si="16"/>
        <v>615</v>
      </c>
      <c r="U37" s="38">
        <f t="shared" si="16"/>
        <v>2539</v>
      </c>
      <c r="V37" s="51">
        <f t="shared" si="16"/>
        <v>752</v>
      </c>
      <c r="W37" s="51">
        <f t="shared" si="16"/>
        <v>809</v>
      </c>
      <c r="X37" s="51">
        <f t="shared" si="16"/>
        <v>839</v>
      </c>
      <c r="Y37" s="51">
        <f t="shared" si="16"/>
        <v>748</v>
      </c>
      <c r="Z37" s="38">
        <f t="shared" si="16"/>
        <v>3148</v>
      </c>
      <c r="AA37" s="51">
        <f t="shared" si="16"/>
        <v>924</v>
      </c>
      <c r="AB37" s="51">
        <f t="shared" si="16"/>
        <v>1104</v>
      </c>
      <c r="AC37" s="51">
        <f t="shared" si="16"/>
        <v>1067</v>
      </c>
      <c r="AD37" s="51">
        <f t="shared" si="16"/>
        <v>928</v>
      </c>
      <c r="AE37" s="38">
        <f t="shared" si="16"/>
        <v>4023</v>
      </c>
      <c r="AF37" s="51">
        <f t="shared" si="16"/>
        <v>1101</v>
      </c>
      <c r="AG37" s="51">
        <f t="shared" si="16"/>
        <v>1235</v>
      </c>
      <c r="AH37" s="51">
        <f t="shared" si="16"/>
        <v>1224</v>
      </c>
      <c r="AI37" s="51">
        <f t="shared" si="16"/>
        <v>1060</v>
      </c>
      <c r="AJ37" s="38">
        <f t="shared" si="16"/>
        <v>4620</v>
      </c>
      <c r="AK37" s="51">
        <f t="shared" si="16"/>
        <v>1270</v>
      </c>
      <c r="AL37" s="51">
        <f t="shared" si="16"/>
        <v>1265</v>
      </c>
      <c r="AM37" s="51">
        <f t="shared" si="16"/>
        <v>1181</v>
      </c>
      <c r="AN37" s="51">
        <f t="shared" si="16"/>
        <v>1088</v>
      </c>
      <c r="AO37" s="38">
        <f t="shared" si="16"/>
        <v>4804</v>
      </c>
      <c r="AP37" s="51">
        <f t="shared" si="16"/>
        <v>1218</v>
      </c>
      <c r="AQ37" s="51">
        <f t="shared" si="16"/>
        <v>1235</v>
      </c>
      <c r="AR37" s="51">
        <f t="shared" si="16"/>
        <v>1308</v>
      </c>
      <c r="AS37" s="51">
        <f t="shared" si="16"/>
        <v>1124</v>
      </c>
      <c r="AT37" s="38">
        <f t="shared" si="16"/>
        <v>4885</v>
      </c>
      <c r="AU37" s="385">
        <f t="shared" si="16"/>
        <v>1120</v>
      </c>
      <c r="AV37" s="385">
        <f t="shared" si="16"/>
        <v>1311</v>
      </c>
      <c r="AW37" s="385">
        <f t="shared" si="16"/>
        <v>1518</v>
      </c>
      <c r="AX37" s="385">
        <f t="shared" si="16"/>
        <v>1065</v>
      </c>
      <c r="AY37" s="38">
        <f t="shared" si="16"/>
        <v>5014</v>
      </c>
      <c r="AZ37" s="51">
        <f t="shared" si="16"/>
        <v>1282</v>
      </c>
      <c r="BA37" s="51">
        <f t="shared" si="16"/>
        <v>1326</v>
      </c>
      <c r="BB37" s="51">
        <f t="shared" si="16"/>
        <v>1313</v>
      </c>
      <c r="BC37" s="51">
        <f t="shared" si="16"/>
        <v>1103</v>
      </c>
      <c r="BD37" s="38">
        <f t="shared" si="16"/>
        <v>5024</v>
      </c>
      <c r="BE37" s="51">
        <f t="shared" si="16"/>
        <v>1258</v>
      </c>
      <c r="BF37" s="51">
        <f t="shared" si="16"/>
        <v>1281</v>
      </c>
      <c r="BG37" s="51">
        <f t="shared" si="16"/>
        <v>1280</v>
      </c>
      <c r="BH37" s="51">
        <f t="shared" si="16"/>
        <v>1039</v>
      </c>
      <c r="BI37" s="38">
        <f t="shared" si="16"/>
        <v>4858</v>
      </c>
      <c r="BJ37" s="385">
        <f t="shared" si="16"/>
        <v>1287</v>
      </c>
      <c r="BK37" s="385">
        <f t="shared" si="16"/>
        <v>1433</v>
      </c>
      <c r="BL37" s="385">
        <f t="shared" si="16"/>
        <v>1311</v>
      </c>
      <c r="BM37" s="385">
        <f t="shared" si="16"/>
        <v>1088</v>
      </c>
      <c r="BN37" s="38">
        <f t="shared" si="16"/>
        <v>5119</v>
      </c>
      <c r="BO37" s="385">
        <f t="shared" ref="BO37:DB37" si="17">BO33-BO34</f>
        <v>1498</v>
      </c>
      <c r="BP37" s="385">
        <f t="shared" si="17"/>
        <v>1444</v>
      </c>
      <c r="BQ37" s="385">
        <f t="shared" si="17"/>
        <v>1481</v>
      </c>
      <c r="BR37" s="385">
        <f t="shared" si="17"/>
        <v>1391</v>
      </c>
      <c r="BS37" s="38">
        <f t="shared" si="17"/>
        <v>5814</v>
      </c>
      <c r="BT37" s="385">
        <f t="shared" si="17"/>
        <v>1438</v>
      </c>
      <c r="BU37" s="385">
        <f>BU33-BU34</f>
        <v>1823</v>
      </c>
      <c r="BV37" s="648">
        <f>BV33-BV34</f>
        <v>1769</v>
      </c>
      <c r="BW37" s="648">
        <f t="shared" si="17"/>
        <v>1670</v>
      </c>
      <c r="BX37" s="649">
        <f t="shared" si="17"/>
        <v>6700</v>
      </c>
      <c r="BY37" s="385">
        <f t="shared" si="17"/>
        <v>1911</v>
      </c>
      <c r="BZ37" s="385">
        <f>BZ33-BZ34</f>
        <v>1977</v>
      </c>
      <c r="CA37" s="385">
        <f>CA33-CA34</f>
        <v>2081</v>
      </c>
      <c r="CB37" s="385">
        <f t="shared" si="17"/>
        <v>1985</v>
      </c>
      <c r="CC37" s="38">
        <f t="shared" si="17"/>
        <v>7954</v>
      </c>
      <c r="CD37" s="385">
        <f t="shared" si="17"/>
        <v>2203</v>
      </c>
      <c r="CE37" s="385">
        <f t="shared" si="17"/>
        <v>2146</v>
      </c>
      <c r="CF37" s="385">
        <f t="shared" si="17"/>
        <v>2276</v>
      </c>
      <c r="CG37" s="385">
        <f t="shared" si="17"/>
        <v>2160</v>
      </c>
      <c r="CH37" s="38">
        <f t="shared" si="17"/>
        <v>8785</v>
      </c>
      <c r="CI37" s="385">
        <f t="shared" si="17"/>
        <v>2333</v>
      </c>
      <c r="CJ37" s="385">
        <f t="shared" si="17"/>
        <v>2410</v>
      </c>
      <c r="CK37" s="648">
        <f t="shared" si="17"/>
        <v>2399</v>
      </c>
      <c r="CL37" s="648">
        <f t="shared" si="17"/>
        <v>2104</v>
      </c>
      <c r="CM37" s="649">
        <f t="shared" si="17"/>
        <v>9246</v>
      </c>
      <c r="CN37" s="648">
        <f t="shared" si="17"/>
        <v>2466</v>
      </c>
      <c r="CO37" s="385">
        <f t="shared" si="17"/>
        <v>2442.4446621644738</v>
      </c>
      <c r="CP37" s="385">
        <f t="shared" si="17"/>
        <v>2346.9714375719832</v>
      </c>
      <c r="CQ37" s="385">
        <f t="shared" si="17"/>
        <v>2156.7202246095694</v>
      </c>
      <c r="CR37" s="38">
        <f t="shared" si="17"/>
        <v>9412.1363243460182</v>
      </c>
      <c r="CS37" s="385"/>
      <c r="CT37" s="385"/>
      <c r="CU37" s="385"/>
      <c r="CV37" s="385"/>
      <c r="CW37" s="38">
        <f t="shared" si="17"/>
        <v>9371.7643023545497</v>
      </c>
      <c r="CX37" s="385"/>
      <c r="CY37" s="385"/>
      <c r="CZ37" s="385"/>
      <c r="DA37" s="385"/>
      <c r="DB37" s="38">
        <f t="shared" si="17"/>
        <v>9550.0356974465085</v>
      </c>
      <c r="DC37" s="385"/>
      <c r="DD37" s="385"/>
      <c r="DE37" s="385"/>
      <c r="DF37" s="385"/>
      <c r="DG37" s="38">
        <f>DG33-DG34</f>
        <v>9617.30350399704</v>
      </c>
      <c r="DH37" s="385"/>
      <c r="DI37" s="385"/>
      <c r="DJ37" s="385"/>
      <c r="DK37" s="385"/>
      <c r="DL37" s="38">
        <f>DL33-DL34</f>
        <v>10318.599677992208</v>
      </c>
      <c r="DM37" s="385"/>
      <c r="DN37" s="385"/>
      <c r="DO37" s="385"/>
      <c r="DP37" s="385"/>
      <c r="DQ37" s="38">
        <f>DQ33-DQ34</f>
        <v>11049.061372902079</v>
      </c>
      <c r="DR37" s="385"/>
      <c r="DS37" s="385"/>
      <c r="DT37" s="385"/>
      <c r="DU37" s="385"/>
      <c r="DV37" s="38">
        <f>DV33-DV34</f>
        <v>11643.636515095823</v>
      </c>
      <c r="DW37" s="385"/>
      <c r="DX37" s="385"/>
      <c r="DY37" s="385"/>
      <c r="DZ37" s="385"/>
      <c r="EA37" s="38">
        <f>EA33-EA34</f>
        <v>11954.762553237999</v>
      </c>
      <c r="EB37" s="385"/>
      <c r="EC37" s="385"/>
      <c r="ED37" s="385"/>
      <c r="EE37" s="385"/>
      <c r="EF37" s="38">
        <f>EF33-EF34</f>
        <v>11882.292419693169</v>
      </c>
      <c r="EG37" s="385"/>
      <c r="EH37" s="385"/>
      <c r="EI37" s="385"/>
      <c r="EJ37" s="385"/>
      <c r="EK37" s="38">
        <f>EK33-EK34</f>
        <v>11884.014868212416</v>
      </c>
      <c r="EL37" s="385"/>
      <c r="EM37" s="385"/>
      <c r="EN37" s="385"/>
      <c r="EO37" s="385"/>
      <c r="EP37" s="38">
        <f>EP33-EP34</f>
        <v>10666.69045068792</v>
      </c>
      <c r="EQ37" s="385"/>
      <c r="ER37" s="385"/>
      <c r="ES37" s="385"/>
      <c r="ET37" s="385"/>
      <c r="EU37" s="38">
        <f>EU33-EU34</f>
        <v>10195.366121890689</v>
      </c>
      <c r="EV37" s="385"/>
      <c r="EW37" s="385"/>
      <c r="EX37" s="385"/>
      <c r="EY37" s="385"/>
      <c r="EZ37" s="38">
        <f>EZ33-EZ34</f>
        <v>9900.3835891533763</v>
      </c>
    </row>
    <row r="38" spans="2:166">
      <c r="C38" s="32"/>
      <c r="D38" s="32"/>
      <c r="E38" s="32"/>
      <c r="F38" s="32"/>
      <c r="G38" s="32"/>
      <c r="H38" s="32"/>
      <c r="I38" s="32"/>
      <c r="J38" s="32"/>
      <c r="K38" s="32"/>
      <c r="L38" s="52"/>
      <c r="M38" s="52"/>
      <c r="N38" s="52"/>
      <c r="O38" s="52"/>
      <c r="P38" s="32"/>
      <c r="Q38" s="52"/>
      <c r="R38" s="52"/>
      <c r="S38" s="52"/>
      <c r="T38" s="52"/>
      <c r="U38" s="32"/>
      <c r="V38" s="52"/>
      <c r="W38" s="52"/>
      <c r="X38" s="52"/>
      <c r="Y38" s="52"/>
      <c r="Z38" s="32"/>
      <c r="AA38" s="52"/>
      <c r="AB38" s="52"/>
      <c r="AC38" s="52"/>
      <c r="AD38" s="52"/>
      <c r="AE38" s="32"/>
      <c r="AF38" s="52"/>
      <c r="AG38" s="52"/>
      <c r="AH38" s="52"/>
      <c r="AI38" s="52"/>
      <c r="AJ38" s="32"/>
      <c r="AK38" s="52"/>
      <c r="AL38" s="52"/>
      <c r="AM38" s="52"/>
      <c r="AN38" s="52"/>
      <c r="AO38" s="32"/>
      <c r="AP38" s="52"/>
      <c r="AQ38" s="52"/>
      <c r="AR38" s="52"/>
      <c r="AS38" s="52"/>
      <c r="AT38" s="32"/>
      <c r="AU38" s="392"/>
      <c r="AV38" s="392"/>
      <c r="AW38" s="392"/>
      <c r="AX38" s="392"/>
      <c r="AY38" s="32"/>
      <c r="AZ38" s="52"/>
      <c r="BA38" s="52"/>
      <c r="BB38" s="52"/>
      <c r="BC38" s="52"/>
      <c r="BD38" s="32"/>
      <c r="BE38" s="52"/>
      <c r="BF38" s="52"/>
      <c r="BG38" s="52"/>
      <c r="BH38" s="52"/>
      <c r="BI38" s="32"/>
      <c r="BJ38" s="392"/>
      <c r="BK38" s="392"/>
      <c r="BL38" s="392"/>
      <c r="BM38" s="392"/>
      <c r="BN38" s="32"/>
      <c r="BO38" s="392"/>
      <c r="BP38" s="392"/>
      <c r="BQ38" s="392"/>
      <c r="BR38" s="392"/>
      <c r="BS38" s="32"/>
      <c r="BT38" s="382"/>
      <c r="BU38" s="382"/>
      <c r="BV38" s="382"/>
      <c r="BW38" s="382"/>
      <c r="BY38" s="382"/>
      <c r="BZ38" s="382"/>
      <c r="CA38" s="382"/>
      <c r="CB38" s="386"/>
      <c r="CC38" s="45"/>
      <c r="CD38" s="382"/>
      <c r="CE38" s="382"/>
      <c r="CF38" s="382"/>
      <c r="CG38" s="382"/>
      <c r="CI38" s="382"/>
      <c r="CJ38" s="382"/>
      <c r="CK38" s="382"/>
      <c r="CL38" s="382"/>
      <c r="CN38" s="382"/>
      <c r="CO38" s="382"/>
      <c r="CP38" s="382"/>
      <c r="CQ38" s="382"/>
      <c r="CS38" s="382"/>
      <c r="CT38" s="382"/>
      <c r="CU38" s="382"/>
      <c r="CV38" s="382"/>
      <c r="CX38" s="382"/>
      <c r="CY38" s="382"/>
      <c r="CZ38" s="382"/>
      <c r="DA38" s="382"/>
      <c r="DC38" s="382"/>
      <c r="DD38" s="382"/>
      <c r="DE38" s="382"/>
      <c r="DF38" s="382"/>
      <c r="DH38" s="382"/>
      <c r="DI38" s="382"/>
      <c r="DJ38" s="382"/>
      <c r="DK38" s="382"/>
      <c r="DM38" s="382"/>
      <c r="DN38" s="382"/>
      <c r="DO38" s="382"/>
      <c r="DP38" s="382"/>
      <c r="DR38" s="382"/>
      <c r="DS38" s="382"/>
      <c r="DT38" s="382"/>
      <c r="DU38" s="382"/>
      <c r="DW38" s="382"/>
      <c r="DX38" s="382"/>
      <c r="DY38" s="382"/>
      <c r="DZ38" s="382"/>
      <c r="EB38" s="382"/>
      <c r="EC38" s="382"/>
      <c r="ED38" s="382"/>
      <c r="EE38" s="382"/>
      <c r="EG38" s="382"/>
      <c r="EH38" s="382"/>
      <c r="EI38" s="382"/>
      <c r="EJ38" s="382"/>
      <c r="EL38" s="382"/>
      <c r="EM38" s="382"/>
      <c r="EN38" s="382"/>
      <c r="EO38" s="382"/>
      <c r="EQ38" s="382"/>
      <c r="ER38" s="382"/>
      <c r="ES38" s="382"/>
      <c r="ET38" s="382"/>
      <c r="EV38" s="382"/>
      <c r="EW38" s="382"/>
      <c r="EX38" s="382"/>
      <c r="EY38" s="382"/>
    </row>
    <row r="39" spans="2:166" ht="13.5" thickBot="1">
      <c r="B39" s="28" t="s">
        <v>700</v>
      </c>
      <c r="C39" s="39">
        <f t="shared" ref="C39:AH39" si="18">C37/C88</f>
        <v>0.32467532467532467</v>
      </c>
      <c r="D39" s="39">
        <f t="shared" si="18"/>
        <v>0.283436669619132</v>
      </c>
      <c r="E39" s="39">
        <f t="shared" si="18"/>
        <v>0.4715162138475022</v>
      </c>
      <c r="F39" s="39">
        <f t="shared" si="18"/>
        <v>0.60552092609082819</v>
      </c>
      <c r="G39" s="39">
        <f t="shared" si="18"/>
        <v>0.5859872611464968</v>
      </c>
      <c r="H39" s="39">
        <f t="shared" si="18"/>
        <v>0.81740775780510877</v>
      </c>
      <c r="I39" s="39">
        <f t="shared" si="18"/>
        <v>1.0166975881261595</v>
      </c>
      <c r="J39" s="39">
        <f t="shared" si="18"/>
        <v>1.0488479262672812</v>
      </c>
      <c r="K39" s="39">
        <f t="shared" si="18"/>
        <v>1.0322878228782288</v>
      </c>
      <c r="L39" s="53">
        <f t="shared" si="18"/>
        <v>0.31491712707182318</v>
      </c>
      <c r="M39" s="53">
        <f t="shared" si="18"/>
        <v>0.37488626023657873</v>
      </c>
      <c r="N39" s="53">
        <f t="shared" si="18"/>
        <v>0.33461243284727554</v>
      </c>
      <c r="O39" s="53">
        <f t="shared" si="18"/>
        <v>0.35040831477357087</v>
      </c>
      <c r="P39" s="39">
        <f t="shared" si="18"/>
        <v>1.3727272727272728</v>
      </c>
      <c r="Q39" s="53">
        <f t="shared" si="18"/>
        <v>0.41259259259259257</v>
      </c>
      <c r="R39" s="53">
        <f t="shared" si="18"/>
        <v>0.48403860430586487</v>
      </c>
      <c r="S39" s="53">
        <f t="shared" si="18"/>
        <v>0.52967359050445106</v>
      </c>
      <c r="T39" s="53">
        <f t="shared" si="18"/>
        <v>0.45895522388059701</v>
      </c>
      <c r="U39" s="39">
        <f t="shared" si="18"/>
        <v>1.8863298662704309</v>
      </c>
      <c r="V39" s="53">
        <f t="shared" si="18"/>
        <v>0.56456456456456461</v>
      </c>
      <c r="W39" s="53">
        <f t="shared" si="18"/>
        <v>0.61380880121396053</v>
      </c>
      <c r="X39" s="53">
        <f t="shared" si="18"/>
        <v>0.63560606060606062</v>
      </c>
      <c r="Y39" s="53">
        <f t="shared" si="18"/>
        <v>0.57099236641221374</v>
      </c>
      <c r="Z39" s="39">
        <f t="shared" si="18"/>
        <v>2.3848484848484848</v>
      </c>
      <c r="AA39" s="53">
        <f t="shared" si="18"/>
        <v>0.71627906976744182</v>
      </c>
      <c r="AB39" s="53">
        <f t="shared" si="18"/>
        <v>0.88319999999999999</v>
      </c>
      <c r="AC39" s="53">
        <f t="shared" si="18"/>
        <v>0.85428342674139313</v>
      </c>
      <c r="AD39" s="53">
        <f t="shared" si="18"/>
        <v>0.74658085277554309</v>
      </c>
      <c r="AE39" s="39">
        <f t="shared" si="18"/>
        <v>3.1979332273449921</v>
      </c>
      <c r="AF39" s="53">
        <f t="shared" si="18"/>
        <v>0.90691927512355852</v>
      </c>
      <c r="AG39" s="53">
        <f t="shared" si="18"/>
        <v>1.0457239627434378</v>
      </c>
      <c r="AH39" s="53">
        <f t="shared" si="18"/>
        <v>1.0425894378194207</v>
      </c>
      <c r="AI39" s="53">
        <f t="shared" ref="AI39:BN39" si="19">AI37/AI88</f>
        <v>0.90212765957446805</v>
      </c>
      <c r="AJ39" s="39">
        <f t="shared" si="19"/>
        <v>3.8954468802698146</v>
      </c>
      <c r="AK39" s="53">
        <f t="shared" si="19"/>
        <v>1.0836177474402731</v>
      </c>
      <c r="AL39" s="53">
        <f t="shared" si="19"/>
        <v>1.1174911660777385</v>
      </c>
      <c r="AM39" s="53">
        <f t="shared" si="19"/>
        <v>1.0844811753902663</v>
      </c>
      <c r="AN39" s="53">
        <f t="shared" si="19"/>
        <v>0.997250229147571</v>
      </c>
      <c r="AO39" s="39">
        <f t="shared" si="19"/>
        <v>4.2854594112399642</v>
      </c>
      <c r="AP39" s="53">
        <f t="shared" si="19"/>
        <v>1.1164069660861595</v>
      </c>
      <c r="AQ39" s="53">
        <f t="shared" si="19"/>
        <v>1.1435185185185186</v>
      </c>
      <c r="AR39" s="53">
        <f t="shared" si="19"/>
        <v>1.2304797742238947</v>
      </c>
      <c r="AS39" s="53">
        <f t="shared" si="19"/>
        <v>1.05937794533459</v>
      </c>
      <c r="AT39" s="39">
        <f t="shared" si="19"/>
        <v>4.5484171322160147</v>
      </c>
      <c r="AU39" s="387">
        <f t="shared" si="19"/>
        <v>1.0800385728061717</v>
      </c>
      <c r="AV39" s="387">
        <f t="shared" si="19"/>
        <v>1.2903543307086613</v>
      </c>
      <c r="AW39" s="387">
        <f t="shared" si="19"/>
        <v>1.4867776689520078</v>
      </c>
      <c r="AX39" s="387">
        <f t="shared" si="19"/>
        <v>1.0523715415019763</v>
      </c>
      <c r="AY39" s="39">
        <f t="shared" si="19"/>
        <v>4.9108716944172377</v>
      </c>
      <c r="AZ39" s="53">
        <f t="shared" si="19"/>
        <v>1.2975708502024292</v>
      </c>
      <c r="BA39" s="53">
        <f t="shared" si="19"/>
        <v>1.3755186721991701</v>
      </c>
      <c r="BB39" s="53">
        <f t="shared" si="19"/>
        <v>1.3648648648648649</v>
      </c>
      <c r="BC39" s="53">
        <f t="shared" si="19"/>
        <v>1.1659619450317125</v>
      </c>
      <c r="BD39" s="39">
        <f t="shared" si="19"/>
        <v>5.2062176165803109</v>
      </c>
      <c r="BE39" s="53">
        <f t="shared" si="19"/>
        <v>1.3382978723404255</v>
      </c>
      <c r="BF39" s="53">
        <f t="shared" si="19"/>
        <v>1.3715203426124196</v>
      </c>
      <c r="BG39" s="53">
        <f t="shared" si="19"/>
        <v>1.4004376367614879</v>
      </c>
      <c r="BH39" s="53">
        <f t="shared" si="19"/>
        <v>1.2081395348837209</v>
      </c>
      <c r="BI39" s="39">
        <f t="shared" si="19"/>
        <v>5.3267543859649127</v>
      </c>
      <c r="BJ39" s="387">
        <f t="shared" si="19"/>
        <v>1.6107634543178975</v>
      </c>
      <c r="BK39" s="387">
        <f t="shared" si="19"/>
        <v>1.8278061224489797</v>
      </c>
      <c r="BL39" s="387">
        <f t="shared" si="19"/>
        <v>1.6743295019157087</v>
      </c>
      <c r="BM39" s="387">
        <f t="shared" si="19"/>
        <v>1.3984575835475579</v>
      </c>
      <c r="BN39" s="39">
        <f t="shared" si="19"/>
        <v>6.5127226463104329</v>
      </c>
      <c r="BO39" s="387">
        <f t="shared" ref="BO39:CR39" si="20">BO37/BO88</f>
        <v>1.9607329842931938</v>
      </c>
      <c r="BP39" s="387">
        <f t="shared" si="20"/>
        <v>1.8925294888597641</v>
      </c>
      <c r="BQ39" s="387">
        <f t="shared" si="20"/>
        <v>1.9359477124183007</v>
      </c>
      <c r="BR39" s="387">
        <f t="shared" si="20"/>
        <v>1.8159268929503916</v>
      </c>
      <c r="BS39" s="39">
        <f t="shared" si="20"/>
        <v>7.6</v>
      </c>
      <c r="BT39" s="387">
        <f t="shared" si="20"/>
        <v>1.8723958333333333</v>
      </c>
      <c r="BU39" s="387">
        <f>BU37/BU88</f>
        <v>2.3736979166666665</v>
      </c>
      <c r="BV39" s="387">
        <f>BV37/BV88</f>
        <v>2.2974025974025976</v>
      </c>
      <c r="BW39" s="387">
        <f>BW37/BW88</f>
        <v>2.1632124352331608</v>
      </c>
      <c r="BX39" s="39">
        <f t="shared" si="20"/>
        <v>8.7069525666016894</v>
      </c>
      <c r="BY39" s="387">
        <f t="shared" si="20"/>
        <v>2.4818181818181819</v>
      </c>
      <c r="BZ39" s="387">
        <f>BZ37/BZ88</f>
        <v>2.57421875</v>
      </c>
      <c r="CA39" s="387">
        <f>CA37/CA88</f>
        <v>2.7238219895287958</v>
      </c>
      <c r="CB39" s="387">
        <f t="shared" si="20"/>
        <v>2.6084099868593955</v>
      </c>
      <c r="CC39" s="39">
        <f t="shared" si="20"/>
        <v>10.383812010443863</v>
      </c>
      <c r="CD39" s="387">
        <f t="shared" si="20"/>
        <v>2.8986842105263158</v>
      </c>
      <c r="CE39" s="387">
        <f>CE37/CE88</f>
        <v>2.8386243386243386</v>
      </c>
      <c r="CF39" s="387">
        <f>CF37/CF88</f>
        <v>3.0225763612217795</v>
      </c>
      <c r="CG39" s="387">
        <f t="shared" si="20"/>
        <v>2.8877005347593583</v>
      </c>
      <c r="CH39" s="39">
        <f t="shared" si="20"/>
        <v>11.647331786542923</v>
      </c>
      <c r="CI39" s="387">
        <f t="shared" si="20"/>
        <v>3.1484480431848851</v>
      </c>
      <c r="CJ39" s="387">
        <f t="shared" si="20"/>
        <v>3.2655826558265582</v>
      </c>
      <c r="CK39" s="387">
        <f t="shared" si="20"/>
        <v>3.272851296043656</v>
      </c>
      <c r="CL39" s="387">
        <f t="shared" si="20"/>
        <v>2.8861454046639232</v>
      </c>
      <c r="CM39" s="39">
        <f t="shared" si="20"/>
        <v>12.575314518871131</v>
      </c>
      <c r="CN39" s="387">
        <f t="shared" si="20"/>
        <v>3.4683544303797467</v>
      </c>
      <c r="CO39" s="387">
        <f t="shared" si="20"/>
        <v>3.5865560384206665</v>
      </c>
      <c r="CP39" s="387">
        <f t="shared" si="20"/>
        <v>3.5777003621524135</v>
      </c>
      <c r="CQ39" s="387">
        <f t="shared" si="20"/>
        <v>3.3103917492088555</v>
      </c>
      <c r="CR39" s="39">
        <f t="shared" si="20"/>
        <v>13.946488348725346</v>
      </c>
      <c r="CS39" s="387"/>
      <c r="CT39" s="387"/>
      <c r="CU39" s="387"/>
      <c r="CV39" s="387"/>
      <c r="CW39" s="39">
        <f>CW37/CW88</f>
        <v>14.506801170553276</v>
      </c>
      <c r="CX39" s="387"/>
      <c r="CY39" s="387"/>
      <c r="CZ39" s="387"/>
      <c r="DA39" s="387"/>
      <c r="DB39" s="39">
        <f>DB37/DB88</f>
        <v>15.107959400418851</v>
      </c>
      <c r="DC39" s="387"/>
      <c r="DD39" s="387"/>
      <c r="DE39" s="387"/>
      <c r="DF39" s="387"/>
      <c r="DG39" s="39">
        <f>DG37/DG88</f>
        <v>15.627096349373407</v>
      </c>
      <c r="DH39" s="387"/>
      <c r="DI39" s="387"/>
      <c r="DJ39" s="387"/>
      <c r="DK39" s="387"/>
      <c r="DL39" s="39">
        <f>DL37/DL88</f>
        <v>17.224433272044365</v>
      </c>
      <c r="DM39" s="387"/>
      <c r="DN39" s="387"/>
      <c r="DO39" s="387"/>
      <c r="DP39" s="387"/>
      <c r="DQ39" s="39">
        <f>DQ37/DQ88</f>
        <v>18.932101800097357</v>
      </c>
      <c r="DR39" s="387"/>
      <c r="DS39" s="387"/>
      <c r="DT39" s="387"/>
      <c r="DU39" s="387"/>
      <c r="DV39" s="39">
        <f>DV37/DV88</f>
        <v>20.45949142982116</v>
      </c>
      <c r="DW39" s="387"/>
      <c r="DX39" s="387"/>
      <c r="DY39" s="387"/>
      <c r="DZ39" s="387"/>
      <c r="EA39" s="39">
        <f>EA37/EA88</f>
        <v>21.518131379411418</v>
      </c>
      <c r="EB39" s="387"/>
      <c r="EC39" s="387"/>
      <c r="ED39" s="387"/>
      <c r="EE39" s="387"/>
      <c r="EF39" s="39">
        <f>EF37/EF88</f>
        <v>21.882253007172974</v>
      </c>
      <c r="EG39" s="387"/>
      <c r="EH39" s="387"/>
      <c r="EI39" s="387"/>
      <c r="EJ39" s="387"/>
      <c r="EK39" s="39">
        <f>EK37/EK88</f>
        <v>22.277154789323916</v>
      </c>
      <c r="EL39" s="387"/>
      <c r="EM39" s="387"/>
      <c r="EN39" s="387"/>
      <c r="EO39" s="387"/>
      <c r="EP39" s="39">
        <f>EP37/EP88</f>
        <v>20.262570793507503</v>
      </c>
      <c r="EQ39" s="387"/>
      <c r="ER39" s="387"/>
      <c r="ES39" s="387"/>
      <c r="ET39" s="387"/>
      <c r="EU39" s="39">
        <f>EU37/EU88</f>
        <v>19.629915134161465</v>
      </c>
      <c r="EV39" s="387"/>
      <c r="EW39" s="387"/>
      <c r="EX39" s="387"/>
      <c r="EY39" s="387"/>
      <c r="EZ39" s="39">
        <f>EZ37/EZ88</f>
        <v>19.324187823171567</v>
      </c>
    </row>
    <row r="40" spans="2:166" ht="13.5" thickBot="1">
      <c r="B40" s="82"/>
      <c r="C40" s="372"/>
      <c r="D40" s="372"/>
      <c r="E40" s="372"/>
      <c r="F40" s="372"/>
      <c r="G40" s="372"/>
      <c r="H40" s="372"/>
      <c r="I40" s="372"/>
      <c r="J40" s="372"/>
      <c r="K40" s="372"/>
      <c r="L40" s="371"/>
      <c r="M40" s="371"/>
      <c r="N40" s="371"/>
      <c r="O40" s="371"/>
      <c r="P40" s="372"/>
      <c r="Q40" s="371"/>
      <c r="R40" s="371"/>
      <c r="S40" s="371"/>
      <c r="T40" s="371"/>
      <c r="U40" s="372"/>
      <c r="V40" s="371"/>
      <c r="W40" s="371"/>
      <c r="X40" s="371"/>
      <c r="Y40" s="371"/>
      <c r="Z40" s="372"/>
      <c r="AA40" s="371"/>
      <c r="AB40" s="371"/>
      <c r="AC40" s="371"/>
      <c r="AD40" s="371"/>
      <c r="AE40" s="372"/>
      <c r="AF40" s="371"/>
      <c r="AG40" s="371"/>
      <c r="AH40" s="371"/>
      <c r="AI40" s="371"/>
      <c r="AJ40" s="372"/>
      <c r="AK40" s="371"/>
      <c r="AL40" s="371"/>
      <c r="AM40" s="371"/>
      <c r="AN40" s="371"/>
      <c r="AO40" s="372"/>
      <c r="AP40" s="371"/>
      <c r="AQ40" s="371"/>
      <c r="AR40" s="371"/>
      <c r="AS40" s="371"/>
      <c r="AT40" s="372"/>
      <c r="AU40" s="388"/>
      <c r="AV40" s="388"/>
      <c r="AW40" s="388"/>
      <c r="AX40" s="388"/>
      <c r="AY40" s="372"/>
      <c r="AZ40" s="371"/>
      <c r="BA40" s="371"/>
      <c r="BB40" s="371"/>
      <c r="BC40" s="371"/>
      <c r="BD40" s="372"/>
      <c r="BE40" s="371"/>
      <c r="BF40" s="371"/>
      <c r="BG40" s="371"/>
      <c r="BH40" s="371"/>
      <c r="BI40" s="372"/>
      <c r="BJ40" s="388"/>
      <c r="BK40" s="388"/>
      <c r="BL40" s="388"/>
      <c r="BM40" s="388"/>
      <c r="BN40" s="372"/>
      <c r="BO40" s="388"/>
      <c r="BP40" s="388"/>
      <c r="BQ40" s="388"/>
      <c r="BR40" s="388"/>
      <c r="BS40" s="372"/>
      <c r="BT40" s="388"/>
      <c r="BU40" s="388"/>
      <c r="BV40" s="654"/>
      <c r="BW40" s="654"/>
      <c r="BX40" s="655"/>
      <c r="BY40" s="388"/>
      <c r="BZ40" s="388"/>
      <c r="CA40" s="381"/>
      <c r="CB40" s="381"/>
      <c r="CC40" s="521"/>
      <c r="CD40" s="636"/>
      <c r="CE40" s="636"/>
      <c r="CF40" s="774"/>
      <c r="CG40" s="774"/>
      <c r="CH40" s="655"/>
      <c r="CI40" s="636"/>
      <c r="CJ40" s="636"/>
      <c r="CK40" s="636"/>
      <c r="CL40" s="636"/>
      <c r="CM40" s="636"/>
      <c r="CN40" s="636"/>
      <c r="CO40" s="636"/>
      <c r="CP40" s="426" t="s">
        <v>32</v>
      </c>
      <c r="CQ40" s="427"/>
      <c r="CR40" s="428" t="s">
        <v>957</v>
      </c>
      <c r="CS40" s="636"/>
      <c r="CT40" s="636"/>
      <c r="CU40" s="636"/>
      <c r="CV40" s="636"/>
      <c r="CW40" s="636"/>
      <c r="CX40" s="636"/>
      <c r="CY40" s="636"/>
      <c r="CZ40" s="636"/>
      <c r="DA40" s="636"/>
      <c r="DB40" s="636"/>
      <c r="DC40" s="636"/>
      <c r="DD40" s="636"/>
      <c r="DE40" s="636"/>
      <c r="DF40" s="636"/>
      <c r="DG40" s="636"/>
    </row>
    <row r="41" spans="2:166">
      <c r="B41" s="438" t="s">
        <v>74</v>
      </c>
      <c r="C41" s="439"/>
      <c r="D41" s="439"/>
      <c r="E41" s="439"/>
      <c r="F41" s="439"/>
      <c r="G41" s="439"/>
      <c r="H41" s="439"/>
      <c r="I41" s="439"/>
      <c r="J41" s="439"/>
      <c r="K41" s="439"/>
      <c r="L41" s="439"/>
      <c r="M41" s="439"/>
      <c r="N41" s="439"/>
      <c r="O41" s="439"/>
      <c r="P41" s="439"/>
      <c r="Q41" s="439"/>
      <c r="R41" s="439"/>
      <c r="S41" s="439"/>
      <c r="T41" s="439"/>
      <c r="U41" s="439"/>
      <c r="V41" s="439"/>
      <c r="W41" s="439"/>
      <c r="X41" s="439"/>
      <c r="Y41" s="439"/>
      <c r="Z41" s="439"/>
      <c r="AA41" s="439"/>
      <c r="AB41" s="439"/>
      <c r="AC41" s="439"/>
      <c r="AD41" s="439"/>
      <c r="AE41" s="439"/>
      <c r="AF41" s="439"/>
      <c r="AG41" s="439"/>
      <c r="AH41" s="439"/>
      <c r="AI41" s="439"/>
      <c r="AJ41" s="439"/>
      <c r="AK41" s="439"/>
      <c r="AL41" s="439"/>
      <c r="AM41" s="439"/>
      <c r="AN41" s="439"/>
      <c r="AO41" s="439"/>
      <c r="AP41" s="439"/>
      <c r="AQ41" s="439"/>
      <c r="AR41" s="439"/>
      <c r="AS41" s="439"/>
      <c r="AT41" s="439"/>
      <c r="AU41" s="439"/>
      <c r="AV41" s="439"/>
      <c r="AW41" s="439"/>
      <c r="AX41" s="439"/>
      <c r="AY41" s="439"/>
      <c r="AZ41" s="439"/>
      <c r="BA41" s="439"/>
      <c r="BB41" s="439"/>
      <c r="BC41" s="440"/>
      <c r="BD41" s="439"/>
      <c r="BE41" s="439"/>
      <c r="BF41" s="439"/>
      <c r="BG41" s="439"/>
      <c r="BH41" s="440"/>
      <c r="BI41" s="439"/>
      <c r="BJ41" s="439"/>
      <c r="BK41" s="439"/>
      <c r="BL41" s="439"/>
      <c r="BM41" s="439"/>
      <c r="BN41" s="439"/>
      <c r="BO41" s="439"/>
      <c r="BP41" s="439"/>
      <c r="BQ41" s="439"/>
      <c r="BR41" s="439"/>
      <c r="BS41" s="439"/>
      <c r="BT41" s="444"/>
      <c r="BU41" s="444"/>
      <c r="BV41" s="444"/>
      <c r="BW41" s="444"/>
      <c r="BX41" s="444"/>
      <c r="BY41" s="444"/>
      <c r="BZ41" s="444"/>
      <c r="CA41" s="444"/>
      <c r="CB41" s="444"/>
      <c r="CC41" s="444"/>
      <c r="CD41" s="444"/>
      <c r="CE41" s="444"/>
      <c r="CF41" s="444"/>
      <c r="CG41" s="444"/>
      <c r="CH41" s="444"/>
      <c r="CI41" s="444"/>
      <c r="CJ41" s="444"/>
      <c r="CK41" s="444"/>
      <c r="CL41" s="444"/>
      <c r="CM41" s="444"/>
      <c r="CN41" s="444" t="e">
        <f ca="1">_xll.TR($FQ$1,"TR.EPSMean","Period=#1 Curn=#2 Null=-",,LEFT(CN2,1)&amp;"CQ20"&amp;MID(CN2,3,2),$FQ$2)</f>
        <v>#NAME?</v>
      </c>
      <c r="CO41" s="444" t="e">
        <f ca="1">_xll.TR($FQ$1,"TR.EPSMean","Period=#1 Curn=#2 Null=-",,LEFT(CO2,1)&amp;"CQ20"&amp;MID(CO2,3,2),$FQ$2)</f>
        <v>#NAME?</v>
      </c>
      <c r="CP41" s="444" t="e">
        <f ca="1">_xll.TR($FQ$1,"TR.EPSMean","Period=#1 Curn=#2 Null=-",,LEFT(CP2,1)&amp;"CQ20"&amp;MID(CP2,3,2),$FQ$2)</f>
        <v>#NAME?</v>
      </c>
      <c r="CQ41" s="444" t="e">
        <f ca="1">_xll.TR($FQ$1,"TR.EPSMean","Period=#1 Curn=#2 Null=-",,LEFT(CQ2,1)&amp;"CQ20"&amp;MID(CQ2,3,2),$FQ$2)</f>
        <v>#NAME?</v>
      </c>
      <c r="CR41" s="444" t="e">
        <f ca="1">_xll.TR($FQ$1,"Avail(TR.EPSMean(Methodology=WeightedAnnual),TR.EPSMean(Methodology=InterimSum))","Period=#1 Curn=#2 Null=-",,"CY"&amp;LEFT(CN1,4),$FQ$2)</f>
        <v>#NAME?</v>
      </c>
      <c r="CS41" s="577"/>
      <c r="CT41" s="577"/>
      <c r="CU41" s="577"/>
      <c r="CV41" s="577"/>
      <c r="CW41" s="444" t="e">
        <f ca="1">_xll.TR($FQ$1,"Avail(TR.EPSMean(Methodology=WeightedAnnual),TR.EPSMean(Methodology=InterimSum))","Period=#1 Curn=#2 Null=-",,"CY"&amp;LEFT(CS1,4),$FQ$2)</f>
        <v>#NAME?</v>
      </c>
      <c r="CX41" s="444"/>
      <c r="CY41" s="444"/>
      <c r="CZ41" s="444"/>
      <c r="DA41" s="444"/>
      <c r="DB41" s="444" t="e">
        <f ca="1">_xll.TR($FQ$1,"Avail(TR.EPSMean(Methodology=WeightedAnnual),TR.EPSMean(Methodology=InterimSum))","Period=#1 Curn=#2 Null=-",,"CY"&amp;LEFT(CX1,4),$FQ$2)</f>
        <v>#NAME?</v>
      </c>
      <c r="DC41" s="444"/>
      <c r="DD41" s="444"/>
      <c r="DE41" s="444"/>
      <c r="DF41" s="444"/>
      <c r="DG41" s="444"/>
      <c r="DH41" s="444"/>
      <c r="DI41" s="444"/>
      <c r="DJ41" s="444"/>
      <c r="DK41" s="444"/>
      <c r="DL41" s="444"/>
      <c r="DM41" s="444"/>
      <c r="DN41" s="444"/>
      <c r="DO41" s="444"/>
      <c r="DP41" s="444"/>
      <c r="DQ41" s="444"/>
      <c r="DR41" s="444"/>
      <c r="DS41" s="444"/>
      <c r="DT41" s="444"/>
      <c r="DU41" s="444"/>
      <c r="DV41" s="444"/>
      <c r="DW41" s="444"/>
      <c r="DX41" s="444"/>
      <c r="DY41" s="444"/>
      <c r="DZ41" s="444"/>
      <c r="EA41" s="444"/>
      <c r="EB41" s="444"/>
      <c r="EC41" s="444"/>
      <c r="ED41" s="444"/>
      <c r="EE41" s="444"/>
      <c r="EF41" s="444"/>
      <c r="EG41" s="444"/>
      <c r="EH41" s="444"/>
      <c r="EI41" s="444"/>
      <c r="EJ41" s="444"/>
      <c r="EK41" s="444"/>
      <c r="EL41" s="444"/>
      <c r="EM41" s="444"/>
      <c r="EN41" s="444"/>
      <c r="EO41" s="444"/>
      <c r="EP41" s="444"/>
      <c r="EQ41" s="444"/>
      <c r="ER41" s="444"/>
      <c r="ES41" s="444"/>
      <c r="ET41" s="444"/>
      <c r="EU41" s="444"/>
      <c r="EV41" s="444"/>
      <c r="EW41" s="444"/>
      <c r="EX41" s="444"/>
      <c r="EY41" s="444"/>
      <c r="EZ41" s="444"/>
    </row>
    <row r="42" spans="2:166">
      <c r="B42" s="27"/>
      <c r="C42" s="34"/>
      <c r="D42" s="34"/>
      <c r="E42" s="34"/>
      <c r="F42" s="34"/>
      <c r="G42" s="34"/>
      <c r="H42" s="34"/>
      <c r="I42" s="34"/>
      <c r="J42" s="34"/>
      <c r="K42" s="34"/>
      <c r="L42" s="54"/>
      <c r="M42" s="54"/>
      <c r="N42" s="54"/>
      <c r="O42" s="54"/>
      <c r="P42" s="34"/>
      <c r="Q42" s="54"/>
      <c r="R42" s="54"/>
      <c r="S42" s="54"/>
      <c r="T42" s="54"/>
      <c r="U42" s="34"/>
      <c r="V42" s="54"/>
      <c r="W42" s="54"/>
      <c r="X42" s="54"/>
      <c r="Y42" s="54"/>
      <c r="Z42" s="34"/>
      <c r="AA42" s="54"/>
      <c r="AB42" s="54"/>
      <c r="AC42" s="54"/>
      <c r="AD42" s="54"/>
      <c r="AE42" s="34"/>
      <c r="AF42" s="54"/>
      <c r="AG42" s="54"/>
      <c r="AH42" s="54"/>
      <c r="AI42" s="54"/>
      <c r="AJ42" s="34"/>
      <c r="AK42" s="54"/>
      <c r="AL42" s="54"/>
      <c r="AM42" s="54"/>
      <c r="AN42" s="54"/>
      <c r="AO42" s="34"/>
      <c r="AP42" s="54"/>
      <c r="AQ42" s="54"/>
      <c r="AR42" s="54"/>
      <c r="AS42" s="54"/>
      <c r="AT42" s="34"/>
      <c r="AU42" s="389"/>
      <c r="AV42" s="389"/>
      <c r="AW42" s="389"/>
      <c r="AX42" s="389"/>
      <c r="AY42" s="34"/>
      <c r="AZ42" s="54"/>
      <c r="BA42" s="54"/>
      <c r="BB42" s="54"/>
      <c r="BC42" s="55"/>
      <c r="BD42" s="34"/>
      <c r="BE42" s="54"/>
      <c r="BF42" s="54"/>
      <c r="BG42" s="54"/>
      <c r="BH42" s="55"/>
      <c r="BI42" s="34"/>
      <c r="BJ42" s="389"/>
      <c r="BK42" s="389"/>
      <c r="BL42" s="389"/>
      <c r="BM42" s="389"/>
      <c r="BN42" s="34"/>
      <c r="BO42" s="389"/>
      <c r="BP42" s="389"/>
      <c r="BQ42" s="389"/>
      <c r="BR42" s="389"/>
      <c r="BS42" s="34"/>
      <c r="BT42" s="389"/>
      <c r="BU42" s="389"/>
      <c r="BV42" s="389"/>
      <c r="BW42" s="389"/>
      <c r="BX42" s="434"/>
      <c r="BY42" s="382"/>
      <c r="BZ42" s="382"/>
      <c r="CA42" s="382"/>
      <c r="CB42" s="382"/>
      <c r="CD42" s="382"/>
      <c r="CE42" s="382"/>
      <c r="CF42" s="382"/>
      <c r="CG42" s="382"/>
      <c r="CH42" s="670"/>
      <c r="CI42" s="382"/>
      <c r="CJ42" s="382"/>
      <c r="CK42" s="382"/>
      <c r="CL42" s="382"/>
      <c r="CN42" s="382"/>
      <c r="CO42" s="382"/>
      <c r="CP42" s="382"/>
      <c r="CQ42" s="382"/>
      <c r="CS42" s="382"/>
      <c r="CT42" s="382"/>
      <c r="CU42" s="382"/>
      <c r="CV42" s="382"/>
      <c r="CX42" s="382"/>
      <c r="CY42" s="382"/>
      <c r="CZ42" s="382"/>
      <c r="DA42" s="382"/>
      <c r="DC42" s="382"/>
      <c r="DD42" s="382"/>
      <c r="DE42" s="382"/>
      <c r="DF42" s="382"/>
      <c r="DH42" s="382"/>
      <c r="DI42" s="382"/>
      <c r="DJ42" s="382"/>
      <c r="DK42" s="382"/>
      <c r="DM42" s="382"/>
      <c r="DN42" s="382"/>
      <c r="DO42" s="382"/>
      <c r="DP42" s="382"/>
      <c r="DR42" s="382"/>
      <c r="DS42" s="382"/>
      <c r="DT42" s="382"/>
      <c r="DU42" s="382"/>
      <c r="DW42" s="382"/>
      <c r="DX42" s="382"/>
      <c r="DY42" s="382"/>
      <c r="DZ42" s="382"/>
      <c r="EB42" s="382"/>
      <c r="EC42" s="382"/>
      <c r="ED42" s="382"/>
      <c r="EE42" s="382"/>
      <c r="EG42" s="382"/>
      <c r="EH42" s="382"/>
      <c r="EI42" s="382"/>
      <c r="EJ42" s="382"/>
      <c r="EL42" s="382"/>
      <c r="EM42" s="382"/>
      <c r="EN42" s="382"/>
      <c r="EO42" s="382"/>
      <c r="EQ42" s="382"/>
      <c r="ER42" s="382"/>
      <c r="ES42" s="382"/>
      <c r="ET42" s="382"/>
      <c r="EV42" s="382"/>
      <c r="EW42" s="382"/>
      <c r="EX42" s="382"/>
      <c r="EY42" s="382"/>
    </row>
    <row r="43" spans="2:166" hidden="1" outlineLevel="1">
      <c r="C43" s="34"/>
      <c r="D43" s="34"/>
      <c r="E43" s="34"/>
      <c r="F43" s="34"/>
      <c r="G43" s="34"/>
      <c r="H43" s="34"/>
      <c r="I43" s="34"/>
      <c r="J43" s="34"/>
      <c r="K43" s="34"/>
      <c r="L43" s="54"/>
      <c r="M43" s="54"/>
      <c r="N43" s="54"/>
      <c r="O43" s="54"/>
      <c r="P43" s="34"/>
      <c r="Q43" s="54"/>
      <c r="R43" s="54"/>
      <c r="S43" s="54"/>
      <c r="T43" s="54"/>
      <c r="U43" s="34"/>
      <c r="V43" s="54"/>
      <c r="W43" s="54"/>
      <c r="X43" s="54"/>
      <c r="Y43" s="54"/>
      <c r="Z43" s="34"/>
      <c r="AA43" s="54"/>
      <c r="AB43" s="54"/>
      <c r="AC43" s="54"/>
      <c r="AD43" s="54"/>
      <c r="AE43" s="34"/>
      <c r="AF43" s="54"/>
      <c r="AG43" s="54"/>
      <c r="AH43" s="54"/>
      <c r="AI43" s="54"/>
      <c r="AJ43" s="34"/>
      <c r="AK43" s="54"/>
      <c r="AL43" s="54"/>
      <c r="AM43" s="54"/>
      <c r="AN43" s="54"/>
      <c r="AO43" s="34"/>
      <c r="AP43" s="54"/>
      <c r="AQ43" s="54"/>
      <c r="AR43" s="54"/>
      <c r="AS43" s="54"/>
      <c r="AT43" s="34"/>
      <c r="AU43" s="389"/>
      <c r="AV43" s="389"/>
      <c r="AW43" s="389"/>
      <c r="AX43" s="389"/>
      <c r="AY43" s="34"/>
      <c r="AZ43" s="54"/>
      <c r="BA43" s="54"/>
      <c r="BB43" s="54"/>
      <c r="BC43" s="55"/>
      <c r="BD43" s="34"/>
      <c r="BE43" s="54"/>
      <c r="BF43" s="54"/>
      <c r="BG43" s="54"/>
      <c r="BH43" s="55"/>
      <c r="BI43" s="34"/>
      <c r="BJ43" s="389"/>
      <c r="BK43" s="389"/>
      <c r="BL43" s="389"/>
      <c r="BM43" s="389"/>
      <c r="BN43" s="34"/>
      <c r="BO43" s="389"/>
      <c r="BP43" s="389"/>
      <c r="BQ43" s="389"/>
      <c r="BR43" s="389"/>
      <c r="BS43" s="34"/>
      <c r="BT43" s="382"/>
      <c r="BU43" s="382"/>
      <c r="BV43" s="382"/>
      <c r="BW43" s="382"/>
      <c r="BY43" s="382"/>
      <c r="BZ43" s="382"/>
      <c r="CA43" s="382"/>
      <c r="CB43" s="382"/>
      <c r="CD43" s="382"/>
      <c r="CE43" s="382"/>
      <c r="CF43" s="382"/>
      <c r="CG43" s="382"/>
      <c r="CI43" s="382"/>
      <c r="CJ43" s="382"/>
      <c r="CK43" s="382"/>
      <c r="CL43" s="382"/>
      <c r="CN43" s="382"/>
      <c r="CO43" s="382"/>
      <c r="CP43" s="382"/>
      <c r="CQ43" s="382"/>
      <c r="CS43" s="382"/>
      <c r="CT43" s="382"/>
      <c r="CU43" s="382"/>
      <c r="CV43" s="382"/>
      <c r="CX43" s="382"/>
      <c r="CY43" s="382"/>
      <c r="CZ43" s="382"/>
      <c r="DA43" s="382"/>
      <c r="DC43" s="382"/>
      <c r="DD43" s="382"/>
      <c r="DE43" s="382"/>
      <c r="DF43" s="382"/>
      <c r="DH43" s="382"/>
      <c r="DI43" s="382"/>
      <c r="DJ43" s="382"/>
      <c r="DK43" s="382"/>
      <c r="DM43" s="382"/>
      <c r="DN43" s="382"/>
      <c r="DO43" s="382"/>
      <c r="DP43" s="382"/>
      <c r="DR43" s="382"/>
      <c r="DS43" s="382"/>
      <c r="DT43" s="382"/>
      <c r="DU43" s="382"/>
      <c r="DW43" s="382"/>
      <c r="DX43" s="382"/>
      <c r="DY43" s="382"/>
      <c r="DZ43" s="382"/>
      <c r="EB43" s="382"/>
      <c r="EC43" s="382"/>
      <c r="ED43" s="382"/>
      <c r="EE43" s="382"/>
      <c r="EG43" s="382"/>
      <c r="EH43" s="382"/>
      <c r="EI43" s="382"/>
      <c r="EJ43" s="382"/>
      <c r="EL43" s="382"/>
      <c r="EM43" s="382"/>
      <c r="EN43" s="382"/>
      <c r="EO43" s="382"/>
      <c r="EQ43" s="382"/>
      <c r="ER43" s="382"/>
      <c r="ES43" s="382"/>
      <c r="ET43" s="382"/>
      <c r="EV43" s="382"/>
      <c r="EW43" s="382"/>
      <c r="EX43" s="382"/>
      <c r="EY43" s="382"/>
    </row>
    <row r="44" spans="2:166" hidden="1" outlineLevel="1">
      <c r="B44" t="s">
        <v>75</v>
      </c>
      <c r="L44" s="55"/>
      <c r="M44" s="55"/>
      <c r="N44" s="55"/>
      <c r="O44" s="55"/>
      <c r="Q44" s="55"/>
      <c r="R44" s="55"/>
      <c r="S44" s="55"/>
      <c r="T44" s="55"/>
      <c r="V44" s="55"/>
      <c r="W44" s="55"/>
      <c r="X44" s="55"/>
      <c r="Y44" s="55"/>
      <c r="AA44" s="55"/>
      <c r="AB44" s="55"/>
      <c r="AC44" s="55"/>
      <c r="AD44" s="55"/>
      <c r="AF44" s="55">
        <f>AF54+AF59+AF64</f>
        <v>66</v>
      </c>
      <c r="AG44" s="55">
        <f>AG54+AG59+AG64</f>
        <v>63</v>
      </c>
      <c r="AH44" s="55">
        <f>AH54+AH59+AH64</f>
        <v>50</v>
      </c>
      <c r="AI44" s="55">
        <f>AI54+AI59+AI64</f>
        <v>54</v>
      </c>
      <c r="AJ44">
        <v>233</v>
      </c>
      <c r="AK44" s="55">
        <f>AK54+AK59+AK64</f>
        <v>50</v>
      </c>
      <c r="AL44" s="55">
        <f>AL54+AL59+AL64</f>
        <v>48</v>
      </c>
      <c r="AM44" s="55">
        <f>AM54+AM59+AM64</f>
        <v>42</v>
      </c>
      <c r="AN44" s="55">
        <f>AN54+AN59+AN64</f>
        <v>41</v>
      </c>
      <c r="AO44">
        <v>181</v>
      </c>
      <c r="AP44" s="55">
        <f t="shared" ref="AP44:BR44" si="21">AP54+AP59+AP64</f>
        <v>28</v>
      </c>
      <c r="AQ44" s="55">
        <f t="shared" si="21"/>
        <v>24</v>
      </c>
      <c r="AR44" s="55">
        <f t="shared" si="21"/>
        <v>25</v>
      </c>
      <c r="AS44" s="55">
        <f t="shared" si="21"/>
        <v>26</v>
      </c>
      <c r="AT44">
        <f t="shared" si="21"/>
        <v>103</v>
      </c>
      <c r="AU44" s="382">
        <f t="shared" si="21"/>
        <v>24</v>
      </c>
      <c r="AV44" s="382">
        <f t="shared" si="21"/>
        <v>35</v>
      </c>
      <c r="AW44" s="382">
        <f t="shared" si="21"/>
        <v>29</v>
      </c>
      <c r="AX44" s="382">
        <f t="shared" si="21"/>
        <v>27</v>
      </c>
      <c r="AY44">
        <f t="shared" si="21"/>
        <v>115</v>
      </c>
      <c r="AZ44" s="55">
        <f t="shared" si="21"/>
        <v>27</v>
      </c>
      <c r="BA44" s="55">
        <f t="shared" si="21"/>
        <v>38</v>
      </c>
      <c r="BB44" s="55">
        <f t="shared" si="21"/>
        <v>30</v>
      </c>
      <c r="BC44" s="55">
        <f t="shared" si="21"/>
        <v>29</v>
      </c>
      <c r="BD44">
        <f t="shared" si="21"/>
        <v>124</v>
      </c>
      <c r="BE44" s="55">
        <f t="shared" si="21"/>
        <v>22</v>
      </c>
      <c r="BF44" s="55">
        <f t="shared" si="21"/>
        <v>26</v>
      </c>
      <c r="BG44" s="55">
        <f t="shared" si="21"/>
        <v>19</v>
      </c>
      <c r="BH44" s="55">
        <f t="shared" si="21"/>
        <v>18</v>
      </c>
      <c r="BI44">
        <f t="shared" si="21"/>
        <v>85</v>
      </c>
      <c r="BJ44" s="382">
        <f t="shared" si="21"/>
        <v>16</v>
      </c>
      <c r="BK44" s="382">
        <f t="shared" si="21"/>
        <v>16</v>
      </c>
      <c r="BL44" s="382">
        <f t="shared" si="21"/>
        <v>14</v>
      </c>
      <c r="BM44" s="382">
        <f t="shared" si="21"/>
        <v>14</v>
      </c>
      <c r="BN44">
        <f t="shared" si="21"/>
        <v>60</v>
      </c>
      <c r="BO44" s="382">
        <f>BO54+BO59+BO64</f>
        <v>11</v>
      </c>
      <c r="BP44" s="382">
        <f>BP54+BP59+BP64</f>
        <v>7</v>
      </c>
      <c r="BQ44" s="382">
        <f t="shared" si="21"/>
        <v>8</v>
      </c>
      <c r="BR44" s="435">
        <f t="shared" si="21"/>
        <v>8</v>
      </c>
      <c r="BS44" s="77">
        <f>SUM(BO44:BR44)</f>
        <v>34</v>
      </c>
      <c r="BT44" s="382">
        <f>BT54+BT59+BT64</f>
        <v>6</v>
      </c>
      <c r="BU44" s="382">
        <f>BU54+BU59+BU64</f>
        <v>4</v>
      </c>
      <c r="BV44" s="382">
        <f>BV54+BV59+BV64</f>
        <v>3</v>
      </c>
      <c r="BW44" s="382">
        <f>BW54+BW59+BW64</f>
        <v>3</v>
      </c>
      <c r="BX44" s="77">
        <f>BX54+BX59+BX64</f>
        <v>16</v>
      </c>
      <c r="BY44" s="383">
        <f>BY45*(BY19+BY26)</f>
        <v>0</v>
      </c>
      <c r="BZ44" s="383">
        <v>0</v>
      </c>
      <c r="CA44" s="430">
        <v>0</v>
      </c>
      <c r="CB44" s="383">
        <f>CC44-CA44-BZ44-BY44</f>
        <v>0</v>
      </c>
      <c r="CC44" s="77">
        <f>CC54+CC59+CC64</f>
        <v>0</v>
      </c>
      <c r="CD44" s="383">
        <f>CH44/4</f>
        <v>0</v>
      </c>
      <c r="CE44" s="383">
        <f>CH44/4</f>
        <v>0</v>
      </c>
      <c r="CF44" s="383">
        <f>CH44/4</f>
        <v>0</v>
      </c>
      <c r="CG44" s="383">
        <f>CH44-SUM(CD44:CF44)</f>
        <v>0</v>
      </c>
      <c r="CH44" s="77">
        <f>CH54+CH59+CH64</f>
        <v>0</v>
      </c>
      <c r="CI44" s="383">
        <f>CM44/4</f>
        <v>0</v>
      </c>
      <c r="CJ44" s="383">
        <f>CM44/4</f>
        <v>0</v>
      </c>
      <c r="CK44" s="383">
        <f>CM44/4</f>
        <v>0</v>
      </c>
      <c r="CL44" s="383">
        <f>CM44-SUM(CI44:CK44)</f>
        <v>0</v>
      </c>
      <c r="CM44" s="77">
        <f>CM54+CM59+CM64</f>
        <v>0</v>
      </c>
      <c r="CN44" s="383">
        <f>CR44/4</f>
        <v>0</v>
      </c>
      <c r="CO44" s="383">
        <f>CR44/4</f>
        <v>0</v>
      </c>
      <c r="CP44" s="383">
        <f>CR44/4</f>
        <v>0</v>
      </c>
      <c r="CQ44" s="383">
        <f>CR44-SUM(CN44:CP44)</f>
        <v>0</v>
      </c>
      <c r="CR44" s="77">
        <f>CR54+CR59+CR64</f>
        <v>0</v>
      </c>
      <c r="CS44" s="383"/>
      <c r="CT44" s="383"/>
      <c r="CU44" s="383"/>
      <c r="CV44" s="383"/>
      <c r="CW44" s="77">
        <f>CW54+CW59+CW64</f>
        <v>0</v>
      </c>
      <c r="CX44" s="383"/>
      <c r="CY44" s="383"/>
      <c r="CZ44" s="383"/>
      <c r="DA44" s="383"/>
      <c r="DB44" s="77">
        <f>DB54+DB59+DB64</f>
        <v>0</v>
      </c>
      <c r="DC44" s="383"/>
      <c r="DD44" s="383"/>
      <c r="DE44" s="383"/>
      <c r="DF44" s="383"/>
      <c r="DG44" s="77">
        <f>DG54+DG59+DG64</f>
        <v>0</v>
      </c>
      <c r="DH44" s="383"/>
      <c r="DI44" s="383"/>
      <c r="DJ44" s="383"/>
      <c r="DK44" s="383"/>
      <c r="DL44" s="77">
        <f>DL54+DL59+DL64</f>
        <v>0</v>
      </c>
      <c r="DM44" s="383"/>
      <c r="DN44" s="383"/>
      <c r="DO44" s="383"/>
      <c r="DP44" s="383"/>
      <c r="DQ44" s="77">
        <f>DQ54+DQ59+DQ64</f>
        <v>0</v>
      </c>
      <c r="DR44" s="383"/>
      <c r="DS44" s="383"/>
      <c r="DT44" s="383"/>
      <c r="DU44" s="383"/>
      <c r="DV44" s="77">
        <f>DV54+DV59+DV64</f>
        <v>0</v>
      </c>
      <c r="DW44" s="383"/>
      <c r="DX44" s="383"/>
      <c r="DY44" s="383"/>
      <c r="DZ44" s="383"/>
      <c r="EA44" s="77">
        <f>EA54+EA59+EA64</f>
        <v>0</v>
      </c>
      <c r="EB44" s="383"/>
      <c r="EC44" s="383"/>
      <c r="ED44" s="383"/>
      <c r="EE44" s="383"/>
      <c r="EF44" s="77">
        <f>EF54+EF59+EF64</f>
        <v>0</v>
      </c>
      <c r="EG44" s="383"/>
      <c r="EH44" s="383"/>
      <c r="EI44" s="383"/>
      <c r="EJ44" s="383"/>
      <c r="EK44" s="77">
        <f>EK54+EK59+EK64</f>
        <v>0</v>
      </c>
      <c r="EL44" s="383"/>
      <c r="EM44" s="383"/>
      <c r="EN44" s="383"/>
      <c r="EO44" s="383"/>
      <c r="EP44" s="77">
        <f>EP54+EP59+EP64</f>
        <v>0</v>
      </c>
      <c r="EQ44" s="383"/>
      <c r="ER44" s="383"/>
      <c r="ES44" s="383"/>
      <c r="ET44" s="383"/>
      <c r="EU44" s="77">
        <f>EU54+EU59+EU64</f>
        <v>0</v>
      </c>
      <c r="EV44" s="383"/>
      <c r="EW44" s="383"/>
      <c r="EX44" s="383"/>
      <c r="EY44" s="383"/>
      <c r="EZ44" s="77">
        <f>EZ54+EZ59+EZ64</f>
        <v>0</v>
      </c>
    </row>
    <row r="45" spans="2:166" hidden="1" outlineLevel="1">
      <c r="B45" s="27" t="s">
        <v>175</v>
      </c>
      <c r="L45" s="55"/>
      <c r="M45" s="55"/>
      <c r="N45" s="55"/>
      <c r="O45" s="55"/>
      <c r="Q45" s="55"/>
      <c r="R45" s="55"/>
      <c r="S45" s="55"/>
      <c r="T45" s="55"/>
      <c r="V45" s="55"/>
      <c r="W45" s="55"/>
      <c r="X45" s="55"/>
      <c r="Y45" s="55"/>
      <c r="AA45" s="55"/>
      <c r="AB45" s="55"/>
      <c r="AC45" s="55"/>
      <c r="AD45" s="55"/>
      <c r="AF45" s="58">
        <f t="shared" ref="AF45:BQ45" si="22">AF44/(AF19+AF26)</f>
        <v>5.1724137931034482E-2</v>
      </c>
      <c r="AG45" s="58">
        <f t="shared" si="22"/>
        <v>4.1230366492146599E-2</v>
      </c>
      <c r="AH45" s="58">
        <f t="shared" si="22"/>
        <v>3.0921459492888066E-2</v>
      </c>
      <c r="AI45" s="58">
        <f t="shared" si="22"/>
        <v>2.6946107784431138E-2</v>
      </c>
      <c r="AJ45" s="44">
        <f t="shared" si="22"/>
        <v>3.6264591439688715E-2</v>
      </c>
      <c r="AK45" s="58">
        <f t="shared" si="22"/>
        <v>3.2237266279819474E-2</v>
      </c>
      <c r="AL45" s="58">
        <f t="shared" si="22"/>
        <v>2.9684601113172542E-2</v>
      </c>
      <c r="AM45" s="58">
        <f t="shared" si="22"/>
        <v>2.7944111776447105E-2</v>
      </c>
      <c r="AN45" s="58">
        <f t="shared" si="22"/>
        <v>2.3098591549295774E-2</v>
      </c>
      <c r="AO45" s="44">
        <f t="shared" si="22"/>
        <v>2.8079429103319887E-2</v>
      </c>
      <c r="AP45" s="58">
        <f t="shared" si="22"/>
        <v>1.8384766907419567E-2</v>
      </c>
      <c r="AQ45" s="58">
        <f t="shared" si="22"/>
        <v>1.434548714883443E-2</v>
      </c>
      <c r="AR45" s="58">
        <f t="shared" si="22"/>
        <v>1.5723270440251572E-2</v>
      </c>
      <c r="AS45" s="58">
        <f t="shared" si="22"/>
        <v>1.4192139737991267E-2</v>
      </c>
      <c r="AT45" s="44">
        <f t="shared" si="22"/>
        <v>1.5563614385010577E-2</v>
      </c>
      <c r="AU45" s="567">
        <f t="shared" si="22"/>
        <v>1.7403915881073241E-2</v>
      </c>
      <c r="AV45" s="567">
        <f t="shared" si="22"/>
        <v>2.2609819121447029E-2</v>
      </c>
      <c r="AW45" s="567">
        <f t="shared" si="22"/>
        <v>1.9003931847968544E-2</v>
      </c>
      <c r="AX45" s="567">
        <f t="shared" si="22"/>
        <v>1.3346515076618883E-2</v>
      </c>
      <c r="AY45" s="44">
        <f t="shared" si="22"/>
        <v>1.7757875231624459E-2</v>
      </c>
      <c r="AZ45" s="58">
        <f t="shared" si="22"/>
        <v>1.8120805369127517E-2</v>
      </c>
      <c r="BA45" s="58">
        <f t="shared" si="22"/>
        <v>2.3602484472049691E-2</v>
      </c>
      <c r="BB45" s="58">
        <f t="shared" si="22"/>
        <v>1.8393623543838136E-2</v>
      </c>
      <c r="BC45" s="58">
        <f t="shared" si="22"/>
        <v>1.4743263853584139E-2</v>
      </c>
      <c r="BD45" s="44">
        <f t="shared" si="22"/>
        <v>1.8512988951925949E-2</v>
      </c>
      <c r="BE45" s="58">
        <f t="shared" si="22"/>
        <v>1.2835472578763127E-2</v>
      </c>
      <c r="BF45" s="58">
        <f t="shared" si="22"/>
        <v>1.354872329338197E-2</v>
      </c>
      <c r="BG45" s="58">
        <f t="shared" si="22"/>
        <v>1.0127931769722815E-2</v>
      </c>
      <c r="BH45" s="58">
        <f t="shared" si="22"/>
        <v>8.8192062714355715E-3</v>
      </c>
      <c r="BI45" s="44">
        <f t="shared" si="22"/>
        <v>1.1258278145695364E-2</v>
      </c>
      <c r="BJ45" s="567">
        <f t="shared" si="22"/>
        <v>8.988764044943821E-3</v>
      </c>
      <c r="BK45" s="567">
        <f t="shared" si="22"/>
        <v>7.9760717846460612E-3</v>
      </c>
      <c r="BL45" s="567">
        <f t="shared" si="22"/>
        <v>7.1465033180193975E-3</v>
      </c>
      <c r="BM45" s="567">
        <f t="shared" si="22"/>
        <v>6.1728395061728392E-3</v>
      </c>
      <c r="BN45" s="44">
        <f t="shared" si="22"/>
        <v>7.4878322725570948E-3</v>
      </c>
      <c r="BO45" s="433">
        <f t="shared" si="22"/>
        <v>5.5137844611528822E-3</v>
      </c>
      <c r="BP45" s="433">
        <f t="shared" si="22"/>
        <v>3.2095369096744614E-3</v>
      </c>
      <c r="BQ45" s="433">
        <f t="shared" si="22"/>
        <v>3.663003663003663E-3</v>
      </c>
      <c r="BR45" s="433">
        <f>BQ45</f>
        <v>3.663003663003663E-3</v>
      </c>
      <c r="BS45" s="37">
        <f>BS44/(BS19+BS26)</f>
        <v>3.8487661308580483E-3</v>
      </c>
      <c r="BT45" s="433">
        <f>BT44/(BT19+BT26)</f>
        <v>3.0349013657056147E-3</v>
      </c>
      <c r="BU45" s="433">
        <f>BU44/(BU19+BU26)</f>
        <v>1.9305019305019305E-3</v>
      </c>
      <c r="BV45" s="433">
        <f>BV44/(BV19+BV26)</f>
        <v>1.4947683109118087E-3</v>
      </c>
      <c r="BW45" s="433">
        <f>BV45</f>
        <v>1.4947683109118087E-3</v>
      </c>
      <c r="BX45" s="37">
        <f>BX44/(BX19+BX26)</f>
        <v>1.875952632196037E-3</v>
      </c>
      <c r="BY45" s="390">
        <f>CC45</f>
        <v>0</v>
      </c>
      <c r="BZ45" s="390">
        <f>CC45</f>
        <v>0</v>
      </c>
      <c r="CA45" s="390">
        <f>CC45</f>
        <v>0</v>
      </c>
      <c r="CB45" s="433">
        <f t="shared" ref="CB45:CQ45" si="23">CB44/(CB19+CB26)</f>
        <v>0</v>
      </c>
      <c r="CC45" s="37">
        <f t="shared" si="23"/>
        <v>0</v>
      </c>
      <c r="CD45" s="433">
        <f t="shared" si="23"/>
        <v>0</v>
      </c>
      <c r="CE45" s="433">
        <f t="shared" si="23"/>
        <v>0</v>
      </c>
      <c r="CF45" s="433">
        <f t="shared" si="23"/>
        <v>0</v>
      </c>
      <c r="CG45" s="433">
        <f t="shared" si="23"/>
        <v>0</v>
      </c>
      <c r="CH45" s="37">
        <f t="shared" si="23"/>
        <v>0</v>
      </c>
      <c r="CI45" s="390">
        <f t="shared" si="23"/>
        <v>0</v>
      </c>
      <c r="CJ45" s="390">
        <f t="shared" si="23"/>
        <v>0</v>
      </c>
      <c r="CK45" s="390">
        <f t="shared" si="23"/>
        <v>0</v>
      </c>
      <c r="CL45" s="390">
        <f t="shared" si="23"/>
        <v>0</v>
      </c>
      <c r="CM45" s="37">
        <f>CM44/(CM19+CM26)</f>
        <v>0</v>
      </c>
      <c r="CN45" s="390">
        <f t="shared" si="23"/>
        <v>0</v>
      </c>
      <c r="CO45" s="390">
        <f t="shared" si="23"/>
        <v>0</v>
      </c>
      <c r="CP45" s="390">
        <f t="shared" si="23"/>
        <v>0</v>
      </c>
      <c r="CQ45" s="390">
        <f t="shared" si="23"/>
        <v>0</v>
      </c>
      <c r="CR45" s="37">
        <f>CR44/(CR19+CR26)</f>
        <v>0</v>
      </c>
      <c r="CS45" s="390"/>
      <c r="CT45" s="390"/>
      <c r="CU45" s="390"/>
      <c r="CV45" s="390"/>
      <c r="CW45" s="37">
        <f>CW44/(CW19+CW26)</f>
        <v>0</v>
      </c>
      <c r="CX45" s="390"/>
      <c r="CY45" s="390"/>
      <c r="CZ45" s="390"/>
      <c r="DA45" s="390"/>
      <c r="DB45" s="37">
        <f>DB44/(DB19+DB26)</f>
        <v>0</v>
      </c>
      <c r="DC45" s="390"/>
      <c r="DD45" s="390"/>
      <c r="DE45" s="390"/>
      <c r="DF45" s="390"/>
      <c r="DG45" s="37">
        <f>DG44/(DG19+DG26)</f>
        <v>0</v>
      </c>
      <c r="DH45" s="390"/>
      <c r="DI45" s="390"/>
      <c r="DJ45" s="390"/>
      <c r="DK45" s="390"/>
      <c r="DL45" s="37">
        <f>DL44/(DL19+DL26)</f>
        <v>0</v>
      </c>
      <c r="DM45" s="390"/>
      <c r="DN45" s="390"/>
      <c r="DO45" s="390"/>
      <c r="DP45" s="390"/>
      <c r="DQ45" s="37">
        <f>DQ44/(DQ19+DQ26)</f>
        <v>0</v>
      </c>
      <c r="DR45" s="390"/>
      <c r="DS45" s="390"/>
      <c r="DT45" s="390"/>
      <c r="DU45" s="390"/>
      <c r="DV45" s="37">
        <f>DV44/(DV19+DV26)</f>
        <v>0</v>
      </c>
      <c r="DW45" s="390"/>
      <c r="DX45" s="390"/>
      <c r="DY45" s="390"/>
      <c r="DZ45" s="390"/>
      <c r="EA45" s="37">
        <f>EA44/(EA19+EA26)</f>
        <v>0</v>
      </c>
      <c r="EB45" s="390"/>
      <c r="EC45" s="390"/>
      <c r="ED45" s="390"/>
      <c r="EE45" s="390"/>
      <c r="EF45" s="37">
        <f>EF44/(EF19+EF26)</f>
        <v>0</v>
      </c>
      <c r="EG45" s="390"/>
      <c r="EH45" s="390"/>
      <c r="EI45" s="390"/>
      <c r="EJ45" s="390"/>
      <c r="EK45" s="37">
        <f>EK44/(EK19+EK26)</f>
        <v>0</v>
      </c>
      <c r="EL45" s="390"/>
      <c r="EM45" s="390"/>
      <c r="EN45" s="390"/>
      <c r="EO45" s="390"/>
      <c r="EP45" s="37">
        <f>EP44/(EP19+EP26)</f>
        <v>0</v>
      </c>
      <c r="EQ45" s="390"/>
      <c r="ER45" s="390"/>
      <c r="ES45" s="390"/>
      <c r="ET45" s="390"/>
      <c r="EU45" s="37">
        <f>EU44/(EU19+EU26)</f>
        <v>0</v>
      </c>
      <c r="EV45" s="390"/>
      <c r="EW45" s="390"/>
      <c r="EX45" s="390"/>
      <c r="EY45" s="390"/>
      <c r="EZ45" s="37">
        <f>EZ44/(EZ19+EZ26)</f>
        <v>0</v>
      </c>
    </row>
    <row r="46" spans="2:166" hidden="1" outlineLevel="1">
      <c r="B46" t="s">
        <v>190</v>
      </c>
      <c r="L46" s="55"/>
      <c r="M46" s="55"/>
      <c r="N46" s="55"/>
      <c r="O46" s="55"/>
      <c r="Q46" s="55"/>
      <c r="R46" s="55"/>
      <c r="S46" s="55"/>
      <c r="T46" s="55"/>
      <c r="V46" s="55"/>
      <c r="W46" s="55"/>
      <c r="X46" s="55"/>
      <c r="Y46" s="55"/>
      <c r="AA46" s="55"/>
      <c r="AB46" s="55"/>
      <c r="AC46" s="55"/>
      <c r="AD46" s="55"/>
      <c r="AF46" s="55">
        <v>17</v>
      </c>
      <c r="AG46" s="55">
        <v>16</v>
      </c>
      <c r="AH46" s="55">
        <v>15</v>
      </c>
      <c r="AI46" s="55">
        <v>19</v>
      </c>
      <c r="AJ46">
        <v>67</v>
      </c>
      <c r="AK46" s="55">
        <v>15</v>
      </c>
      <c r="AL46" s="55">
        <v>14</v>
      </c>
      <c r="AM46" s="55">
        <v>20</v>
      </c>
      <c r="AN46" s="55">
        <v>8</v>
      </c>
      <c r="AO46">
        <v>46</v>
      </c>
      <c r="AP46" s="55">
        <v>6</v>
      </c>
      <c r="AQ46" s="55">
        <v>13</v>
      </c>
      <c r="AR46" s="55">
        <v>4</v>
      </c>
      <c r="AS46" s="55">
        <v>5</v>
      </c>
      <c r="AT46">
        <v>28</v>
      </c>
      <c r="AU46" s="382">
        <v>14</v>
      </c>
      <c r="AV46" s="382">
        <v>15</v>
      </c>
      <c r="AW46" s="382">
        <v>9</v>
      </c>
      <c r="AX46" s="382">
        <v>7</v>
      </c>
      <c r="AY46">
        <v>44</v>
      </c>
      <c r="AZ46" s="55">
        <v>7</v>
      </c>
      <c r="BA46" s="55">
        <v>-1</v>
      </c>
      <c r="BB46" s="55">
        <v>20</v>
      </c>
      <c r="BC46" s="55">
        <v>10</v>
      </c>
      <c r="BD46">
        <v>37</v>
      </c>
      <c r="BE46" s="55">
        <v>1</v>
      </c>
      <c r="BF46" s="55">
        <v>1</v>
      </c>
      <c r="BG46" s="55">
        <v>1</v>
      </c>
      <c r="BH46" s="55">
        <v>1</v>
      </c>
      <c r="BI46">
        <v>3</v>
      </c>
      <c r="BJ46" s="382">
        <v>1</v>
      </c>
      <c r="BK46" s="382">
        <v>1</v>
      </c>
      <c r="BL46" s="382">
        <v>1</v>
      </c>
      <c r="BM46" s="382">
        <v>5</v>
      </c>
      <c r="BN46">
        <v>7</v>
      </c>
      <c r="BO46" s="382">
        <v>0</v>
      </c>
      <c r="BP46" s="382">
        <v>0</v>
      </c>
      <c r="BQ46" s="382">
        <v>0</v>
      </c>
      <c r="BR46" s="382">
        <v>0</v>
      </c>
      <c r="BS46">
        <f>SUM(BO46:BR46)</f>
        <v>0</v>
      </c>
      <c r="BT46" s="382">
        <v>0</v>
      </c>
      <c r="BU46" s="382">
        <v>0</v>
      </c>
      <c r="BV46" s="382">
        <v>0</v>
      </c>
      <c r="BW46" s="382">
        <v>0</v>
      </c>
      <c r="BX46">
        <f>SUM(BT46:BW46)</f>
        <v>0</v>
      </c>
      <c r="BY46" s="432">
        <v>0</v>
      </c>
      <c r="BZ46" s="432">
        <v>0</v>
      </c>
      <c r="CA46" s="432">
        <v>0</v>
      </c>
      <c r="CB46" s="432">
        <v>0</v>
      </c>
      <c r="CC46">
        <f>SUM(BY46:CB46)</f>
        <v>0</v>
      </c>
      <c r="CD46" s="382"/>
      <c r="CE46" s="382"/>
      <c r="CF46" s="382"/>
      <c r="CG46" s="382"/>
      <c r="CH46">
        <f>SUM(CD46:CG46)</f>
        <v>0</v>
      </c>
      <c r="CI46" s="382"/>
      <c r="CJ46" s="382"/>
      <c r="CK46" s="382"/>
      <c r="CL46" s="382"/>
      <c r="CM46">
        <f>SUM(CI46:CL46)</f>
        <v>0</v>
      </c>
      <c r="CN46" s="382"/>
      <c r="CO46" s="382"/>
      <c r="CP46" s="382"/>
      <c r="CQ46" s="382"/>
      <c r="CR46">
        <f>SUM(CN46:CQ46)</f>
        <v>0</v>
      </c>
      <c r="CS46" s="382"/>
      <c r="CT46" s="382"/>
      <c r="CU46" s="382"/>
      <c r="CV46" s="382"/>
      <c r="CW46">
        <f>SUM(CS46:CV46)</f>
        <v>0</v>
      </c>
      <c r="CX46" s="382"/>
      <c r="CY46" s="382"/>
      <c r="CZ46" s="382"/>
      <c r="DA46" s="382"/>
      <c r="DB46">
        <f>SUM(CX46:DA46)</f>
        <v>0</v>
      </c>
      <c r="DC46" s="382"/>
      <c r="DD46" s="382"/>
      <c r="DE46" s="382"/>
      <c r="DF46" s="382"/>
      <c r="DG46">
        <f>SUM(DC46:DF46)</f>
        <v>0</v>
      </c>
      <c r="DH46" s="382"/>
      <c r="DI46" s="382"/>
      <c r="DJ46" s="382"/>
      <c r="DK46" s="382"/>
      <c r="DL46">
        <f>SUM(DH46:DK46)</f>
        <v>0</v>
      </c>
      <c r="DM46" s="382"/>
      <c r="DN46" s="382"/>
      <c r="DO46" s="382"/>
      <c r="DP46" s="382"/>
      <c r="DQ46">
        <f>SUM(DM46:DP46)</f>
        <v>0</v>
      </c>
      <c r="DR46" s="382"/>
      <c r="DS46" s="382"/>
      <c r="DT46" s="382"/>
      <c r="DU46" s="382"/>
      <c r="DV46">
        <f>SUM(DR46:DU46)</f>
        <v>0</v>
      </c>
      <c r="DW46" s="382"/>
      <c r="DX46" s="382"/>
      <c r="DY46" s="382"/>
      <c r="DZ46" s="382"/>
      <c r="EA46">
        <f>SUM(DW46:DZ46)</f>
        <v>0</v>
      </c>
      <c r="EB46" s="382"/>
      <c r="EC46" s="382"/>
      <c r="ED46" s="382"/>
      <c r="EE46" s="382"/>
      <c r="EF46">
        <f>SUM(EB46:EE46)</f>
        <v>0</v>
      </c>
      <c r="EG46" s="382"/>
      <c r="EH46" s="382"/>
      <c r="EI46" s="382"/>
      <c r="EJ46" s="382"/>
      <c r="EK46">
        <f>SUM(EG46:EJ46)</f>
        <v>0</v>
      </c>
      <c r="EL46" s="382"/>
      <c r="EM46" s="382"/>
      <c r="EN46" s="382"/>
      <c r="EO46" s="382"/>
      <c r="EP46">
        <f>SUM(EL46:EO46)</f>
        <v>0</v>
      </c>
      <c r="EQ46" s="382"/>
      <c r="ER46" s="382"/>
      <c r="ES46" s="382"/>
      <c r="ET46" s="382"/>
      <c r="EU46">
        <f>SUM(EQ46:ET46)</f>
        <v>0</v>
      </c>
      <c r="EV46" s="382"/>
      <c r="EW46" s="382"/>
      <c r="EX46" s="382"/>
      <c r="EY46" s="382"/>
      <c r="EZ46">
        <f>SUM(EV46:EY46)</f>
        <v>0</v>
      </c>
    </row>
    <row r="47" spans="2:166" hidden="1" outlineLevel="1">
      <c r="B47" t="s">
        <v>76</v>
      </c>
      <c r="C47" s="46">
        <f t="shared" ref="C47:AH47" si="24">C37-C44+C46</f>
        <v>375</v>
      </c>
      <c r="D47" s="46">
        <f t="shared" si="24"/>
        <v>320</v>
      </c>
      <c r="E47" s="46">
        <f t="shared" si="24"/>
        <v>538</v>
      </c>
      <c r="F47" s="46">
        <f t="shared" si="24"/>
        <v>680</v>
      </c>
      <c r="G47" s="46">
        <f t="shared" si="24"/>
        <v>644</v>
      </c>
      <c r="H47" s="46">
        <f t="shared" si="24"/>
        <v>864</v>
      </c>
      <c r="I47" s="46">
        <f t="shared" si="24"/>
        <v>1096</v>
      </c>
      <c r="J47" s="46">
        <f t="shared" si="24"/>
        <v>1138</v>
      </c>
      <c r="K47" s="46">
        <f t="shared" si="24"/>
        <v>1119</v>
      </c>
      <c r="L47" s="56">
        <f t="shared" si="24"/>
        <v>342</v>
      </c>
      <c r="M47" s="56">
        <f t="shared" si="24"/>
        <v>412</v>
      </c>
      <c r="N47" s="56">
        <f t="shared" si="24"/>
        <v>436</v>
      </c>
      <c r="O47" s="56">
        <f t="shared" si="24"/>
        <v>472</v>
      </c>
      <c r="P47" s="46">
        <f t="shared" si="24"/>
        <v>1661</v>
      </c>
      <c r="Q47" s="56">
        <f t="shared" si="24"/>
        <v>557</v>
      </c>
      <c r="R47" s="56">
        <f t="shared" si="24"/>
        <v>652</v>
      </c>
      <c r="S47" s="56">
        <f t="shared" si="24"/>
        <v>714</v>
      </c>
      <c r="T47" s="56">
        <f t="shared" si="24"/>
        <v>615</v>
      </c>
      <c r="U47" s="46">
        <f t="shared" si="24"/>
        <v>2539</v>
      </c>
      <c r="V47" s="56">
        <f t="shared" si="24"/>
        <v>752</v>
      </c>
      <c r="W47" s="56">
        <f t="shared" si="24"/>
        <v>809</v>
      </c>
      <c r="X47" s="56">
        <f t="shared" si="24"/>
        <v>839</v>
      </c>
      <c r="Y47" s="56">
        <f t="shared" si="24"/>
        <v>748</v>
      </c>
      <c r="Z47" s="46">
        <f t="shared" si="24"/>
        <v>3148</v>
      </c>
      <c r="AA47" s="56">
        <f t="shared" si="24"/>
        <v>924</v>
      </c>
      <c r="AB47" s="56">
        <f t="shared" si="24"/>
        <v>1104</v>
      </c>
      <c r="AC47" s="56">
        <f t="shared" si="24"/>
        <v>1067</v>
      </c>
      <c r="AD47" s="56">
        <f t="shared" si="24"/>
        <v>928</v>
      </c>
      <c r="AE47" s="46">
        <f t="shared" si="24"/>
        <v>4023</v>
      </c>
      <c r="AF47" s="56">
        <f t="shared" si="24"/>
        <v>1052</v>
      </c>
      <c r="AG47" s="56">
        <f t="shared" si="24"/>
        <v>1188</v>
      </c>
      <c r="AH47" s="56">
        <f t="shared" si="24"/>
        <v>1189</v>
      </c>
      <c r="AI47" s="56">
        <f t="shared" ref="AI47:BN47" si="25">AI37-AI44+AI46</f>
        <v>1025</v>
      </c>
      <c r="AJ47" s="46">
        <f t="shared" si="25"/>
        <v>4454</v>
      </c>
      <c r="AK47" s="56">
        <f t="shared" si="25"/>
        <v>1235</v>
      </c>
      <c r="AL47" s="56">
        <f t="shared" si="25"/>
        <v>1231</v>
      </c>
      <c r="AM47" s="56">
        <f t="shared" si="25"/>
        <v>1159</v>
      </c>
      <c r="AN47" s="56">
        <f t="shared" si="25"/>
        <v>1055</v>
      </c>
      <c r="AO47" s="46">
        <f t="shared" si="25"/>
        <v>4669</v>
      </c>
      <c r="AP47" s="56">
        <f t="shared" si="25"/>
        <v>1196</v>
      </c>
      <c r="AQ47" s="56">
        <f t="shared" si="25"/>
        <v>1224</v>
      </c>
      <c r="AR47" s="56">
        <f t="shared" si="25"/>
        <v>1287</v>
      </c>
      <c r="AS47" s="56">
        <f t="shared" si="25"/>
        <v>1103</v>
      </c>
      <c r="AT47" s="46">
        <f t="shared" si="25"/>
        <v>4810</v>
      </c>
      <c r="AU47" s="391">
        <f t="shared" si="25"/>
        <v>1110</v>
      </c>
      <c r="AV47" s="391">
        <f t="shared" si="25"/>
        <v>1291</v>
      </c>
      <c r="AW47" s="391">
        <f t="shared" si="25"/>
        <v>1498</v>
      </c>
      <c r="AX47" s="391">
        <f t="shared" si="25"/>
        <v>1045</v>
      </c>
      <c r="AY47" s="46">
        <f t="shared" si="25"/>
        <v>4943</v>
      </c>
      <c r="AZ47" s="56">
        <f t="shared" si="25"/>
        <v>1262</v>
      </c>
      <c r="BA47" s="56">
        <f t="shared" si="25"/>
        <v>1287</v>
      </c>
      <c r="BB47" s="56">
        <f t="shared" si="25"/>
        <v>1303</v>
      </c>
      <c r="BC47" s="56">
        <f t="shared" si="25"/>
        <v>1084</v>
      </c>
      <c r="BD47" s="46">
        <f t="shared" si="25"/>
        <v>4937</v>
      </c>
      <c r="BE47" s="56">
        <f t="shared" si="25"/>
        <v>1237</v>
      </c>
      <c r="BF47" s="56">
        <f t="shared" si="25"/>
        <v>1256</v>
      </c>
      <c r="BG47" s="56">
        <f t="shared" si="25"/>
        <v>1262</v>
      </c>
      <c r="BH47" s="56">
        <f t="shared" si="25"/>
        <v>1022</v>
      </c>
      <c r="BI47" s="46">
        <f t="shared" si="25"/>
        <v>4776</v>
      </c>
      <c r="BJ47" s="391">
        <f t="shared" si="25"/>
        <v>1272</v>
      </c>
      <c r="BK47" s="391">
        <f t="shared" si="25"/>
        <v>1418</v>
      </c>
      <c r="BL47" s="391">
        <f t="shared" si="25"/>
        <v>1298</v>
      </c>
      <c r="BM47" s="391">
        <f t="shared" si="25"/>
        <v>1079</v>
      </c>
      <c r="BN47" s="46">
        <f t="shared" si="25"/>
        <v>5066</v>
      </c>
      <c r="BO47" s="391">
        <f t="shared" ref="BO47:CQ47" si="26">BO37-BO44+BO46</f>
        <v>1487</v>
      </c>
      <c r="BP47" s="391">
        <f t="shared" si="26"/>
        <v>1437</v>
      </c>
      <c r="BQ47" s="391">
        <f t="shared" si="26"/>
        <v>1473</v>
      </c>
      <c r="BR47" s="391">
        <f t="shared" si="26"/>
        <v>1383</v>
      </c>
      <c r="BS47" s="46">
        <f t="shared" si="26"/>
        <v>5780</v>
      </c>
      <c r="BT47" s="391">
        <f t="shared" si="26"/>
        <v>1432</v>
      </c>
      <c r="BU47" s="391">
        <f t="shared" si="26"/>
        <v>1819</v>
      </c>
      <c r="BV47" s="391">
        <f t="shared" si="26"/>
        <v>1766</v>
      </c>
      <c r="BW47" s="391">
        <f t="shared" si="26"/>
        <v>1667</v>
      </c>
      <c r="BX47" s="46">
        <f t="shared" si="26"/>
        <v>6684</v>
      </c>
      <c r="BY47" s="391">
        <f t="shared" si="26"/>
        <v>1911</v>
      </c>
      <c r="BZ47" s="391">
        <f t="shared" si="26"/>
        <v>1977</v>
      </c>
      <c r="CA47" s="391">
        <f t="shared" si="26"/>
        <v>2081</v>
      </c>
      <c r="CB47" s="391">
        <f t="shared" si="26"/>
        <v>1985</v>
      </c>
      <c r="CC47" s="46">
        <f t="shared" si="26"/>
        <v>7954</v>
      </c>
      <c r="CD47" s="391">
        <f t="shared" si="26"/>
        <v>2203</v>
      </c>
      <c r="CE47" s="391">
        <f t="shared" si="26"/>
        <v>2146</v>
      </c>
      <c r="CF47" s="391">
        <f t="shared" si="26"/>
        <v>2276</v>
      </c>
      <c r="CG47" s="391">
        <f t="shared" si="26"/>
        <v>2160</v>
      </c>
      <c r="CH47" s="46">
        <f t="shared" si="26"/>
        <v>8785</v>
      </c>
      <c r="CI47" s="391">
        <f t="shared" si="26"/>
        <v>2333</v>
      </c>
      <c r="CJ47" s="391">
        <f t="shared" si="26"/>
        <v>2410</v>
      </c>
      <c r="CK47" s="391">
        <f t="shared" si="26"/>
        <v>2399</v>
      </c>
      <c r="CL47" s="391">
        <f t="shared" si="26"/>
        <v>2104</v>
      </c>
      <c r="CM47" s="46">
        <f>CM37-CM44+CM46</f>
        <v>9246</v>
      </c>
      <c r="CN47" s="391">
        <f t="shared" si="26"/>
        <v>2466</v>
      </c>
      <c r="CO47" s="391">
        <f t="shared" si="26"/>
        <v>2442.4446621644738</v>
      </c>
      <c r="CP47" s="391">
        <f t="shared" si="26"/>
        <v>2346.9714375719832</v>
      </c>
      <c r="CQ47" s="391">
        <f t="shared" si="26"/>
        <v>2156.7202246095694</v>
      </c>
      <c r="CR47" s="46">
        <f>CR37-CR44+CR46</f>
        <v>9412.1363243460182</v>
      </c>
      <c r="CS47" s="391"/>
      <c r="CT47" s="391"/>
      <c r="CU47" s="391"/>
      <c r="CV47" s="391"/>
      <c r="CW47" s="46">
        <f>CW37-CW44+CW46</f>
        <v>9371.7643023545497</v>
      </c>
      <c r="CX47" s="391"/>
      <c r="CY47" s="391"/>
      <c r="CZ47" s="391"/>
      <c r="DA47" s="391"/>
      <c r="DB47" s="46">
        <f>DB37-DB44+DB46</f>
        <v>9550.0356974465085</v>
      </c>
      <c r="DC47" s="391"/>
      <c r="DD47" s="391"/>
      <c r="DE47" s="391"/>
      <c r="DF47" s="391"/>
      <c r="DG47" s="46">
        <f>DG37-DG44+DG46</f>
        <v>9617.30350399704</v>
      </c>
      <c r="DH47" s="391"/>
      <c r="DI47" s="391"/>
      <c r="DJ47" s="391"/>
      <c r="DK47" s="391"/>
      <c r="DL47" s="46">
        <f>DL37-DL44+DL46</f>
        <v>10318.599677992208</v>
      </c>
      <c r="DM47" s="391"/>
      <c r="DN47" s="391"/>
      <c r="DO47" s="391"/>
      <c r="DP47" s="391"/>
      <c r="DQ47" s="46">
        <f>DQ37-DQ44+DQ46</f>
        <v>11049.061372902079</v>
      </c>
      <c r="DR47" s="391"/>
      <c r="DS47" s="391"/>
      <c r="DT47" s="391"/>
      <c r="DU47" s="391"/>
      <c r="DV47" s="46">
        <f>DV37-DV44+DV46</f>
        <v>11643.636515095823</v>
      </c>
      <c r="DW47" s="391"/>
      <c r="DX47" s="391"/>
      <c r="DY47" s="391"/>
      <c r="DZ47" s="391"/>
      <c r="EA47" s="46">
        <f>EA37-EA44+EA46</f>
        <v>11954.762553237999</v>
      </c>
      <c r="EB47" s="391"/>
      <c r="EC47" s="391"/>
      <c r="ED47" s="391"/>
      <c r="EE47" s="391"/>
      <c r="EF47" s="46">
        <f>EF37-EF44+EF46</f>
        <v>11882.292419693169</v>
      </c>
      <c r="EG47" s="391"/>
      <c r="EH47" s="391"/>
      <c r="EI47" s="391"/>
      <c r="EJ47" s="391"/>
      <c r="EK47" s="46">
        <f>EK37-EK44+EK46</f>
        <v>11884.014868212416</v>
      </c>
      <c r="EL47" s="391"/>
      <c r="EM47" s="391"/>
      <c r="EN47" s="391"/>
      <c r="EO47" s="391"/>
      <c r="EP47" s="46">
        <f>EP37-EP44+EP46</f>
        <v>10666.69045068792</v>
      </c>
      <c r="EQ47" s="391"/>
      <c r="ER47" s="391"/>
      <c r="ES47" s="391"/>
      <c r="ET47" s="391"/>
      <c r="EU47" s="46">
        <f>EU37-EU44+EU46</f>
        <v>10195.366121890689</v>
      </c>
      <c r="EV47" s="391"/>
      <c r="EW47" s="391"/>
      <c r="EX47" s="391"/>
      <c r="EY47" s="391"/>
      <c r="EZ47" s="46">
        <f>EZ37-EZ44+EZ46</f>
        <v>9900.3835891533763</v>
      </c>
    </row>
    <row r="48" spans="2:166" collapsed="1">
      <c r="B48" t="s">
        <v>77</v>
      </c>
      <c r="C48" s="45">
        <f t="shared" ref="C48:AE48" si="27">C47/C88</f>
        <v>0.32467532467532467</v>
      </c>
      <c r="D48" s="45">
        <f t="shared" si="27"/>
        <v>0.283436669619132</v>
      </c>
      <c r="E48" s="45">
        <f t="shared" si="27"/>
        <v>0.4715162138475022</v>
      </c>
      <c r="F48" s="45">
        <f t="shared" si="27"/>
        <v>0.60552092609082819</v>
      </c>
      <c r="G48" s="45">
        <f t="shared" si="27"/>
        <v>0.5859872611464968</v>
      </c>
      <c r="H48" s="45">
        <f t="shared" si="27"/>
        <v>0.81740775780510877</v>
      </c>
      <c r="I48" s="45">
        <f t="shared" si="27"/>
        <v>1.0166975881261595</v>
      </c>
      <c r="J48" s="45">
        <f t="shared" si="27"/>
        <v>1.0488479262672812</v>
      </c>
      <c r="K48" s="45">
        <f t="shared" si="27"/>
        <v>1.0322878228782288</v>
      </c>
      <c r="L48" s="57">
        <f t="shared" si="27"/>
        <v>0.31491712707182318</v>
      </c>
      <c r="M48" s="57">
        <f t="shared" si="27"/>
        <v>0.37488626023657873</v>
      </c>
      <c r="N48" s="57">
        <f t="shared" si="27"/>
        <v>0.33461243284727554</v>
      </c>
      <c r="O48" s="57">
        <f t="shared" si="27"/>
        <v>0.35040831477357087</v>
      </c>
      <c r="P48" s="45">
        <f t="shared" si="27"/>
        <v>1.3727272727272728</v>
      </c>
      <c r="Q48" s="57">
        <f t="shared" si="27"/>
        <v>0.41259259259259257</v>
      </c>
      <c r="R48" s="57">
        <f t="shared" si="27"/>
        <v>0.48403860430586487</v>
      </c>
      <c r="S48" s="57">
        <f t="shared" si="27"/>
        <v>0.52967359050445106</v>
      </c>
      <c r="T48" s="57">
        <f t="shared" si="27"/>
        <v>0.45895522388059701</v>
      </c>
      <c r="U48" s="45">
        <f t="shared" si="27"/>
        <v>1.8863298662704309</v>
      </c>
      <c r="V48" s="57">
        <f t="shared" si="27"/>
        <v>0.56456456456456461</v>
      </c>
      <c r="W48" s="57">
        <f t="shared" si="27"/>
        <v>0.61380880121396053</v>
      </c>
      <c r="X48" s="57">
        <f t="shared" si="27"/>
        <v>0.63560606060606062</v>
      </c>
      <c r="Y48" s="57">
        <f t="shared" si="27"/>
        <v>0.57099236641221374</v>
      </c>
      <c r="Z48" s="45">
        <f t="shared" si="27"/>
        <v>2.3848484848484848</v>
      </c>
      <c r="AA48" s="57">
        <f t="shared" si="27"/>
        <v>0.71627906976744182</v>
      </c>
      <c r="AB48" s="57">
        <f t="shared" si="27"/>
        <v>0.88319999999999999</v>
      </c>
      <c r="AC48" s="57">
        <f t="shared" si="27"/>
        <v>0.85428342674139313</v>
      </c>
      <c r="AD48" s="57">
        <f t="shared" si="27"/>
        <v>0.74658085277554309</v>
      </c>
      <c r="AE48" s="45">
        <f t="shared" si="27"/>
        <v>3.1979332273449921</v>
      </c>
      <c r="AF48" s="57">
        <f t="shared" ref="AF48:BS48" si="28">AF47/AF88</f>
        <v>0.86655683690280061</v>
      </c>
      <c r="AG48" s="57">
        <f t="shared" si="28"/>
        <v>1.0059271803556309</v>
      </c>
      <c r="AH48" s="57">
        <f t="shared" si="28"/>
        <v>1.0127768313458263</v>
      </c>
      <c r="AI48" s="57">
        <f t="shared" si="28"/>
        <v>0.87234042553191493</v>
      </c>
      <c r="AJ48" s="45">
        <f t="shared" si="28"/>
        <v>3.7554806070826308</v>
      </c>
      <c r="AK48" s="57">
        <f t="shared" si="28"/>
        <v>1.0537542662116042</v>
      </c>
      <c r="AL48" s="57">
        <f t="shared" si="28"/>
        <v>1.0874558303886925</v>
      </c>
      <c r="AM48" s="57">
        <f t="shared" si="28"/>
        <v>1.064279155188246</v>
      </c>
      <c r="AN48" s="57">
        <f t="shared" si="28"/>
        <v>0.96700274977085243</v>
      </c>
      <c r="AO48" s="45">
        <f t="shared" si="28"/>
        <v>4.1650312221231047</v>
      </c>
      <c r="AP48" s="57">
        <f t="shared" si="28"/>
        <v>1.0962419798350138</v>
      </c>
      <c r="AQ48" s="57">
        <f t="shared" si="28"/>
        <v>1.1333333333333333</v>
      </c>
      <c r="AR48" s="57">
        <f t="shared" si="28"/>
        <v>1.2107243650047037</v>
      </c>
      <c r="AS48" s="57">
        <f t="shared" si="28"/>
        <v>1.0395852968897266</v>
      </c>
      <c r="AT48" s="45">
        <f t="shared" si="28"/>
        <v>4.4785847299813781</v>
      </c>
      <c r="AU48" s="386">
        <f t="shared" si="28"/>
        <v>1.0703953712632595</v>
      </c>
      <c r="AV48" s="386">
        <f t="shared" si="28"/>
        <v>1.2706692913385826</v>
      </c>
      <c r="AW48" s="386">
        <f t="shared" si="28"/>
        <v>1.4671890303623898</v>
      </c>
      <c r="AX48" s="386">
        <f t="shared" si="28"/>
        <v>1.0326086956521738</v>
      </c>
      <c r="AY48" s="45">
        <f t="shared" si="28"/>
        <v>4.8413320274240936</v>
      </c>
      <c r="AZ48" s="57">
        <f t="shared" si="28"/>
        <v>1.2773279352226721</v>
      </c>
      <c r="BA48" s="57">
        <f t="shared" si="28"/>
        <v>1.3350622406639003</v>
      </c>
      <c r="BB48" s="57">
        <f t="shared" si="28"/>
        <v>1.3544698544698546</v>
      </c>
      <c r="BC48" s="57">
        <f t="shared" si="28"/>
        <v>1.1458773784355181</v>
      </c>
      <c r="BD48" s="45">
        <f t="shared" si="28"/>
        <v>5.1160621761658032</v>
      </c>
      <c r="BE48" s="57">
        <f t="shared" si="28"/>
        <v>1.3159574468085107</v>
      </c>
      <c r="BF48" s="57">
        <f t="shared" si="28"/>
        <v>1.3447537473233404</v>
      </c>
      <c r="BG48" s="57">
        <f t="shared" si="28"/>
        <v>1.3807439824945296</v>
      </c>
      <c r="BH48" s="57">
        <f t="shared" si="28"/>
        <v>1.1883720930232557</v>
      </c>
      <c r="BI48" s="45">
        <f t="shared" si="28"/>
        <v>5.2368421052631575</v>
      </c>
      <c r="BJ48" s="386">
        <f t="shared" si="28"/>
        <v>1.5919899874843555</v>
      </c>
      <c r="BK48" s="386">
        <f t="shared" si="28"/>
        <v>1.8086734693877551</v>
      </c>
      <c r="BL48" s="386">
        <f t="shared" si="28"/>
        <v>1.6577266922094509</v>
      </c>
      <c r="BM48" s="386">
        <f t="shared" si="28"/>
        <v>1.3868894601542416</v>
      </c>
      <c r="BN48" s="45">
        <f t="shared" si="28"/>
        <v>6.44529262086514</v>
      </c>
      <c r="BO48" s="386">
        <f t="shared" si="28"/>
        <v>1.9463350785340314</v>
      </c>
      <c r="BP48" s="386">
        <f t="shared" si="28"/>
        <v>1.8833551769331587</v>
      </c>
      <c r="BQ48" s="386">
        <f t="shared" si="28"/>
        <v>1.9254901960784314</v>
      </c>
      <c r="BR48" s="386">
        <f t="shared" si="28"/>
        <v>1.8054830287206267</v>
      </c>
      <c r="BS48" s="45">
        <f t="shared" si="28"/>
        <v>7.5555555555555554</v>
      </c>
      <c r="BT48" s="386">
        <f t="shared" ref="BT48:CQ48" si="29">BT47/BT88</f>
        <v>1.8645833333333333</v>
      </c>
      <c r="BU48" s="386">
        <f t="shared" si="29"/>
        <v>2.3684895833333335</v>
      </c>
      <c r="BV48" s="386">
        <f t="shared" si="29"/>
        <v>2.2935064935064937</v>
      </c>
      <c r="BW48" s="386">
        <f t="shared" si="29"/>
        <v>2.1593264248704664</v>
      </c>
      <c r="BX48" s="45">
        <f t="shared" si="29"/>
        <v>8.6861598440545809</v>
      </c>
      <c r="BY48" s="386">
        <f t="shared" si="29"/>
        <v>2.4818181818181819</v>
      </c>
      <c r="BZ48" s="386">
        <f t="shared" si="29"/>
        <v>2.57421875</v>
      </c>
      <c r="CA48" s="386">
        <f t="shared" si="29"/>
        <v>2.7238219895287958</v>
      </c>
      <c r="CB48" s="386">
        <f t="shared" si="29"/>
        <v>2.6084099868593955</v>
      </c>
      <c r="CC48" s="45">
        <f t="shared" si="29"/>
        <v>10.383812010443863</v>
      </c>
      <c r="CD48" s="386">
        <f t="shared" si="29"/>
        <v>2.8986842105263158</v>
      </c>
      <c r="CE48" s="386">
        <f t="shared" si="29"/>
        <v>2.8386243386243386</v>
      </c>
      <c r="CF48" s="386">
        <f t="shared" si="29"/>
        <v>3.0225763612217795</v>
      </c>
      <c r="CG48" s="386">
        <f t="shared" si="29"/>
        <v>2.8877005347593583</v>
      </c>
      <c r="CH48" s="45">
        <f t="shared" si="29"/>
        <v>11.647331786542923</v>
      </c>
      <c r="CI48" s="386">
        <f t="shared" si="29"/>
        <v>3.1484480431848851</v>
      </c>
      <c r="CJ48" s="386">
        <f t="shared" si="29"/>
        <v>3.2655826558265582</v>
      </c>
      <c r="CK48" s="386">
        <f t="shared" si="29"/>
        <v>3.272851296043656</v>
      </c>
      <c r="CL48" s="386">
        <f t="shared" si="29"/>
        <v>2.8861454046639232</v>
      </c>
      <c r="CM48" s="45">
        <f>CM47/CM88</f>
        <v>12.575314518871131</v>
      </c>
      <c r="CN48" s="386">
        <f t="shared" si="29"/>
        <v>3.4683544303797467</v>
      </c>
      <c r="CO48" s="386">
        <f t="shared" si="29"/>
        <v>3.5865560384206665</v>
      </c>
      <c r="CP48" s="386">
        <f t="shared" si="29"/>
        <v>3.5777003621524135</v>
      </c>
      <c r="CQ48" s="386">
        <f t="shared" si="29"/>
        <v>3.3103917492088555</v>
      </c>
      <c r="CR48" s="45">
        <f>CR47/CR88</f>
        <v>13.946488348725346</v>
      </c>
      <c r="CS48" s="386"/>
      <c r="CT48" s="386"/>
      <c r="CU48" s="386"/>
      <c r="CV48" s="386"/>
      <c r="CW48" s="45">
        <f>CW47/CW88</f>
        <v>14.506801170553276</v>
      </c>
      <c r="CX48" s="386"/>
      <c r="CY48" s="386"/>
      <c r="CZ48" s="386"/>
      <c r="DA48" s="386"/>
      <c r="DB48" s="45">
        <f>DB47/DB88</f>
        <v>15.107959400418851</v>
      </c>
      <c r="DC48" s="386"/>
      <c r="DD48" s="386"/>
      <c r="DE48" s="386"/>
      <c r="DF48" s="386"/>
      <c r="DG48" s="45">
        <f>DG47/DG88</f>
        <v>15.627096349373407</v>
      </c>
      <c r="DH48" s="386"/>
      <c r="DI48" s="386"/>
      <c r="DJ48" s="386"/>
      <c r="DK48" s="386"/>
      <c r="DL48" s="45">
        <f>DL47/DL88</f>
        <v>17.224433272044365</v>
      </c>
      <c r="DM48" s="386"/>
      <c r="DN48" s="386"/>
      <c r="DO48" s="386"/>
      <c r="DP48" s="386"/>
      <c r="DQ48" s="45">
        <f>DQ47/DQ88</f>
        <v>18.932101800097357</v>
      </c>
      <c r="DR48" s="386"/>
      <c r="DS48" s="386"/>
      <c r="DT48" s="386"/>
      <c r="DU48" s="386"/>
      <c r="DV48" s="45">
        <f>DV47/DV88</f>
        <v>20.45949142982116</v>
      </c>
      <c r="DW48" s="386"/>
      <c r="DX48" s="386"/>
      <c r="DY48" s="386"/>
      <c r="DZ48" s="386"/>
      <c r="EA48" s="45">
        <f>EA47/EA88</f>
        <v>21.518131379411418</v>
      </c>
      <c r="EB48" s="386"/>
      <c r="EC48" s="386"/>
      <c r="ED48" s="386"/>
      <c r="EE48" s="386"/>
      <c r="EF48" s="45">
        <f>EF47/EF88</f>
        <v>21.882253007172974</v>
      </c>
      <c r="EG48" s="386"/>
      <c r="EH48" s="386"/>
      <c r="EI48" s="386"/>
      <c r="EJ48" s="386"/>
      <c r="EK48" s="45">
        <f>EK47/EK88</f>
        <v>22.277154789323916</v>
      </c>
      <c r="EL48" s="386"/>
      <c r="EM48" s="386"/>
      <c r="EN48" s="386"/>
      <c r="EO48" s="386"/>
      <c r="EP48" s="45">
        <f>EP47/EP88</f>
        <v>20.262570793507503</v>
      </c>
      <c r="EQ48" s="386"/>
      <c r="ER48" s="386"/>
      <c r="ES48" s="386"/>
      <c r="ET48" s="386"/>
      <c r="EU48" s="45">
        <f>EU47/EU88</f>
        <v>19.629915134161465</v>
      </c>
      <c r="EV48" s="386"/>
      <c r="EW48" s="386"/>
      <c r="EX48" s="386"/>
      <c r="EY48" s="386"/>
      <c r="EZ48" s="45">
        <f>EZ47/EZ88</f>
        <v>19.324187823171567</v>
      </c>
    </row>
    <row r="49" spans="2:156" hidden="1" outlineLevel="1">
      <c r="L49" s="55"/>
      <c r="M49" s="55"/>
      <c r="N49" s="55"/>
      <c r="O49" s="55"/>
      <c r="Q49" s="55"/>
      <c r="R49" s="55"/>
      <c r="S49" s="55"/>
      <c r="T49" s="55"/>
      <c r="V49" s="55"/>
      <c r="W49" s="55"/>
      <c r="X49" s="55"/>
      <c r="Y49" s="55"/>
      <c r="AA49" s="55"/>
      <c r="AB49" s="55"/>
      <c r="AC49" s="55"/>
      <c r="AD49" s="55"/>
      <c r="AF49" s="55"/>
      <c r="AG49" s="55"/>
      <c r="AH49" s="55"/>
      <c r="AI49" s="55"/>
      <c r="AK49" s="55"/>
      <c r="AL49" s="55"/>
      <c r="AM49" s="55"/>
      <c r="AN49" s="55"/>
      <c r="AP49" s="55"/>
      <c r="AQ49" s="55"/>
      <c r="AR49" s="55"/>
      <c r="AS49" s="55"/>
      <c r="AU49" s="382"/>
      <c r="AV49" s="382"/>
      <c r="AW49" s="382"/>
      <c r="AX49" s="382"/>
      <c r="AZ49" s="55"/>
      <c r="BA49" s="55"/>
      <c r="BB49" s="55"/>
      <c r="BC49" s="55"/>
      <c r="BE49" s="55"/>
      <c r="BF49" s="55"/>
      <c r="BG49" s="55"/>
      <c r="BH49" s="55"/>
      <c r="BJ49" s="382"/>
      <c r="BK49" s="382"/>
      <c r="BL49" s="382"/>
      <c r="BM49" s="382"/>
      <c r="BO49" s="382"/>
      <c r="BP49" s="382"/>
      <c r="BQ49" s="382"/>
      <c r="BR49" s="382"/>
      <c r="BT49" s="382"/>
      <c r="BU49" s="382"/>
      <c r="BV49" s="382"/>
      <c r="BW49" s="382"/>
      <c r="BY49" s="382"/>
      <c r="BZ49" s="382"/>
      <c r="CA49" s="382"/>
      <c r="CB49" s="382"/>
      <c r="CD49" s="382"/>
      <c r="CE49" s="382"/>
      <c r="CF49" s="382"/>
      <c r="CG49" s="382"/>
      <c r="CI49" s="382"/>
      <c r="CJ49" s="386"/>
      <c r="CK49" s="382"/>
      <c r="CL49" s="382"/>
      <c r="CN49" s="382"/>
      <c r="CO49" s="382"/>
      <c r="CP49" s="382"/>
      <c r="CQ49" s="382"/>
      <c r="CS49" s="382"/>
      <c r="CT49" s="382"/>
      <c r="CU49" s="382"/>
      <c r="CV49" s="382"/>
      <c r="CX49" s="382"/>
      <c r="CY49" s="382"/>
      <c r="CZ49" s="382"/>
      <c r="DA49" s="382"/>
      <c r="DC49" s="382"/>
      <c r="DD49" s="382"/>
      <c r="DE49" s="382"/>
      <c r="DF49" s="382"/>
      <c r="DH49" s="382"/>
      <c r="DI49" s="382"/>
      <c r="DJ49" s="382"/>
      <c r="DK49" s="382"/>
      <c r="DM49" s="382"/>
      <c r="DN49" s="382"/>
      <c r="DO49" s="382"/>
      <c r="DP49" s="382"/>
      <c r="DR49" s="382"/>
      <c r="DS49" s="382"/>
      <c r="DT49" s="382"/>
      <c r="DU49" s="382"/>
      <c r="DW49" s="382"/>
      <c r="DX49" s="382"/>
      <c r="DY49" s="382"/>
      <c r="DZ49" s="382"/>
      <c r="EB49" s="382"/>
      <c r="EC49" s="382"/>
      <c r="ED49" s="382"/>
      <c r="EE49" s="382"/>
      <c r="EG49" s="382"/>
      <c r="EH49" s="382"/>
      <c r="EI49" s="382"/>
      <c r="EJ49" s="382"/>
      <c r="EL49" s="382"/>
      <c r="EM49" s="382"/>
      <c r="EN49" s="382"/>
      <c r="EO49" s="382"/>
      <c r="EQ49" s="382"/>
      <c r="ER49" s="382"/>
      <c r="ES49" s="382"/>
      <c r="ET49" s="382"/>
      <c r="EV49" s="382"/>
      <c r="EW49" s="382"/>
      <c r="EX49" s="382"/>
      <c r="EY49" s="382"/>
    </row>
    <row r="50" spans="2:156" hidden="1" outlineLevel="1">
      <c r="B50" t="s">
        <v>78</v>
      </c>
      <c r="L50" s="55"/>
      <c r="M50" s="55"/>
      <c r="N50" s="55"/>
      <c r="O50" s="55"/>
      <c r="Q50" s="55"/>
      <c r="R50" s="55"/>
      <c r="S50" s="55"/>
      <c r="T50" s="55"/>
      <c r="V50" s="55"/>
      <c r="W50" s="55"/>
      <c r="X50" s="55"/>
      <c r="Y50" s="55"/>
      <c r="AA50" s="55"/>
      <c r="AB50" s="55"/>
      <c r="AC50" s="55"/>
      <c r="AD50" s="55"/>
      <c r="AF50" s="55"/>
      <c r="AG50" s="55"/>
      <c r="AH50" s="55"/>
      <c r="AI50" s="55"/>
      <c r="AK50" s="55"/>
      <c r="AL50" s="55"/>
      <c r="AM50" s="55"/>
      <c r="AN50" s="55"/>
      <c r="AP50" s="55"/>
      <c r="AQ50" s="55"/>
      <c r="AR50" s="55"/>
      <c r="AS50" s="55"/>
      <c r="AU50" s="382"/>
      <c r="AV50" s="382"/>
      <c r="AW50" s="382"/>
      <c r="AX50" s="382"/>
      <c r="AZ50" s="55"/>
      <c r="BA50" s="55"/>
      <c r="BB50" s="55"/>
      <c r="BC50" s="55"/>
      <c r="BE50" s="55"/>
      <c r="BF50" s="55"/>
      <c r="BG50" s="55"/>
      <c r="BH50" s="55"/>
      <c r="BJ50" s="382"/>
      <c r="BK50" s="382"/>
      <c r="BL50" s="382"/>
      <c r="BM50" s="382"/>
      <c r="BO50" s="382"/>
      <c r="BP50" s="382"/>
      <c r="BQ50" s="382"/>
      <c r="BR50" s="382"/>
      <c r="BT50" s="382"/>
      <c r="BU50" s="382"/>
      <c r="BV50" s="382"/>
      <c r="BW50" s="382"/>
      <c r="BY50" s="382"/>
      <c r="BZ50" s="382"/>
      <c r="CA50" s="382"/>
      <c r="CB50" s="382"/>
      <c r="CD50" s="382"/>
      <c r="CE50" s="382"/>
      <c r="CF50" s="382"/>
      <c r="CG50" s="382"/>
      <c r="CI50" s="382"/>
      <c r="CJ50" s="386"/>
      <c r="CK50" s="382"/>
      <c r="CL50" s="382"/>
      <c r="CN50" s="391">
        <f>CN52+CN74+CN72</f>
        <v>2388</v>
      </c>
      <c r="CO50" s="382"/>
      <c r="CP50" s="382"/>
      <c r="CQ50" s="382"/>
      <c r="CS50" s="382"/>
      <c r="CT50" s="382"/>
      <c r="CU50" s="382"/>
      <c r="CV50" s="382"/>
      <c r="CX50" s="382"/>
      <c r="CY50" s="382"/>
      <c r="CZ50" s="382"/>
      <c r="DA50" s="382"/>
      <c r="DC50" s="382"/>
      <c r="DD50" s="382"/>
      <c r="DE50" s="382"/>
      <c r="DF50" s="382"/>
      <c r="DH50" s="382"/>
      <c r="DI50" s="382"/>
      <c r="DJ50" s="382"/>
      <c r="DK50" s="382"/>
      <c r="DM50" s="382"/>
      <c r="DN50" s="382"/>
      <c r="DO50" s="382"/>
      <c r="DP50" s="382"/>
      <c r="DR50" s="382"/>
      <c r="DS50" s="382"/>
      <c r="DT50" s="382"/>
      <c r="DU50" s="382"/>
      <c r="DW50" s="382"/>
      <c r="DX50" s="382"/>
      <c r="DY50" s="382"/>
      <c r="DZ50" s="382"/>
      <c r="EB50" s="382"/>
      <c r="EC50" s="382"/>
      <c r="ED50" s="382"/>
      <c r="EE50" s="382"/>
      <c r="EG50" s="382"/>
      <c r="EH50" s="382"/>
      <c r="EI50" s="382"/>
      <c r="EJ50" s="382"/>
      <c r="EL50" s="382"/>
      <c r="EM50" s="382"/>
      <c r="EN50" s="382"/>
      <c r="EO50" s="382"/>
      <c r="EQ50" s="382"/>
      <c r="ER50" s="382"/>
      <c r="ES50" s="382"/>
      <c r="ET50" s="382"/>
      <c r="EV50" s="382"/>
      <c r="EW50" s="382"/>
      <c r="EX50" s="382"/>
      <c r="EY50" s="382"/>
    </row>
    <row r="51" spans="2:156" hidden="1" outlineLevel="1">
      <c r="L51" s="55"/>
      <c r="M51" s="55"/>
      <c r="N51" s="55"/>
      <c r="O51" s="55"/>
      <c r="Q51" s="55"/>
      <c r="R51" s="55"/>
      <c r="S51" s="55"/>
      <c r="T51" s="55"/>
      <c r="V51" s="55"/>
      <c r="W51" s="55"/>
      <c r="X51" s="55"/>
      <c r="Y51" s="55"/>
      <c r="AA51" s="55"/>
      <c r="AB51" s="55"/>
      <c r="AC51" s="55"/>
      <c r="AD51" s="55"/>
      <c r="AF51" s="55"/>
      <c r="AG51" s="55"/>
      <c r="AH51" s="55"/>
      <c r="AI51" s="55"/>
      <c r="AK51" s="55"/>
      <c r="AL51" s="55"/>
      <c r="AM51" s="55"/>
      <c r="AN51" s="55"/>
      <c r="AP51" s="55"/>
      <c r="AQ51" s="55"/>
      <c r="AR51" s="55"/>
      <c r="AS51" s="55"/>
      <c r="AU51" s="382"/>
      <c r="AV51" s="382"/>
      <c r="AW51" s="382"/>
      <c r="AX51" s="382"/>
      <c r="AZ51" s="55"/>
      <c r="BA51" s="55"/>
      <c r="BB51" s="55"/>
      <c r="BC51" s="55"/>
      <c r="BE51" s="55"/>
      <c r="BF51" s="55"/>
      <c r="BG51" s="55"/>
      <c r="BH51" s="55"/>
      <c r="BJ51" s="382"/>
      <c r="BK51" s="382"/>
      <c r="BL51" s="382"/>
      <c r="BM51" s="382"/>
      <c r="BO51" s="382"/>
      <c r="BP51" s="382"/>
      <c r="BQ51" s="382"/>
      <c r="BR51" s="382"/>
      <c r="BT51" s="382"/>
      <c r="BU51" s="382"/>
      <c r="BV51" s="382"/>
      <c r="BW51" s="382"/>
      <c r="BY51" s="382"/>
      <c r="BZ51" s="382"/>
      <c r="CA51" s="382"/>
      <c r="CB51" s="382"/>
      <c r="CD51" s="382"/>
      <c r="CE51" s="382"/>
      <c r="CF51" s="382"/>
      <c r="CG51" s="382"/>
      <c r="CH51" s="45"/>
      <c r="CI51" s="382"/>
      <c r="CJ51" s="386"/>
      <c r="CK51" s="382"/>
      <c r="CL51" s="382"/>
      <c r="CN51" s="382"/>
      <c r="CO51" s="382"/>
      <c r="CP51" s="382"/>
      <c r="CQ51" s="382"/>
      <c r="CS51" s="382"/>
      <c r="CT51" s="382"/>
      <c r="CU51" s="382"/>
      <c r="CV51" s="382"/>
      <c r="CX51" s="382"/>
      <c r="CY51" s="382"/>
      <c r="CZ51" s="382"/>
      <c r="DA51" s="382"/>
      <c r="DC51" s="382"/>
      <c r="DD51" s="382"/>
      <c r="DE51" s="382"/>
      <c r="DF51" s="382"/>
      <c r="DH51" s="382"/>
      <c r="DI51" s="382"/>
      <c r="DJ51" s="382"/>
      <c r="DK51" s="382"/>
      <c r="DM51" s="382"/>
      <c r="DN51" s="382"/>
      <c r="DO51" s="382"/>
      <c r="DP51" s="382"/>
      <c r="DR51" s="382"/>
      <c r="DS51" s="382"/>
      <c r="DT51" s="382"/>
      <c r="DU51" s="382"/>
      <c r="DW51" s="382"/>
      <c r="DX51" s="382"/>
      <c r="DY51" s="382"/>
      <c r="DZ51" s="382"/>
      <c r="EB51" s="382"/>
      <c r="EC51" s="382"/>
      <c r="ED51" s="382"/>
      <c r="EE51" s="382"/>
      <c r="EG51" s="382"/>
      <c r="EH51" s="382"/>
      <c r="EI51" s="382"/>
      <c r="EJ51" s="382"/>
      <c r="EL51" s="382"/>
      <c r="EM51" s="382"/>
      <c r="EN51" s="382"/>
      <c r="EO51" s="382"/>
      <c r="EQ51" s="382"/>
      <c r="ER51" s="382"/>
      <c r="ES51" s="382"/>
      <c r="ET51" s="382"/>
      <c r="EV51" s="382"/>
      <c r="EW51" s="382"/>
      <c r="EX51" s="382"/>
      <c r="EY51" s="382"/>
    </row>
    <row r="52" spans="2:156" hidden="1" outlineLevel="1">
      <c r="B52" t="s">
        <v>79</v>
      </c>
      <c r="C52" s="46">
        <f t="shared" ref="C52:AH52" si="30">C37</f>
        <v>375</v>
      </c>
      <c r="D52" s="46">
        <f t="shared" si="30"/>
        <v>320</v>
      </c>
      <c r="E52" s="46">
        <f t="shared" si="30"/>
        <v>538</v>
      </c>
      <c r="F52" s="46">
        <f t="shared" si="30"/>
        <v>680</v>
      </c>
      <c r="G52" s="46">
        <f t="shared" si="30"/>
        <v>644</v>
      </c>
      <c r="H52" s="46">
        <f t="shared" si="30"/>
        <v>864</v>
      </c>
      <c r="I52" s="46">
        <f t="shared" si="30"/>
        <v>1096</v>
      </c>
      <c r="J52" s="46">
        <f t="shared" si="30"/>
        <v>1138</v>
      </c>
      <c r="K52" s="46">
        <f t="shared" si="30"/>
        <v>1119</v>
      </c>
      <c r="L52" s="56">
        <f t="shared" si="30"/>
        <v>342</v>
      </c>
      <c r="M52" s="56">
        <f t="shared" si="30"/>
        <v>412</v>
      </c>
      <c r="N52" s="56">
        <f t="shared" si="30"/>
        <v>436</v>
      </c>
      <c r="O52" s="56">
        <f t="shared" si="30"/>
        <v>472</v>
      </c>
      <c r="P52" s="46">
        <f t="shared" si="30"/>
        <v>1661</v>
      </c>
      <c r="Q52" s="56">
        <f t="shared" si="30"/>
        <v>557</v>
      </c>
      <c r="R52" s="56">
        <f t="shared" si="30"/>
        <v>652</v>
      </c>
      <c r="S52" s="56">
        <f t="shared" si="30"/>
        <v>714</v>
      </c>
      <c r="T52" s="56">
        <f t="shared" si="30"/>
        <v>615</v>
      </c>
      <c r="U52" s="46">
        <f t="shared" si="30"/>
        <v>2539</v>
      </c>
      <c r="V52" s="56">
        <f t="shared" si="30"/>
        <v>752</v>
      </c>
      <c r="W52" s="56">
        <f t="shared" si="30"/>
        <v>809</v>
      </c>
      <c r="X52" s="56">
        <f t="shared" si="30"/>
        <v>839</v>
      </c>
      <c r="Y52" s="56">
        <f t="shared" si="30"/>
        <v>748</v>
      </c>
      <c r="Z52" s="46">
        <f t="shared" si="30"/>
        <v>3148</v>
      </c>
      <c r="AA52" s="56">
        <f t="shared" si="30"/>
        <v>924</v>
      </c>
      <c r="AB52" s="56">
        <f t="shared" si="30"/>
        <v>1104</v>
      </c>
      <c r="AC52" s="56">
        <f t="shared" si="30"/>
        <v>1067</v>
      </c>
      <c r="AD52" s="56">
        <f t="shared" si="30"/>
        <v>928</v>
      </c>
      <c r="AE52" s="46">
        <f t="shared" si="30"/>
        <v>4023</v>
      </c>
      <c r="AF52" s="56">
        <f t="shared" si="30"/>
        <v>1101</v>
      </c>
      <c r="AG52" s="56">
        <f t="shared" si="30"/>
        <v>1235</v>
      </c>
      <c r="AH52" s="56">
        <f t="shared" si="30"/>
        <v>1224</v>
      </c>
      <c r="AI52" s="56">
        <f t="shared" ref="AI52:BN52" si="31">AI37</f>
        <v>1060</v>
      </c>
      <c r="AJ52" s="46">
        <f t="shared" si="31"/>
        <v>4620</v>
      </c>
      <c r="AK52" s="56">
        <f t="shared" si="31"/>
        <v>1270</v>
      </c>
      <c r="AL52" s="56">
        <f t="shared" si="31"/>
        <v>1265</v>
      </c>
      <c r="AM52" s="56">
        <f t="shared" si="31"/>
        <v>1181</v>
      </c>
      <c r="AN52" s="56">
        <f t="shared" si="31"/>
        <v>1088</v>
      </c>
      <c r="AO52" s="46">
        <f t="shared" si="31"/>
        <v>4804</v>
      </c>
      <c r="AP52" s="56">
        <f t="shared" si="31"/>
        <v>1218</v>
      </c>
      <c r="AQ52" s="56">
        <f t="shared" si="31"/>
        <v>1235</v>
      </c>
      <c r="AR52" s="56">
        <f t="shared" si="31"/>
        <v>1308</v>
      </c>
      <c r="AS52" s="56">
        <f t="shared" si="31"/>
        <v>1124</v>
      </c>
      <c r="AT52" s="46">
        <f t="shared" si="31"/>
        <v>4885</v>
      </c>
      <c r="AU52" s="391">
        <f t="shared" si="31"/>
        <v>1120</v>
      </c>
      <c r="AV52" s="391">
        <f t="shared" si="31"/>
        <v>1311</v>
      </c>
      <c r="AW52" s="391">
        <f t="shared" si="31"/>
        <v>1518</v>
      </c>
      <c r="AX52" s="391">
        <f t="shared" si="31"/>
        <v>1065</v>
      </c>
      <c r="AY52" s="46">
        <f t="shared" si="31"/>
        <v>5014</v>
      </c>
      <c r="AZ52" s="56">
        <f t="shared" si="31"/>
        <v>1282</v>
      </c>
      <c r="BA52" s="56">
        <f t="shared" si="31"/>
        <v>1326</v>
      </c>
      <c r="BB52" s="56">
        <f t="shared" si="31"/>
        <v>1313</v>
      </c>
      <c r="BC52" s="56">
        <f t="shared" si="31"/>
        <v>1103</v>
      </c>
      <c r="BD52" s="46">
        <f t="shared" si="31"/>
        <v>5024</v>
      </c>
      <c r="BE52" s="56">
        <f t="shared" si="31"/>
        <v>1258</v>
      </c>
      <c r="BF52" s="56">
        <f t="shared" si="31"/>
        <v>1281</v>
      </c>
      <c r="BG52" s="56">
        <f t="shared" si="31"/>
        <v>1280</v>
      </c>
      <c r="BH52" s="56">
        <f t="shared" si="31"/>
        <v>1039</v>
      </c>
      <c r="BI52" s="46">
        <f t="shared" si="31"/>
        <v>4858</v>
      </c>
      <c r="BJ52" s="391">
        <f t="shared" si="31"/>
        <v>1287</v>
      </c>
      <c r="BK52" s="391">
        <f t="shared" si="31"/>
        <v>1433</v>
      </c>
      <c r="BL52" s="391">
        <f t="shared" si="31"/>
        <v>1311</v>
      </c>
      <c r="BM52" s="391">
        <f t="shared" si="31"/>
        <v>1088</v>
      </c>
      <c r="BN52" s="46">
        <f t="shared" si="31"/>
        <v>5119</v>
      </c>
      <c r="BO52" s="391">
        <f t="shared" ref="BO52:CQ52" si="32">BO37</f>
        <v>1498</v>
      </c>
      <c r="BP52" s="391">
        <f t="shared" si="32"/>
        <v>1444</v>
      </c>
      <c r="BQ52" s="391">
        <f t="shared" si="32"/>
        <v>1481</v>
      </c>
      <c r="BR52" s="391">
        <f t="shared" si="32"/>
        <v>1391</v>
      </c>
      <c r="BS52" s="46">
        <f t="shared" si="32"/>
        <v>5814</v>
      </c>
      <c r="BT52" s="391">
        <f t="shared" si="32"/>
        <v>1438</v>
      </c>
      <c r="BU52" s="391">
        <f t="shared" si="32"/>
        <v>1823</v>
      </c>
      <c r="BV52" s="391">
        <f t="shared" si="32"/>
        <v>1769</v>
      </c>
      <c r="BW52" s="391">
        <f t="shared" si="32"/>
        <v>1670</v>
      </c>
      <c r="BX52" s="46">
        <f t="shared" si="32"/>
        <v>6700</v>
      </c>
      <c r="BY52" s="391">
        <f t="shared" si="32"/>
        <v>1911</v>
      </c>
      <c r="BZ52" s="391">
        <f t="shared" si="32"/>
        <v>1977</v>
      </c>
      <c r="CA52" s="391">
        <f t="shared" si="32"/>
        <v>2081</v>
      </c>
      <c r="CB52" s="391">
        <f t="shared" si="32"/>
        <v>1985</v>
      </c>
      <c r="CC52" s="46">
        <f t="shared" si="32"/>
        <v>7954</v>
      </c>
      <c r="CD52" s="391">
        <f t="shared" si="32"/>
        <v>2203</v>
      </c>
      <c r="CE52" s="391">
        <f t="shared" si="32"/>
        <v>2146</v>
      </c>
      <c r="CF52" s="391">
        <f t="shared" si="32"/>
        <v>2276</v>
      </c>
      <c r="CG52" s="391">
        <f t="shared" si="32"/>
        <v>2160</v>
      </c>
      <c r="CH52" s="46">
        <f t="shared" si="32"/>
        <v>8785</v>
      </c>
      <c r="CI52" s="391">
        <f t="shared" si="32"/>
        <v>2333</v>
      </c>
      <c r="CJ52" s="391">
        <f t="shared" si="32"/>
        <v>2410</v>
      </c>
      <c r="CK52" s="391">
        <f t="shared" si="32"/>
        <v>2399</v>
      </c>
      <c r="CL52" s="391">
        <f t="shared" si="32"/>
        <v>2104</v>
      </c>
      <c r="CM52" s="46">
        <f>CM37</f>
        <v>9246</v>
      </c>
      <c r="CN52" s="391">
        <f t="shared" si="32"/>
        <v>2466</v>
      </c>
      <c r="CO52" s="391">
        <f t="shared" si="32"/>
        <v>2442.4446621644738</v>
      </c>
      <c r="CP52" s="391">
        <f t="shared" si="32"/>
        <v>2346.9714375719832</v>
      </c>
      <c r="CQ52" s="391">
        <f t="shared" si="32"/>
        <v>2156.7202246095694</v>
      </c>
      <c r="CR52" s="46">
        <f>CR37</f>
        <v>9412.1363243460182</v>
      </c>
      <c r="CS52" s="391"/>
      <c r="CT52" s="391"/>
      <c r="CU52" s="391"/>
      <c r="CV52" s="391"/>
      <c r="CW52" s="46">
        <f>CW37</f>
        <v>9371.7643023545497</v>
      </c>
      <c r="CX52" s="391"/>
      <c r="CY52" s="391"/>
      <c r="CZ52" s="391"/>
      <c r="DA52" s="391"/>
      <c r="DB52" s="46">
        <f>DB37</f>
        <v>9550.0356974465085</v>
      </c>
      <c r="DC52" s="391"/>
      <c r="DD52" s="391"/>
      <c r="DE52" s="391"/>
      <c r="DF52" s="391"/>
      <c r="DG52" s="46">
        <f>DG37</f>
        <v>9617.30350399704</v>
      </c>
      <c r="DH52" s="391"/>
      <c r="DI52" s="391"/>
      <c r="DJ52" s="391"/>
      <c r="DK52" s="391"/>
      <c r="DL52" s="46">
        <f>DL37</f>
        <v>10318.599677992208</v>
      </c>
      <c r="DM52" s="391"/>
      <c r="DN52" s="391"/>
      <c r="DO52" s="391"/>
      <c r="DP52" s="391"/>
      <c r="DQ52" s="46">
        <f>DQ37</f>
        <v>11049.061372902079</v>
      </c>
      <c r="DR52" s="391"/>
      <c r="DS52" s="391"/>
      <c r="DT52" s="391"/>
      <c r="DU52" s="391"/>
      <c r="DV52" s="46">
        <f>DV37</f>
        <v>11643.636515095823</v>
      </c>
      <c r="DW52" s="391"/>
      <c r="DX52" s="391"/>
      <c r="DY52" s="391"/>
      <c r="DZ52" s="391"/>
      <c r="EA52" s="46">
        <f>EA37</f>
        <v>11954.762553237999</v>
      </c>
      <c r="EB52" s="391"/>
      <c r="EC52" s="391"/>
      <c r="ED52" s="391"/>
      <c r="EE52" s="391"/>
      <c r="EF52" s="46">
        <f>EF37</f>
        <v>11882.292419693169</v>
      </c>
      <c r="EG52" s="391"/>
      <c r="EH52" s="391"/>
      <c r="EI52" s="391"/>
      <c r="EJ52" s="391"/>
      <c r="EK52" s="46">
        <f>EK37</f>
        <v>11884.014868212416</v>
      </c>
      <c r="EL52" s="391"/>
      <c r="EM52" s="391"/>
      <c r="EN52" s="391"/>
      <c r="EO52" s="391"/>
      <c r="EP52" s="46">
        <f>EP37</f>
        <v>10666.69045068792</v>
      </c>
      <c r="EQ52" s="391"/>
      <c r="ER52" s="391"/>
      <c r="ES52" s="391"/>
      <c r="ET52" s="391"/>
      <c r="EU52" s="46">
        <f>EU37</f>
        <v>10195.366121890689</v>
      </c>
      <c r="EV52" s="391"/>
      <c r="EW52" s="391"/>
      <c r="EX52" s="391"/>
      <c r="EY52" s="391"/>
      <c r="EZ52" s="46">
        <f>EZ37</f>
        <v>9900.3835891533763</v>
      </c>
    </row>
    <row r="53" spans="2:156" hidden="1" outlineLevel="1">
      <c r="B53" t="s">
        <v>80</v>
      </c>
      <c r="C53">
        <v>0</v>
      </c>
      <c r="D53">
        <v>0</v>
      </c>
      <c r="E53">
        <v>0</v>
      </c>
      <c r="F53">
        <v>0</v>
      </c>
      <c r="G53">
        <v>0</v>
      </c>
      <c r="H53">
        <v>0</v>
      </c>
      <c r="I53">
        <v>0</v>
      </c>
      <c r="J53">
        <v>0</v>
      </c>
      <c r="K53">
        <v>0</v>
      </c>
      <c r="L53" s="55">
        <v>0</v>
      </c>
      <c r="M53" s="55">
        <v>0</v>
      </c>
      <c r="N53" s="55">
        <v>26</v>
      </c>
      <c r="O53" s="55">
        <v>21</v>
      </c>
      <c r="P53">
        <v>46</v>
      </c>
      <c r="Q53" s="55">
        <v>5</v>
      </c>
      <c r="R53" s="55">
        <v>5</v>
      </c>
      <c r="S53" s="55">
        <v>4</v>
      </c>
      <c r="T53" s="55">
        <v>5</v>
      </c>
      <c r="U53">
        <v>19</v>
      </c>
      <c r="V53" s="55">
        <v>2</v>
      </c>
      <c r="W53" s="55">
        <v>0</v>
      </c>
      <c r="X53" s="55">
        <v>0</v>
      </c>
      <c r="Y53" s="55">
        <v>0</v>
      </c>
      <c r="Z53">
        <v>2</v>
      </c>
      <c r="AA53" s="55">
        <v>0</v>
      </c>
      <c r="AB53" s="55">
        <v>0</v>
      </c>
      <c r="AC53" s="55">
        <v>47</v>
      </c>
      <c r="AD53" s="55">
        <v>0</v>
      </c>
      <c r="AE53">
        <v>47</v>
      </c>
      <c r="AF53" s="55">
        <v>0</v>
      </c>
      <c r="AG53" s="55">
        <v>0</v>
      </c>
      <c r="AH53" s="55">
        <v>0</v>
      </c>
      <c r="AI53" s="55">
        <v>6</v>
      </c>
      <c r="AJ53">
        <v>6</v>
      </c>
      <c r="AK53" s="55">
        <v>32</v>
      </c>
      <c r="AL53" s="55">
        <v>5</v>
      </c>
      <c r="AM53" s="55">
        <v>203</v>
      </c>
      <c r="AN53" s="55">
        <v>37</v>
      </c>
      <c r="AO53">
        <v>277</v>
      </c>
      <c r="AP53" s="55">
        <v>1</v>
      </c>
      <c r="AQ53" s="55">
        <v>0</v>
      </c>
      <c r="AR53" s="55">
        <v>0</v>
      </c>
      <c r="AS53" s="55">
        <v>5</v>
      </c>
      <c r="AT53">
        <v>6</v>
      </c>
      <c r="AU53" s="382">
        <v>0</v>
      </c>
      <c r="AV53" s="382">
        <v>1</v>
      </c>
      <c r="AW53" s="382">
        <v>0</v>
      </c>
      <c r="AX53" s="382">
        <v>0</v>
      </c>
      <c r="AY53">
        <v>1</v>
      </c>
      <c r="AZ53" s="55">
        <v>0</v>
      </c>
      <c r="BA53" s="55">
        <v>0</v>
      </c>
      <c r="BB53" s="55">
        <v>0</v>
      </c>
      <c r="BC53" s="55">
        <v>0</v>
      </c>
      <c r="BD53">
        <v>0</v>
      </c>
      <c r="BE53" s="55">
        <v>21</v>
      </c>
      <c r="BF53" s="55">
        <v>30</v>
      </c>
      <c r="BG53" s="55">
        <v>12</v>
      </c>
      <c r="BH53" s="55">
        <v>11</v>
      </c>
      <c r="BI53">
        <v>74</v>
      </c>
      <c r="BJ53" s="382">
        <v>10</v>
      </c>
      <c r="BK53" s="382">
        <v>11</v>
      </c>
      <c r="BL53" s="382">
        <v>28</v>
      </c>
      <c r="BM53" s="382">
        <v>122</v>
      </c>
      <c r="BN53">
        <v>171</v>
      </c>
      <c r="BO53" s="382">
        <v>71</v>
      </c>
      <c r="BP53" s="382">
        <v>70</v>
      </c>
      <c r="BQ53" s="382">
        <v>70</v>
      </c>
      <c r="BR53" s="382"/>
      <c r="BS53">
        <f>SUM(BO53:BR53)+256</f>
        <v>467</v>
      </c>
      <c r="BT53" s="382">
        <f>BT54+BT55</f>
        <v>406</v>
      </c>
      <c r="BU53" s="382">
        <f>BU54+BU55</f>
        <v>292</v>
      </c>
      <c r="BV53" s="382">
        <f>BV54+BV55+BV56</f>
        <v>307</v>
      </c>
      <c r="BW53" s="382">
        <f>BW54+BW55+BW56</f>
        <v>358</v>
      </c>
      <c r="BX53" s="77">
        <f>SUM(BX54:BX56)</f>
        <v>1363</v>
      </c>
      <c r="BY53" s="383">
        <f>BY54+BY55+BY56</f>
        <v>298</v>
      </c>
      <c r="BZ53" s="383">
        <f>BZ54+BZ55+BZ56</f>
        <v>300</v>
      </c>
      <c r="CA53" s="382">
        <f>CA54+CA55+CA56</f>
        <v>289</v>
      </c>
      <c r="CB53" s="672">
        <f>CB54+CB55+CB56</f>
        <v>307</v>
      </c>
      <c r="CC53" s="77">
        <f>SUM(CC54:CC56)</f>
        <v>1194</v>
      </c>
      <c r="CD53" s="383">
        <f t="shared" ref="CD53:CQ53" si="33">CD54+CD55+CD56</f>
        <v>311</v>
      </c>
      <c r="CE53" s="383">
        <f t="shared" si="33"/>
        <v>312</v>
      </c>
      <c r="CF53" s="383">
        <f t="shared" si="33"/>
        <v>312</v>
      </c>
      <c r="CG53" s="383">
        <f t="shared" si="33"/>
        <v>314</v>
      </c>
      <c r="CH53" s="77">
        <f t="shared" si="33"/>
        <v>1249</v>
      </c>
      <c r="CI53" s="379">
        <f t="shared" si="33"/>
        <v>314</v>
      </c>
      <c r="CJ53" s="379">
        <f t="shared" si="33"/>
        <v>314</v>
      </c>
      <c r="CK53" s="379">
        <f t="shared" si="33"/>
        <v>255</v>
      </c>
      <c r="CL53" s="379">
        <f t="shared" si="33"/>
        <v>243</v>
      </c>
      <c r="CM53" s="1">
        <f t="shared" si="33"/>
        <v>1126</v>
      </c>
      <c r="CN53" s="379">
        <f t="shared" si="33"/>
        <v>266</v>
      </c>
      <c r="CO53" s="382">
        <f t="shared" si="33"/>
        <v>0</v>
      </c>
      <c r="CP53" s="382">
        <f t="shared" si="33"/>
        <v>0</v>
      </c>
      <c r="CQ53" s="382">
        <f t="shared" si="33"/>
        <v>0</v>
      </c>
      <c r="CR53" s="77">
        <f>CR54+CR55</f>
        <v>0</v>
      </c>
      <c r="CS53" s="382"/>
      <c r="CT53" s="382"/>
      <c r="CU53" s="382"/>
      <c r="CV53" s="382"/>
      <c r="CW53" s="77">
        <f>CW54+CW55</f>
        <v>0</v>
      </c>
      <c r="CX53" s="382"/>
      <c r="CY53" s="382"/>
      <c r="CZ53" s="382"/>
      <c r="DA53" s="382"/>
      <c r="DB53" s="77">
        <f>DB54+DB55</f>
        <v>0</v>
      </c>
      <c r="DC53" s="382"/>
      <c r="DD53" s="382"/>
      <c r="DE53" s="382"/>
      <c r="DF53" s="382"/>
      <c r="DG53" s="77">
        <f>DG54+DG55</f>
        <v>0</v>
      </c>
      <c r="DH53" s="382"/>
      <c r="DI53" s="382"/>
      <c r="DJ53" s="382"/>
      <c r="DK53" s="382"/>
      <c r="DL53" s="77">
        <f>DL54+DL55</f>
        <v>0</v>
      </c>
      <c r="DM53" s="382"/>
      <c r="DN53" s="382"/>
      <c r="DO53" s="382"/>
      <c r="DP53" s="382"/>
      <c r="DQ53" s="77">
        <f>DQ54+DQ55</f>
        <v>0</v>
      </c>
      <c r="DR53" s="382"/>
      <c r="DS53" s="382"/>
      <c r="DT53" s="382"/>
      <c r="DU53" s="382"/>
      <c r="DV53" s="77">
        <f>DV54+DV55</f>
        <v>0</v>
      </c>
      <c r="DW53" s="382"/>
      <c r="DX53" s="382"/>
      <c r="DY53" s="382"/>
      <c r="DZ53" s="382"/>
      <c r="EA53" s="77">
        <f>EA54+EA55</f>
        <v>0</v>
      </c>
      <c r="EB53" s="382"/>
      <c r="EC53" s="382"/>
      <c r="ED53" s="382"/>
      <c r="EE53" s="382"/>
      <c r="EF53" s="77">
        <f>EF54+EF55</f>
        <v>0</v>
      </c>
      <c r="EG53" s="382"/>
      <c r="EH53" s="382"/>
      <c r="EI53" s="382"/>
      <c r="EJ53" s="382"/>
      <c r="EK53" s="77">
        <f>EK54+EK55</f>
        <v>0</v>
      </c>
      <c r="EL53" s="382"/>
      <c r="EM53" s="382"/>
      <c r="EN53" s="382"/>
      <c r="EO53" s="382"/>
      <c r="EP53" s="77">
        <f>EP54+EP55</f>
        <v>0</v>
      </c>
      <c r="EQ53" s="382"/>
      <c r="ER53" s="382"/>
      <c r="ES53" s="382"/>
      <c r="ET53" s="382"/>
      <c r="EU53" s="77">
        <f>EU54+EU55</f>
        <v>0</v>
      </c>
      <c r="EV53" s="382"/>
      <c r="EW53" s="382"/>
      <c r="EX53" s="382"/>
      <c r="EY53" s="382"/>
      <c r="EZ53" s="77">
        <f>EZ54+EZ55</f>
        <v>0</v>
      </c>
    </row>
    <row r="54" spans="2:156" hidden="1" outlineLevel="1">
      <c r="B54" s="2" t="s">
        <v>75</v>
      </c>
      <c r="L54" s="55"/>
      <c r="M54" s="55"/>
      <c r="N54" s="55"/>
      <c r="O54" s="55"/>
      <c r="Q54" s="55"/>
      <c r="R54" s="55"/>
      <c r="S54" s="55"/>
      <c r="T54" s="55"/>
      <c r="V54" s="55"/>
      <c r="W54" s="55"/>
      <c r="X54" s="55"/>
      <c r="Y54" s="55"/>
      <c r="AA54" s="55"/>
      <c r="AB54" s="55"/>
      <c r="AC54" s="55"/>
      <c r="AD54" s="55"/>
      <c r="AF54" s="55">
        <v>0</v>
      </c>
      <c r="AG54" s="55">
        <v>1</v>
      </c>
      <c r="AH54" s="55">
        <v>4</v>
      </c>
      <c r="AI54" s="55">
        <v>4</v>
      </c>
      <c r="AJ54">
        <f>SUM(AF54:AI54)</f>
        <v>9</v>
      </c>
      <c r="AK54" s="55">
        <v>1</v>
      </c>
      <c r="AL54" s="55">
        <v>7</v>
      </c>
      <c r="AM54" s="55">
        <v>4</v>
      </c>
      <c r="AN54" s="55">
        <v>4</v>
      </c>
      <c r="AO54">
        <f>SUM(AK54:AN54)</f>
        <v>16</v>
      </c>
      <c r="AP54" s="55">
        <v>3</v>
      </c>
      <c r="AQ54" s="55">
        <v>3</v>
      </c>
      <c r="AR54" s="55">
        <v>3</v>
      </c>
      <c r="AS54" s="55">
        <v>4</v>
      </c>
      <c r="AT54">
        <f>SUM(AP54:AS54)</f>
        <v>13</v>
      </c>
      <c r="AU54" s="382">
        <v>3</v>
      </c>
      <c r="AV54" s="382">
        <v>3</v>
      </c>
      <c r="AW54" s="382">
        <v>3</v>
      </c>
      <c r="AX54" s="382">
        <v>3</v>
      </c>
      <c r="AY54">
        <f>SUM(AU54:AX54)</f>
        <v>12</v>
      </c>
      <c r="AZ54" s="55">
        <v>4</v>
      </c>
      <c r="BA54" s="55">
        <v>4</v>
      </c>
      <c r="BB54" s="55">
        <v>3</v>
      </c>
      <c r="BC54" s="55">
        <v>4</v>
      </c>
      <c r="BD54">
        <f>SUM(AZ54:BC54)</f>
        <v>15</v>
      </c>
      <c r="BE54" s="55">
        <v>3</v>
      </c>
      <c r="BF54" s="55">
        <v>3</v>
      </c>
      <c r="BG54" s="55">
        <v>2</v>
      </c>
      <c r="BH54" s="55">
        <v>2</v>
      </c>
      <c r="BI54">
        <f>SUM(BE54:BH54)</f>
        <v>10</v>
      </c>
      <c r="BJ54" s="382">
        <v>3</v>
      </c>
      <c r="BK54" s="382">
        <v>3</v>
      </c>
      <c r="BL54" s="382">
        <v>3</v>
      </c>
      <c r="BM54" s="382">
        <v>3</v>
      </c>
      <c r="BN54">
        <f>SUM(BJ54:BM54)</f>
        <v>12</v>
      </c>
      <c r="BO54" s="382">
        <v>2</v>
      </c>
      <c r="BP54" s="382">
        <v>1</v>
      </c>
      <c r="BQ54" s="382">
        <v>3</v>
      </c>
      <c r="BR54" s="432">
        <v>3</v>
      </c>
      <c r="BS54" s="72">
        <f>SUM(BO54:BR54)</f>
        <v>9</v>
      </c>
      <c r="BT54" s="660">
        <v>2</v>
      </c>
      <c r="BU54" s="660">
        <v>2</v>
      </c>
      <c r="BV54" s="660">
        <v>3</v>
      </c>
      <c r="BW54" s="640">
        <v>3</v>
      </c>
      <c r="BX54" s="72">
        <f>SUM(BT54:BW54)</f>
        <v>10</v>
      </c>
      <c r="BY54" s="430">
        <v>0</v>
      </c>
      <c r="BZ54" s="430">
        <v>0</v>
      </c>
      <c r="CA54" s="430">
        <v>0</v>
      </c>
      <c r="CB54" s="430">
        <v>0</v>
      </c>
      <c r="CC54" s="77">
        <f>SUM(BY54:CB54)</f>
        <v>0</v>
      </c>
      <c r="CD54" s="430">
        <v>0</v>
      </c>
      <c r="CE54" s="430">
        <v>0</v>
      </c>
      <c r="CF54" s="430">
        <v>0</v>
      </c>
      <c r="CG54" s="430">
        <v>0</v>
      </c>
      <c r="CH54" s="77">
        <f>SUM(CD54:CG54)</f>
        <v>0</v>
      </c>
      <c r="CI54" s="430">
        <v>0</v>
      </c>
      <c r="CJ54" s="794">
        <v>0</v>
      </c>
      <c r="CK54" s="430">
        <v>0</v>
      </c>
      <c r="CL54" s="430">
        <v>0</v>
      </c>
      <c r="CM54" s="77">
        <f>SUM(CI54:CL54)</f>
        <v>0</v>
      </c>
      <c r="CN54" s="430"/>
      <c r="CO54" s="383"/>
      <c r="CP54" s="383"/>
      <c r="CQ54" s="383"/>
      <c r="CR54" s="77">
        <f>CM54*0.9</f>
        <v>0</v>
      </c>
      <c r="CS54" s="383"/>
      <c r="CT54" s="383"/>
      <c r="CU54" s="383"/>
      <c r="CV54" s="383"/>
      <c r="CW54" s="77">
        <f>CR54*0.9</f>
        <v>0</v>
      </c>
      <c r="CX54" s="383"/>
      <c r="CY54" s="383"/>
      <c r="CZ54" s="383"/>
      <c r="DA54" s="383"/>
      <c r="DB54" s="77">
        <f>CW54*0.9</f>
        <v>0</v>
      </c>
      <c r="DC54" s="383"/>
      <c r="DD54" s="383"/>
      <c r="DE54" s="383"/>
      <c r="DF54" s="383"/>
      <c r="DG54" s="77">
        <f>DB54*0.9</f>
        <v>0</v>
      </c>
      <c r="DH54" s="383"/>
      <c r="DI54" s="383"/>
      <c r="DJ54" s="383"/>
      <c r="DK54" s="383"/>
      <c r="DL54" s="77">
        <f>DG54*0.9</f>
        <v>0</v>
      </c>
      <c r="DM54" s="383"/>
      <c r="DN54" s="383"/>
      <c r="DO54" s="383"/>
      <c r="DP54" s="383"/>
      <c r="DQ54" s="77">
        <f>DL54*0.9</f>
        <v>0</v>
      </c>
      <c r="DR54" s="383"/>
      <c r="DS54" s="383"/>
      <c r="DT54" s="383"/>
      <c r="DU54" s="383"/>
      <c r="DV54" s="77">
        <f>DQ54*0.9</f>
        <v>0</v>
      </c>
      <c r="DW54" s="383"/>
      <c r="DX54" s="383"/>
      <c r="DY54" s="383"/>
      <c r="DZ54" s="383"/>
      <c r="EA54" s="77">
        <f>DV54*0.9</f>
        <v>0</v>
      </c>
      <c r="EB54" s="383"/>
      <c r="EC54" s="383"/>
      <c r="ED54" s="383"/>
      <c r="EE54" s="383"/>
      <c r="EF54" s="77">
        <f>EA54*0.9</f>
        <v>0</v>
      </c>
      <c r="EG54" s="383"/>
      <c r="EH54" s="383"/>
      <c r="EI54" s="383"/>
      <c r="EJ54" s="383"/>
      <c r="EK54" s="77">
        <f>EF54*0.9</f>
        <v>0</v>
      </c>
      <c r="EL54" s="383"/>
      <c r="EM54" s="383"/>
      <c r="EN54" s="383"/>
      <c r="EO54" s="383"/>
      <c r="EP54" s="77">
        <f>EK54*0.9</f>
        <v>0</v>
      </c>
      <c r="EQ54" s="383"/>
      <c r="ER54" s="383"/>
      <c r="ES54" s="383"/>
      <c r="ET54" s="383"/>
      <c r="EU54" s="77">
        <f>EP54*0.9</f>
        <v>0</v>
      </c>
      <c r="EV54" s="383"/>
      <c r="EW54" s="383"/>
      <c r="EX54" s="383"/>
      <c r="EY54" s="383"/>
      <c r="EZ54" s="77">
        <f>EU54*0.9</f>
        <v>0</v>
      </c>
    </row>
    <row r="55" spans="2:156" hidden="1" outlineLevel="1">
      <c r="B55" s="2" t="s">
        <v>93</v>
      </c>
      <c r="L55" s="55"/>
      <c r="M55" s="55"/>
      <c r="N55" s="55"/>
      <c r="O55" s="55"/>
      <c r="Q55" s="55"/>
      <c r="R55" s="55"/>
      <c r="S55" s="55"/>
      <c r="T55" s="55"/>
      <c r="V55" s="55"/>
      <c r="W55" s="55"/>
      <c r="X55" s="55"/>
      <c r="Y55" s="55"/>
      <c r="AA55" s="55"/>
      <c r="AB55" s="55"/>
      <c r="AC55" s="55"/>
      <c r="AD55" s="55"/>
      <c r="AF55" s="55"/>
      <c r="AG55" s="55"/>
      <c r="AH55" s="55"/>
      <c r="AI55" s="55"/>
      <c r="AK55" s="55"/>
      <c r="AL55" s="55"/>
      <c r="AM55" s="55"/>
      <c r="AN55" s="55"/>
      <c r="AP55" s="55"/>
      <c r="AQ55" s="55"/>
      <c r="AR55" s="55"/>
      <c r="AS55" s="55"/>
      <c r="AU55" s="382"/>
      <c r="AV55" s="382"/>
      <c r="AW55" s="382"/>
      <c r="AX55" s="382"/>
      <c r="AZ55" s="55"/>
      <c r="BA55" s="55"/>
      <c r="BB55" s="55"/>
      <c r="BC55" s="55"/>
      <c r="BE55" s="55"/>
      <c r="BF55" s="55"/>
      <c r="BG55" s="55"/>
      <c r="BH55" s="55"/>
      <c r="BJ55" s="382"/>
      <c r="BK55" s="382"/>
      <c r="BL55" s="382"/>
      <c r="BM55" s="382"/>
      <c r="BO55" s="382"/>
      <c r="BP55" s="382"/>
      <c r="BQ55" s="382"/>
      <c r="BR55" s="432">
        <v>256</v>
      </c>
      <c r="BS55" s="72"/>
      <c r="BT55" s="660">
        <v>404</v>
      </c>
      <c r="BU55" s="660">
        <v>290</v>
      </c>
      <c r="BV55" s="660">
        <v>276</v>
      </c>
      <c r="BW55" s="660">
        <v>279</v>
      </c>
      <c r="BX55" s="72">
        <f>SUM(BT55:BW55)</f>
        <v>1249</v>
      </c>
      <c r="BY55" s="432">
        <v>284</v>
      </c>
      <c r="BZ55" s="432">
        <v>285</v>
      </c>
      <c r="CA55" s="430">
        <v>276</v>
      </c>
      <c r="CB55" s="673">
        <v>297</v>
      </c>
      <c r="CC55">
        <f>SUM(BY55:CB55)</f>
        <v>1142</v>
      </c>
      <c r="CD55" s="432">
        <v>311</v>
      </c>
      <c r="CE55" s="432">
        <v>312</v>
      </c>
      <c r="CF55" s="432">
        <v>311</v>
      </c>
      <c r="CG55" s="432">
        <v>314</v>
      </c>
      <c r="CH55">
        <f>SUM(CD55:CG55)</f>
        <v>1248</v>
      </c>
      <c r="CI55" s="431">
        <v>314</v>
      </c>
      <c r="CJ55" s="431">
        <v>314</v>
      </c>
      <c r="CK55" s="431">
        <v>255</v>
      </c>
      <c r="CL55" s="431">
        <v>243</v>
      </c>
      <c r="CM55" s="1">
        <f>SUM(CI55:CL55)</f>
        <v>1126</v>
      </c>
      <c r="CN55" s="431">
        <v>266</v>
      </c>
      <c r="CO55" s="382"/>
      <c r="CP55" s="382"/>
      <c r="CQ55" s="382"/>
      <c r="CS55" s="382"/>
      <c r="CT55" s="382"/>
      <c r="CU55" s="382"/>
      <c r="CV55" s="382"/>
      <c r="CX55" s="382"/>
      <c r="CY55" s="382"/>
      <c r="CZ55" s="382"/>
      <c r="DA55" s="382"/>
      <c r="DC55" s="382"/>
      <c r="DD55" s="382"/>
      <c r="DE55" s="382"/>
      <c r="DF55" s="382"/>
      <c r="DH55" s="382"/>
      <c r="DI55" s="382"/>
      <c r="DJ55" s="382"/>
      <c r="DK55" s="382"/>
      <c r="DM55" s="382"/>
      <c r="DN55" s="382"/>
      <c r="DO55" s="382"/>
      <c r="DP55" s="382"/>
      <c r="DR55" s="382"/>
      <c r="DS55" s="382"/>
      <c r="DT55" s="382"/>
      <c r="DU55" s="382"/>
      <c r="DW55" s="382"/>
      <c r="DX55" s="382"/>
      <c r="DY55" s="382"/>
      <c r="DZ55" s="382"/>
      <c r="EB55" s="382"/>
      <c r="EC55" s="382"/>
      <c r="ED55" s="382"/>
      <c r="EE55" s="382"/>
      <c r="EG55" s="382"/>
      <c r="EH55" s="382"/>
      <c r="EI55" s="382"/>
      <c r="EJ55" s="382"/>
      <c r="EL55" s="382"/>
      <c r="EM55" s="382"/>
      <c r="EN55" s="382"/>
      <c r="EO55" s="382"/>
      <c r="EQ55" s="382"/>
      <c r="ER55" s="382"/>
      <c r="ES55" s="382"/>
      <c r="ET55" s="382"/>
      <c r="EV55" s="382"/>
      <c r="EW55" s="382"/>
      <c r="EX55" s="382"/>
      <c r="EY55" s="382"/>
    </row>
    <row r="56" spans="2:156" hidden="1" outlineLevel="1">
      <c r="B56" s="2" t="s">
        <v>107</v>
      </c>
      <c r="L56" s="55"/>
      <c r="M56" s="55"/>
      <c r="N56" s="55"/>
      <c r="O56" s="55"/>
      <c r="Q56" s="55"/>
      <c r="R56" s="55"/>
      <c r="S56" s="55"/>
      <c r="T56" s="55"/>
      <c r="V56" s="55"/>
      <c r="W56" s="55"/>
      <c r="X56" s="55"/>
      <c r="Y56" s="55"/>
      <c r="AA56" s="55"/>
      <c r="AB56" s="55"/>
      <c r="AC56" s="55"/>
      <c r="AD56" s="55"/>
      <c r="AF56" s="55"/>
      <c r="AG56" s="55"/>
      <c r="AH56" s="55"/>
      <c r="AI56" s="55"/>
      <c r="AK56" s="55"/>
      <c r="AL56" s="55"/>
      <c r="AM56" s="55"/>
      <c r="AN56" s="55"/>
      <c r="AP56" s="55"/>
      <c r="AQ56" s="55"/>
      <c r="AR56" s="55"/>
      <c r="AS56" s="55"/>
      <c r="AU56" s="382"/>
      <c r="AV56" s="382"/>
      <c r="AW56" s="382"/>
      <c r="AX56" s="382"/>
      <c r="AZ56" s="55"/>
      <c r="BA56" s="55"/>
      <c r="BB56" s="55"/>
      <c r="BC56" s="55"/>
      <c r="BE56" s="55"/>
      <c r="BF56" s="55"/>
      <c r="BG56" s="55"/>
      <c r="BH56" s="55"/>
      <c r="BJ56" s="382"/>
      <c r="BK56" s="382"/>
      <c r="BL56" s="382"/>
      <c r="BM56" s="382"/>
      <c r="BO56" s="382"/>
      <c r="BP56" s="382"/>
      <c r="BQ56" s="382"/>
      <c r="BR56" s="382"/>
      <c r="BS56" s="72"/>
      <c r="BT56" s="72"/>
      <c r="BU56" s="72"/>
      <c r="BV56" s="660">
        <v>28</v>
      </c>
      <c r="BW56" s="660">
        <v>76</v>
      </c>
      <c r="BX56" s="72">
        <f>SUM(BT56:BW56)</f>
        <v>104</v>
      </c>
      <c r="BY56" s="432">
        <v>14</v>
      </c>
      <c r="BZ56" s="432">
        <v>15</v>
      </c>
      <c r="CA56" s="432">
        <v>13</v>
      </c>
      <c r="CB56" s="673">
        <v>10</v>
      </c>
      <c r="CC56">
        <f>SUM(BY56:CB56)</f>
        <v>52</v>
      </c>
      <c r="CD56" s="432">
        <v>0</v>
      </c>
      <c r="CE56" s="432">
        <v>0</v>
      </c>
      <c r="CF56" s="432">
        <v>1</v>
      </c>
      <c r="CG56" s="432">
        <v>0</v>
      </c>
      <c r="CH56">
        <f>SUM(CD56:CG56)</f>
        <v>1</v>
      </c>
      <c r="CI56" s="432">
        <v>0</v>
      </c>
      <c r="CJ56" s="794">
        <v>0</v>
      </c>
      <c r="CK56" s="432">
        <v>0</v>
      </c>
      <c r="CL56" s="432">
        <v>0</v>
      </c>
      <c r="CM56">
        <f>SUM(CI56:CL56)</f>
        <v>0</v>
      </c>
      <c r="CN56" s="432"/>
      <c r="CO56" s="382"/>
      <c r="CP56" s="382"/>
      <c r="CQ56" s="382"/>
      <c r="CS56" s="382"/>
      <c r="CT56" s="382"/>
      <c r="CU56" s="382"/>
      <c r="CV56" s="382"/>
      <c r="CX56" s="382"/>
      <c r="CY56" s="382"/>
      <c r="CZ56" s="382"/>
      <c r="DA56" s="382"/>
      <c r="DC56" s="382"/>
      <c r="DD56" s="382"/>
      <c r="DE56" s="382"/>
      <c r="DF56" s="382"/>
      <c r="DH56" s="382"/>
      <c r="DI56" s="382"/>
      <c r="DJ56" s="382"/>
      <c r="DK56" s="382"/>
      <c r="DM56" s="382"/>
      <c r="DN56" s="382"/>
      <c r="DO56" s="382"/>
      <c r="DP56" s="382"/>
      <c r="DR56" s="382"/>
      <c r="DS56" s="382"/>
      <c r="DT56" s="382"/>
      <c r="DU56" s="382"/>
      <c r="DW56" s="382"/>
      <c r="DX56" s="382"/>
      <c r="DY56" s="382"/>
      <c r="DZ56" s="382"/>
      <c r="EB56" s="382"/>
      <c r="EC56" s="382"/>
      <c r="ED56" s="382"/>
      <c r="EE56" s="382"/>
      <c r="EG56" s="382"/>
      <c r="EH56" s="382"/>
      <c r="EI56" s="382"/>
      <c r="EJ56" s="382"/>
      <c r="EL56" s="382"/>
      <c r="EM56" s="382"/>
      <c r="EN56" s="382"/>
      <c r="EO56" s="382"/>
      <c r="EQ56" s="382"/>
      <c r="ER56" s="382"/>
      <c r="ES56" s="382"/>
      <c r="ET56" s="382"/>
      <c r="EV56" s="382"/>
      <c r="EW56" s="382"/>
      <c r="EX56" s="382"/>
      <c r="EY56" s="382"/>
    </row>
    <row r="57" spans="2:156" hidden="1" outlineLevel="1">
      <c r="L57" s="55"/>
      <c r="M57" s="55"/>
      <c r="N57" s="55"/>
      <c r="O57" s="55"/>
      <c r="Q57" s="55"/>
      <c r="R57" s="55"/>
      <c r="S57" s="55"/>
      <c r="T57" s="55"/>
      <c r="V57" s="55"/>
      <c r="W57" s="55"/>
      <c r="X57" s="55"/>
      <c r="Y57" s="55"/>
      <c r="AA57" s="55"/>
      <c r="AB57" s="55"/>
      <c r="AC57" s="55"/>
      <c r="AD57" s="55"/>
      <c r="AF57" s="55"/>
      <c r="AG57" s="55"/>
      <c r="AH57" s="55"/>
      <c r="AI57" s="55"/>
      <c r="AK57" s="55"/>
      <c r="AL57" s="55"/>
      <c r="AM57" s="55"/>
      <c r="AN57" s="55"/>
      <c r="AP57" s="55"/>
      <c r="AQ57" s="55"/>
      <c r="AR57" s="55"/>
      <c r="AS57" s="55"/>
      <c r="AU57" s="382"/>
      <c r="AV57" s="382"/>
      <c r="AW57" s="382"/>
      <c r="AX57" s="382"/>
      <c r="AZ57" s="55"/>
      <c r="BA57" s="55"/>
      <c r="BB57" s="55"/>
      <c r="BC57" s="55"/>
      <c r="BE57" s="55"/>
      <c r="BF57" s="55"/>
      <c r="BG57" s="55"/>
      <c r="BH57" s="55"/>
      <c r="BJ57" s="382"/>
      <c r="BK57" s="382"/>
      <c r="BL57" s="382"/>
      <c r="BM57" s="382"/>
      <c r="BO57" s="382"/>
      <c r="BP57" s="382"/>
      <c r="BQ57" s="382"/>
      <c r="BR57" s="382"/>
      <c r="BT57" s="382"/>
      <c r="BU57" s="382"/>
      <c r="BV57" s="382"/>
      <c r="BW57" s="382"/>
      <c r="BY57" s="382"/>
      <c r="BZ57" s="382"/>
      <c r="CA57" s="382"/>
      <c r="CB57" s="382"/>
      <c r="CD57" s="382"/>
      <c r="CE57" s="382"/>
      <c r="CF57" s="382"/>
      <c r="CG57" s="382"/>
      <c r="CI57" s="382"/>
      <c r="CJ57" s="386"/>
      <c r="CK57" s="382"/>
      <c r="CL57" s="382"/>
      <c r="CN57" s="382"/>
      <c r="CO57" s="382"/>
      <c r="CP57" s="382"/>
      <c r="CQ57" s="382"/>
      <c r="CS57" s="382"/>
      <c r="CT57" s="382"/>
      <c r="CU57" s="382"/>
      <c r="CV57" s="382"/>
      <c r="CX57" s="382"/>
      <c r="CY57" s="382"/>
      <c r="CZ57" s="382"/>
      <c r="DA57" s="382"/>
      <c r="DC57" s="382"/>
      <c r="DD57" s="382"/>
      <c r="DE57" s="382"/>
      <c r="DF57" s="382"/>
      <c r="DH57" s="382"/>
      <c r="DI57" s="382"/>
      <c r="DJ57" s="382"/>
      <c r="DK57" s="382"/>
      <c r="DM57" s="382"/>
      <c r="DN57" s="382"/>
      <c r="DO57" s="382"/>
      <c r="DP57" s="382"/>
      <c r="DR57" s="382"/>
      <c r="DS57" s="382"/>
      <c r="DT57" s="382"/>
      <c r="DU57" s="382"/>
      <c r="DW57" s="382"/>
      <c r="DX57" s="382"/>
      <c r="DY57" s="382"/>
      <c r="DZ57" s="382"/>
      <c r="EB57" s="382"/>
      <c r="EC57" s="382"/>
      <c r="ED57" s="382"/>
      <c r="EE57" s="382"/>
      <c r="EG57" s="382"/>
      <c r="EH57" s="382"/>
      <c r="EI57" s="382"/>
      <c r="EJ57" s="382"/>
      <c r="EL57" s="382"/>
      <c r="EM57" s="382"/>
      <c r="EN57" s="382"/>
      <c r="EO57" s="382"/>
      <c r="EQ57" s="382"/>
      <c r="ER57" s="382"/>
      <c r="ES57" s="382"/>
      <c r="ET57" s="382"/>
      <c r="EV57" s="382"/>
      <c r="EW57" s="382"/>
      <c r="EX57" s="382"/>
      <c r="EY57" s="382"/>
    </row>
    <row r="58" spans="2:156" hidden="1" outlineLevel="1">
      <c r="B58" t="s">
        <v>62</v>
      </c>
      <c r="C58">
        <v>0</v>
      </c>
      <c r="D58">
        <v>0</v>
      </c>
      <c r="E58">
        <v>0</v>
      </c>
      <c r="F58">
        <v>0</v>
      </c>
      <c r="G58">
        <v>0</v>
      </c>
      <c r="H58">
        <v>0</v>
      </c>
      <c r="I58">
        <v>0</v>
      </c>
      <c r="J58">
        <v>0</v>
      </c>
      <c r="K58">
        <v>0</v>
      </c>
      <c r="L58" s="55">
        <v>0</v>
      </c>
      <c r="M58" s="55">
        <v>0</v>
      </c>
      <c r="N58" s="55">
        <v>9</v>
      </c>
      <c r="O58" s="55">
        <v>10</v>
      </c>
      <c r="P58">
        <v>18</v>
      </c>
      <c r="Q58" s="55">
        <v>10</v>
      </c>
      <c r="R58" s="55">
        <v>9</v>
      </c>
      <c r="S58" s="55">
        <v>8</v>
      </c>
      <c r="T58" s="55">
        <v>8</v>
      </c>
      <c r="U58">
        <v>35</v>
      </c>
      <c r="V58" s="55">
        <v>8</v>
      </c>
      <c r="W58" s="55">
        <v>8</v>
      </c>
      <c r="X58" s="55">
        <v>7</v>
      </c>
      <c r="Y58" s="55">
        <v>0</v>
      </c>
      <c r="Z58">
        <v>23</v>
      </c>
      <c r="AA58" s="55">
        <v>3</v>
      </c>
      <c r="AB58" s="55">
        <v>3</v>
      </c>
      <c r="AC58" s="55">
        <v>3</v>
      </c>
      <c r="AD58" s="55">
        <v>3</v>
      </c>
      <c r="AE58">
        <v>12</v>
      </c>
      <c r="AF58" s="55">
        <v>2</v>
      </c>
      <c r="AG58" s="55">
        <v>31</v>
      </c>
      <c r="AH58" s="55">
        <v>16</v>
      </c>
      <c r="AI58" s="55">
        <v>22</v>
      </c>
      <c r="AJ58">
        <v>71</v>
      </c>
      <c r="AK58" s="55">
        <v>21</v>
      </c>
      <c r="AL58" s="55">
        <v>19</v>
      </c>
      <c r="AM58" s="55">
        <v>57</v>
      </c>
      <c r="AN58" s="55">
        <v>22</v>
      </c>
      <c r="AO58">
        <v>119</v>
      </c>
      <c r="AP58" s="55">
        <v>21</v>
      </c>
      <c r="AQ58" s="55">
        <v>19</v>
      </c>
      <c r="AR58" s="55">
        <v>17</v>
      </c>
      <c r="AS58" s="55">
        <v>17</v>
      </c>
      <c r="AT58">
        <v>74</v>
      </c>
      <c r="AU58" s="382">
        <v>17</v>
      </c>
      <c r="AV58" s="382">
        <v>20</v>
      </c>
      <c r="AW58" s="382">
        <v>21</v>
      </c>
      <c r="AX58" s="382">
        <v>18</v>
      </c>
      <c r="AY58">
        <v>76</v>
      </c>
      <c r="AZ58" s="55">
        <v>17</v>
      </c>
      <c r="BA58" s="55">
        <v>17</v>
      </c>
      <c r="BB58" s="55">
        <v>18</v>
      </c>
      <c r="BC58" s="55">
        <v>18</v>
      </c>
      <c r="BD58">
        <v>70</v>
      </c>
      <c r="BE58" s="55">
        <v>24</v>
      </c>
      <c r="BF58" s="55">
        <v>1</v>
      </c>
      <c r="BG58" s="55">
        <v>2</v>
      </c>
      <c r="BH58" s="55">
        <v>1</v>
      </c>
      <c r="BI58">
        <v>28</v>
      </c>
      <c r="BJ58" s="382">
        <v>7</v>
      </c>
      <c r="BK58" s="382">
        <v>13</v>
      </c>
      <c r="BL58" s="382">
        <v>26</v>
      </c>
      <c r="BM58" s="382">
        <v>16</v>
      </c>
      <c r="BN58">
        <v>62</v>
      </c>
      <c r="BO58" s="382">
        <v>22</v>
      </c>
      <c r="BP58" s="382">
        <v>20</v>
      </c>
      <c r="BQ58" s="382">
        <v>21</v>
      </c>
      <c r="BR58" s="382"/>
      <c r="BS58">
        <f>SUM(BO58:BR58)+79</f>
        <v>142</v>
      </c>
      <c r="BT58" s="382">
        <f>BT59+BT60</f>
        <v>33</v>
      </c>
      <c r="BU58" s="382">
        <f>BU59+BU60</f>
        <v>39</v>
      </c>
      <c r="BV58" s="382">
        <f>BV59+BV60+BV61</f>
        <v>38</v>
      </c>
      <c r="BW58" s="382">
        <f>BW59+BW60+BW61</f>
        <v>66</v>
      </c>
      <c r="BX58" s="77">
        <f>SUM(BX59:BX61)</f>
        <v>176</v>
      </c>
      <c r="BY58" s="383">
        <f t="shared" ref="BY58:CQ58" si="34">BY59+BY60+BY61</f>
        <v>38</v>
      </c>
      <c r="BZ58" s="383">
        <f t="shared" si="34"/>
        <v>46</v>
      </c>
      <c r="CA58" s="382">
        <f t="shared" si="34"/>
        <v>33</v>
      </c>
      <c r="CB58" s="672">
        <f t="shared" si="34"/>
        <v>36</v>
      </c>
      <c r="CC58" s="77">
        <f>SUM(CC59:CC61)</f>
        <v>153</v>
      </c>
      <c r="CD58" s="383">
        <f t="shared" si="34"/>
        <v>14</v>
      </c>
      <c r="CE58" s="383">
        <f t="shared" si="34"/>
        <v>22</v>
      </c>
      <c r="CF58" s="383">
        <f t="shared" si="34"/>
        <v>27</v>
      </c>
      <c r="CG58" s="383">
        <f t="shared" si="34"/>
        <v>22</v>
      </c>
      <c r="CH58" s="77">
        <f t="shared" si="34"/>
        <v>85</v>
      </c>
      <c r="CI58" s="382">
        <f t="shared" si="34"/>
        <v>21</v>
      </c>
      <c r="CJ58" s="382">
        <f t="shared" si="34"/>
        <v>22</v>
      </c>
      <c r="CK58" s="382">
        <f t="shared" si="34"/>
        <v>19</v>
      </c>
      <c r="CL58" s="382">
        <f t="shared" si="34"/>
        <v>18</v>
      </c>
      <c r="CM58" s="77">
        <f>CM59+CM60+CM61</f>
        <v>80</v>
      </c>
      <c r="CN58" s="382">
        <f t="shared" si="34"/>
        <v>21</v>
      </c>
      <c r="CO58" s="382">
        <f t="shared" si="34"/>
        <v>0</v>
      </c>
      <c r="CP58" s="382">
        <f t="shared" si="34"/>
        <v>0</v>
      </c>
      <c r="CQ58" s="382">
        <f t="shared" si="34"/>
        <v>0</v>
      </c>
      <c r="CR58" s="77">
        <f>CR59+CR60+CR61</f>
        <v>0</v>
      </c>
      <c r="CS58" s="382"/>
      <c r="CT58" s="382"/>
      <c r="CU58" s="382"/>
      <c r="CV58" s="382"/>
      <c r="CW58" s="77">
        <f>CW59+CW60+CW61</f>
        <v>0</v>
      </c>
      <c r="CX58" s="382"/>
      <c r="CY58" s="382"/>
      <c r="CZ58" s="382"/>
      <c r="DA58" s="382"/>
      <c r="DB58" s="77">
        <f>DB59+DB60+DB61</f>
        <v>0</v>
      </c>
      <c r="DC58" s="382"/>
      <c r="DD58" s="382"/>
      <c r="DE58" s="382"/>
      <c r="DF58" s="382"/>
      <c r="DG58" s="77">
        <f>DG59+DG60+DG61</f>
        <v>0</v>
      </c>
      <c r="DH58" s="382"/>
      <c r="DI58" s="382"/>
      <c r="DJ58" s="382"/>
      <c r="DK58" s="382"/>
      <c r="DL58" s="77">
        <f>DL59+DL60+DL61</f>
        <v>0</v>
      </c>
      <c r="DM58" s="382"/>
      <c r="DN58" s="382"/>
      <c r="DO58" s="382"/>
      <c r="DP58" s="382"/>
      <c r="DQ58" s="77">
        <f>DQ59+DQ60+DQ61</f>
        <v>0</v>
      </c>
      <c r="DR58" s="382"/>
      <c r="DS58" s="382"/>
      <c r="DT58" s="382"/>
      <c r="DU58" s="382"/>
      <c r="DV58" s="77">
        <f>DV59+DV60+DV61</f>
        <v>0</v>
      </c>
      <c r="DW58" s="382"/>
      <c r="DX58" s="382"/>
      <c r="DY58" s="382"/>
      <c r="DZ58" s="382"/>
      <c r="EA58" s="77">
        <f>EA59+EA60+EA61</f>
        <v>0</v>
      </c>
      <c r="EB58" s="382"/>
      <c r="EC58" s="382"/>
      <c r="ED58" s="382"/>
      <c r="EE58" s="382"/>
      <c r="EF58" s="77">
        <f>EF59+EF60+EF61</f>
        <v>0</v>
      </c>
      <c r="EG58" s="382"/>
      <c r="EH58" s="382"/>
      <c r="EI58" s="382"/>
      <c r="EJ58" s="382"/>
      <c r="EK58" s="77">
        <f>EK59+EK60+EK61</f>
        <v>0</v>
      </c>
      <c r="EL58" s="382"/>
      <c r="EM58" s="382"/>
      <c r="EN58" s="382"/>
      <c r="EO58" s="382"/>
      <c r="EP58" s="77">
        <f>EP59+EP60+EP61</f>
        <v>0</v>
      </c>
      <c r="EQ58" s="382"/>
      <c r="ER58" s="382"/>
      <c r="ES58" s="382"/>
      <c r="ET58" s="382"/>
      <c r="EU58" s="77">
        <f>EU59+EU60+EU61</f>
        <v>0</v>
      </c>
      <c r="EV58" s="382"/>
      <c r="EW58" s="382"/>
      <c r="EX58" s="382"/>
      <c r="EY58" s="382"/>
      <c r="EZ58" s="77">
        <f>EZ59+EZ60+EZ61</f>
        <v>0</v>
      </c>
    </row>
    <row r="59" spans="2:156" hidden="1" outlineLevel="1">
      <c r="B59" s="2" t="s">
        <v>75</v>
      </c>
      <c r="L59" s="55"/>
      <c r="M59" s="55"/>
      <c r="N59" s="55"/>
      <c r="O59" s="55"/>
      <c r="Q59" s="55"/>
      <c r="R59" s="55"/>
      <c r="S59" s="55"/>
      <c r="T59" s="55"/>
      <c r="V59" s="55"/>
      <c r="W59" s="55"/>
      <c r="X59" s="55"/>
      <c r="Y59" s="55"/>
      <c r="AA59" s="55"/>
      <c r="AB59" s="55"/>
      <c r="AC59" s="55"/>
      <c r="AD59" s="55"/>
      <c r="AF59" s="55">
        <v>29</v>
      </c>
      <c r="AG59" s="55">
        <v>28</v>
      </c>
      <c r="AH59" s="55">
        <v>21</v>
      </c>
      <c r="AI59" s="55">
        <v>26</v>
      </c>
      <c r="AJ59">
        <f>SUM(AF59:AI59)</f>
        <v>104</v>
      </c>
      <c r="AK59" s="55">
        <v>27</v>
      </c>
      <c r="AL59" s="55">
        <v>21</v>
      </c>
      <c r="AM59" s="55">
        <v>20</v>
      </c>
      <c r="AN59" s="55">
        <v>15</v>
      </c>
      <c r="AO59">
        <f>SUM(AK59:AN59)</f>
        <v>83</v>
      </c>
      <c r="AP59" s="55">
        <v>12</v>
      </c>
      <c r="AQ59" s="55">
        <v>11</v>
      </c>
      <c r="AR59" s="55">
        <v>12</v>
      </c>
      <c r="AS59" s="55">
        <v>11</v>
      </c>
      <c r="AT59">
        <f>SUM(AP59:AS59)</f>
        <v>46</v>
      </c>
      <c r="AU59" s="382">
        <v>11</v>
      </c>
      <c r="AV59" s="382">
        <v>16</v>
      </c>
      <c r="AW59" s="382">
        <v>13</v>
      </c>
      <c r="AX59" s="382">
        <v>9</v>
      </c>
      <c r="AY59">
        <f>SUM(AU59:AX59)</f>
        <v>49</v>
      </c>
      <c r="AZ59" s="55">
        <v>12</v>
      </c>
      <c r="BA59" s="55">
        <v>16</v>
      </c>
      <c r="BB59" s="55">
        <v>12</v>
      </c>
      <c r="BC59" s="55">
        <v>11</v>
      </c>
      <c r="BD59">
        <f>SUM(AZ59:BC59)</f>
        <v>51</v>
      </c>
      <c r="BE59" s="55">
        <v>9</v>
      </c>
      <c r="BF59" s="55">
        <v>10</v>
      </c>
      <c r="BG59" s="55">
        <v>8</v>
      </c>
      <c r="BH59" s="55">
        <v>8</v>
      </c>
      <c r="BI59">
        <f>SUM(BE59:BH59)</f>
        <v>35</v>
      </c>
      <c r="BJ59" s="382">
        <v>6</v>
      </c>
      <c r="BK59" s="382">
        <v>6</v>
      </c>
      <c r="BL59" s="382">
        <v>5</v>
      </c>
      <c r="BM59" s="382">
        <v>5</v>
      </c>
      <c r="BN59">
        <f>SUM(BJ59:BM59)</f>
        <v>22</v>
      </c>
      <c r="BO59" s="382">
        <v>5</v>
      </c>
      <c r="BP59" s="382">
        <v>3</v>
      </c>
      <c r="BQ59" s="382">
        <v>2</v>
      </c>
      <c r="BR59" s="432">
        <v>2</v>
      </c>
      <c r="BS59" s="72">
        <f>SUM(BO59:BR59)</f>
        <v>12</v>
      </c>
      <c r="BT59" s="660">
        <v>2</v>
      </c>
      <c r="BU59" s="660">
        <v>1</v>
      </c>
      <c r="BV59" s="660">
        <v>0</v>
      </c>
      <c r="BW59" s="640">
        <v>0</v>
      </c>
      <c r="BX59" s="72">
        <f>SUM(BT59:BW59)</f>
        <v>3</v>
      </c>
      <c r="BY59" s="430">
        <v>0</v>
      </c>
      <c r="BZ59" s="430">
        <v>0</v>
      </c>
      <c r="CA59" s="430">
        <v>0</v>
      </c>
      <c r="CB59" s="430">
        <v>0</v>
      </c>
      <c r="CC59" s="77">
        <f>SUM(BY59:CB59)</f>
        <v>0</v>
      </c>
      <c r="CD59" s="430">
        <v>0</v>
      </c>
      <c r="CE59" s="430">
        <v>0</v>
      </c>
      <c r="CF59" s="430">
        <v>0</v>
      </c>
      <c r="CG59" s="430">
        <v>0</v>
      </c>
      <c r="CH59" s="77">
        <f>SUM(CD59:CG59)</f>
        <v>0</v>
      </c>
      <c r="CI59" s="430">
        <v>0</v>
      </c>
      <c r="CJ59" s="794">
        <v>0</v>
      </c>
      <c r="CK59" s="430">
        <v>0</v>
      </c>
      <c r="CL59" s="430">
        <v>0</v>
      </c>
      <c r="CM59" s="77">
        <f t="shared" ref="CM59:CM61" si="35">SUM(CI59:CL59)</f>
        <v>0</v>
      </c>
      <c r="CN59" s="430"/>
      <c r="CO59" s="383"/>
      <c r="CP59" s="383"/>
      <c r="CQ59" s="383"/>
      <c r="CR59" s="77">
        <f>CM59*0.9</f>
        <v>0</v>
      </c>
      <c r="CS59" s="383"/>
      <c r="CT59" s="383"/>
      <c r="CU59" s="383"/>
      <c r="CV59" s="383"/>
      <c r="CW59" s="77">
        <f>CR59*0.9</f>
        <v>0</v>
      </c>
      <c r="CX59" s="383"/>
      <c r="CY59" s="383"/>
      <c r="CZ59" s="383"/>
      <c r="DA59" s="383"/>
      <c r="DB59" s="77">
        <f>CW59*0.9</f>
        <v>0</v>
      </c>
      <c r="DC59" s="383"/>
      <c r="DD59" s="383"/>
      <c r="DE59" s="383"/>
      <c r="DF59" s="383"/>
      <c r="DG59" s="77">
        <f>DB59*0.9</f>
        <v>0</v>
      </c>
      <c r="DH59" s="383"/>
      <c r="DI59" s="383"/>
      <c r="DJ59" s="383"/>
      <c r="DK59" s="383"/>
      <c r="DL59" s="77">
        <f>DG59*0.9</f>
        <v>0</v>
      </c>
      <c r="DM59" s="383"/>
      <c r="DN59" s="383"/>
      <c r="DO59" s="383"/>
      <c r="DP59" s="383"/>
      <c r="DQ59" s="77">
        <f>DL59*0.9</f>
        <v>0</v>
      </c>
      <c r="DR59" s="383"/>
      <c r="DS59" s="383"/>
      <c r="DT59" s="383"/>
      <c r="DU59" s="383"/>
      <c r="DV59" s="77">
        <f>DQ59*0.9</f>
        <v>0</v>
      </c>
      <c r="DW59" s="383"/>
      <c r="DX59" s="383"/>
      <c r="DY59" s="383"/>
      <c r="DZ59" s="383"/>
      <c r="EA59" s="77">
        <f>DV59*0.9</f>
        <v>0</v>
      </c>
      <c r="EB59" s="383"/>
      <c r="EC59" s="383"/>
      <c r="ED59" s="383"/>
      <c r="EE59" s="383"/>
      <c r="EF59" s="77">
        <f>EA59*0.9</f>
        <v>0</v>
      </c>
      <c r="EG59" s="383"/>
      <c r="EH59" s="383"/>
      <c r="EI59" s="383"/>
      <c r="EJ59" s="383"/>
      <c r="EK59" s="77">
        <f>EF59*0.9</f>
        <v>0</v>
      </c>
      <c r="EL59" s="383"/>
      <c r="EM59" s="383"/>
      <c r="EN59" s="383"/>
      <c r="EO59" s="383"/>
      <c r="EP59" s="77">
        <f>EK59*0.9</f>
        <v>0</v>
      </c>
      <c r="EQ59" s="383"/>
      <c r="ER59" s="383"/>
      <c r="ES59" s="383"/>
      <c r="ET59" s="383"/>
      <c r="EU59" s="77">
        <f>EP59*0.9</f>
        <v>0</v>
      </c>
      <c r="EV59" s="383"/>
      <c r="EW59" s="383"/>
      <c r="EX59" s="383"/>
      <c r="EY59" s="383"/>
      <c r="EZ59" s="77">
        <f>EU59*0.9</f>
        <v>0</v>
      </c>
    </row>
    <row r="60" spans="2:156" hidden="1" outlineLevel="1">
      <c r="B60" s="2" t="s">
        <v>93</v>
      </c>
      <c r="L60" s="55"/>
      <c r="M60" s="55"/>
      <c r="N60" s="55"/>
      <c r="O60" s="55"/>
      <c r="Q60" s="55"/>
      <c r="R60" s="55"/>
      <c r="S60" s="55"/>
      <c r="T60" s="55"/>
      <c r="V60" s="55"/>
      <c r="W60" s="55"/>
      <c r="X60" s="55"/>
      <c r="Y60" s="55"/>
      <c r="AA60" s="55"/>
      <c r="AB60" s="55"/>
      <c r="AC60" s="55"/>
      <c r="AD60" s="55"/>
      <c r="AF60" s="55"/>
      <c r="AG60" s="55"/>
      <c r="AH60" s="55"/>
      <c r="AI60" s="55"/>
      <c r="AK60" s="55"/>
      <c r="AL60" s="55"/>
      <c r="AM60" s="55"/>
      <c r="AN60" s="55"/>
      <c r="AP60" s="55"/>
      <c r="AQ60" s="55"/>
      <c r="AR60" s="55"/>
      <c r="AS60" s="55"/>
      <c r="AU60" s="382"/>
      <c r="AV60" s="382"/>
      <c r="AW60" s="382"/>
      <c r="AX60" s="382"/>
      <c r="AZ60" s="55"/>
      <c r="BA60" s="55"/>
      <c r="BB60" s="55"/>
      <c r="BC60" s="55"/>
      <c r="BE60" s="55"/>
      <c r="BF60" s="55"/>
      <c r="BG60" s="55"/>
      <c r="BH60" s="55"/>
      <c r="BJ60" s="382"/>
      <c r="BK60" s="382"/>
      <c r="BL60" s="382"/>
      <c r="BM60" s="382"/>
      <c r="BO60" s="382"/>
      <c r="BP60" s="382"/>
      <c r="BQ60" s="382"/>
      <c r="BR60" s="432">
        <v>79</v>
      </c>
      <c r="BS60" s="72"/>
      <c r="BT60" s="660">
        <v>31</v>
      </c>
      <c r="BU60" s="660">
        <v>38</v>
      </c>
      <c r="BV60" s="660">
        <v>23</v>
      </c>
      <c r="BW60" s="660">
        <v>32</v>
      </c>
      <c r="BX60" s="72">
        <f>SUM(BT60:BW60)</f>
        <v>124</v>
      </c>
      <c r="BY60" s="432">
        <v>21</v>
      </c>
      <c r="BZ60" s="432">
        <v>28</v>
      </c>
      <c r="CA60" s="432">
        <v>20</v>
      </c>
      <c r="CB60" s="673">
        <v>20</v>
      </c>
      <c r="CC60">
        <f>SUM(BY60:CB60)</f>
        <v>89</v>
      </c>
      <c r="CD60" s="432">
        <v>19</v>
      </c>
      <c r="CE60" s="432">
        <v>19</v>
      </c>
      <c r="CF60" s="432">
        <v>20</v>
      </c>
      <c r="CG60" s="432">
        <v>20</v>
      </c>
      <c r="CH60">
        <f>SUM(CD60:CG60)</f>
        <v>78</v>
      </c>
      <c r="CI60" s="432">
        <v>19</v>
      </c>
      <c r="CJ60" s="794">
        <v>19</v>
      </c>
      <c r="CK60" s="432">
        <v>19</v>
      </c>
      <c r="CL60" s="432">
        <v>20</v>
      </c>
      <c r="CM60">
        <f t="shared" si="35"/>
        <v>77</v>
      </c>
      <c r="CN60" s="432">
        <v>21</v>
      </c>
      <c r="CO60" s="382"/>
      <c r="CP60" s="382"/>
      <c r="CQ60" s="382"/>
      <c r="CS60" s="382"/>
      <c r="CT60" s="382"/>
      <c r="CU60" s="382"/>
      <c r="CV60" s="382"/>
      <c r="CX60" s="382"/>
      <c r="CY60" s="382"/>
      <c r="CZ60" s="382"/>
      <c r="DA60" s="382"/>
      <c r="DC60" s="382"/>
      <c r="DD60" s="382"/>
      <c r="DE60" s="382"/>
      <c r="DF60" s="382"/>
      <c r="DH60" s="382"/>
      <c r="DI60" s="382"/>
      <c r="DJ60" s="382"/>
      <c r="DK60" s="382"/>
      <c r="DM60" s="382"/>
      <c r="DN60" s="382"/>
      <c r="DO60" s="382"/>
      <c r="DP60" s="382"/>
      <c r="DR60" s="382"/>
      <c r="DS60" s="382"/>
      <c r="DT60" s="382"/>
      <c r="DU60" s="382"/>
      <c r="DW60" s="382"/>
      <c r="DX60" s="382"/>
      <c r="DY60" s="382"/>
      <c r="DZ60" s="382"/>
      <c r="EB60" s="382"/>
      <c r="EC60" s="382"/>
      <c r="ED60" s="382"/>
      <c r="EE60" s="382"/>
      <c r="EG60" s="382"/>
      <c r="EH60" s="382"/>
      <c r="EI60" s="382"/>
      <c r="EJ60" s="382"/>
      <c r="EL60" s="382"/>
      <c r="EM60" s="382"/>
      <c r="EN60" s="382"/>
      <c r="EO60" s="382"/>
      <c r="EQ60" s="382"/>
      <c r="ER60" s="382"/>
      <c r="ES60" s="382"/>
      <c r="ET60" s="382"/>
      <c r="EV60" s="382"/>
      <c r="EW60" s="382"/>
      <c r="EX60" s="382"/>
      <c r="EY60" s="382"/>
    </row>
    <row r="61" spans="2:156" hidden="1" outlineLevel="1">
      <c r="B61" s="2" t="s">
        <v>107</v>
      </c>
      <c r="L61" s="55"/>
      <c r="M61" s="55"/>
      <c r="N61" s="55"/>
      <c r="O61" s="55"/>
      <c r="Q61" s="55"/>
      <c r="R61" s="55"/>
      <c r="S61" s="55"/>
      <c r="T61" s="55"/>
      <c r="V61" s="55"/>
      <c r="W61" s="55"/>
      <c r="X61" s="55"/>
      <c r="Y61" s="55"/>
      <c r="AA61" s="55"/>
      <c r="AB61" s="55"/>
      <c r="AC61" s="55"/>
      <c r="AD61" s="55"/>
      <c r="AF61" s="55"/>
      <c r="AG61" s="55"/>
      <c r="AH61" s="55"/>
      <c r="AI61" s="55"/>
      <c r="AK61" s="55"/>
      <c r="AL61" s="55"/>
      <c r="AM61" s="55"/>
      <c r="AN61" s="55"/>
      <c r="AP61" s="55"/>
      <c r="AQ61" s="55"/>
      <c r="AR61" s="55"/>
      <c r="AS61" s="55"/>
      <c r="AU61" s="382"/>
      <c r="AV61" s="382"/>
      <c r="AW61" s="382"/>
      <c r="AX61" s="382"/>
      <c r="AZ61" s="55"/>
      <c r="BA61" s="55"/>
      <c r="BB61" s="55"/>
      <c r="BC61" s="55"/>
      <c r="BE61" s="55"/>
      <c r="BF61" s="55"/>
      <c r="BG61" s="55"/>
      <c r="BH61" s="55"/>
      <c r="BJ61" s="382"/>
      <c r="BK61" s="382"/>
      <c r="BL61" s="382"/>
      <c r="BM61" s="382"/>
      <c r="BO61" s="382"/>
      <c r="BP61" s="382"/>
      <c r="BQ61" s="382"/>
      <c r="BR61" s="382"/>
      <c r="BS61" s="72"/>
      <c r="BT61" s="72"/>
      <c r="BU61" s="72"/>
      <c r="BV61" s="660">
        <v>15</v>
      </c>
      <c r="BW61" s="660">
        <v>34</v>
      </c>
      <c r="BX61" s="72">
        <f>SUM(BT61:BW61)</f>
        <v>49</v>
      </c>
      <c r="BY61" s="432">
        <v>17</v>
      </c>
      <c r="BZ61" s="432">
        <v>18</v>
      </c>
      <c r="CA61" s="432">
        <v>13</v>
      </c>
      <c r="CB61" s="673">
        <v>16</v>
      </c>
      <c r="CC61">
        <f>SUM(BY61:CB61)</f>
        <v>64</v>
      </c>
      <c r="CD61" s="432">
        <v>-5</v>
      </c>
      <c r="CE61" s="432">
        <v>3</v>
      </c>
      <c r="CF61" s="432">
        <v>7</v>
      </c>
      <c r="CG61" s="432">
        <v>2</v>
      </c>
      <c r="CH61">
        <f>SUM(CD61:CG61)</f>
        <v>7</v>
      </c>
      <c r="CI61" s="432">
        <v>2</v>
      </c>
      <c r="CJ61" s="794">
        <v>3</v>
      </c>
      <c r="CK61" s="432">
        <v>0</v>
      </c>
      <c r="CL61" s="432">
        <v>-2</v>
      </c>
      <c r="CM61">
        <f t="shared" si="35"/>
        <v>3</v>
      </c>
      <c r="CN61" s="432"/>
      <c r="CO61" s="382"/>
      <c r="CP61" s="382"/>
      <c r="CQ61" s="382"/>
      <c r="CS61" s="382"/>
      <c r="CT61" s="382"/>
      <c r="CU61" s="382"/>
      <c r="CV61" s="382"/>
      <c r="CX61" s="382"/>
      <c r="CY61" s="382"/>
      <c r="CZ61" s="382"/>
      <c r="DA61" s="382"/>
      <c r="DC61" s="382"/>
      <c r="DD61" s="382"/>
      <c r="DE61" s="382"/>
      <c r="DF61" s="382"/>
      <c r="DH61" s="382"/>
      <c r="DI61" s="382"/>
      <c r="DJ61" s="382"/>
      <c r="DK61" s="382"/>
      <c r="DM61" s="382"/>
      <c r="DN61" s="382"/>
      <c r="DO61" s="382"/>
      <c r="DP61" s="382"/>
      <c r="DR61" s="382"/>
      <c r="DS61" s="382"/>
      <c r="DT61" s="382"/>
      <c r="DU61" s="382"/>
      <c r="DW61" s="382"/>
      <c r="DX61" s="382"/>
      <c r="DY61" s="382"/>
      <c r="DZ61" s="382"/>
      <c r="EB61" s="382"/>
      <c r="EC61" s="382"/>
      <c r="ED61" s="382"/>
      <c r="EE61" s="382"/>
      <c r="EG61" s="382"/>
      <c r="EH61" s="382"/>
      <c r="EI61" s="382"/>
      <c r="EJ61" s="382"/>
      <c r="EL61" s="382"/>
      <c r="EM61" s="382"/>
      <c r="EN61" s="382"/>
      <c r="EO61" s="382"/>
      <c r="EQ61" s="382"/>
      <c r="ER61" s="382"/>
      <c r="ES61" s="382"/>
      <c r="ET61" s="382"/>
      <c r="EV61" s="382"/>
      <c r="EW61" s="382"/>
      <c r="EX61" s="382"/>
      <c r="EY61" s="382"/>
    </row>
    <row r="62" spans="2:156" hidden="1" outlineLevel="1">
      <c r="L62" s="55"/>
      <c r="M62" s="55"/>
      <c r="N62" s="55"/>
      <c r="O62" s="55"/>
      <c r="Q62" s="55"/>
      <c r="R62" s="55"/>
      <c r="S62" s="55"/>
      <c r="T62" s="55"/>
      <c r="V62" s="55"/>
      <c r="W62" s="55"/>
      <c r="X62" s="55"/>
      <c r="Y62" s="55"/>
      <c r="AA62" s="55"/>
      <c r="AB62" s="55"/>
      <c r="AC62" s="55"/>
      <c r="AD62" s="55"/>
      <c r="AF62" s="55"/>
      <c r="AG62" s="55"/>
      <c r="AH62" s="55"/>
      <c r="AI62" s="55"/>
      <c r="AK62" s="55"/>
      <c r="AL62" s="55"/>
      <c r="AM62" s="55"/>
      <c r="AN62" s="55"/>
      <c r="AP62" s="55"/>
      <c r="AQ62" s="55"/>
      <c r="AR62" s="55"/>
      <c r="AS62" s="55"/>
      <c r="AU62" s="382"/>
      <c r="AV62" s="382"/>
      <c r="AW62" s="382"/>
      <c r="AX62" s="382"/>
      <c r="AZ62" s="55"/>
      <c r="BA62" s="55"/>
      <c r="BB62" s="55"/>
      <c r="BC62" s="55"/>
      <c r="BE62" s="55"/>
      <c r="BF62" s="55"/>
      <c r="BG62" s="55"/>
      <c r="BH62" s="55"/>
      <c r="BJ62" s="382"/>
      <c r="BK62" s="382"/>
      <c r="BL62" s="382"/>
      <c r="BM62" s="382"/>
      <c r="BO62" s="382"/>
      <c r="BP62" s="382"/>
      <c r="BQ62" s="382"/>
      <c r="BR62" s="382"/>
      <c r="BT62" s="382"/>
      <c r="BU62" s="382"/>
      <c r="BV62" s="382"/>
      <c r="BW62" s="382"/>
      <c r="BY62" s="382"/>
      <c r="BZ62" s="382"/>
      <c r="CA62" s="382"/>
      <c r="CB62" s="382"/>
      <c r="CD62" s="382"/>
      <c r="CE62" s="382"/>
      <c r="CF62" s="382"/>
      <c r="CG62" s="382"/>
      <c r="CI62" s="382"/>
      <c r="CJ62" s="386"/>
      <c r="CK62" s="382"/>
      <c r="CL62" s="382"/>
      <c r="CN62" s="382"/>
      <c r="CO62" s="382"/>
      <c r="CP62" s="382"/>
      <c r="CQ62" s="382"/>
      <c r="CS62" s="382"/>
      <c r="CT62" s="382"/>
      <c r="CU62" s="382"/>
      <c r="CV62" s="382"/>
      <c r="CX62" s="382"/>
      <c r="CY62" s="382"/>
      <c r="CZ62" s="382"/>
      <c r="DA62" s="382"/>
      <c r="DC62" s="382"/>
      <c r="DD62" s="382"/>
      <c r="DE62" s="382"/>
      <c r="DF62" s="382"/>
      <c r="DH62" s="382"/>
      <c r="DI62" s="382"/>
      <c r="DJ62" s="382"/>
      <c r="DK62" s="382"/>
      <c r="DM62" s="382"/>
      <c r="DN62" s="382"/>
      <c r="DO62" s="382"/>
      <c r="DP62" s="382"/>
      <c r="DR62" s="382"/>
      <c r="DS62" s="382"/>
      <c r="DT62" s="382"/>
      <c r="DU62" s="382"/>
      <c r="DW62" s="382"/>
      <c r="DX62" s="382"/>
      <c r="DY62" s="382"/>
      <c r="DZ62" s="382"/>
      <c r="EB62" s="382"/>
      <c r="EC62" s="382"/>
      <c r="ED62" s="382"/>
      <c r="EE62" s="382"/>
      <c r="EG62" s="382"/>
      <c r="EH62" s="382"/>
      <c r="EI62" s="382"/>
      <c r="EJ62" s="382"/>
      <c r="EL62" s="382"/>
      <c r="EM62" s="382"/>
      <c r="EN62" s="382"/>
      <c r="EO62" s="382"/>
      <c r="EQ62" s="382"/>
      <c r="ER62" s="382"/>
      <c r="ES62" s="382"/>
      <c r="ET62" s="382"/>
      <c r="EV62" s="382"/>
      <c r="EW62" s="382"/>
      <c r="EX62" s="382"/>
      <c r="EY62" s="382"/>
    </row>
    <row r="63" spans="2:156" hidden="1" outlineLevel="1">
      <c r="B63" s="29" t="s">
        <v>61</v>
      </c>
      <c r="C63">
        <v>0</v>
      </c>
      <c r="D63">
        <v>0</v>
      </c>
      <c r="E63">
        <v>0</v>
      </c>
      <c r="F63">
        <v>0</v>
      </c>
      <c r="G63">
        <v>0</v>
      </c>
      <c r="H63">
        <v>0</v>
      </c>
      <c r="I63">
        <v>0</v>
      </c>
      <c r="J63">
        <v>0</v>
      </c>
      <c r="K63">
        <v>0</v>
      </c>
      <c r="L63" s="55">
        <v>0</v>
      </c>
      <c r="M63" s="55">
        <v>0</v>
      </c>
      <c r="N63" s="55">
        <v>18</v>
      </c>
      <c r="O63" s="55">
        <v>5</v>
      </c>
      <c r="P63">
        <v>23</v>
      </c>
      <c r="Q63" s="55">
        <v>5</v>
      </c>
      <c r="R63" s="55">
        <v>4</v>
      </c>
      <c r="S63" s="55">
        <v>51</v>
      </c>
      <c r="T63" s="55">
        <v>5</v>
      </c>
      <c r="U63">
        <v>65</v>
      </c>
      <c r="V63" s="55">
        <v>4</v>
      </c>
      <c r="W63" s="55">
        <v>4</v>
      </c>
      <c r="X63" s="55">
        <v>-3</v>
      </c>
      <c r="Y63" s="55">
        <v>0</v>
      </c>
      <c r="Z63">
        <v>5</v>
      </c>
      <c r="AA63" s="55">
        <v>0</v>
      </c>
      <c r="AB63" s="55">
        <v>0</v>
      </c>
      <c r="AC63" s="55">
        <v>0</v>
      </c>
      <c r="AD63" s="55">
        <v>-2</v>
      </c>
      <c r="AE63">
        <v>-2</v>
      </c>
      <c r="AF63" s="55">
        <v>0</v>
      </c>
      <c r="AG63" s="55">
        <v>7</v>
      </c>
      <c r="AH63" s="55">
        <v>0</v>
      </c>
      <c r="AI63" s="55">
        <v>5</v>
      </c>
      <c r="AJ63">
        <v>12</v>
      </c>
      <c r="AK63" s="55">
        <v>0</v>
      </c>
      <c r="AL63" s="55">
        <v>0</v>
      </c>
      <c r="AM63" s="55">
        <v>-92</v>
      </c>
      <c r="AN63" s="55">
        <v>-11</v>
      </c>
      <c r="AO63">
        <v>-103</v>
      </c>
      <c r="AP63" s="55">
        <v>-1</v>
      </c>
      <c r="AQ63" s="55">
        <v>0</v>
      </c>
      <c r="AR63" s="55">
        <v>0</v>
      </c>
      <c r="AS63" s="55">
        <v>38</v>
      </c>
      <c r="AT63">
        <v>37</v>
      </c>
      <c r="AU63" s="382">
        <v>14</v>
      </c>
      <c r="AV63" s="382">
        <v>3</v>
      </c>
      <c r="AW63" s="382">
        <v>6</v>
      </c>
      <c r="AX63" s="382">
        <v>6</v>
      </c>
      <c r="AY63">
        <v>29</v>
      </c>
      <c r="AZ63" s="55">
        <v>0</v>
      </c>
      <c r="BA63" s="55">
        <v>0</v>
      </c>
      <c r="BB63" s="55">
        <v>0</v>
      </c>
      <c r="BC63" s="55">
        <v>0</v>
      </c>
      <c r="BD63">
        <v>0</v>
      </c>
      <c r="BE63" s="55">
        <v>2</v>
      </c>
      <c r="BF63" s="55">
        <v>6</v>
      </c>
      <c r="BG63" s="55">
        <v>-12</v>
      </c>
      <c r="BH63" s="55">
        <v>1</v>
      </c>
      <c r="BI63">
        <v>-3</v>
      </c>
      <c r="BJ63" s="382">
        <v>12</v>
      </c>
      <c r="BK63" s="382">
        <v>22</v>
      </c>
      <c r="BL63" s="382">
        <v>11</v>
      </c>
      <c r="BM63" s="382">
        <v>14</v>
      </c>
      <c r="BN63">
        <v>59</v>
      </c>
      <c r="BO63" s="382">
        <v>10</v>
      </c>
      <c r="BP63" s="382">
        <v>16</v>
      </c>
      <c r="BQ63" s="382">
        <v>28</v>
      </c>
      <c r="BR63" s="382"/>
      <c r="BS63">
        <f>SUM(BO63:BR63)+212</f>
        <v>266</v>
      </c>
      <c r="BT63" s="382">
        <f>BT64+BT65+BT66</f>
        <v>40</v>
      </c>
      <c r="BU63" s="382">
        <f>BU64+BU65+BU66</f>
        <v>43</v>
      </c>
      <c r="BV63" s="382">
        <f>BV64+BV65+BV66</f>
        <v>186</v>
      </c>
      <c r="BW63" s="383">
        <f>BW64+BW65+BW66</f>
        <v>22</v>
      </c>
      <c r="BX63" s="77">
        <f>SUM(BX64:BX66)</f>
        <v>291</v>
      </c>
      <c r="BY63" s="382">
        <f t="shared" ref="BY63:CQ63" si="36">BY64+BY65+BY66</f>
        <v>33</v>
      </c>
      <c r="BZ63" s="383">
        <f t="shared" si="36"/>
        <v>48</v>
      </c>
      <c r="CA63" s="383">
        <f t="shared" si="36"/>
        <v>38</v>
      </c>
      <c r="CB63" s="383">
        <f t="shared" si="36"/>
        <v>67</v>
      </c>
      <c r="CC63" s="77">
        <f t="shared" si="36"/>
        <v>186</v>
      </c>
      <c r="CD63" s="383">
        <f t="shared" si="36"/>
        <v>100</v>
      </c>
      <c r="CE63" s="383">
        <f t="shared" si="36"/>
        <v>32</v>
      </c>
      <c r="CF63" s="383">
        <f t="shared" si="36"/>
        <v>27</v>
      </c>
      <c r="CG63" s="383">
        <f t="shared" si="36"/>
        <v>26</v>
      </c>
      <c r="CH63" s="77">
        <f t="shared" si="36"/>
        <v>185</v>
      </c>
      <c r="CI63" s="382">
        <f t="shared" si="36"/>
        <v>25</v>
      </c>
      <c r="CJ63" s="382">
        <f t="shared" si="36"/>
        <v>35</v>
      </c>
      <c r="CK63" s="382">
        <f t="shared" si="36"/>
        <v>23</v>
      </c>
      <c r="CL63" s="382">
        <f t="shared" si="36"/>
        <v>21</v>
      </c>
      <c r="CM63" s="77">
        <f>CM64+CM65+CM66</f>
        <v>104</v>
      </c>
      <c r="CN63" s="382">
        <f t="shared" si="36"/>
        <v>28</v>
      </c>
      <c r="CO63" s="382">
        <f t="shared" si="36"/>
        <v>0</v>
      </c>
      <c r="CP63" s="382">
        <f t="shared" si="36"/>
        <v>0</v>
      </c>
      <c r="CQ63" s="382">
        <f t="shared" si="36"/>
        <v>0</v>
      </c>
      <c r="CR63" s="77">
        <f>CR64+CR65+CR66</f>
        <v>0</v>
      </c>
      <c r="CS63" s="382"/>
      <c r="CT63" s="382"/>
      <c r="CU63" s="382"/>
      <c r="CV63" s="382"/>
      <c r="CW63" s="77">
        <f>CW64+CW65+CW66</f>
        <v>0</v>
      </c>
      <c r="CX63" s="382"/>
      <c r="CY63" s="382"/>
      <c r="CZ63" s="382"/>
      <c r="DA63" s="382"/>
      <c r="DB63" s="77">
        <f>DB64+DB65+DB66</f>
        <v>0</v>
      </c>
      <c r="DC63" s="382"/>
      <c r="DD63" s="382"/>
      <c r="DE63" s="382"/>
      <c r="DF63" s="382"/>
      <c r="DG63" s="77">
        <f>DG64+DG65+DG66</f>
        <v>0</v>
      </c>
      <c r="DH63" s="382"/>
      <c r="DI63" s="382"/>
      <c r="DJ63" s="382"/>
      <c r="DK63" s="382"/>
      <c r="DL63" s="77">
        <f>DL64+DL65+DL66</f>
        <v>0</v>
      </c>
      <c r="DM63" s="382"/>
      <c r="DN63" s="382"/>
      <c r="DO63" s="382"/>
      <c r="DP63" s="382"/>
      <c r="DQ63" s="77">
        <f>DQ64+DQ65+DQ66</f>
        <v>0</v>
      </c>
      <c r="DR63" s="382"/>
      <c r="DS63" s="382"/>
      <c r="DT63" s="382"/>
      <c r="DU63" s="382"/>
      <c r="DV63" s="77">
        <f>DV64+DV65+DV66</f>
        <v>0</v>
      </c>
      <c r="DW63" s="382"/>
      <c r="DX63" s="382"/>
      <c r="DY63" s="382"/>
      <c r="DZ63" s="382"/>
      <c r="EA63" s="77">
        <f>EA64+EA65+EA66</f>
        <v>0</v>
      </c>
      <c r="EB63" s="382"/>
      <c r="EC63" s="382"/>
      <c r="ED63" s="382"/>
      <c r="EE63" s="382"/>
      <c r="EF63" s="77">
        <f>EF64+EF65+EF66</f>
        <v>0</v>
      </c>
      <c r="EG63" s="382"/>
      <c r="EH63" s="382"/>
      <c r="EI63" s="382"/>
      <c r="EJ63" s="382"/>
      <c r="EK63" s="77">
        <f>EK64+EK65+EK66</f>
        <v>0</v>
      </c>
      <c r="EL63" s="382"/>
      <c r="EM63" s="382"/>
      <c r="EN63" s="382"/>
      <c r="EO63" s="382"/>
      <c r="EP63" s="77">
        <f>EP64+EP65+EP66</f>
        <v>0</v>
      </c>
      <c r="EQ63" s="382"/>
      <c r="ER63" s="382"/>
      <c r="ES63" s="382"/>
      <c r="ET63" s="382"/>
      <c r="EU63" s="77">
        <f>EU64+EU65+EU66</f>
        <v>0</v>
      </c>
      <c r="EV63" s="382"/>
      <c r="EW63" s="382"/>
      <c r="EX63" s="382"/>
      <c r="EY63" s="382"/>
      <c r="EZ63" s="77">
        <f>EZ64+EZ65+EZ66</f>
        <v>0</v>
      </c>
    </row>
    <row r="64" spans="2:156" hidden="1" outlineLevel="1">
      <c r="B64" s="2" t="s">
        <v>75</v>
      </c>
      <c r="L64" s="55"/>
      <c r="M64" s="55"/>
      <c r="N64" s="55"/>
      <c r="O64" s="55"/>
      <c r="Q64" s="55"/>
      <c r="R64" s="55"/>
      <c r="S64" s="55"/>
      <c r="T64" s="55"/>
      <c r="V64" s="55"/>
      <c r="W64" s="55"/>
      <c r="X64" s="55"/>
      <c r="Y64" s="55"/>
      <c r="AA64" s="55"/>
      <c r="AB64" s="55"/>
      <c r="AC64" s="55"/>
      <c r="AD64" s="55"/>
      <c r="AF64" s="55">
        <v>37</v>
      </c>
      <c r="AG64" s="55">
        <v>34</v>
      </c>
      <c r="AH64" s="55">
        <v>25</v>
      </c>
      <c r="AI64" s="55">
        <v>24</v>
      </c>
      <c r="AJ64">
        <f>SUM(AF64:AI64)</f>
        <v>120</v>
      </c>
      <c r="AK64" s="55">
        <v>22</v>
      </c>
      <c r="AL64" s="55">
        <v>20</v>
      </c>
      <c r="AM64" s="55">
        <v>18</v>
      </c>
      <c r="AN64" s="55">
        <v>22</v>
      </c>
      <c r="AO64">
        <f>SUM(AK64:AN64)</f>
        <v>82</v>
      </c>
      <c r="AP64" s="55">
        <v>13</v>
      </c>
      <c r="AQ64" s="55">
        <v>10</v>
      </c>
      <c r="AR64" s="55">
        <v>10</v>
      </c>
      <c r="AS64" s="55">
        <v>11</v>
      </c>
      <c r="AT64">
        <f>SUM(AP64:AS64)</f>
        <v>44</v>
      </c>
      <c r="AU64" s="382">
        <v>10</v>
      </c>
      <c r="AV64" s="382">
        <v>16</v>
      </c>
      <c r="AW64" s="382">
        <v>13</v>
      </c>
      <c r="AX64" s="382">
        <v>15</v>
      </c>
      <c r="AY64">
        <f>SUM(AU64:AX64)</f>
        <v>54</v>
      </c>
      <c r="AZ64" s="55">
        <v>11</v>
      </c>
      <c r="BA64" s="55">
        <v>18</v>
      </c>
      <c r="BB64" s="55">
        <v>15</v>
      </c>
      <c r="BC64" s="55">
        <v>14</v>
      </c>
      <c r="BD64">
        <f>SUM(AZ64:BC64)</f>
        <v>58</v>
      </c>
      <c r="BE64" s="55">
        <v>10</v>
      </c>
      <c r="BF64" s="55">
        <v>13</v>
      </c>
      <c r="BG64" s="55">
        <v>9</v>
      </c>
      <c r="BH64" s="55">
        <v>8</v>
      </c>
      <c r="BI64">
        <f>SUM(BE64:BH64)</f>
        <v>40</v>
      </c>
      <c r="BJ64" s="382">
        <v>7</v>
      </c>
      <c r="BK64" s="382">
        <v>7</v>
      </c>
      <c r="BL64" s="382">
        <v>6</v>
      </c>
      <c r="BM64" s="382">
        <v>6</v>
      </c>
      <c r="BN64">
        <f>SUM(BJ64:BM64)</f>
        <v>26</v>
      </c>
      <c r="BO64" s="382">
        <v>4</v>
      </c>
      <c r="BP64" s="382">
        <v>3</v>
      </c>
      <c r="BQ64" s="382">
        <v>3</v>
      </c>
      <c r="BR64" s="432">
        <v>3</v>
      </c>
      <c r="BS64" s="72">
        <f>SUM(BO64:BR64)</f>
        <v>13</v>
      </c>
      <c r="BT64" s="660">
        <v>2</v>
      </c>
      <c r="BU64" s="660">
        <v>1</v>
      </c>
      <c r="BV64" s="660">
        <v>0</v>
      </c>
      <c r="BW64" s="640">
        <v>0</v>
      </c>
      <c r="BX64" s="72">
        <f>SUM(BT64:BW64)</f>
        <v>3</v>
      </c>
      <c r="BY64" s="430">
        <v>0</v>
      </c>
      <c r="BZ64" s="430">
        <v>0</v>
      </c>
      <c r="CA64" s="430">
        <v>0</v>
      </c>
      <c r="CB64" s="430">
        <v>0</v>
      </c>
      <c r="CC64" s="77">
        <f>SUM(BY64:CB64)</f>
        <v>0</v>
      </c>
      <c r="CD64" s="430">
        <v>0</v>
      </c>
      <c r="CE64" s="430">
        <v>0</v>
      </c>
      <c r="CF64" s="430">
        <v>0</v>
      </c>
      <c r="CG64" s="430">
        <v>0</v>
      </c>
      <c r="CH64" s="77">
        <f>SUM(CD64:CG64)</f>
        <v>0</v>
      </c>
      <c r="CI64" s="430">
        <v>0</v>
      </c>
      <c r="CJ64" s="794">
        <v>0</v>
      </c>
      <c r="CK64" s="430">
        <v>0</v>
      </c>
      <c r="CL64" s="430">
        <v>0</v>
      </c>
      <c r="CM64" s="77">
        <f t="shared" ref="CM64:CM66" si="37">SUM(CI64:CL64)</f>
        <v>0</v>
      </c>
      <c r="CN64" s="430"/>
      <c r="CO64" s="383"/>
      <c r="CP64" s="383"/>
      <c r="CQ64" s="383"/>
      <c r="CR64" s="77">
        <f>CM64*0.9</f>
        <v>0</v>
      </c>
      <c r="CS64" s="383"/>
      <c r="CT64" s="383"/>
      <c r="CU64" s="383"/>
      <c r="CV64" s="383"/>
      <c r="CW64" s="77">
        <f>CR64*0.9</f>
        <v>0</v>
      </c>
      <c r="CX64" s="383"/>
      <c r="CY64" s="383"/>
      <c r="CZ64" s="383"/>
      <c r="DA64" s="383"/>
      <c r="DB64" s="77">
        <f>CW64*0.9</f>
        <v>0</v>
      </c>
      <c r="DC64" s="383"/>
      <c r="DD64" s="383"/>
      <c r="DE64" s="383"/>
      <c r="DF64" s="383"/>
      <c r="DG64" s="77">
        <f>DB64*0.9</f>
        <v>0</v>
      </c>
      <c r="DH64" s="383"/>
      <c r="DI64" s="383"/>
      <c r="DJ64" s="383"/>
      <c r="DK64" s="383"/>
      <c r="DL64" s="77">
        <f>DG64*0.9</f>
        <v>0</v>
      </c>
      <c r="DM64" s="383"/>
      <c r="DN64" s="383"/>
      <c r="DO64" s="383"/>
      <c r="DP64" s="383"/>
      <c r="DQ64" s="77">
        <f>DL64*0.9</f>
        <v>0</v>
      </c>
      <c r="DR64" s="383"/>
      <c r="DS64" s="383"/>
      <c r="DT64" s="383"/>
      <c r="DU64" s="383"/>
      <c r="DV64" s="77">
        <f>DQ64*0.9</f>
        <v>0</v>
      </c>
      <c r="DW64" s="383"/>
      <c r="DX64" s="383"/>
      <c r="DY64" s="383"/>
      <c r="DZ64" s="383"/>
      <c r="EA64" s="77">
        <f>DV64*0.9</f>
        <v>0</v>
      </c>
      <c r="EB64" s="383"/>
      <c r="EC64" s="383"/>
      <c r="ED64" s="383"/>
      <c r="EE64" s="383"/>
      <c r="EF64" s="77">
        <f>EA64*0.9</f>
        <v>0</v>
      </c>
      <c r="EG64" s="383"/>
      <c r="EH64" s="383"/>
      <c r="EI64" s="383"/>
      <c r="EJ64" s="383"/>
      <c r="EK64" s="77">
        <f>EF64*0.9</f>
        <v>0</v>
      </c>
      <c r="EL64" s="383"/>
      <c r="EM64" s="383"/>
      <c r="EN64" s="383"/>
      <c r="EO64" s="383"/>
      <c r="EP64" s="77">
        <f>EK64*0.9</f>
        <v>0</v>
      </c>
      <c r="EQ64" s="383"/>
      <c r="ER64" s="383"/>
      <c r="ES64" s="383"/>
      <c r="ET64" s="383"/>
      <c r="EU64" s="77">
        <f>EP64*0.9</f>
        <v>0</v>
      </c>
      <c r="EV64" s="383"/>
      <c r="EW64" s="383"/>
      <c r="EX64" s="383"/>
      <c r="EY64" s="383"/>
      <c r="EZ64" s="77">
        <f>EU64*0.9</f>
        <v>0</v>
      </c>
    </row>
    <row r="65" spans="2:156" hidden="1" outlineLevel="1">
      <c r="B65" s="2" t="s">
        <v>93</v>
      </c>
      <c r="L65" s="55"/>
      <c r="M65" s="55"/>
      <c r="N65" s="55"/>
      <c r="O65" s="55"/>
      <c r="Q65" s="55"/>
      <c r="R65" s="55"/>
      <c r="S65" s="55"/>
      <c r="T65" s="55"/>
      <c r="V65" s="55"/>
      <c r="W65" s="55"/>
      <c r="X65" s="55"/>
      <c r="Y65" s="55"/>
      <c r="AA65" s="55"/>
      <c r="AB65" s="55"/>
      <c r="AC65" s="55"/>
      <c r="AD65" s="55"/>
      <c r="AF65" s="55"/>
      <c r="AG65" s="55"/>
      <c r="AH65" s="55"/>
      <c r="AI65" s="55"/>
      <c r="AK65" s="55"/>
      <c r="AL65" s="55"/>
      <c r="AM65" s="55"/>
      <c r="AN65" s="55"/>
      <c r="AP65" s="55"/>
      <c r="AQ65" s="55"/>
      <c r="AR65" s="55"/>
      <c r="AS65" s="55"/>
      <c r="AU65" s="382"/>
      <c r="AV65" s="382"/>
      <c r="AW65" s="382"/>
      <c r="AX65" s="382"/>
      <c r="AZ65" s="55"/>
      <c r="BA65" s="55"/>
      <c r="BB65" s="55"/>
      <c r="BC65" s="55"/>
      <c r="BE65" s="55"/>
      <c r="BF65" s="55"/>
      <c r="BG65" s="55"/>
      <c r="BH65" s="55"/>
      <c r="BJ65" s="382"/>
      <c r="BK65" s="382"/>
      <c r="BL65" s="382"/>
      <c r="BM65" s="382"/>
      <c r="BO65" s="382"/>
      <c r="BP65" s="382"/>
      <c r="BQ65" s="382"/>
      <c r="BR65" s="432">
        <v>212</v>
      </c>
      <c r="BS65" s="72"/>
      <c r="BT65" s="660">
        <v>38</v>
      </c>
      <c r="BU65" s="660">
        <v>42</v>
      </c>
      <c r="BV65" s="660">
        <v>38</v>
      </c>
      <c r="BW65" s="660">
        <v>32</v>
      </c>
      <c r="BX65" s="72">
        <f>SUM(BT65:BW65)</f>
        <v>150</v>
      </c>
      <c r="BY65" s="430">
        <v>29</v>
      </c>
      <c r="BZ65" s="430">
        <v>28</v>
      </c>
      <c r="CA65" s="430">
        <v>27</v>
      </c>
      <c r="CB65" s="674">
        <v>46</v>
      </c>
      <c r="CC65" s="77">
        <f>SUM(BY65:CB65)</f>
        <v>130</v>
      </c>
      <c r="CD65" s="432">
        <v>101</v>
      </c>
      <c r="CE65" s="432">
        <v>27</v>
      </c>
      <c r="CF65" s="432">
        <v>26</v>
      </c>
      <c r="CG65" s="432">
        <v>26</v>
      </c>
      <c r="CH65">
        <f>SUM(CD65:CG65)</f>
        <v>180</v>
      </c>
      <c r="CI65" s="432">
        <v>25</v>
      </c>
      <c r="CJ65" s="794">
        <v>32</v>
      </c>
      <c r="CK65" s="432">
        <v>22</v>
      </c>
      <c r="CL65" s="432">
        <v>20</v>
      </c>
      <c r="CM65">
        <f t="shared" si="37"/>
        <v>99</v>
      </c>
      <c r="CN65" s="432">
        <v>25</v>
      </c>
      <c r="CO65" s="382"/>
      <c r="CP65" s="382"/>
      <c r="CQ65" s="382"/>
      <c r="CS65" s="382"/>
      <c r="CT65" s="382"/>
      <c r="CU65" s="382"/>
      <c r="CV65" s="382"/>
      <c r="CX65" s="382"/>
      <c r="CY65" s="382"/>
      <c r="CZ65" s="382"/>
      <c r="DA65" s="382"/>
      <c r="DC65" s="382"/>
      <c r="DD65" s="382"/>
      <c r="DE65" s="382"/>
      <c r="DF65" s="382"/>
      <c r="DH65" s="382"/>
      <c r="DI65" s="382"/>
      <c r="DJ65" s="382"/>
      <c r="DK65" s="382"/>
      <c r="DM65" s="382"/>
      <c r="DN65" s="382"/>
      <c r="DO65" s="382"/>
      <c r="DP65" s="382"/>
      <c r="DR65" s="382"/>
      <c r="DS65" s="382"/>
      <c r="DT65" s="382"/>
      <c r="DU65" s="382"/>
      <c r="DW65" s="382"/>
      <c r="DX65" s="382"/>
      <c r="DY65" s="382"/>
      <c r="DZ65" s="382"/>
      <c r="EB65" s="382"/>
      <c r="EC65" s="382"/>
      <c r="ED65" s="382"/>
      <c r="EE65" s="382"/>
      <c r="EG65" s="382"/>
      <c r="EH65" s="382"/>
      <c r="EI65" s="382"/>
      <c r="EJ65" s="382"/>
      <c r="EL65" s="382"/>
      <c r="EM65" s="382"/>
      <c r="EN65" s="382"/>
      <c r="EO65" s="382"/>
      <c r="EQ65" s="382"/>
      <c r="ER65" s="382"/>
      <c r="ES65" s="382"/>
      <c r="ET65" s="382"/>
      <c r="EV65" s="382"/>
      <c r="EW65" s="382"/>
      <c r="EX65" s="382"/>
      <c r="EY65" s="382"/>
    </row>
    <row r="66" spans="2:156" hidden="1" outlineLevel="1">
      <c r="B66" s="2" t="s">
        <v>107</v>
      </c>
      <c r="L66" s="55"/>
      <c r="M66" s="55"/>
      <c r="N66" s="55"/>
      <c r="O66" s="55"/>
      <c r="Q66" s="55"/>
      <c r="R66" s="55"/>
      <c r="S66" s="55"/>
      <c r="T66" s="55"/>
      <c r="V66" s="55"/>
      <c r="W66" s="55"/>
      <c r="X66" s="55"/>
      <c r="Y66" s="55"/>
      <c r="AA66" s="55"/>
      <c r="AB66" s="55"/>
      <c r="AC66" s="55"/>
      <c r="AD66" s="55"/>
      <c r="AF66" s="55"/>
      <c r="AG66" s="55"/>
      <c r="AH66" s="55"/>
      <c r="AI66" s="55"/>
      <c r="AK66" s="55"/>
      <c r="AL66" s="55"/>
      <c r="AM66" s="55"/>
      <c r="AN66" s="55"/>
      <c r="AP66" s="55"/>
      <c r="AQ66" s="55"/>
      <c r="AR66" s="55"/>
      <c r="AS66" s="55"/>
      <c r="AU66" s="382"/>
      <c r="AV66" s="382"/>
      <c r="AW66" s="382"/>
      <c r="AX66" s="382"/>
      <c r="AZ66" s="55"/>
      <c r="BA66" s="55"/>
      <c r="BB66" s="55"/>
      <c r="BC66" s="55"/>
      <c r="BE66" s="55"/>
      <c r="BF66" s="55"/>
      <c r="BG66" s="55"/>
      <c r="BH66" s="55"/>
      <c r="BJ66" s="382"/>
      <c r="BK66" s="382"/>
      <c r="BL66" s="382"/>
      <c r="BM66" s="382"/>
      <c r="BO66" s="382"/>
      <c r="BP66" s="382"/>
      <c r="BQ66" s="382"/>
      <c r="BR66" s="382"/>
      <c r="BS66" s="72"/>
      <c r="BT66" s="660">
        <v>0</v>
      </c>
      <c r="BU66" s="660">
        <v>0</v>
      </c>
      <c r="BV66" s="660">
        <f>3+145</f>
        <v>148</v>
      </c>
      <c r="BW66" s="660">
        <f>-16+6</f>
        <v>-10</v>
      </c>
      <c r="BX66" s="72">
        <f>SUM(BT66:BW66)</f>
        <v>138</v>
      </c>
      <c r="BY66" s="430">
        <v>4</v>
      </c>
      <c r="BZ66" s="430">
        <v>20</v>
      </c>
      <c r="CA66" s="430">
        <v>11</v>
      </c>
      <c r="CB66" s="674">
        <v>21</v>
      </c>
      <c r="CC66" s="671">
        <f>SUM(BY66:CB66)</f>
        <v>56</v>
      </c>
      <c r="CD66" s="432">
        <v>-1</v>
      </c>
      <c r="CE66" s="432">
        <v>5</v>
      </c>
      <c r="CF66" s="432">
        <v>1</v>
      </c>
      <c r="CG66" s="432">
        <v>0</v>
      </c>
      <c r="CH66">
        <f>SUM(CD66:CG66)</f>
        <v>5</v>
      </c>
      <c r="CI66" s="432">
        <v>0</v>
      </c>
      <c r="CJ66" s="794">
        <v>3</v>
      </c>
      <c r="CK66" s="432">
        <v>1</v>
      </c>
      <c r="CL66" s="432">
        <v>1</v>
      </c>
      <c r="CM66">
        <f t="shared" si="37"/>
        <v>5</v>
      </c>
      <c r="CN66" s="432">
        <v>3</v>
      </c>
      <c r="CO66" s="382"/>
      <c r="CP66" s="382"/>
      <c r="CQ66" s="382"/>
      <c r="CS66" s="382"/>
      <c r="CT66" s="382"/>
      <c r="CU66" s="382"/>
      <c r="CV66" s="382"/>
      <c r="CX66" s="382"/>
      <c r="CY66" s="382"/>
      <c r="CZ66" s="382"/>
      <c r="DA66" s="382"/>
      <c r="DC66" s="382"/>
      <c r="DD66" s="382"/>
      <c r="DE66" s="382"/>
      <c r="DF66" s="382"/>
      <c r="DH66" s="382"/>
      <c r="DI66" s="382"/>
      <c r="DJ66" s="382"/>
      <c r="DK66" s="382"/>
      <c r="DM66" s="382"/>
      <c r="DN66" s="382"/>
      <c r="DO66" s="382"/>
      <c r="DP66" s="382"/>
      <c r="DR66" s="382"/>
      <c r="DS66" s="382"/>
      <c r="DT66" s="382"/>
      <c r="DU66" s="382"/>
      <c r="DW66" s="382"/>
      <c r="DX66" s="382"/>
      <c r="DY66" s="382"/>
      <c r="DZ66" s="382"/>
      <c r="EB66" s="382"/>
      <c r="EC66" s="382"/>
      <c r="ED66" s="382"/>
      <c r="EE66" s="382"/>
      <c r="EG66" s="382"/>
      <c r="EH66" s="382"/>
      <c r="EI66" s="382"/>
      <c r="EJ66" s="382"/>
      <c r="EL66" s="382"/>
      <c r="EM66" s="382"/>
      <c r="EN66" s="382"/>
      <c r="EO66" s="382"/>
      <c r="EQ66" s="382"/>
      <c r="ER66" s="382"/>
      <c r="ES66" s="382"/>
      <c r="ET66" s="382"/>
      <c r="EV66" s="382"/>
      <c r="EW66" s="382"/>
      <c r="EX66" s="382"/>
      <c r="EY66" s="382"/>
    </row>
    <row r="67" spans="2:156" hidden="1" outlineLevel="1">
      <c r="B67" s="2"/>
      <c r="L67" s="55"/>
      <c r="M67" s="55"/>
      <c r="N67" s="55"/>
      <c r="O67" s="55"/>
      <c r="Q67" s="55"/>
      <c r="R67" s="55"/>
      <c r="S67" s="55"/>
      <c r="T67" s="55"/>
      <c r="V67" s="55"/>
      <c r="W67" s="55"/>
      <c r="X67" s="55"/>
      <c r="Y67" s="55"/>
      <c r="AA67" s="55"/>
      <c r="AB67" s="55"/>
      <c r="AC67" s="55"/>
      <c r="AD67" s="55"/>
      <c r="AF67" s="55"/>
      <c r="AG67" s="55"/>
      <c r="AH67" s="55"/>
      <c r="AI67" s="55"/>
      <c r="AK67" s="55"/>
      <c r="AL67" s="55"/>
      <c r="AM67" s="55"/>
      <c r="AN67" s="55"/>
      <c r="AP67" s="55"/>
      <c r="AQ67" s="55"/>
      <c r="AR67" s="55"/>
      <c r="AS67" s="55"/>
      <c r="AU67" s="382"/>
      <c r="AV67" s="382"/>
      <c r="AW67" s="382"/>
      <c r="AX67" s="382"/>
      <c r="AZ67" s="55"/>
      <c r="BA67" s="55"/>
      <c r="BB67" s="55"/>
      <c r="BC67" s="55"/>
      <c r="BE67" s="55"/>
      <c r="BF67" s="55"/>
      <c r="BG67" s="55"/>
      <c r="BH67" s="55"/>
      <c r="BJ67" s="382"/>
      <c r="BK67" s="382"/>
      <c r="BL67" s="382"/>
      <c r="BM67" s="382"/>
      <c r="BO67" s="382"/>
      <c r="BP67" s="382"/>
      <c r="BQ67" s="382"/>
      <c r="BR67" s="382"/>
      <c r="BT67" s="382"/>
      <c r="BU67" s="382"/>
      <c r="BV67" s="382"/>
      <c r="BW67" s="382"/>
      <c r="BY67" s="382"/>
      <c r="BZ67" s="382"/>
      <c r="CA67" s="382"/>
      <c r="CB67" s="382"/>
      <c r="CD67" s="382"/>
      <c r="CE67" s="382"/>
      <c r="CF67" s="382"/>
      <c r="CG67" s="382"/>
      <c r="CI67" s="382"/>
      <c r="CJ67" s="386"/>
      <c r="CK67" s="382"/>
      <c r="CL67" s="382"/>
      <c r="CN67" s="382"/>
      <c r="CO67" s="382"/>
      <c r="CP67" s="382"/>
      <c r="CQ67" s="382"/>
      <c r="CS67" s="382"/>
      <c r="CT67" s="382"/>
      <c r="CU67" s="382"/>
      <c r="CV67" s="382"/>
      <c r="CX67" s="382"/>
      <c r="CY67" s="382"/>
      <c r="CZ67" s="382"/>
      <c r="DA67" s="382"/>
      <c r="DC67" s="382"/>
      <c r="DD67" s="382"/>
      <c r="DE67" s="382"/>
      <c r="DF67" s="382"/>
      <c r="DH67" s="382"/>
      <c r="DI67" s="382"/>
      <c r="DJ67" s="382"/>
      <c r="DK67" s="382"/>
      <c r="DM67" s="382"/>
      <c r="DN67" s="382"/>
      <c r="DO67" s="382"/>
      <c r="DP67" s="382"/>
      <c r="DR67" s="382"/>
      <c r="DS67" s="382"/>
      <c r="DT67" s="382"/>
      <c r="DU67" s="382"/>
      <c r="DW67" s="382"/>
      <c r="DX67" s="382"/>
      <c r="DY67" s="382"/>
      <c r="DZ67" s="382"/>
      <c r="EB67" s="382"/>
      <c r="EC67" s="382"/>
      <c r="ED67" s="382"/>
      <c r="EE67" s="382"/>
      <c r="EG67" s="382"/>
      <c r="EH67" s="382"/>
      <c r="EI67" s="382"/>
      <c r="EJ67" s="382"/>
      <c r="EL67" s="382"/>
      <c r="EM67" s="382"/>
      <c r="EN67" s="382"/>
      <c r="EO67" s="382"/>
      <c r="EQ67" s="382"/>
      <c r="ER67" s="382"/>
      <c r="ES67" s="382"/>
      <c r="ET67" s="382"/>
      <c r="EV67" s="382"/>
      <c r="EW67" s="382"/>
      <c r="EX67" s="382"/>
      <c r="EY67" s="382"/>
    </row>
    <row r="68" spans="2:156" hidden="1" outlineLevel="2">
      <c r="B68" s="2" t="s">
        <v>176</v>
      </c>
      <c r="C68">
        <v>9</v>
      </c>
      <c r="D68">
        <v>0</v>
      </c>
      <c r="E68">
        <v>0</v>
      </c>
      <c r="F68">
        <v>0</v>
      </c>
      <c r="G68">
        <v>0</v>
      </c>
      <c r="H68">
        <v>0</v>
      </c>
      <c r="I68">
        <v>0</v>
      </c>
      <c r="J68">
        <v>0</v>
      </c>
      <c r="K68">
        <v>0</v>
      </c>
      <c r="L68" s="55">
        <v>0</v>
      </c>
      <c r="M68" s="55">
        <v>0</v>
      </c>
      <c r="N68" s="55">
        <v>0</v>
      </c>
      <c r="O68" s="55">
        <v>0</v>
      </c>
      <c r="P68">
        <v>0</v>
      </c>
      <c r="Q68" s="55">
        <v>0</v>
      </c>
      <c r="R68" s="55">
        <v>0</v>
      </c>
      <c r="S68" s="55">
        <v>0</v>
      </c>
      <c r="T68" s="55">
        <v>0</v>
      </c>
      <c r="U68">
        <v>0</v>
      </c>
      <c r="V68" s="55">
        <v>0</v>
      </c>
      <c r="W68" s="55">
        <v>0</v>
      </c>
      <c r="X68" s="55">
        <v>0</v>
      </c>
      <c r="Y68" s="55">
        <v>0</v>
      </c>
      <c r="Z68">
        <v>0</v>
      </c>
      <c r="AA68" s="55">
        <v>0</v>
      </c>
      <c r="AB68" s="55">
        <v>0</v>
      </c>
      <c r="AC68" s="55">
        <v>0</v>
      </c>
      <c r="AD68" s="55">
        <v>0</v>
      </c>
      <c r="AE68">
        <v>0</v>
      </c>
      <c r="AF68" s="55">
        <v>0</v>
      </c>
      <c r="AG68" s="55">
        <v>0</v>
      </c>
      <c r="AH68" s="55">
        <v>0</v>
      </c>
      <c r="AI68" s="55">
        <v>0</v>
      </c>
      <c r="AJ68">
        <v>0</v>
      </c>
      <c r="AK68" s="55">
        <v>0</v>
      </c>
      <c r="AL68" s="55">
        <v>0</v>
      </c>
      <c r="AM68" s="55">
        <v>0</v>
      </c>
      <c r="AN68" s="55">
        <v>0</v>
      </c>
      <c r="AO68">
        <v>0</v>
      </c>
      <c r="AP68" s="55">
        <v>0</v>
      </c>
      <c r="AQ68" s="55">
        <v>0</v>
      </c>
      <c r="AR68" s="55">
        <v>0</v>
      </c>
      <c r="AS68" s="55">
        <v>0</v>
      </c>
      <c r="AT68">
        <v>0</v>
      </c>
      <c r="AU68" s="382">
        <v>0</v>
      </c>
      <c r="AV68" s="382">
        <v>0</v>
      </c>
      <c r="AW68" s="382">
        <v>0</v>
      </c>
      <c r="AX68" s="382">
        <v>0</v>
      </c>
      <c r="AY68">
        <v>0</v>
      </c>
      <c r="AZ68" s="55">
        <v>0</v>
      </c>
      <c r="BA68" s="55">
        <v>0</v>
      </c>
      <c r="BB68" s="55">
        <v>0</v>
      </c>
      <c r="BC68" s="55">
        <v>0</v>
      </c>
      <c r="BD68">
        <v>0</v>
      </c>
      <c r="BE68" s="55">
        <v>0</v>
      </c>
      <c r="BF68" s="55">
        <v>0</v>
      </c>
      <c r="BG68" s="55">
        <v>0</v>
      </c>
      <c r="BH68" s="55">
        <v>0</v>
      </c>
      <c r="BI68">
        <v>0</v>
      </c>
      <c r="BJ68" s="382">
        <v>0</v>
      </c>
      <c r="BK68" s="382">
        <v>0</v>
      </c>
      <c r="BL68" s="382">
        <v>0</v>
      </c>
      <c r="BM68" s="382">
        <v>0</v>
      </c>
      <c r="BN68">
        <v>0</v>
      </c>
      <c r="BO68" s="382">
        <v>0</v>
      </c>
      <c r="BP68" s="382">
        <v>0</v>
      </c>
      <c r="BQ68" s="382">
        <v>0</v>
      </c>
      <c r="BR68" s="382"/>
      <c r="BS68">
        <f t="shared" ref="BS68:BS78" si="38">SUM(BO68:BR68)</f>
        <v>0</v>
      </c>
      <c r="BT68" s="382"/>
      <c r="BU68" s="382"/>
      <c r="BV68" s="382"/>
      <c r="BW68" s="382"/>
      <c r="BX68">
        <f>SUM(BT68:BW68)</f>
        <v>0</v>
      </c>
      <c r="BY68" s="382"/>
      <c r="BZ68" s="382"/>
      <c r="CA68" s="382"/>
      <c r="CB68" s="382"/>
      <c r="CC68">
        <f>SUM(BY68:CB68)</f>
        <v>0</v>
      </c>
      <c r="CD68" s="382"/>
      <c r="CE68" s="382"/>
      <c r="CF68" s="382"/>
      <c r="CG68" s="382"/>
      <c r="CH68">
        <f>SUM(CD68:CG68)</f>
        <v>0</v>
      </c>
      <c r="CI68" s="382"/>
      <c r="CJ68" s="386"/>
      <c r="CK68" s="382"/>
      <c r="CL68" s="382"/>
      <c r="CM68">
        <f>SUM(CI68:CL68)</f>
        <v>0</v>
      </c>
      <c r="CN68" s="382"/>
      <c r="CO68" s="382"/>
      <c r="CP68" s="382"/>
      <c r="CQ68" s="382"/>
      <c r="CR68">
        <f>SUM(CN68:CQ68)</f>
        <v>0</v>
      </c>
      <c r="CS68" s="382"/>
      <c r="CT68" s="382"/>
      <c r="CU68" s="382"/>
      <c r="CV68" s="382"/>
      <c r="CW68">
        <f>SUM(CS68:CV68)</f>
        <v>0</v>
      </c>
      <c r="CX68" s="382"/>
      <c r="CY68" s="382"/>
      <c r="CZ68" s="382"/>
      <c r="DA68" s="382"/>
      <c r="DB68">
        <f>SUM(CX68:DA68)</f>
        <v>0</v>
      </c>
      <c r="DC68" s="382"/>
      <c r="DD68" s="382"/>
      <c r="DE68" s="382"/>
      <c r="DF68" s="382"/>
      <c r="DG68">
        <f>SUM(DC68:DF68)</f>
        <v>0</v>
      </c>
      <c r="DH68" s="382"/>
      <c r="DI68" s="382"/>
      <c r="DJ68" s="382"/>
      <c r="DK68" s="382"/>
      <c r="DL68">
        <f>SUM(DH68:DK68)</f>
        <v>0</v>
      </c>
      <c r="DM68" s="382"/>
      <c r="DN68" s="382"/>
      <c r="DO68" s="382"/>
      <c r="DP68" s="382"/>
      <c r="DQ68">
        <f>SUM(DM68:DP68)</f>
        <v>0</v>
      </c>
      <c r="DR68" s="382"/>
      <c r="DS68" s="382"/>
      <c r="DT68" s="382"/>
      <c r="DU68" s="382"/>
      <c r="DV68">
        <f>SUM(DR68:DU68)</f>
        <v>0</v>
      </c>
      <c r="DW68" s="382"/>
      <c r="DX68" s="382"/>
      <c r="DY68" s="382"/>
      <c r="DZ68" s="382"/>
      <c r="EA68">
        <f>SUM(DW68:DZ68)</f>
        <v>0</v>
      </c>
      <c r="EB68" s="382"/>
      <c r="EC68" s="382"/>
      <c r="ED68" s="382"/>
      <c r="EE68" s="382"/>
      <c r="EF68">
        <f>SUM(EB68:EE68)</f>
        <v>0</v>
      </c>
      <c r="EG68" s="382"/>
      <c r="EH68" s="382"/>
      <c r="EI68" s="382"/>
      <c r="EJ68" s="382"/>
      <c r="EK68">
        <f>SUM(EG68:EJ68)</f>
        <v>0</v>
      </c>
      <c r="EL68" s="382"/>
      <c r="EM68" s="382"/>
      <c r="EN68" s="382"/>
      <c r="EO68" s="382"/>
      <c r="EP68">
        <f>SUM(EL68:EO68)</f>
        <v>0</v>
      </c>
      <c r="EQ68" s="382"/>
      <c r="ER68" s="382"/>
      <c r="ES68" s="382"/>
      <c r="ET68" s="382"/>
      <c r="EU68">
        <f>SUM(EQ68:ET68)</f>
        <v>0</v>
      </c>
      <c r="EV68" s="382"/>
      <c r="EW68" s="382"/>
      <c r="EX68" s="382"/>
      <c r="EY68" s="382"/>
      <c r="EZ68">
        <f>SUM(EV68:EY68)</f>
        <v>0</v>
      </c>
    </row>
    <row r="69" spans="2:156" hidden="1" outlineLevel="2">
      <c r="B69" s="2" t="s">
        <v>171</v>
      </c>
      <c r="C69">
        <v>0</v>
      </c>
      <c r="D69">
        <v>0</v>
      </c>
      <c r="E69">
        <v>0</v>
      </c>
      <c r="F69">
        <v>0</v>
      </c>
      <c r="G69">
        <v>0</v>
      </c>
      <c r="H69">
        <v>0</v>
      </c>
      <c r="I69">
        <v>0</v>
      </c>
      <c r="J69">
        <v>0</v>
      </c>
      <c r="K69">
        <v>0</v>
      </c>
      <c r="L69" s="55">
        <v>0</v>
      </c>
      <c r="M69" s="55">
        <v>0</v>
      </c>
      <c r="N69" s="55">
        <v>-71</v>
      </c>
      <c r="O69" s="55">
        <v>-85</v>
      </c>
      <c r="P69">
        <v>-155</v>
      </c>
      <c r="Q69" s="55">
        <v>-84</v>
      </c>
      <c r="R69" s="55">
        <v>-84</v>
      </c>
      <c r="S69" s="55">
        <v>-84</v>
      </c>
      <c r="T69" s="55">
        <v>-84</v>
      </c>
      <c r="U69">
        <v>-336</v>
      </c>
      <c r="V69" s="55">
        <v>-84</v>
      </c>
      <c r="W69" s="55">
        <v>-84</v>
      </c>
      <c r="X69" s="55">
        <v>-84</v>
      </c>
      <c r="Y69" s="55">
        <v>-93</v>
      </c>
      <c r="Z69">
        <v>-345</v>
      </c>
      <c r="AA69" s="55">
        <v>-87</v>
      </c>
      <c r="AB69" s="55">
        <v>-87</v>
      </c>
      <c r="AC69" s="55">
        <v>-86</v>
      </c>
      <c r="AD69" s="55">
        <v>-87</v>
      </c>
      <c r="AE69">
        <v>-347</v>
      </c>
      <c r="AF69" s="55">
        <v>-87</v>
      </c>
      <c r="AG69" s="55">
        <v>-87</v>
      </c>
      <c r="AH69" s="55">
        <v>-122</v>
      </c>
      <c r="AI69" s="55">
        <v>-74</v>
      </c>
      <c r="AJ69">
        <v>-370</v>
      </c>
      <c r="AK69" s="55">
        <v>-74</v>
      </c>
      <c r="AL69" s="55">
        <v>-74</v>
      </c>
      <c r="AM69" s="55">
        <v>-76</v>
      </c>
      <c r="AN69" s="55">
        <v>-74</v>
      </c>
      <c r="AO69">
        <v>-298</v>
      </c>
      <c r="AP69" s="55">
        <v>-74</v>
      </c>
      <c r="AQ69" s="55">
        <v>-73</v>
      </c>
      <c r="AR69" s="55">
        <v>-74</v>
      </c>
      <c r="AS69" s="55">
        <v>-73</v>
      </c>
      <c r="AT69">
        <v>-294</v>
      </c>
      <c r="AU69" s="382">
        <v>-74</v>
      </c>
      <c r="AV69" s="382">
        <v>-73</v>
      </c>
      <c r="AW69" s="382">
        <v>-74</v>
      </c>
      <c r="AX69" s="382">
        <v>-73</v>
      </c>
      <c r="AY69">
        <v>-294</v>
      </c>
      <c r="AZ69" s="55">
        <v>-74</v>
      </c>
      <c r="BA69" s="55">
        <v>-73</v>
      </c>
      <c r="BB69" s="55">
        <v>-74</v>
      </c>
      <c r="BC69" s="55">
        <v>-73</v>
      </c>
      <c r="BD69">
        <v>-294</v>
      </c>
      <c r="BE69" s="55">
        <v>-74</v>
      </c>
      <c r="BF69" s="55">
        <v>-73</v>
      </c>
      <c r="BG69" s="55">
        <v>-74</v>
      </c>
      <c r="BH69" s="55">
        <v>-73</v>
      </c>
      <c r="BI69">
        <v>-294</v>
      </c>
      <c r="BJ69" s="382">
        <v>-74</v>
      </c>
      <c r="BK69" s="382">
        <v>-73</v>
      </c>
      <c r="BL69" s="382">
        <v>-74</v>
      </c>
      <c r="BM69" s="382">
        <v>-73</v>
      </c>
      <c r="BN69">
        <v>-294</v>
      </c>
      <c r="BO69" s="382">
        <v>0</v>
      </c>
      <c r="BP69" s="382">
        <v>0</v>
      </c>
      <c r="BQ69" s="382">
        <v>0</v>
      </c>
      <c r="BR69" s="382"/>
      <c r="BS69">
        <f t="shared" si="38"/>
        <v>0</v>
      </c>
      <c r="BT69" s="382"/>
      <c r="BU69" s="382"/>
      <c r="BV69" s="382"/>
      <c r="BW69" s="382"/>
      <c r="BX69">
        <f t="shared" ref="BX69:BX74" si="39">SUM(BT69:BW69)</f>
        <v>0</v>
      </c>
      <c r="BY69" s="382"/>
      <c r="BZ69" s="382"/>
      <c r="CA69" s="382"/>
      <c r="CB69" s="382"/>
      <c r="CC69">
        <f>SUM(BY69:CB69)</f>
        <v>0</v>
      </c>
      <c r="CD69" s="382"/>
      <c r="CE69" s="382"/>
      <c r="CF69" s="382"/>
      <c r="CG69" s="382"/>
      <c r="CH69">
        <f>SUM(CD69:CG69)</f>
        <v>0</v>
      </c>
      <c r="CI69" s="382"/>
      <c r="CJ69" s="386"/>
      <c r="CK69" s="382"/>
      <c r="CL69" s="382"/>
      <c r="CM69">
        <f>SUM(CI69:CL69)</f>
        <v>0</v>
      </c>
      <c r="CN69" s="382"/>
      <c r="CO69" s="382"/>
      <c r="CP69" s="382"/>
      <c r="CQ69" s="382"/>
      <c r="CR69">
        <f>SUM(CN69:CQ69)</f>
        <v>0</v>
      </c>
      <c r="CS69" s="382"/>
      <c r="CT69" s="382"/>
      <c r="CU69" s="382"/>
      <c r="CV69" s="382"/>
      <c r="CW69">
        <f>SUM(CS69:CV69)</f>
        <v>0</v>
      </c>
      <c r="CX69" s="382"/>
      <c r="CY69" s="382"/>
      <c r="CZ69" s="382"/>
      <c r="DA69" s="382"/>
      <c r="DB69">
        <f>SUM(CX69:DA69)</f>
        <v>0</v>
      </c>
      <c r="DC69" s="382"/>
      <c r="DD69" s="382"/>
      <c r="DE69" s="382"/>
      <c r="DF69" s="382"/>
      <c r="DG69">
        <f>SUM(DC69:DF69)</f>
        <v>0</v>
      </c>
      <c r="DH69" s="382"/>
      <c r="DI69" s="382"/>
      <c r="DJ69" s="382"/>
      <c r="DK69" s="382"/>
      <c r="DL69">
        <f>SUM(DH69:DK69)</f>
        <v>0</v>
      </c>
      <c r="DM69" s="382"/>
      <c r="DN69" s="382"/>
      <c r="DO69" s="382"/>
      <c r="DP69" s="382"/>
      <c r="DQ69">
        <f>SUM(DM69:DP69)</f>
        <v>0</v>
      </c>
      <c r="DR69" s="382"/>
      <c r="DS69" s="382"/>
      <c r="DT69" s="382"/>
      <c r="DU69" s="382"/>
      <c r="DV69">
        <f>SUM(DR69:DU69)</f>
        <v>0</v>
      </c>
      <c r="DW69" s="382"/>
      <c r="DX69" s="382"/>
      <c r="DY69" s="382"/>
      <c r="DZ69" s="382"/>
      <c r="EA69">
        <f>SUM(DW69:DZ69)</f>
        <v>0</v>
      </c>
      <c r="EB69" s="382"/>
      <c r="EC69" s="382"/>
      <c r="ED69" s="382"/>
      <c r="EE69" s="382"/>
      <c r="EF69">
        <f>SUM(EB69:EE69)</f>
        <v>0</v>
      </c>
      <c r="EG69" s="382"/>
      <c r="EH69" s="382"/>
      <c r="EI69" s="382"/>
      <c r="EJ69" s="382"/>
      <c r="EK69">
        <f>SUM(EG69:EJ69)</f>
        <v>0</v>
      </c>
      <c r="EL69" s="382"/>
      <c r="EM69" s="382"/>
      <c r="EN69" s="382"/>
      <c r="EO69" s="382"/>
      <c r="EP69">
        <f>SUM(EL69:EO69)</f>
        <v>0</v>
      </c>
      <c r="EQ69" s="382"/>
      <c r="ER69" s="382"/>
      <c r="ES69" s="382"/>
      <c r="ET69" s="382"/>
      <c r="EU69">
        <f>SUM(EQ69:ET69)</f>
        <v>0</v>
      </c>
      <c r="EV69" s="382"/>
      <c r="EW69" s="382"/>
      <c r="EX69" s="382"/>
      <c r="EY69" s="382"/>
      <c r="EZ69">
        <f>SUM(EV69:EY69)</f>
        <v>0</v>
      </c>
    </row>
    <row r="70" spans="2:156" hidden="1" outlineLevel="2">
      <c r="B70" s="2" t="s">
        <v>172</v>
      </c>
      <c r="C70">
        <v>0</v>
      </c>
      <c r="D70">
        <v>0</v>
      </c>
      <c r="E70">
        <v>0</v>
      </c>
      <c r="F70">
        <v>0</v>
      </c>
      <c r="G70">
        <v>0</v>
      </c>
      <c r="H70">
        <v>0</v>
      </c>
      <c r="I70">
        <v>0</v>
      </c>
      <c r="J70">
        <v>0</v>
      </c>
      <c r="K70">
        <v>0</v>
      </c>
      <c r="L70" s="55">
        <v>0</v>
      </c>
      <c r="M70" s="55">
        <v>0</v>
      </c>
      <c r="N70" s="48">
        <v>-2992</v>
      </c>
      <c r="O70" s="55">
        <v>0</v>
      </c>
      <c r="P70" s="1">
        <v>-2992</v>
      </c>
      <c r="Q70" s="55">
        <v>0</v>
      </c>
      <c r="R70" s="55">
        <v>0</v>
      </c>
      <c r="S70" s="55">
        <v>0</v>
      </c>
      <c r="T70" s="55">
        <v>0</v>
      </c>
      <c r="U70">
        <v>0</v>
      </c>
      <c r="V70" s="55">
        <v>0</v>
      </c>
      <c r="W70" s="55">
        <v>0</v>
      </c>
      <c r="X70" s="55">
        <v>-554</v>
      </c>
      <c r="Y70" s="55">
        <v>0</v>
      </c>
      <c r="Z70">
        <v>-554</v>
      </c>
      <c r="AA70" s="55">
        <v>0</v>
      </c>
      <c r="AB70" s="55">
        <v>0</v>
      </c>
      <c r="AC70" s="55">
        <v>0</v>
      </c>
      <c r="AD70" s="55">
        <v>0</v>
      </c>
      <c r="AE70">
        <v>0</v>
      </c>
      <c r="AF70" s="55">
        <v>0</v>
      </c>
      <c r="AG70" s="48">
        <v>-1101</v>
      </c>
      <c r="AH70" s="55">
        <v>0</v>
      </c>
      <c r="AI70" s="55">
        <v>-130</v>
      </c>
      <c r="AJ70" s="1">
        <v>-1231</v>
      </c>
      <c r="AK70" s="55">
        <v>0</v>
      </c>
      <c r="AL70" s="55">
        <v>0</v>
      </c>
      <c r="AM70" s="55">
        <v>-590</v>
      </c>
      <c r="AN70" s="55">
        <v>0</v>
      </c>
      <c r="AO70">
        <v>-590</v>
      </c>
      <c r="AP70" s="55">
        <v>0</v>
      </c>
      <c r="AQ70" s="55">
        <v>0</v>
      </c>
      <c r="AR70" s="55">
        <v>-84</v>
      </c>
      <c r="AS70" s="55">
        <v>-53</v>
      </c>
      <c r="AT70">
        <v>-137</v>
      </c>
      <c r="AU70" s="382">
        <v>0</v>
      </c>
      <c r="AV70" s="382">
        <v>0</v>
      </c>
      <c r="AW70" s="382">
        <v>0</v>
      </c>
      <c r="AX70" s="382">
        <v>0</v>
      </c>
      <c r="AY70">
        <v>0</v>
      </c>
      <c r="AZ70" s="55">
        <v>0</v>
      </c>
      <c r="BA70" s="55">
        <v>0</v>
      </c>
      <c r="BB70" s="55">
        <v>0</v>
      </c>
      <c r="BC70" s="55">
        <v>0</v>
      </c>
      <c r="BD70">
        <v>0</v>
      </c>
      <c r="BE70" s="55">
        <v>0</v>
      </c>
      <c r="BF70" s="55">
        <v>0</v>
      </c>
      <c r="BG70" s="55">
        <v>0</v>
      </c>
      <c r="BH70" s="55">
        <v>0</v>
      </c>
      <c r="BI70">
        <v>0</v>
      </c>
      <c r="BJ70" s="382">
        <v>0</v>
      </c>
      <c r="BK70" s="382">
        <v>0</v>
      </c>
      <c r="BL70" s="382">
        <v>-19</v>
      </c>
      <c r="BM70" s="382">
        <v>0</v>
      </c>
      <c r="BN70">
        <v>-19</v>
      </c>
      <c r="BO70" s="382">
        <v>0</v>
      </c>
      <c r="BP70" s="382">
        <v>0</v>
      </c>
      <c r="BQ70" s="382">
        <v>0</v>
      </c>
      <c r="BR70" s="382"/>
      <c r="BS70">
        <f t="shared" si="38"/>
        <v>0</v>
      </c>
      <c r="BT70" s="382"/>
      <c r="BU70" s="382"/>
      <c r="BV70" s="382"/>
      <c r="BW70" s="382"/>
      <c r="BX70">
        <f t="shared" si="39"/>
        <v>0</v>
      </c>
      <c r="BY70" s="382"/>
      <c r="BZ70" s="382"/>
      <c r="CA70" s="382"/>
      <c r="CB70" s="672"/>
      <c r="CC70">
        <f>SUM(BY70:CB70)</f>
        <v>0</v>
      </c>
      <c r="CD70" s="382"/>
      <c r="CE70" s="382"/>
      <c r="CF70" s="382"/>
      <c r="CG70" s="382"/>
      <c r="CH70">
        <f>SUM(CD70:CG70)</f>
        <v>0</v>
      </c>
      <c r="CI70" s="382"/>
      <c r="CJ70" s="386"/>
      <c r="CK70" s="382"/>
      <c r="CL70" s="382"/>
      <c r="CM70">
        <f>SUM(CI70:CL70)</f>
        <v>0</v>
      </c>
      <c r="CN70" s="382"/>
      <c r="CO70" s="382"/>
      <c r="CP70" s="382"/>
      <c r="CQ70" s="382"/>
      <c r="CR70">
        <f>SUM(CN70:CQ70)</f>
        <v>0</v>
      </c>
      <c r="CS70" s="382"/>
      <c r="CT70" s="382"/>
      <c r="CU70" s="382"/>
      <c r="CV70" s="382"/>
      <c r="CW70">
        <f>SUM(CS70:CV70)</f>
        <v>0</v>
      </c>
      <c r="CX70" s="382"/>
      <c r="CY70" s="382"/>
      <c r="CZ70" s="382"/>
      <c r="DA70" s="382"/>
      <c r="DB70">
        <f>SUM(CX70:DA70)</f>
        <v>0</v>
      </c>
      <c r="DC70" s="382"/>
      <c r="DD70" s="382"/>
      <c r="DE70" s="382"/>
      <c r="DF70" s="382"/>
      <c r="DG70">
        <f>SUM(DC70:DF70)</f>
        <v>0</v>
      </c>
      <c r="DH70" s="382"/>
      <c r="DI70" s="382"/>
      <c r="DJ70" s="382"/>
      <c r="DK70" s="382"/>
      <c r="DL70">
        <f>SUM(DH70:DK70)</f>
        <v>0</v>
      </c>
      <c r="DM70" s="382"/>
      <c r="DN70" s="382"/>
      <c r="DO70" s="382"/>
      <c r="DP70" s="382"/>
      <c r="DQ70">
        <f>SUM(DM70:DP70)</f>
        <v>0</v>
      </c>
      <c r="DR70" s="382"/>
      <c r="DS70" s="382"/>
      <c r="DT70" s="382"/>
      <c r="DU70" s="382"/>
      <c r="DV70">
        <f>SUM(DR70:DU70)</f>
        <v>0</v>
      </c>
      <c r="DW70" s="382"/>
      <c r="DX70" s="382"/>
      <c r="DY70" s="382"/>
      <c r="DZ70" s="382"/>
      <c r="EA70">
        <f>SUM(DW70:DZ70)</f>
        <v>0</v>
      </c>
      <c r="EB70" s="382"/>
      <c r="EC70" s="382"/>
      <c r="ED70" s="382"/>
      <c r="EE70" s="382"/>
      <c r="EF70">
        <f>SUM(EB70:EE70)</f>
        <v>0</v>
      </c>
      <c r="EG70" s="382"/>
      <c r="EH70" s="382"/>
      <c r="EI70" s="382"/>
      <c r="EJ70" s="382"/>
      <c r="EK70">
        <f>SUM(EG70:EJ70)</f>
        <v>0</v>
      </c>
      <c r="EL70" s="382"/>
      <c r="EM70" s="382"/>
      <c r="EN70" s="382"/>
      <c r="EO70" s="382"/>
      <c r="EP70">
        <f>SUM(EL70:EO70)</f>
        <v>0</v>
      </c>
      <c r="EQ70" s="382"/>
      <c r="ER70" s="382"/>
      <c r="ES70" s="382"/>
      <c r="ET70" s="382"/>
      <c r="EU70">
        <f>SUM(EQ70:ET70)</f>
        <v>0</v>
      </c>
      <c r="EV70" s="382"/>
      <c r="EW70" s="382"/>
      <c r="EX70" s="382"/>
      <c r="EY70" s="382"/>
      <c r="EZ70">
        <f>SUM(EV70:EY70)</f>
        <v>0</v>
      </c>
    </row>
    <row r="71" spans="2:156" hidden="1" outlineLevel="2">
      <c r="B71" s="2" t="s">
        <v>36</v>
      </c>
      <c r="C71">
        <v>0</v>
      </c>
      <c r="D71">
        <v>0</v>
      </c>
      <c r="E71">
        <v>0</v>
      </c>
      <c r="F71">
        <v>0</v>
      </c>
      <c r="G71">
        <v>0</v>
      </c>
      <c r="H71">
        <v>0</v>
      </c>
      <c r="I71">
        <v>0</v>
      </c>
      <c r="J71">
        <v>0</v>
      </c>
      <c r="K71">
        <v>0</v>
      </c>
      <c r="L71" s="55">
        <v>0</v>
      </c>
      <c r="M71" s="55">
        <v>0</v>
      </c>
      <c r="N71" s="55">
        <v>0</v>
      </c>
      <c r="O71" s="55">
        <v>151</v>
      </c>
      <c r="P71">
        <v>151</v>
      </c>
      <c r="Q71" s="55">
        <v>0</v>
      </c>
      <c r="R71" s="55">
        <v>0</v>
      </c>
      <c r="S71" s="55">
        <v>0</v>
      </c>
      <c r="T71" s="55">
        <v>0</v>
      </c>
      <c r="U71">
        <v>0</v>
      </c>
      <c r="V71" s="55">
        <v>0</v>
      </c>
      <c r="W71" s="55">
        <v>0</v>
      </c>
      <c r="X71" s="55">
        <v>0</v>
      </c>
      <c r="Y71" s="55">
        <v>0</v>
      </c>
      <c r="Z71">
        <v>0</v>
      </c>
      <c r="AA71" s="55">
        <v>0</v>
      </c>
      <c r="AB71" s="55">
        <v>-49</v>
      </c>
      <c r="AC71" s="55">
        <v>0</v>
      </c>
      <c r="AD71" s="55">
        <v>0</v>
      </c>
      <c r="AE71">
        <v>-49</v>
      </c>
      <c r="AF71" s="55">
        <v>0</v>
      </c>
      <c r="AG71" s="55">
        <v>0</v>
      </c>
      <c r="AH71" s="55">
        <v>0</v>
      </c>
      <c r="AI71" s="55">
        <v>0</v>
      </c>
      <c r="AJ71">
        <v>0</v>
      </c>
      <c r="AK71" s="55">
        <v>0</v>
      </c>
      <c r="AL71" s="55">
        <v>0</v>
      </c>
      <c r="AM71" s="55">
        <v>0</v>
      </c>
      <c r="AN71" s="55">
        <v>-34</v>
      </c>
      <c r="AO71">
        <v>-34</v>
      </c>
      <c r="AP71" s="55">
        <v>0</v>
      </c>
      <c r="AQ71" s="55">
        <v>-263</v>
      </c>
      <c r="AR71" s="55">
        <v>-4</v>
      </c>
      <c r="AS71" s="55">
        <v>-21</v>
      </c>
      <c r="AT71">
        <v>-288</v>
      </c>
      <c r="AU71" s="382">
        <v>0</v>
      </c>
      <c r="AV71" s="382">
        <v>-20</v>
      </c>
      <c r="AW71" s="382">
        <v>-8</v>
      </c>
      <c r="AX71" s="382">
        <v>-5</v>
      </c>
      <c r="AY71">
        <v>-33</v>
      </c>
      <c r="AZ71" s="55">
        <v>1</v>
      </c>
      <c r="BA71" s="55">
        <v>0</v>
      </c>
      <c r="BB71" s="55">
        <v>0</v>
      </c>
      <c r="BC71" s="55">
        <v>0</v>
      </c>
      <c r="BD71">
        <v>1</v>
      </c>
      <c r="BE71" s="55">
        <v>0</v>
      </c>
      <c r="BF71" s="55">
        <v>0</v>
      </c>
      <c r="BG71" s="55">
        <v>0</v>
      </c>
      <c r="BH71" s="55">
        <v>0</v>
      </c>
      <c r="BI71">
        <v>0</v>
      </c>
      <c r="BJ71" s="382">
        <v>0</v>
      </c>
      <c r="BK71" s="382">
        <v>-9</v>
      </c>
      <c r="BL71" s="382">
        <v>-53</v>
      </c>
      <c r="BM71" s="382">
        <v>1</v>
      </c>
      <c r="BN71">
        <v>-61</v>
      </c>
      <c r="BO71" s="382">
        <v>-15</v>
      </c>
      <c r="BP71" s="382">
        <v>0</v>
      </c>
      <c r="BQ71" s="382">
        <v>1</v>
      </c>
      <c r="BR71" s="382"/>
      <c r="BS71">
        <f t="shared" si="38"/>
        <v>-14</v>
      </c>
      <c r="BT71" s="382"/>
      <c r="BU71" s="382"/>
      <c r="BV71" s="382"/>
      <c r="BW71" s="382"/>
      <c r="BX71">
        <f t="shared" si="39"/>
        <v>0</v>
      </c>
      <c r="BY71" s="382"/>
      <c r="BZ71" s="382"/>
      <c r="CA71" s="382"/>
      <c r="CB71" s="383"/>
      <c r="CC71">
        <f>SUM(BY71:CB71)</f>
        <v>0</v>
      </c>
      <c r="CD71" s="382"/>
      <c r="CE71" s="382"/>
      <c r="CF71" s="382"/>
      <c r="CG71" s="382"/>
      <c r="CH71">
        <f>SUM(CD71:CG71)</f>
        <v>0</v>
      </c>
      <c r="CI71" s="382"/>
      <c r="CJ71" s="386"/>
      <c r="CK71" s="382"/>
      <c r="CL71" s="382"/>
      <c r="CM71">
        <f>SUM(CI71:CL71)</f>
        <v>0</v>
      </c>
      <c r="CN71" s="382"/>
      <c r="CO71" s="382"/>
      <c r="CP71" s="382"/>
      <c r="CQ71" s="382"/>
      <c r="CR71">
        <f>SUM(CN71:CQ71)</f>
        <v>0</v>
      </c>
      <c r="CS71" s="382"/>
      <c r="CT71" s="382"/>
      <c r="CU71" s="382"/>
      <c r="CV71" s="382"/>
      <c r="CW71">
        <f>SUM(CS71:CV71)</f>
        <v>0</v>
      </c>
      <c r="CX71" s="382"/>
      <c r="CY71" s="382"/>
      <c r="CZ71" s="382"/>
      <c r="DA71" s="382"/>
      <c r="DB71">
        <f>SUM(CX71:DA71)</f>
        <v>0</v>
      </c>
      <c r="DC71" s="382"/>
      <c r="DD71" s="382"/>
      <c r="DE71" s="382"/>
      <c r="DF71" s="382"/>
      <c r="DG71">
        <f>SUM(DC71:DF71)</f>
        <v>0</v>
      </c>
      <c r="DH71" s="382"/>
      <c r="DI71" s="382"/>
      <c r="DJ71" s="382"/>
      <c r="DK71" s="382"/>
      <c r="DL71">
        <f>SUM(DH71:DK71)</f>
        <v>0</v>
      </c>
      <c r="DM71" s="382"/>
      <c r="DN71" s="382"/>
      <c r="DO71" s="382"/>
      <c r="DP71" s="382"/>
      <c r="DQ71">
        <f>SUM(DM71:DP71)</f>
        <v>0</v>
      </c>
      <c r="DR71" s="382"/>
      <c r="DS71" s="382"/>
      <c r="DT71" s="382"/>
      <c r="DU71" s="382"/>
      <c r="DV71">
        <f>SUM(DR71:DU71)</f>
        <v>0</v>
      </c>
      <c r="DW71" s="382"/>
      <c r="DX71" s="382"/>
      <c r="DY71" s="382"/>
      <c r="DZ71" s="382"/>
      <c r="EA71">
        <f>SUM(DW71:DZ71)</f>
        <v>0</v>
      </c>
      <c r="EB71" s="382"/>
      <c r="EC71" s="382"/>
      <c r="ED71" s="382"/>
      <c r="EE71" s="382"/>
      <c r="EF71">
        <f>SUM(EB71:EE71)</f>
        <v>0</v>
      </c>
      <c r="EG71" s="382"/>
      <c r="EH71" s="382"/>
      <c r="EI71" s="382"/>
      <c r="EJ71" s="382"/>
      <c r="EK71">
        <f>SUM(EG71:EJ71)</f>
        <v>0</v>
      </c>
      <c r="EL71" s="382"/>
      <c r="EM71" s="382"/>
      <c r="EN71" s="382"/>
      <c r="EO71" s="382"/>
      <c r="EP71">
        <f>SUM(EL71:EO71)</f>
        <v>0</v>
      </c>
      <c r="EQ71" s="382"/>
      <c r="ER71" s="382"/>
      <c r="ES71" s="382"/>
      <c r="ET71" s="382"/>
      <c r="EU71">
        <f>SUM(EQ71:ET71)</f>
        <v>0</v>
      </c>
      <c r="EV71" s="382"/>
      <c r="EW71" s="382"/>
      <c r="EX71" s="382"/>
      <c r="EY71" s="382"/>
      <c r="EZ71">
        <f>SUM(EV71:EY71)</f>
        <v>0</v>
      </c>
    </row>
    <row r="72" spans="2:156" hidden="1" outlineLevel="1">
      <c r="B72" s="29" t="s">
        <v>94</v>
      </c>
      <c r="C72">
        <f>SUM(C68:C71)</f>
        <v>9</v>
      </c>
      <c r="D72">
        <f t="shared" ref="D72:BO72" si="40">SUM(D68:D71)</f>
        <v>0</v>
      </c>
      <c r="E72">
        <f t="shared" si="40"/>
        <v>0</v>
      </c>
      <c r="F72">
        <f t="shared" si="40"/>
        <v>0</v>
      </c>
      <c r="G72">
        <f t="shared" si="40"/>
        <v>0</v>
      </c>
      <c r="H72">
        <f t="shared" si="40"/>
        <v>0</v>
      </c>
      <c r="I72">
        <f t="shared" si="40"/>
        <v>0</v>
      </c>
      <c r="J72">
        <f t="shared" si="40"/>
        <v>0</v>
      </c>
      <c r="K72">
        <f t="shared" si="40"/>
        <v>0</v>
      </c>
      <c r="L72" s="55">
        <f t="shared" si="40"/>
        <v>0</v>
      </c>
      <c r="M72" s="55">
        <f t="shared" si="40"/>
        <v>0</v>
      </c>
      <c r="N72" s="55">
        <f t="shared" si="40"/>
        <v>-3063</v>
      </c>
      <c r="O72" s="55">
        <f t="shared" si="40"/>
        <v>66</v>
      </c>
      <c r="P72">
        <f t="shared" si="40"/>
        <v>-2996</v>
      </c>
      <c r="Q72" s="55">
        <f t="shared" si="40"/>
        <v>-84</v>
      </c>
      <c r="R72" s="55">
        <f t="shared" si="40"/>
        <v>-84</v>
      </c>
      <c r="S72" s="55">
        <f t="shared" si="40"/>
        <v>-84</v>
      </c>
      <c r="T72" s="55">
        <f t="shared" si="40"/>
        <v>-84</v>
      </c>
      <c r="U72">
        <f t="shared" si="40"/>
        <v>-336</v>
      </c>
      <c r="V72" s="55">
        <f t="shared" si="40"/>
        <v>-84</v>
      </c>
      <c r="W72" s="55">
        <f t="shared" si="40"/>
        <v>-84</v>
      </c>
      <c r="X72" s="55">
        <f t="shared" si="40"/>
        <v>-638</v>
      </c>
      <c r="Y72" s="55">
        <f t="shared" si="40"/>
        <v>-93</v>
      </c>
      <c r="Z72">
        <f t="shared" si="40"/>
        <v>-899</v>
      </c>
      <c r="AA72" s="55">
        <f t="shared" si="40"/>
        <v>-87</v>
      </c>
      <c r="AB72" s="55">
        <f t="shared" si="40"/>
        <v>-136</v>
      </c>
      <c r="AC72" s="55">
        <f t="shared" si="40"/>
        <v>-86</v>
      </c>
      <c r="AD72" s="55">
        <f t="shared" si="40"/>
        <v>-87</v>
      </c>
      <c r="AE72">
        <f t="shared" si="40"/>
        <v>-396</v>
      </c>
      <c r="AF72" s="55">
        <f t="shared" si="40"/>
        <v>-87</v>
      </c>
      <c r="AG72" s="55">
        <f t="shared" si="40"/>
        <v>-1188</v>
      </c>
      <c r="AH72" s="55">
        <f t="shared" si="40"/>
        <v>-122</v>
      </c>
      <c r="AI72" s="55">
        <f t="shared" si="40"/>
        <v>-204</v>
      </c>
      <c r="AJ72">
        <f t="shared" si="40"/>
        <v>-1601</v>
      </c>
      <c r="AK72" s="55">
        <f t="shared" si="40"/>
        <v>-74</v>
      </c>
      <c r="AL72" s="55">
        <f t="shared" si="40"/>
        <v>-74</v>
      </c>
      <c r="AM72" s="55">
        <f t="shared" si="40"/>
        <v>-666</v>
      </c>
      <c r="AN72" s="55">
        <f t="shared" si="40"/>
        <v>-108</v>
      </c>
      <c r="AO72">
        <f t="shared" si="40"/>
        <v>-922</v>
      </c>
      <c r="AP72" s="55">
        <f t="shared" si="40"/>
        <v>-74</v>
      </c>
      <c r="AQ72" s="55">
        <f t="shared" si="40"/>
        <v>-336</v>
      </c>
      <c r="AR72" s="55">
        <f t="shared" si="40"/>
        <v>-162</v>
      </c>
      <c r="AS72" s="55">
        <f t="shared" si="40"/>
        <v>-147</v>
      </c>
      <c r="AT72">
        <f t="shared" si="40"/>
        <v>-719</v>
      </c>
      <c r="AU72" s="382">
        <f t="shared" si="40"/>
        <v>-74</v>
      </c>
      <c r="AV72" s="382">
        <f t="shared" si="40"/>
        <v>-93</v>
      </c>
      <c r="AW72" s="382">
        <f t="shared" si="40"/>
        <v>-82</v>
      </c>
      <c r="AX72" s="382">
        <f t="shared" si="40"/>
        <v>-78</v>
      </c>
      <c r="AY72">
        <f t="shared" si="40"/>
        <v>-327</v>
      </c>
      <c r="AZ72" s="55">
        <f t="shared" si="40"/>
        <v>-73</v>
      </c>
      <c r="BA72" s="55">
        <f t="shared" si="40"/>
        <v>-73</v>
      </c>
      <c r="BB72" s="55">
        <f t="shared" si="40"/>
        <v>-74</v>
      </c>
      <c r="BC72" s="55">
        <f t="shared" si="40"/>
        <v>-73</v>
      </c>
      <c r="BD72">
        <f t="shared" si="40"/>
        <v>-293</v>
      </c>
      <c r="BE72" s="55">
        <f t="shared" si="40"/>
        <v>-74</v>
      </c>
      <c r="BF72" s="55">
        <f t="shared" si="40"/>
        <v>-73</v>
      </c>
      <c r="BG72" s="55">
        <f t="shared" si="40"/>
        <v>-74</v>
      </c>
      <c r="BH72" s="55">
        <f t="shared" si="40"/>
        <v>-73</v>
      </c>
      <c r="BI72">
        <f t="shared" si="40"/>
        <v>-294</v>
      </c>
      <c r="BJ72" s="382">
        <f t="shared" si="40"/>
        <v>-74</v>
      </c>
      <c r="BK72" s="382">
        <f t="shared" si="40"/>
        <v>-82</v>
      </c>
      <c r="BL72" s="382">
        <f t="shared" si="40"/>
        <v>-146</v>
      </c>
      <c r="BM72" s="382">
        <f t="shared" si="40"/>
        <v>-72</v>
      </c>
      <c r="BN72">
        <f t="shared" si="40"/>
        <v>-374</v>
      </c>
      <c r="BO72" s="382">
        <f t="shared" si="40"/>
        <v>-15</v>
      </c>
      <c r="BP72" s="382">
        <f>SUM(BP68:BP71)</f>
        <v>0</v>
      </c>
      <c r="BQ72" s="382">
        <f>SUM(BQ68:BQ71)</f>
        <v>1</v>
      </c>
      <c r="BR72" s="432">
        <v>-25</v>
      </c>
      <c r="BS72">
        <f t="shared" si="38"/>
        <v>-39</v>
      </c>
      <c r="BT72" s="432">
        <v>-17</v>
      </c>
      <c r="BU72" s="432">
        <f>-6-14-23</f>
        <v>-43</v>
      </c>
      <c r="BV72" s="432">
        <f>-330+62+2</f>
        <v>-266</v>
      </c>
      <c r="BW72" s="432">
        <f>-66-17-46+1</f>
        <v>-128</v>
      </c>
      <c r="BX72">
        <f>SUM(BT72:BW72)</f>
        <v>-454</v>
      </c>
      <c r="BY72" s="432">
        <v>-58</v>
      </c>
      <c r="BZ72" s="432">
        <v>-81</v>
      </c>
      <c r="CA72" s="432">
        <v>13</v>
      </c>
      <c r="CB72" s="673">
        <v>77</v>
      </c>
      <c r="CC72" s="349">
        <f>SUM(BY72:CB72)</f>
        <v>-49</v>
      </c>
      <c r="CD72" s="432">
        <v>-32</v>
      </c>
      <c r="CE72" s="432">
        <v>-66</v>
      </c>
      <c r="CF72" s="432">
        <f>-5-18</f>
        <v>-23</v>
      </c>
      <c r="CG72" s="432">
        <v>-12</v>
      </c>
      <c r="CH72">
        <f>SUM(CD72:CG72)</f>
        <v>-133</v>
      </c>
      <c r="CI72" s="432">
        <v>-44</v>
      </c>
      <c r="CJ72" s="432">
        <f>-9+3</f>
        <v>-6</v>
      </c>
      <c r="CK72" s="432">
        <f>-10-287</f>
        <v>-297</v>
      </c>
      <c r="CL72" s="432">
        <f>-27+-1</f>
        <v>-28</v>
      </c>
      <c r="CM72">
        <f>SUM(CI72:CL72)</f>
        <v>-375</v>
      </c>
      <c r="CN72" s="432">
        <f>1-4</f>
        <v>-3</v>
      </c>
      <c r="CO72" s="382"/>
      <c r="CP72" s="382"/>
      <c r="CQ72" s="382"/>
      <c r="CR72">
        <f>SUM(CN72:CQ72)</f>
        <v>-3</v>
      </c>
      <c r="CS72" s="382"/>
      <c r="CT72" s="382"/>
      <c r="CU72" s="382"/>
      <c r="CV72" s="382"/>
      <c r="CW72">
        <f>SUM(CS72:CV72)</f>
        <v>0</v>
      </c>
      <c r="CX72" s="382"/>
      <c r="CY72" s="382"/>
      <c r="CZ72" s="382"/>
      <c r="DA72" s="382"/>
      <c r="DB72">
        <f>SUM(CX72:DA72)</f>
        <v>0</v>
      </c>
      <c r="DC72" s="382"/>
      <c r="DD72" s="382"/>
      <c r="DE72" s="382"/>
      <c r="DF72" s="382"/>
      <c r="DG72">
        <f>SUM(DC72:DF72)</f>
        <v>0</v>
      </c>
      <c r="DH72" s="382"/>
      <c r="DI72" s="382"/>
      <c r="DJ72" s="382"/>
      <c r="DK72" s="382"/>
      <c r="DL72">
        <f>SUM(DH72:DK72)</f>
        <v>0</v>
      </c>
      <c r="DM72" s="382"/>
      <c r="DN72" s="382"/>
      <c r="DO72" s="382"/>
      <c r="DP72" s="382"/>
      <c r="DQ72">
        <f>SUM(DM72:DP72)</f>
        <v>0</v>
      </c>
      <c r="DR72" s="382"/>
      <c r="DS72" s="382"/>
      <c r="DT72" s="382"/>
      <c r="DU72" s="382"/>
      <c r="DV72">
        <f>SUM(DR72:DU72)</f>
        <v>0</v>
      </c>
      <c r="DW72" s="382"/>
      <c r="DX72" s="382"/>
      <c r="DY72" s="382"/>
      <c r="DZ72" s="382"/>
      <c r="EA72">
        <f>SUM(DW72:DZ72)</f>
        <v>0</v>
      </c>
      <c r="EB72" s="382"/>
      <c r="EC72" s="382"/>
      <c r="ED72" s="382"/>
      <c r="EE72" s="382"/>
      <c r="EF72">
        <f>SUM(EB72:EE72)</f>
        <v>0</v>
      </c>
      <c r="EG72" s="382"/>
      <c r="EH72" s="382"/>
      <c r="EI72" s="382"/>
      <c r="EJ72" s="382"/>
      <c r="EK72">
        <f>SUM(EG72:EJ72)</f>
        <v>0</v>
      </c>
      <c r="EL72" s="382"/>
      <c r="EM72" s="382"/>
      <c r="EN72" s="382"/>
      <c r="EO72" s="382"/>
      <c r="EP72">
        <f>SUM(EL72:EO72)</f>
        <v>0</v>
      </c>
      <c r="EQ72" s="382"/>
      <c r="ER72" s="382"/>
      <c r="ES72" s="382"/>
      <c r="ET72" s="382"/>
      <c r="EU72">
        <f>SUM(EQ72:ET72)</f>
        <v>0</v>
      </c>
      <c r="EV72" s="382"/>
      <c r="EW72" s="382"/>
      <c r="EX72" s="382"/>
      <c r="EY72" s="382"/>
      <c r="EZ72">
        <f>SUM(EV72:EY72)</f>
        <v>0</v>
      </c>
    </row>
    <row r="73" spans="2:156" hidden="1" outlineLevel="1">
      <c r="L73" s="55"/>
      <c r="M73" s="55"/>
      <c r="N73" s="55"/>
      <c r="O73" s="55"/>
      <c r="Q73" s="55"/>
      <c r="R73" s="55"/>
      <c r="S73" s="55"/>
      <c r="T73" s="55"/>
      <c r="V73" s="55"/>
      <c r="W73" s="55"/>
      <c r="X73" s="55"/>
      <c r="Y73" s="55"/>
      <c r="AA73" s="55"/>
      <c r="AB73" s="55"/>
      <c r="AC73" s="55"/>
      <c r="AD73" s="55"/>
      <c r="AF73" s="55"/>
      <c r="AG73" s="55"/>
      <c r="AH73" s="55"/>
      <c r="AI73" s="55"/>
      <c r="AK73" s="55"/>
      <c r="AL73" s="55"/>
      <c r="AM73" s="55"/>
      <c r="AN73" s="55"/>
      <c r="AP73" s="55"/>
      <c r="AQ73" s="55"/>
      <c r="AR73" s="55"/>
      <c r="AS73" s="55"/>
      <c r="AU73" s="382"/>
      <c r="AV73" s="382"/>
      <c r="AW73" s="382"/>
      <c r="AX73" s="382"/>
      <c r="AZ73" s="55"/>
      <c r="BA73" s="55"/>
      <c r="BB73" s="55"/>
      <c r="BC73" s="55"/>
      <c r="BE73" s="55"/>
      <c r="BF73" s="55"/>
      <c r="BG73" s="55"/>
      <c r="BH73" s="55"/>
      <c r="BJ73" s="382"/>
      <c r="BK73" s="382"/>
      <c r="BL73" s="382"/>
      <c r="BM73" s="382"/>
      <c r="BO73" s="382"/>
      <c r="BP73" s="382"/>
      <c r="BQ73" s="382"/>
      <c r="BR73" s="382"/>
      <c r="BT73" s="382"/>
      <c r="BU73" s="382"/>
      <c r="BV73" s="382"/>
      <c r="BW73" s="382"/>
      <c r="BY73" s="382"/>
      <c r="BZ73" s="382"/>
      <c r="CA73" s="382"/>
      <c r="CB73" s="382"/>
      <c r="CC73" s="77"/>
      <c r="CD73" s="382"/>
      <c r="CE73" s="382"/>
      <c r="CF73" s="382"/>
      <c r="CG73" s="382"/>
      <c r="CI73" s="382"/>
      <c r="CJ73" s="386"/>
      <c r="CK73" s="382"/>
      <c r="CL73" s="382"/>
      <c r="CN73" s="382"/>
      <c r="CO73" s="382"/>
      <c r="CP73" s="382"/>
      <c r="CQ73" s="382"/>
      <c r="CS73" s="382"/>
      <c r="CT73" s="382"/>
      <c r="CU73" s="382"/>
      <c r="CV73" s="382"/>
      <c r="CX73" s="382"/>
      <c r="CY73" s="382"/>
      <c r="CZ73" s="382"/>
      <c r="DA73" s="382"/>
      <c r="DC73" s="382"/>
      <c r="DD73" s="382"/>
      <c r="DE73" s="382"/>
      <c r="DF73" s="382"/>
      <c r="DH73" s="382"/>
      <c r="DI73" s="382"/>
      <c r="DJ73" s="382"/>
      <c r="DK73" s="382"/>
      <c r="DM73" s="382"/>
      <c r="DN73" s="382"/>
      <c r="DO73" s="382"/>
      <c r="DP73" s="382"/>
      <c r="DR73" s="382"/>
      <c r="DS73" s="382"/>
      <c r="DT73" s="382"/>
      <c r="DU73" s="382"/>
      <c r="DW73" s="382"/>
      <c r="DX73" s="382"/>
      <c r="DY73" s="382"/>
      <c r="DZ73" s="382"/>
      <c r="EB73" s="382"/>
      <c r="EC73" s="382"/>
      <c r="ED73" s="382"/>
      <c r="EE73" s="382"/>
      <c r="EG73" s="382"/>
      <c r="EH73" s="382"/>
      <c r="EI73" s="382"/>
      <c r="EJ73" s="382"/>
      <c r="EL73" s="382"/>
      <c r="EM73" s="382"/>
      <c r="EN73" s="382"/>
      <c r="EO73" s="382"/>
      <c r="EQ73" s="382"/>
      <c r="ER73" s="382"/>
      <c r="ES73" s="382"/>
      <c r="ET73" s="382"/>
      <c r="EV73" s="382"/>
      <c r="EW73" s="382"/>
      <c r="EX73" s="382"/>
      <c r="EY73" s="382"/>
    </row>
    <row r="74" spans="2:156" hidden="1" outlineLevel="1">
      <c r="B74" s="29" t="s">
        <v>95</v>
      </c>
      <c r="C74">
        <v>0</v>
      </c>
      <c r="D74">
        <v>0</v>
      </c>
      <c r="E74">
        <v>0</v>
      </c>
      <c r="F74">
        <v>0</v>
      </c>
      <c r="G74">
        <v>0</v>
      </c>
      <c r="H74">
        <v>0</v>
      </c>
      <c r="I74">
        <v>0</v>
      </c>
      <c r="J74">
        <v>0</v>
      </c>
      <c r="K74">
        <v>0</v>
      </c>
      <c r="L74" s="55">
        <v>0</v>
      </c>
      <c r="M74" s="55">
        <v>0</v>
      </c>
      <c r="N74" s="55">
        <v>36</v>
      </c>
      <c r="O74" s="55">
        <v>-45</v>
      </c>
      <c r="P74">
        <v>-10</v>
      </c>
      <c r="Q74" s="55">
        <v>0</v>
      </c>
      <c r="R74" s="55">
        <v>24</v>
      </c>
      <c r="S74" s="55">
        <v>0</v>
      </c>
      <c r="T74" s="55">
        <v>0</v>
      </c>
      <c r="U74">
        <v>24</v>
      </c>
      <c r="V74" s="55">
        <v>0</v>
      </c>
      <c r="W74" s="55">
        <v>0</v>
      </c>
      <c r="X74" s="55">
        <v>0</v>
      </c>
      <c r="Y74" s="55">
        <v>0</v>
      </c>
      <c r="Z74">
        <v>0</v>
      </c>
      <c r="AA74" s="55">
        <v>-20</v>
      </c>
      <c r="AB74" s="55">
        <v>20</v>
      </c>
      <c r="AC74" s="55">
        <v>0</v>
      </c>
      <c r="AD74" s="55">
        <v>0</v>
      </c>
      <c r="AE74">
        <v>0</v>
      </c>
      <c r="AF74" s="55">
        <v>0</v>
      </c>
      <c r="AG74" s="55">
        <v>0</v>
      </c>
      <c r="AH74" s="55">
        <v>0</v>
      </c>
      <c r="AI74" s="55">
        <v>0</v>
      </c>
      <c r="AJ74">
        <v>0</v>
      </c>
      <c r="AK74" s="55">
        <v>-51</v>
      </c>
      <c r="AL74" s="55">
        <v>-289</v>
      </c>
      <c r="AM74" s="55">
        <v>-254</v>
      </c>
      <c r="AN74" s="55">
        <v>-151</v>
      </c>
      <c r="AO74">
        <v>-745</v>
      </c>
      <c r="AP74" s="55">
        <v>-67</v>
      </c>
      <c r="AQ74" s="55">
        <v>-79</v>
      </c>
      <c r="AR74" s="55">
        <v>-76</v>
      </c>
      <c r="AS74" s="55">
        <v>-62</v>
      </c>
      <c r="AT74">
        <v>-284</v>
      </c>
      <c r="AU74" s="382">
        <v>-66</v>
      </c>
      <c r="AV74" s="382">
        <v>-91</v>
      </c>
      <c r="AW74" s="382">
        <v>-64</v>
      </c>
      <c r="AX74" s="382">
        <v>-63</v>
      </c>
      <c r="AY74">
        <v>-284</v>
      </c>
      <c r="AZ74" s="55">
        <v>-65</v>
      </c>
      <c r="BA74" s="55">
        <v>-66</v>
      </c>
      <c r="BB74" s="55">
        <v>-67</v>
      </c>
      <c r="BC74" s="55">
        <v>-186</v>
      </c>
      <c r="BD74">
        <v>-384</v>
      </c>
      <c r="BE74" s="55">
        <v>-60</v>
      </c>
      <c r="BF74" s="55">
        <v>-35</v>
      </c>
      <c r="BG74" s="55">
        <v>-888</v>
      </c>
      <c r="BH74" s="55">
        <v>-57</v>
      </c>
      <c r="BI74" s="1">
        <v>-1040</v>
      </c>
      <c r="BJ74" s="382">
        <v>-40</v>
      </c>
      <c r="BK74" s="382">
        <v>-105</v>
      </c>
      <c r="BL74" s="382">
        <v>-73</v>
      </c>
      <c r="BM74" s="382">
        <v>-137</v>
      </c>
      <c r="BN74">
        <v>-355</v>
      </c>
      <c r="BO74" s="382">
        <f>BO75-1</f>
        <v>-13</v>
      </c>
      <c r="BP74" s="382">
        <f>-110-11</f>
        <v>-121</v>
      </c>
      <c r="BQ74" s="382">
        <f>BQ75-35</f>
        <v>-57</v>
      </c>
      <c r="BR74" s="432">
        <v>0</v>
      </c>
      <c r="BS74">
        <f t="shared" si="38"/>
        <v>-191</v>
      </c>
      <c r="BT74" s="382"/>
      <c r="BU74" s="382"/>
      <c r="BV74" s="382"/>
      <c r="BW74" s="382"/>
      <c r="BX74">
        <f t="shared" si="39"/>
        <v>0</v>
      </c>
      <c r="BY74" s="382"/>
      <c r="BZ74" s="382"/>
      <c r="CA74" s="382"/>
      <c r="CB74" s="382"/>
      <c r="CC74">
        <f>SUM(BY74:CB74)</f>
        <v>0</v>
      </c>
      <c r="CD74" s="382"/>
      <c r="CE74" s="382"/>
      <c r="CF74" s="382"/>
      <c r="CG74" s="382"/>
      <c r="CH74">
        <f>SUM(CD74:CG74)</f>
        <v>0</v>
      </c>
      <c r="CI74" s="382"/>
      <c r="CJ74" s="386"/>
      <c r="CK74" s="382"/>
      <c r="CL74" s="382"/>
      <c r="CM74">
        <f>SUM(CI74:CL74)</f>
        <v>0</v>
      </c>
      <c r="CN74" s="382">
        <v>-75</v>
      </c>
      <c r="CO74" s="382"/>
      <c r="CP74" s="382"/>
      <c r="CQ74" s="382"/>
      <c r="CR74">
        <f>SUM(CN74:CQ74)</f>
        <v>-75</v>
      </c>
      <c r="CS74" s="382"/>
      <c r="CT74" s="382"/>
      <c r="CU74" s="382"/>
      <c r="CV74" s="382"/>
      <c r="CW74">
        <f>SUM(CS74:CV74)</f>
        <v>0</v>
      </c>
      <c r="CX74" s="382"/>
      <c r="CY74" s="382"/>
      <c r="CZ74" s="382"/>
      <c r="DA74" s="382"/>
      <c r="DB74">
        <f>SUM(CX74:DA74)</f>
        <v>0</v>
      </c>
      <c r="DC74" s="382"/>
      <c r="DD74" s="382"/>
      <c r="DE74" s="382"/>
      <c r="DF74" s="382"/>
      <c r="DG74">
        <f>SUM(DC74:DF74)</f>
        <v>0</v>
      </c>
      <c r="DH74" s="382"/>
      <c r="DI74" s="382"/>
      <c r="DJ74" s="382"/>
      <c r="DK74" s="382"/>
      <c r="DL74">
        <f>SUM(DH74:DK74)</f>
        <v>0</v>
      </c>
      <c r="DM74" s="382"/>
      <c r="DN74" s="382"/>
      <c r="DO74" s="382"/>
      <c r="DP74" s="382"/>
      <c r="DQ74">
        <f>SUM(DM74:DP74)</f>
        <v>0</v>
      </c>
      <c r="DR74" s="382"/>
      <c r="DS74" s="382"/>
      <c r="DT74" s="382"/>
      <c r="DU74" s="382"/>
      <c r="DV74">
        <f>SUM(DR74:DU74)</f>
        <v>0</v>
      </c>
      <c r="DW74" s="382"/>
      <c r="DX74" s="382"/>
      <c r="DY74" s="382"/>
      <c r="DZ74" s="382"/>
      <c r="EA74">
        <f>SUM(DW74:DZ74)</f>
        <v>0</v>
      </c>
      <c r="EB74" s="382"/>
      <c r="EC74" s="382"/>
      <c r="ED74" s="382"/>
      <c r="EE74" s="382"/>
      <c r="EF74">
        <f>SUM(EB74:EE74)</f>
        <v>0</v>
      </c>
      <c r="EG74" s="382"/>
      <c r="EH74" s="382"/>
      <c r="EI74" s="382"/>
      <c r="EJ74" s="382"/>
      <c r="EK74">
        <f>SUM(EG74:EJ74)</f>
        <v>0</v>
      </c>
      <c r="EL74" s="382"/>
      <c r="EM74" s="382"/>
      <c r="EN74" s="382"/>
      <c r="EO74" s="382"/>
      <c r="EP74">
        <f>SUM(EL74:EO74)</f>
        <v>0</v>
      </c>
      <c r="EQ74" s="382"/>
      <c r="ER74" s="382"/>
      <c r="ES74" s="382"/>
      <c r="ET74" s="382"/>
      <c r="EU74">
        <f>SUM(EQ74:ET74)</f>
        <v>0</v>
      </c>
      <c r="EV74" s="382"/>
      <c r="EW74" s="382"/>
      <c r="EX74" s="382"/>
      <c r="EY74" s="382"/>
      <c r="EZ74">
        <f>SUM(EV74:EY74)</f>
        <v>0</v>
      </c>
    </row>
    <row r="75" spans="2:156" hidden="1" outlineLevel="1">
      <c r="B75" s="2" t="s">
        <v>97</v>
      </c>
      <c r="L75" s="55"/>
      <c r="M75" s="55"/>
      <c r="N75" s="55"/>
      <c r="O75" s="55"/>
      <c r="Q75" s="55"/>
      <c r="R75" s="55"/>
      <c r="S75" s="55"/>
      <c r="T75" s="55"/>
      <c r="V75" s="55"/>
      <c r="W75" s="55"/>
      <c r="X75" s="55"/>
      <c r="Y75" s="55"/>
      <c r="AA75" s="55"/>
      <c r="AB75" s="55"/>
      <c r="AC75" s="55"/>
      <c r="AD75" s="55"/>
      <c r="AF75" s="55"/>
      <c r="AG75" s="55"/>
      <c r="AH75" s="55"/>
      <c r="AI75" s="55"/>
      <c r="AK75" s="55"/>
      <c r="AL75" s="55"/>
      <c r="AM75" s="55"/>
      <c r="AN75" s="55"/>
      <c r="AP75" s="55"/>
      <c r="AQ75" s="55"/>
      <c r="AR75" s="55"/>
      <c r="AS75" s="55"/>
      <c r="AU75" s="382"/>
      <c r="AV75" s="382"/>
      <c r="AW75" s="382"/>
      <c r="AX75" s="382"/>
      <c r="AZ75" s="55"/>
      <c r="BA75" s="55"/>
      <c r="BB75" s="55"/>
      <c r="BC75" s="55"/>
      <c r="BE75" s="55"/>
      <c r="BF75" s="55"/>
      <c r="BG75" s="55"/>
      <c r="BH75" s="55"/>
      <c r="BJ75" s="382"/>
      <c r="BK75" s="382"/>
      <c r="BL75" s="382"/>
      <c r="BM75" s="382"/>
      <c r="BO75" s="382">
        <v>-12</v>
      </c>
      <c r="BP75" s="382"/>
      <c r="BQ75" s="382">
        <v>-22</v>
      </c>
      <c r="BR75" s="432">
        <v>0</v>
      </c>
      <c r="BT75" s="382"/>
      <c r="BU75" s="382"/>
      <c r="BV75" s="382"/>
      <c r="BW75" s="382"/>
      <c r="BY75" s="382"/>
      <c r="BZ75" s="382"/>
      <c r="CA75" s="382"/>
      <c r="CB75" s="382"/>
      <c r="CD75" s="382"/>
      <c r="CE75" s="382"/>
      <c r="CF75" s="382"/>
      <c r="CG75" s="382"/>
      <c r="CI75" s="382"/>
      <c r="CJ75" s="386"/>
      <c r="CK75" s="382"/>
      <c r="CL75" s="382"/>
      <c r="CN75" s="382"/>
      <c r="CO75" s="382"/>
      <c r="CP75" s="382"/>
      <c r="CQ75" s="382"/>
      <c r="CS75" s="382"/>
      <c r="CT75" s="382"/>
      <c r="CU75" s="382"/>
      <c r="CV75" s="382"/>
      <c r="CX75" s="382"/>
      <c r="CY75" s="382"/>
      <c r="CZ75" s="382"/>
      <c r="DA75" s="382"/>
      <c r="DC75" s="382"/>
      <c r="DD75" s="382"/>
      <c r="DE75" s="382"/>
      <c r="DF75" s="382"/>
      <c r="DH75" s="382"/>
      <c r="DI75" s="382"/>
      <c r="DJ75" s="382"/>
      <c r="DK75" s="382"/>
      <c r="DM75" s="382"/>
      <c r="DN75" s="382"/>
      <c r="DO75" s="382"/>
      <c r="DP75" s="382"/>
      <c r="DR75" s="382"/>
      <c r="DS75" s="382"/>
      <c r="DT75" s="382"/>
      <c r="DU75" s="382"/>
      <c r="DW75" s="382"/>
      <c r="DX75" s="382"/>
      <c r="DY75" s="382"/>
      <c r="DZ75" s="382"/>
      <c r="EB75" s="382"/>
      <c r="EC75" s="382"/>
      <c r="ED75" s="382"/>
      <c r="EE75" s="382"/>
      <c r="EG75" s="382"/>
      <c r="EH75" s="382"/>
      <c r="EI75" s="382"/>
      <c r="EJ75" s="382"/>
      <c r="EL75" s="382"/>
      <c r="EM75" s="382"/>
      <c r="EN75" s="382"/>
      <c r="EO75" s="382"/>
      <c r="EQ75" s="382"/>
      <c r="ER75" s="382"/>
      <c r="ES75" s="382"/>
      <c r="ET75" s="382"/>
      <c r="EV75" s="382"/>
      <c r="EW75" s="382"/>
      <c r="EX75" s="382"/>
      <c r="EY75" s="382"/>
    </row>
    <row r="76" spans="2:156" hidden="1" outlineLevel="1">
      <c r="B76" s="2" t="s">
        <v>96</v>
      </c>
      <c r="L76" s="55"/>
      <c r="M76" s="55"/>
      <c r="N76" s="55"/>
      <c r="O76" s="55"/>
      <c r="Q76" s="55"/>
      <c r="R76" s="55"/>
      <c r="S76" s="55"/>
      <c r="T76" s="55"/>
      <c r="V76" s="55"/>
      <c r="W76" s="55"/>
      <c r="X76" s="55"/>
      <c r="Y76" s="55"/>
      <c r="AA76" s="55"/>
      <c r="AB76" s="55"/>
      <c r="AC76" s="55"/>
      <c r="AD76" s="55"/>
      <c r="AF76" s="55"/>
      <c r="AG76" s="55"/>
      <c r="AH76" s="55"/>
      <c r="AI76" s="55"/>
      <c r="AK76" s="55"/>
      <c r="AL76" s="55"/>
      <c r="AM76" s="55"/>
      <c r="AN76" s="55"/>
      <c r="AP76" s="55"/>
      <c r="AQ76" s="55"/>
      <c r="AR76" s="55"/>
      <c r="AS76" s="55"/>
      <c r="AU76" s="382"/>
      <c r="AV76" s="382"/>
      <c r="AW76" s="382"/>
      <c r="AX76" s="382"/>
      <c r="AZ76" s="55"/>
      <c r="BA76" s="55"/>
      <c r="BB76" s="55"/>
      <c r="BC76" s="55"/>
      <c r="BE76" s="55"/>
      <c r="BF76" s="55"/>
      <c r="BG76" s="55"/>
      <c r="BH76" s="55"/>
      <c r="BJ76" s="382"/>
      <c r="BK76" s="382"/>
      <c r="BL76" s="382"/>
      <c r="BM76" s="382"/>
      <c r="BO76" s="382"/>
      <c r="BP76" s="382"/>
      <c r="BQ76" s="382"/>
      <c r="BR76" s="382"/>
      <c r="BT76" s="382"/>
      <c r="BU76" s="382"/>
      <c r="BV76" s="382"/>
      <c r="BW76" s="382"/>
      <c r="BY76" s="382"/>
      <c r="BZ76" s="382"/>
      <c r="CA76" s="382"/>
      <c r="CB76" s="382"/>
      <c r="CD76" s="382"/>
      <c r="CE76" s="382"/>
      <c r="CF76" s="382"/>
      <c r="CG76" s="382"/>
      <c r="CI76" s="382"/>
      <c r="CJ76" s="386"/>
      <c r="CK76" s="382"/>
      <c r="CL76" s="382"/>
      <c r="CN76" s="382"/>
      <c r="CO76" s="382"/>
      <c r="CP76" s="382"/>
      <c r="CQ76" s="382"/>
      <c r="CS76" s="382"/>
      <c r="CT76" s="382"/>
      <c r="CU76" s="382"/>
      <c r="CV76" s="382"/>
      <c r="CX76" s="382"/>
      <c r="CY76" s="382"/>
      <c r="CZ76" s="382"/>
      <c r="DA76" s="382"/>
      <c r="DC76" s="382"/>
      <c r="DD76" s="382"/>
      <c r="DE76" s="382"/>
      <c r="DF76" s="382"/>
      <c r="DH76" s="382"/>
      <c r="DI76" s="382"/>
      <c r="DJ76" s="382"/>
      <c r="DK76" s="382"/>
      <c r="DM76" s="382"/>
      <c r="DN76" s="382"/>
      <c r="DO76" s="382"/>
      <c r="DP76" s="382"/>
      <c r="DR76" s="382"/>
      <c r="DS76" s="382"/>
      <c r="DT76" s="382"/>
      <c r="DU76" s="382"/>
      <c r="DW76" s="382"/>
      <c r="DX76" s="382"/>
      <c r="DY76" s="382"/>
      <c r="DZ76" s="382"/>
      <c r="EB76" s="382"/>
      <c r="EC76" s="382"/>
      <c r="ED76" s="382"/>
      <c r="EE76" s="382"/>
      <c r="EG76" s="382"/>
      <c r="EH76" s="382"/>
      <c r="EI76" s="382"/>
      <c r="EJ76" s="382"/>
      <c r="EL76" s="382"/>
      <c r="EM76" s="382"/>
      <c r="EN76" s="382"/>
      <c r="EO76" s="382"/>
      <c r="EQ76" s="382"/>
      <c r="ER76" s="382"/>
      <c r="ES76" s="382"/>
      <c r="ET76" s="382"/>
      <c r="EV76" s="382"/>
      <c r="EW76" s="382"/>
      <c r="EX76" s="382"/>
      <c r="EY76" s="382"/>
    </row>
    <row r="77" spans="2:156" hidden="1" outlineLevel="1">
      <c r="L77" s="55"/>
      <c r="M77" s="55"/>
      <c r="N77" s="55"/>
      <c r="O77" s="55"/>
      <c r="Q77" s="55"/>
      <c r="R77" s="55"/>
      <c r="S77" s="55"/>
      <c r="T77" s="55"/>
      <c r="V77" s="55"/>
      <c r="W77" s="55"/>
      <c r="X77" s="55"/>
      <c r="Y77" s="55"/>
      <c r="AA77" s="55"/>
      <c r="AB77" s="55"/>
      <c r="AC77" s="55"/>
      <c r="AD77" s="55"/>
      <c r="AF77" s="55"/>
      <c r="AG77" s="55"/>
      <c r="AH77" s="55"/>
      <c r="AI77" s="55"/>
      <c r="AK77" s="55"/>
      <c r="AL77" s="55"/>
      <c r="AM77" s="55"/>
      <c r="AN77" s="55"/>
      <c r="AP77" s="55"/>
      <c r="AQ77" s="55"/>
      <c r="AR77" s="55"/>
      <c r="AS77" s="55"/>
      <c r="AU77" s="382"/>
      <c r="AV77" s="382"/>
      <c r="AW77" s="382"/>
      <c r="AX77" s="382"/>
      <c r="AZ77" s="55"/>
      <c r="BA77" s="55"/>
      <c r="BB77" s="55"/>
      <c r="BC77" s="55"/>
      <c r="BE77" s="55"/>
      <c r="BF77" s="55"/>
      <c r="BG77" s="55"/>
      <c r="BH77" s="55"/>
      <c r="BJ77" s="382"/>
      <c r="BK77" s="382"/>
      <c r="BL77" s="382"/>
      <c r="BM77" s="382"/>
      <c r="BO77" s="382"/>
      <c r="BP77" s="382"/>
      <c r="BQ77" s="382"/>
      <c r="BR77" s="382"/>
      <c r="BT77" s="382"/>
      <c r="BU77" s="382"/>
      <c r="BV77" s="382"/>
      <c r="BW77" s="382"/>
      <c r="BY77" s="382"/>
      <c r="BZ77" s="382"/>
      <c r="CA77" s="382"/>
      <c r="CB77" s="382"/>
      <c r="CD77" s="382"/>
      <c r="CE77" s="382"/>
      <c r="CF77" s="382"/>
      <c r="CG77" s="391"/>
      <c r="CI77" s="382"/>
      <c r="CJ77" s="386"/>
      <c r="CK77" s="382"/>
      <c r="CL77" s="382"/>
      <c r="CN77" s="382"/>
      <c r="CO77" s="382"/>
      <c r="CP77" s="382"/>
      <c r="CQ77" s="382"/>
      <c r="CS77" s="382"/>
      <c r="CT77" s="382"/>
      <c r="CU77" s="382"/>
      <c r="CV77" s="382"/>
      <c r="CX77" s="382"/>
      <c r="CY77" s="382"/>
      <c r="CZ77" s="382"/>
      <c r="DA77" s="382"/>
      <c r="DC77" s="382"/>
      <c r="DD77" s="382"/>
      <c r="DE77" s="382"/>
      <c r="DF77" s="382"/>
      <c r="DH77" s="382"/>
      <c r="DI77" s="382"/>
      <c r="DJ77" s="382"/>
      <c r="DK77" s="382"/>
      <c r="DM77" s="382"/>
      <c r="DN77" s="382"/>
      <c r="DO77" s="382"/>
      <c r="DP77" s="382"/>
      <c r="DR77" s="382"/>
      <c r="DS77" s="382"/>
      <c r="DT77" s="382"/>
      <c r="DU77" s="382"/>
      <c r="DW77" s="382"/>
      <c r="DX77" s="382"/>
      <c r="DY77" s="382"/>
      <c r="DZ77" s="382"/>
      <c r="EB77" s="382"/>
      <c r="EC77" s="382"/>
      <c r="ED77" s="382"/>
      <c r="EE77" s="382"/>
      <c r="EG77" s="382"/>
      <c r="EH77" s="382"/>
      <c r="EI77" s="382"/>
      <c r="EJ77" s="382"/>
      <c r="EL77" s="382"/>
      <c r="EM77" s="382"/>
      <c r="EN77" s="382"/>
      <c r="EO77" s="382"/>
      <c r="EQ77" s="382"/>
      <c r="ER77" s="382"/>
      <c r="ES77" s="382"/>
      <c r="ET77" s="382"/>
      <c r="EV77" s="382"/>
      <c r="EW77" s="382"/>
      <c r="EX77" s="382"/>
      <c r="EY77" s="382"/>
    </row>
    <row r="78" spans="2:156" hidden="1" outlineLevel="1">
      <c r="B78" t="s">
        <v>81</v>
      </c>
      <c r="C78">
        <v>0</v>
      </c>
      <c r="D78">
        <v>0</v>
      </c>
      <c r="E78">
        <v>0</v>
      </c>
      <c r="F78">
        <v>0</v>
      </c>
      <c r="G78">
        <v>0</v>
      </c>
      <c r="H78">
        <v>0</v>
      </c>
      <c r="I78">
        <v>0</v>
      </c>
      <c r="J78">
        <v>0</v>
      </c>
      <c r="K78">
        <v>0</v>
      </c>
      <c r="L78" s="55">
        <v>0</v>
      </c>
      <c r="M78" s="55">
        <v>0</v>
      </c>
      <c r="N78" s="55">
        <v>41</v>
      </c>
      <c r="O78" s="55">
        <v>-2</v>
      </c>
      <c r="P78">
        <v>39</v>
      </c>
      <c r="Q78" s="55">
        <v>39</v>
      </c>
      <c r="R78" s="55">
        <v>32</v>
      </c>
      <c r="S78" s="55">
        <v>45</v>
      </c>
      <c r="T78" s="55">
        <v>34</v>
      </c>
      <c r="U78">
        <v>150</v>
      </c>
      <c r="V78" s="55">
        <v>36</v>
      </c>
      <c r="W78" s="55">
        <v>35</v>
      </c>
      <c r="X78" s="55">
        <v>39</v>
      </c>
      <c r="Y78" s="55">
        <v>34</v>
      </c>
      <c r="Z78">
        <v>144</v>
      </c>
      <c r="AA78" s="55">
        <v>40</v>
      </c>
      <c r="AB78" s="55">
        <v>44</v>
      </c>
      <c r="AC78" s="55">
        <v>36</v>
      </c>
      <c r="AD78" s="55">
        <v>-16</v>
      </c>
      <c r="AE78">
        <v>104</v>
      </c>
      <c r="AF78" s="55">
        <v>55</v>
      </c>
      <c r="AG78" s="55">
        <v>68</v>
      </c>
      <c r="AH78" s="55">
        <v>66</v>
      </c>
      <c r="AI78" s="55">
        <v>64</v>
      </c>
      <c r="AJ78">
        <v>253</v>
      </c>
      <c r="AK78" s="55">
        <v>69</v>
      </c>
      <c r="AL78" s="55">
        <v>189</v>
      </c>
      <c r="AM78" s="55">
        <v>150</v>
      </c>
      <c r="AN78" s="55">
        <v>95</v>
      </c>
      <c r="AO78">
        <v>503</v>
      </c>
      <c r="AP78" s="55">
        <v>72</v>
      </c>
      <c r="AQ78" s="55">
        <v>129</v>
      </c>
      <c r="AR78" s="55">
        <v>93</v>
      </c>
      <c r="AS78" s="55">
        <v>96</v>
      </c>
      <c r="AT78">
        <v>390</v>
      </c>
      <c r="AU78" s="382">
        <v>94</v>
      </c>
      <c r="AV78" s="382">
        <v>201</v>
      </c>
      <c r="AW78" s="382">
        <v>70</v>
      </c>
      <c r="AX78" s="382">
        <v>58</v>
      </c>
      <c r="AY78">
        <v>423</v>
      </c>
      <c r="AZ78" s="55">
        <v>67</v>
      </c>
      <c r="BA78" s="55">
        <v>70</v>
      </c>
      <c r="BB78" s="55">
        <v>112</v>
      </c>
      <c r="BC78" s="55">
        <v>225</v>
      </c>
      <c r="BD78">
        <v>474</v>
      </c>
      <c r="BE78" s="55">
        <v>70</v>
      </c>
      <c r="BF78" s="55">
        <v>60</v>
      </c>
      <c r="BG78" s="55">
        <v>157</v>
      </c>
      <c r="BH78" s="55">
        <v>56</v>
      </c>
      <c r="BI78">
        <v>343</v>
      </c>
      <c r="BJ78" s="382">
        <v>56</v>
      </c>
      <c r="BK78" s="382">
        <v>82</v>
      </c>
      <c r="BL78" s="382">
        <v>94</v>
      </c>
      <c r="BM78" s="382">
        <v>74</v>
      </c>
      <c r="BN78">
        <v>306</v>
      </c>
      <c r="BO78" s="382">
        <v>78</v>
      </c>
      <c r="BP78" s="382">
        <v>48</v>
      </c>
      <c r="BQ78" s="382">
        <v>70</v>
      </c>
      <c r="BR78" s="382">
        <f>228-18</f>
        <v>210</v>
      </c>
      <c r="BS78">
        <f t="shared" si="38"/>
        <v>406</v>
      </c>
      <c r="BT78" s="432">
        <v>131</v>
      </c>
      <c r="BU78" s="432">
        <f>148-7</f>
        <v>141</v>
      </c>
      <c r="BV78" s="432">
        <f>251+21</f>
        <v>272</v>
      </c>
      <c r="BW78" s="432">
        <f>187+11</f>
        <v>198</v>
      </c>
      <c r="BX78" s="72">
        <f>SUM(BT78:BW78)</f>
        <v>742</v>
      </c>
      <c r="BY78" s="432">
        <v>139</v>
      </c>
      <c r="BZ78" s="432">
        <v>151</v>
      </c>
      <c r="CA78" s="432">
        <v>129</v>
      </c>
      <c r="CB78" s="432">
        <v>148</v>
      </c>
      <c r="CC78">
        <f>SUM(BY78:CB78)</f>
        <v>567</v>
      </c>
      <c r="CD78" s="432">
        <v>154</v>
      </c>
      <c r="CE78" s="432">
        <v>156</v>
      </c>
      <c r="CF78" s="432">
        <v>130</v>
      </c>
      <c r="CG78" s="432">
        <v>149</v>
      </c>
      <c r="CH78">
        <f>SUM(CD78:CG78)</f>
        <v>589</v>
      </c>
      <c r="CI78" s="432">
        <v>142</v>
      </c>
      <c r="CJ78" s="794">
        <v>118</v>
      </c>
      <c r="CK78" s="432">
        <v>216</v>
      </c>
      <c r="CL78" s="431">
        <v>-6058</v>
      </c>
      <c r="CM78" s="1">
        <f>SUM(CI78:CL78)</f>
        <v>-5582</v>
      </c>
      <c r="CN78" s="431">
        <f>64+18</f>
        <v>82</v>
      </c>
      <c r="CO78" s="382"/>
      <c r="CP78" s="382"/>
      <c r="CQ78" s="382"/>
      <c r="CR78">
        <f>SUM(CN78:CQ78)</f>
        <v>82</v>
      </c>
      <c r="CS78" s="382"/>
      <c r="CT78" s="382"/>
      <c r="CU78" s="382"/>
      <c r="CV78" s="382"/>
      <c r="CW78">
        <f>SUM(CS78:CV78)</f>
        <v>0</v>
      </c>
      <c r="CX78" s="382"/>
      <c r="CY78" s="382"/>
      <c r="CZ78" s="382"/>
      <c r="DA78" s="382"/>
      <c r="DB78">
        <f>SUM(CX78:DA78)</f>
        <v>0</v>
      </c>
      <c r="DC78" s="382"/>
      <c r="DD78" s="382"/>
      <c r="DE78" s="382"/>
      <c r="DF78" s="382"/>
      <c r="DG78">
        <f>SUM(DC78:DF78)</f>
        <v>0</v>
      </c>
      <c r="DH78" s="382"/>
      <c r="DI78" s="382"/>
      <c r="DJ78" s="382"/>
      <c r="DK78" s="382"/>
      <c r="DL78">
        <f>SUM(DH78:DK78)</f>
        <v>0</v>
      </c>
      <c r="DM78" s="382"/>
      <c r="DN78" s="382"/>
      <c r="DO78" s="382"/>
      <c r="DP78" s="382"/>
      <c r="DQ78">
        <f>SUM(DM78:DP78)</f>
        <v>0</v>
      </c>
      <c r="DR78" s="382"/>
      <c r="DS78" s="382"/>
      <c r="DT78" s="382"/>
      <c r="DU78" s="382"/>
      <c r="DV78">
        <f>SUM(DR78:DU78)</f>
        <v>0</v>
      </c>
      <c r="DW78" s="382"/>
      <c r="DX78" s="382"/>
      <c r="DY78" s="382"/>
      <c r="DZ78" s="382"/>
      <c r="EA78">
        <f>SUM(DW78:DZ78)</f>
        <v>0</v>
      </c>
      <c r="EB78" s="382"/>
      <c r="EC78" s="382"/>
      <c r="ED78" s="382"/>
      <c r="EE78" s="382"/>
      <c r="EF78">
        <f>SUM(EB78:EE78)</f>
        <v>0</v>
      </c>
      <c r="EG78" s="382"/>
      <c r="EH78" s="382"/>
      <c r="EI78" s="382"/>
      <c r="EJ78" s="382"/>
      <c r="EK78">
        <f>SUM(EG78:EJ78)</f>
        <v>0</v>
      </c>
      <c r="EL78" s="382"/>
      <c r="EM78" s="382"/>
      <c r="EN78" s="382"/>
      <c r="EO78" s="382"/>
      <c r="EP78">
        <f>SUM(EL78:EO78)</f>
        <v>0</v>
      </c>
      <c r="EQ78" s="382"/>
      <c r="ER78" s="382"/>
      <c r="ES78" s="382"/>
      <c r="ET78" s="382"/>
      <c r="EU78">
        <f>SUM(EQ78:ET78)</f>
        <v>0</v>
      </c>
      <c r="EV78" s="382"/>
      <c r="EW78" s="382"/>
      <c r="EX78" s="382"/>
      <c r="EY78" s="382"/>
      <c r="EZ78">
        <f>SUM(EV78:EY78)</f>
        <v>0</v>
      </c>
    </row>
    <row r="79" spans="2:156" hidden="1" outlineLevel="1">
      <c r="L79" s="55"/>
      <c r="M79" s="55"/>
      <c r="N79" s="55"/>
      <c r="O79" s="55"/>
      <c r="Q79" s="55"/>
      <c r="R79" s="55"/>
      <c r="S79" s="55"/>
      <c r="T79" s="55"/>
      <c r="V79" s="55"/>
      <c r="W79" s="55"/>
      <c r="X79" s="55"/>
      <c r="Y79" s="55"/>
      <c r="AA79" s="55"/>
      <c r="AB79" s="55"/>
      <c r="AC79" s="55"/>
      <c r="AD79" s="55"/>
      <c r="AF79" s="55"/>
      <c r="AG79" s="55"/>
      <c r="AH79" s="55"/>
      <c r="AI79" s="55"/>
      <c r="AK79" s="55"/>
      <c r="AL79" s="55"/>
      <c r="AM79" s="55"/>
      <c r="AN79" s="55"/>
      <c r="AP79" s="55"/>
      <c r="AQ79" s="55"/>
      <c r="AR79" s="55"/>
      <c r="AS79" s="55"/>
      <c r="AU79" s="382"/>
      <c r="AV79" s="382"/>
      <c r="AW79" s="382"/>
      <c r="AX79" s="382"/>
      <c r="AZ79" s="55"/>
      <c r="BA79" s="55"/>
      <c r="BB79" s="55"/>
      <c r="BC79" s="55"/>
      <c r="BE79" s="55"/>
      <c r="BF79" s="55"/>
      <c r="BG79" s="55"/>
      <c r="BH79" s="55"/>
      <c r="BJ79" s="382"/>
      <c r="BK79" s="382"/>
      <c r="BL79" s="382"/>
      <c r="BM79" s="382"/>
      <c r="BO79" s="382"/>
      <c r="BP79" s="382"/>
      <c r="BQ79" s="382"/>
      <c r="BR79" s="382"/>
      <c r="BT79" s="382"/>
      <c r="BU79" s="382"/>
      <c r="BV79" s="382"/>
      <c r="BW79" s="382"/>
      <c r="BY79" s="382"/>
      <c r="BZ79" s="382"/>
      <c r="CA79" s="382"/>
      <c r="CB79" s="382"/>
      <c r="CD79" s="382"/>
      <c r="CE79" s="382"/>
      <c r="CF79" s="382"/>
      <c r="CG79" s="382"/>
      <c r="CI79" s="382"/>
      <c r="CJ79" s="386"/>
      <c r="CK79" s="382"/>
      <c r="CL79" s="382"/>
      <c r="CN79" s="382"/>
      <c r="CO79" s="382"/>
      <c r="CP79" s="382"/>
      <c r="CQ79" s="382"/>
      <c r="CS79" s="382"/>
      <c r="CT79" s="382"/>
      <c r="CU79" s="382"/>
      <c r="CV79" s="382"/>
      <c r="CX79" s="382"/>
      <c r="CY79" s="382"/>
      <c r="CZ79" s="382"/>
      <c r="DA79" s="382"/>
      <c r="DC79" s="382"/>
      <c r="DD79" s="382"/>
      <c r="DE79" s="382"/>
      <c r="DF79" s="382"/>
      <c r="DH79" s="382"/>
      <c r="DI79" s="382"/>
      <c r="DJ79" s="382"/>
      <c r="DK79" s="382"/>
      <c r="DM79" s="382"/>
      <c r="DN79" s="382"/>
      <c r="DO79" s="382"/>
      <c r="DP79" s="382"/>
      <c r="DR79" s="382"/>
      <c r="DS79" s="382"/>
      <c r="DT79" s="382"/>
      <c r="DU79" s="382"/>
      <c r="DW79" s="382"/>
      <c r="DX79" s="382"/>
      <c r="DY79" s="382"/>
      <c r="DZ79" s="382"/>
      <c r="EB79" s="382"/>
      <c r="EC79" s="382"/>
      <c r="ED79" s="382"/>
      <c r="EE79" s="382"/>
      <c r="EG79" s="382"/>
      <c r="EH79" s="382"/>
      <c r="EI79" s="382"/>
      <c r="EJ79" s="382"/>
      <c r="EL79" s="382"/>
      <c r="EM79" s="382"/>
      <c r="EN79" s="382"/>
      <c r="EO79" s="382"/>
      <c r="EQ79" s="382"/>
      <c r="ER79" s="382"/>
      <c r="ES79" s="382"/>
      <c r="ET79" s="382"/>
      <c r="EV79" s="382"/>
      <c r="EW79" s="382"/>
      <c r="EX79" s="382"/>
      <c r="EY79" s="382"/>
    </row>
    <row r="80" spans="2:156" hidden="1" outlineLevel="1">
      <c r="B80" s="349" t="s">
        <v>33</v>
      </c>
      <c r="L80" s="55"/>
      <c r="M80" s="55"/>
      <c r="N80" s="55"/>
      <c r="O80" s="55"/>
      <c r="Q80" s="55"/>
      <c r="R80" s="55"/>
      <c r="S80" s="55"/>
      <c r="T80" s="55"/>
      <c r="V80" s="55"/>
      <c r="W80" s="55"/>
      <c r="X80" s="55"/>
      <c r="Y80" s="55"/>
      <c r="AA80" s="55"/>
      <c r="AB80" s="55"/>
      <c r="AC80" s="55"/>
      <c r="AD80" s="55"/>
      <c r="AF80" s="55"/>
      <c r="AG80" s="55"/>
      <c r="AH80" s="55"/>
      <c r="AI80" s="55"/>
      <c r="AK80" s="55"/>
      <c r="AL80" s="55"/>
      <c r="AM80" s="55"/>
      <c r="AN80" s="55"/>
      <c r="AP80" s="55"/>
      <c r="AQ80" s="55"/>
      <c r="AR80" s="55"/>
      <c r="AS80" s="55"/>
      <c r="AU80" s="382"/>
      <c r="AV80" s="382"/>
      <c r="AW80" s="382"/>
      <c r="AX80" s="382"/>
      <c r="AZ80" s="55"/>
      <c r="BA80" s="55"/>
      <c r="BB80" s="55"/>
      <c r="BC80" s="55"/>
      <c r="BE80" s="55"/>
      <c r="BF80" s="55"/>
      <c r="BG80" s="55"/>
      <c r="BH80" s="55"/>
      <c r="BJ80" s="382"/>
      <c r="BK80" s="382"/>
      <c r="BL80" s="382"/>
      <c r="BM80" s="382"/>
      <c r="BO80" s="382"/>
      <c r="BP80" s="382"/>
      <c r="BQ80" s="382"/>
      <c r="BR80" s="382"/>
      <c r="BT80" s="382"/>
      <c r="BU80" s="382"/>
      <c r="BV80" s="382"/>
      <c r="BW80" s="382">
        <v>0</v>
      </c>
      <c r="BX80" s="72"/>
      <c r="BY80" s="382"/>
      <c r="BZ80" s="382"/>
      <c r="CA80" s="391"/>
      <c r="CB80" s="391"/>
      <c r="CD80" s="432">
        <v>0</v>
      </c>
      <c r="CE80" s="430">
        <v>0</v>
      </c>
      <c r="CF80" s="430">
        <v>0</v>
      </c>
      <c r="CG80" s="430">
        <v>0</v>
      </c>
      <c r="CH80" s="77">
        <f>SUM(CD80:CG80)</f>
        <v>0</v>
      </c>
      <c r="CI80" s="430">
        <v>0</v>
      </c>
      <c r="CJ80" s="794">
        <v>0</v>
      </c>
      <c r="CK80" s="430">
        <v>0</v>
      </c>
      <c r="CL80" s="383">
        <f>CM80-CI80-CJ80-CK80</f>
        <v>0</v>
      </c>
      <c r="CM80" s="77">
        <f>CH80*0.9</f>
        <v>0</v>
      </c>
      <c r="CN80" s="383"/>
      <c r="CO80" s="383"/>
      <c r="CP80" s="383"/>
      <c r="CQ80" s="383"/>
      <c r="CR80" s="77">
        <f>CM80*0.9</f>
        <v>0</v>
      </c>
      <c r="CS80" s="383"/>
      <c r="CT80" s="383"/>
      <c r="CU80" s="383"/>
      <c r="CV80" s="383"/>
      <c r="CW80" s="77">
        <f>CR80*0.9</f>
        <v>0</v>
      </c>
      <c r="CX80" s="383"/>
      <c r="CY80" s="383"/>
      <c r="CZ80" s="383"/>
      <c r="DA80" s="383"/>
      <c r="DB80" s="77">
        <f>CW80*0.9</f>
        <v>0</v>
      </c>
      <c r="DC80" s="383"/>
      <c r="DD80" s="383"/>
      <c r="DE80" s="383"/>
      <c r="DF80" s="383"/>
      <c r="DG80" s="77">
        <f>DB80*0.9</f>
        <v>0</v>
      </c>
      <c r="DH80" s="383"/>
      <c r="DI80" s="383"/>
      <c r="DJ80" s="383"/>
      <c r="DK80" s="383"/>
      <c r="DL80" s="77">
        <f>DG80*0.9</f>
        <v>0</v>
      </c>
      <c r="DM80" s="383"/>
      <c r="DN80" s="383"/>
      <c r="DO80" s="383"/>
      <c r="DP80" s="383"/>
      <c r="DQ80" s="77">
        <f>DL80*0.9</f>
        <v>0</v>
      </c>
      <c r="DR80" s="383"/>
      <c r="DS80" s="383"/>
      <c r="DT80" s="383"/>
      <c r="DU80" s="383"/>
      <c r="DV80" s="77">
        <f>DQ80*0.9</f>
        <v>0</v>
      </c>
      <c r="DW80" s="383"/>
      <c r="DX80" s="383"/>
      <c r="DY80" s="383"/>
      <c r="DZ80" s="383"/>
      <c r="EA80" s="77">
        <f>DV80*0.9</f>
        <v>0</v>
      </c>
      <c r="EB80" s="383"/>
      <c r="EC80" s="383"/>
      <c r="ED80" s="383"/>
      <c r="EE80" s="383"/>
      <c r="EF80" s="77">
        <f>EA80*0.9</f>
        <v>0</v>
      </c>
      <c r="EG80" s="383"/>
      <c r="EH80" s="383"/>
      <c r="EI80" s="383"/>
      <c r="EJ80" s="383"/>
      <c r="EK80" s="77">
        <f>EF80*0.9</f>
        <v>0</v>
      </c>
      <c r="EL80" s="383"/>
      <c r="EM80" s="383"/>
      <c r="EN80" s="383"/>
      <c r="EO80" s="383"/>
      <c r="EP80" s="77">
        <f>EK80*0.9</f>
        <v>0</v>
      </c>
      <c r="EQ80" s="383"/>
      <c r="ER80" s="383"/>
      <c r="ES80" s="383"/>
      <c r="ET80" s="383"/>
      <c r="EU80" s="77">
        <f>EP80*0.9</f>
        <v>0</v>
      </c>
      <c r="EV80" s="383"/>
      <c r="EW80" s="383"/>
      <c r="EX80" s="383"/>
      <c r="EY80" s="383"/>
      <c r="EZ80" s="77">
        <f>EU80*0.9</f>
        <v>0</v>
      </c>
    </row>
    <row r="81" spans="2:156" hidden="1" outlineLevel="1">
      <c r="L81" s="55"/>
      <c r="M81" s="55"/>
      <c r="N81" s="55"/>
      <c r="O81" s="55"/>
      <c r="Q81" s="55"/>
      <c r="R81" s="55"/>
      <c r="S81" s="55"/>
      <c r="T81" s="55"/>
      <c r="V81" s="55"/>
      <c r="W81" s="55"/>
      <c r="X81" s="55"/>
      <c r="Y81" s="55"/>
      <c r="AA81" s="55"/>
      <c r="AB81" s="55"/>
      <c r="AC81" s="55"/>
      <c r="AD81" s="55"/>
      <c r="AF81" s="55"/>
      <c r="AG81" s="55"/>
      <c r="AH81" s="55"/>
      <c r="AI81" s="55"/>
      <c r="AK81" s="55"/>
      <c r="AL81" s="55"/>
      <c r="AM81" s="55"/>
      <c r="AN81" s="55"/>
      <c r="AP81" s="55"/>
      <c r="AQ81" s="55"/>
      <c r="AR81" s="55"/>
      <c r="AS81" s="55"/>
      <c r="AU81" s="382"/>
      <c r="AV81" s="382"/>
      <c r="AW81" s="382"/>
      <c r="AX81" s="382"/>
      <c r="AZ81" s="55"/>
      <c r="BA81" s="55"/>
      <c r="BB81" s="55"/>
      <c r="BC81" s="55"/>
      <c r="BE81" s="55"/>
      <c r="BF81" s="55"/>
      <c r="BG81" s="55"/>
      <c r="BH81" s="55"/>
      <c r="BJ81" s="382"/>
      <c r="BK81" s="382"/>
      <c r="BL81" s="382"/>
      <c r="BM81" s="382"/>
      <c r="BO81" s="382"/>
      <c r="BP81" s="382"/>
      <c r="BQ81" s="382"/>
      <c r="BR81" s="382"/>
      <c r="BT81" s="382"/>
      <c r="BU81" s="382"/>
      <c r="BV81" s="382"/>
      <c r="BW81" s="382"/>
      <c r="BY81" s="382"/>
      <c r="BZ81" s="382"/>
      <c r="CA81" s="391"/>
      <c r="CB81" s="391"/>
      <c r="CC81" s="46"/>
      <c r="CD81" s="382"/>
      <c r="CE81" s="382"/>
      <c r="CF81" s="382"/>
      <c r="CG81" s="382"/>
      <c r="CI81" s="382"/>
      <c r="CJ81" s="386"/>
      <c r="CK81" s="382"/>
      <c r="CL81" s="382"/>
      <c r="CN81" s="382"/>
      <c r="CO81" s="382"/>
      <c r="CP81" s="382"/>
      <c r="CQ81" s="382"/>
      <c r="CS81" s="382"/>
      <c r="CT81" s="382"/>
      <c r="CU81" s="382"/>
      <c r="CV81" s="382"/>
      <c r="CX81" s="382"/>
      <c r="CY81" s="382"/>
      <c r="CZ81" s="382"/>
      <c r="DA81" s="382"/>
      <c r="DC81" s="382"/>
      <c r="DD81" s="382"/>
      <c r="DE81" s="382"/>
      <c r="DF81" s="382"/>
      <c r="DH81" s="382"/>
      <c r="DI81" s="382"/>
      <c r="DJ81" s="382"/>
      <c r="DK81" s="382"/>
      <c r="DM81" s="382"/>
      <c r="DN81" s="382"/>
      <c r="DO81" s="382"/>
      <c r="DP81" s="382"/>
      <c r="DR81" s="382"/>
      <c r="DS81" s="382"/>
      <c r="DT81" s="382"/>
      <c r="DU81" s="382"/>
      <c r="DW81" s="382"/>
      <c r="DX81" s="382"/>
      <c r="DY81" s="382"/>
      <c r="DZ81" s="382"/>
      <c r="EB81" s="382"/>
      <c r="EC81" s="382"/>
      <c r="ED81" s="382"/>
      <c r="EE81" s="382"/>
      <c r="EG81" s="382"/>
      <c r="EH81" s="382"/>
      <c r="EI81" s="382"/>
      <c r="EJ81" s="382"/>
      <c r="EL81" s="382"/>
      <c r="EM81" s="382"/>
      <c r="EN81" s="382"/>
      <c r="EO81" s="382"/>
      <c r="EQ81" s="382"/>
      <c r="ER81" s="382"/>
      <c r="ES81" s="382"/>
      <c r="ET81" s="382"/>
      <c r="EV81" s="382"/>
      <c r="EW81" s="382"/>
      <c r="EX81" s="382"/>
      <c r="EY81" s="382"/>
    </row>
    <row r="82" spans="2:156" hidden="1" outlineLevel="1">
      <c r="B82" t="s">
        <v>60</v>
      </c>
      <c r="C82" s="46">
        <f t="shared" ref="C82:BM82" si="41">C52-C44-C53-C58-C63+C72+C74+C78</f>
        <v>384</v>
      </c>
      <c r="D82" s="46">
        <f t="shared" si="41"/>
        <v>320</v>
      </c>
      <c r="E82" s="46">
        <f t="shared" si="41"/>
        <v>538</v>
      </c>
      <c r="F82" s="46">
        <f t="shared" si="41"/>
        <v>680</v>
      </c>
      <c r="G82" s="46">
        <f t="shared" si="41"/>
        <v>644</v>
      </c>
      <c r="H82" s="46">
        <f t="shared" si="41"/>
        <v>864</v>
      </c>
      <c r="I82" s="46">
        <f t="shared" si="41"/>
        <v>1096</v>
      </c>
      <c r="J82" s="46">
        <f t="shared" si="41"/>
        <v>1138</v>
      </c>
      <c r="K82" s="46">
        <f t="shared" si="41"/>
        <v>1119</v>
      </c>
      <c r="L82" s="56">
        <f t="shared" si="41"/>
        <v>342</v>
      </c>
      <c r="M82" s="56">
        <f t="shared" si="41"/>
        <v>412</v>
      </c>
      <c r="N82" s="56">
        <f t="shared" si="41"/>
        <v>-2603</v>
      </c>
      <c r="O82" s="56">
        <f t="shared" si="41"/>
        <v>455</v>
      </c>
      <c r="P82" s="46">
        <f t="shared" si="41"/>
        <v>-1393</v>
      </c>
      <c r="Q82" s="56">
        <f t="shared" si="41"/>
        <v>492</v>
      </c>
      <c r="R82" s="56">
        <f t="shared" si="41"/>
        <v>606</v>
      </c>
      <c r="S82" s="56">
        <f t="shared" si="41"/>
        <v>612</v>
      </c>
      <c r="T82" s="56">
        <f t="shared" si="41"/>
        <v>547</v>
      </c>
      <c r="U82" s="46">
        <f t="shared" si="41"/>
        <v>2258</v>
      </c>
      <c r="V82" s="56">
        <f t="shared" si="41"/>
        <v>690</v>
      </c>
      <c r="W82" s="56">
        <f t="shared" si="41"/>
        <v>748</v>
      </c>
      <c r="X82" s="56">
        <f t="shared" si="41"/>
        <v>236</v>
      </c>
      <c r="Y82" s="56">
        <f t="shared" si="41"/>
        <v>689</v>
      </c>
      <c r="Z82" s="46">
        <f t="shared" si="41"/>
        <v>2363</v>
      </c>
      <c r="AA82" s="56">
        <f t="shared" si="41"/>
        <v>854</v>
      </c>
      <c r="AB82" s="56">
        <f t="shared" si="41"/>
        <v>1029</v>
      </c>
      <c r="AC82" s="56">
        <f t="shared" si="41"/>
        <v>967</v>
      </c>
      <c r="AD82" s="56">
        <f t="shared" si="41"/>
        <v>824</v>
      </c>
      <c r="AE82" s="46">
        <f t="shared" si="41"/>
        <v>3674</v>
      </c>
      <c r="AF82" s="56">
        <f t="shared" si="41"/>
        <v>1001</v>
      </c>
      <c r="AG82" s="56">
        <f t="shared" si="41"/>
        <v>14</v>
      </c>
      <c r="AH82" s="56">
        <f t="shared" si="41"/>
        <v>1102</v>
      </c>
      <c r="AI82" s="56">
        <f t="shared" si="41"/>
        <v>833</v>
      </c>
      <c r="AJ82" s="46">
        <f t="shared" si="41"/>
        <v>2950</v>
      </c>
      <c r="AK82" s="56">
        <f t="shared" si="41"/>
        <v>1111</v>
      </c>
      <c r="AL82" s="56">
        <f t="shared" si="41"/>
        <v>1019</v>
      </c>
      <c r="AM82" s="56">
        <f t="shared" si="41"/>
        <v>201</v>
      </c>
      <c r="AN82" s="56">
        <f t="shared" si="41"/>
        <v>835</v>
      </c>
      <c r="AO82" s="46">
        <f t="shared" si="41"/>
        <v>3166</v>
      </c>
      <c r="AP82" s="56">
        <f t="shared" si="41"/>
        <v>1100</v>
      </c>
      <c r="AQ82" s="56">
        <f t="shared" si="41"/>
        <v>906</v>
      </c>
      <c r="AR82" s="56">
        <f t="shared" si="41"/>
        <v>1121</v>
      </c>
      <c r="AS82" s="56">
        <f t="shared" si="41"/>
        <v>925</v>
      </c>
      <c r="AT82" s="46">
        <f t="shared" si="41"/>
        <v>4052</v>
      </c>
      <c r="AU82" s="391">
        <f t="shared" si="41"/>
        <v>1019</v>
      </c>
      <c r="AV82" s="391">
        <f t="shared" si="41"/>
        <v>1269</v>
      </c>
      <c r="AW82" s="391">
        <f t="shared" si="41"/>
        <v>1386</v>
      </c>
      <c r="AX82" s="391">
        <f t="shared" si="41"/>
        <v>931</v>
      </c>
      <c r="AY82" s="46">
        <f t="shared" si="41"/>
        <v>4605</v>
      </c>
      <c r="AZ82" s="56">
        <f t="shared" si="41"/>
        <v>1167</v>
      </c>
      <c r="BA82" s="56">
        <f t="shared" si="41"/>
        <v>1202</v>
      </c>
      <c r="BB82" s="56">
        <f t="shared" si="41"/>
        <v>1236</v>
      </c>
      <c r="BC82" s="56">
        <f t="shared" si="41"/>
        <v>1022</v>
      </c>
      <c r="BD82" s="46">
        <f t="shared" si="41"/>
        <v>4627</v>
      </c>
      <c r="BE82" s="56">
        <f t="shared" si="41"/>
        <v>1125</v>
      </c>
      <c r="BF82" s="56">
        <f t="shared" si="41"/>
        <v>1170</v>
      </c>
      <c r="BG82" s="56">
        <f t="shared" si="41"/>
        <v>454</v>
      </c>
      <c r="BH82" s="56">
        <f t="shared" si="41"/>
        <v>934</v>
      </c>
      <c r="BI82" s="46">
        <f>BI52-BI44-BI53-BI58-BI63+BI72+BI74+BI78</f>
        <v>3683</v>
      </c>
      <c r="BJ82" s="391">
        <f t="shared" si="41"/>
        <v>1184</v>
      </c>
      <c r="BK82" s="391">
        <f t="shared" si="41"/>
        <v>1266</v>
      </c>
      <c r="BL82" s="391">
        <f t="shared" si="41"/>
        <v>1107</v>
      </c>
      <c r="BM82" s="391">
        <f t="shared" si="41"/>
        <v>787</v>
      </c>
      <c r="BN82" s="46">
        <f>BN52-BN44-BN53-BN58-BN63+BN72+BN74+BN78</f>
        <v>4344</v>
      </c>
      <c r="BO82" s="391">
        <f>BO52-BO44-BO53-BO58-BO63+BO72+BO74+BO78</f>
        <v>1434</v>
      </c>
      <c r="BP82" s="391">
        <f>BP52-BP44-BP53-BP58-BP63+BP72+BP74+BP78</f>
        <v>1258</v>
      </c>
      <c r="BQ82" s="391">
        <f>BQ52-BQ44-BQ53-BQ58-BQ63+BQ72+BQ74+BQ78</f>
        <v>1368</v>
      </c>
      <c r="BR82" s="391">
        <f>BR52-BR44-BR55-BR60-BR65+BR72+BR74+BR78</f>
        <v>1021</v>
      </c>
      <c r="BS82" s="46">
        <f>BS52-BS44-BS53-BS58-BS63+BS72+BS74+BS78-BS55-BS60-BS65</f>
        <v>5081</v>
      </c>
      <c r="BT82" s="391">
        <f>BT52-BT53-BT58-BT63+BT72+BT74+BT78</f>
        <v>1073</v>
      </c>
      <c r="BU82" s="391">
        <f>BU52-BU53-BU58-BU63+BU72+BU74+BU78</f>
        <v>1547</v>
      </c>
      <c r="BV82" s="391">
        <f>BV52-BV53-BV58-BV63+BV72+BV74+BV78</f>
        <v>1244</v>
      </c>
      <c r="BW82" s="391">
        <f>BW52-BW53-BW58-BW63+BW72+BW74+BW78</f>
        <v>1294</v>
      </c>
      <c r="BX82" s="46">
        <f>BX52-BX53-BX58-BX63+BX72+BX74+BX78-BX80</f>
        <v>5158</v>
      </c>
      <c r="BY82" s="391">
        <f>BY52-BY44-BY53-BY58-BY63+BY72+BY74+BY78-BY80</f>
        <v>1623</v>
      </c>
      <c r="BZ82" s="391">
        <f>BZ52-BZ44-BZ53-BZ58-BZ63+BZ72+BZ74+BZ78-BZ80</f>
        <v>1653</v>
      </c>
      <c r="CA82" s="391">
        <f>CA52-CA44-CA53-CA58-CA63+CA72+CA74+CA78-CA80</f>
        <v>1863</v>
      </c>
      <c r="CB82" s="391">
        <f>CB52-CB53-CB58-CB63+CB72+CB74+CB78</f>
        <v>1800</v>
      </c>
      <c r="CC82" s="46">
        <f>CC52-CC53-CC58-CC63+CC72+CC74+CC78</f>
        <v>6939</v>
      </c>
      <c r="CD82" s="391">
        <f>CD52-CD44-CD53-CD58-CD63+CD72+CD74+CD78-CD80</f>
        <v>1900</v>
      </c>
      <c r="CE82" s="391">
        <f>CE52-CE44-CE53-CE58-CE63+CE72+CE74+CE78-CE80</f>
        <v>1870</v>
      </c>
      <c r="CF82" s="391">
        <f>CF52-CF44-CF53-CF58-CF63+CF72+CF74+CF78-CF80</f>
        <v>2017</v>
      </c>
      <c r="CG82" s="391">
        <f>CG52-CG44-CG53-CG58-CG63+CG72+CG74+CG78-CG80</f>
        <v>1935</v>
      </c>
      <c r="CH82" s="46">
        <f>CH52-CH44-CH53-CH58-CH63+CH72+CH74+CH78-CH80</f>
        <v>7722</v>
      </c>
      <c r="CI82" s="391">
        <f t="shared" ref="CI82:CQ82" si="42">CI52-CI44-CI53-CI58-CI63+CI72+CI74+CI78-CI80</f>
        <v>2071</v>
      </c>
      <c r="CJ82" s="391">
        <f t="shared" si="42"/>
        <v>2151</v>
      </c>
      <c r="CK82" s="391">
        <f t="shared" si="42"/>
        <v>2021</v>
      </c>
      <c r="CL82" s="391">
        <f>CL52-CL44-CL53-CL58-CL63+CL72+CL74+CL78-CL80</f>
        <v>-4264</v>
      </c>
      <c r="CM82" s="46">
        <f>CM52-CM44-CM53-CM58-CM63+CM72+CM74+CM78-CM80</f>
        <v>1979</v>
      </c>
      <c r="CN82" s="391">
        <f>CN52-CN53-CN58-CN63-CN72-CN74+CN78</f>
        <v>2311</v>
      </c>
      <c r="CO82" s="391">
        <f t="shared" si="42"/>
        <v>2442.4446621644738</v>
      </c>
      <c r="CP82" s="391">
        <f t="shared" si="42"/>
        <v>2346.9714375719832</v>
      </c>
      <c r="CQ82" s="391">
        <f t="shared" si="42"/>
        <v>2156.7202246095694</v>
      </c>
      <c r="CR82" s="46">
        <f>CR52-CR44-CR53-CR58-CR63+CR72+CR74+CR78-CR80</f>
        <v>9416.1363243460182</v>
      </c>
      <c r="CS82" s="391"/>
      <c r="CT82" s="391"/>
      <c r="CU82" s="391"/>
      <c r="CV82" s="391"/>
      <c r="CW82" s="46">
        <f>CW52-CW44-CW53-CW58-CW63+CW72+CW74+CW78-CW80</f>
        <v>9371.7643023545497</v>
      </c>
      <c r="CX82" s="391"/>
      <c r="CY82" s="391"/>
      <c r="CZ82" s="391"/>
      <c r="DA82" s="391"/>
      <c r="DB82" s="46">
        <f>DB52-DB44-DB53-DB58-DB63+DB72+DB74+DB78-DB80</f>
        <v>9550.0356974465085</v>
      </c>
      <c r="DC82" s="391"/>
      <c r="DD82" s="391"/>
      <c r="DE82" s="391"/>
      <c r="DF82" s="391"/>
      <c r="DG82" s="46">
        <f>DG52-DG44-DG53-DG58-DG63+DG72+DG74+DG78-DG80</f>
        <v>9617.30350399704</v>
      </c>
      <c r="DH82" s="391"/>
      <c r="DI82" s="391"/>
      <c r="DJ82" s="391"/>
      <c r="DK82" s="391"/>
      <c r="DL82" s="46">
        <f>DL52-DL44-DL53-DL58-DL63+DL72+DL74+DL78-DL80</f>
        <v>10318.599677992208</v>
      </c>
      <c r="DM82" s="391"/>
      <c r="DN82" s="391"/>
      <c r="DO82" s="391"/>
      <c r="DP82" s="391"/>
      <c r="DQ82" s="46">
        <f>DQ52-DQ44-DQ53-DQ58-DQ63+DQ72+DQ74+DQ78-DQ80</f>
        <v>11049.061372902079</v>
      </c>
      <c r="DR82" s="391"/>
      <c r="DS82" s="391"/>
      <c r="DT82" s="391"/>
      <c r="DU82" s="391"/>
      <c r="DV82" s="46">
        <f>DV52-DV44-DV53-DV58-DV63+DV72+DV74+DV78-DV80</f>
        <v>11643.636515095823</v>
      </c>
      <c r="DW82" s="391"/>
      <c r="DX82" s="391"/>
      <c r="DY82" s="391"/>
      <c r="DZ82" s="391"/>
      <c r="EA82" s="46">
        <f>EA52-EA44-EA53-EA58-EA63+EA72+EA74+EA78-EA80</f>
        <v>11954.762553237999</v>
      </c>
      <c r="EB82" s="391"/>
      <c r="EC82" s="391"/>
      <c r="ED82" s="391"/>
      <c r="EE82" s="391"/>
      <c r="EF82" s="46">
        <f>EF52-EF44-EF53-EF58-EF63+EF72+EF74+EF78-EF80</f>
        <v>11882.292419693169</v>
      </c>
      <c r="EG82" s="391"/>
      <c r="EH82" s="391"/>
      <c r="EI82" s="391"/>
      <c r="EJ82" s="391"/>
      <c r="EK82" s="46">
        <f>EK52-EK44-EK53-EK58-EK63+EK72+EK74+EK78-EK80</f>
        <v>11884.014868212416</v>
      </c>
      <c r="EL82" s="391"/>
      <c r="EM82" s="391"/>
      <c r="EN82" s="391"/>
      <c r="EO82" s="391"/>
      <c r="EP82" s="46">
        <f>EP52-EP44-EP53-EP58-EP63+EP72+EP74+EP78-EP80</f>
        <v>10666.69045068792</v>
      </c>
      <c r="EQ82" s="391"/>
      <c r="ER82" s="391"/>
      <c r="ES82" s="391"/>
      <c r="ET82" s="391"/>
      <c r="EU82" s="46">
        <f>EU52-EU44-EU53-EU58-EU63+EU72+EU74+EU78-EU80</f>
        <v>10195.366121890689</v>
      </c>
      <c r="EV82" s="391"/>
      <c r="EW82" s="391"/>
      <c r="EX82" s="391"/>
      <c r="EY82" s="391"/>
      <c r="EZ82" s="46">
        <f>EZ52-EZ44-EZ53-EZ58-EZ63+EZ72+EZ74+EZ78-EZ80</f>
        <v>9900.3835891533763</v>
      </c>
    </row>
    <row r="83" spans="2:156" hidden="1" outlineLevel="1">
      <c r="C83" s="46"/>
      <c r="D83" s="32"/>
      <c r="E83" s="32"/>
      <c r="F83" s="32"/>
      <c r="G83" s="32"/>
      <c r="H83" s="32"/>
      <c r="I83" s="32"/>
      <c r="J83" s="32"/>
      <c r="K83" s="32"/>
      <c r="L83" s="52"/>
      <c r="M83" s="52"/>
      <c r="N83" s="52"/>
      <c r="O83" s="52"/>
      <c r="P83" s="32"/>
      <c r="Q83" s="52"/>
      <c r="R83" s="52"/>
      <c r="S83" s="52"/>
      <c r="T83" s="52"/>
      <c r="U83" s="32"/>
      <c r="V83" s="52"/>
      <c r="W83" s="52"/>
      <c r="X83" s="52"/>
      <c r="Y83" s="52"/>
      <c r="Z83" s="32"/>
      <c r="AA83" s="52"/>
      <c r="AB83" s="52"/>
      <c r="AC83" s="52"/>
      <c r="AD83" s="52"/>
      <c r="AE83" s="32"/>
      <c r="AF83" s="52"/>
      <c r="AG83" s="52"/>
      <c r="AH83" s="52"/>
      <c r="AI83" s="52"/>
      <c r="AJ83" s="32"/>
      <c r="AK83" s="52"/>
      <c r="AL83" s="52"/>
      <c r="AM83" s="52"/>
      <c r="AN83" s="52"/>
      <c r="AO83" s="32"/>
      <c r="AP83" s="52"/>
      <c r="AQ83" s="52"/>
      <c r="AR83" s="52"/>
      <c r="AS83" s="52"/>
      <c r="AT83" s="32"/>
      <c r="AU83" s="392"/>
      <c r="AV83" s="392"/>
      <c r="AW83" s="392"/>
      <c r="AX83" s="392"/>
      <c r="AY83" s="32"/>
      <c r="AZ83" s="52"/>
      <c r="BA83" s="52"/>
      <c r="BB83" s="52"/>
      <c r="BC83" s="52"/>
      <c r="BD83" s="32"/>
      <c r="BE83" s="52"/>
      <c r="BF83" s="52"/>
      <c r="BG83" s="52"/>
      <c r="BH83" s="52"/>
      <c r="BI83" s="32"/>
      <c r="BJ83" s="392"/>
      <c r="BK83" s="392"/>
      <c r="BL83" s="392"/>
      <c r="BM83" s="392"/>
      <c r="BN83" s="32"/>
      <c r="BO83" s="392"/>
      <c r="BP83" s="392"/>
      <c r="BQ83" s="392"/>
      <c r="BR83" s="382"/>
      <c r="BS83" s="32"/>
      <c r="BT83" s="392"/>
      <c r="BU83" s="392"/>
      <c r="BV83" s="392"/>
      <c r="BW83" s="382"/>
      <c r="BX83" s="32"/>
      <c r="BY83" s="392"/>
      <c r="BZ83" s="392"/>
      <c r="CA83" s="392"/>
      <c r="CB83" s="386"/>
      <c r="CC83" s="32"/>
      <c r="CD83" s="392"/>
      <c r="CE83" s="392"/>
      <c r="CF83" s="392"/>
      <c r="CG83" s="382"/>
      <c r="CH83" s="32"/>
      <c r="CI83" s="392"/>
      <c r="CJ83" s="386"/>
      <c r="CK83" s="392"/>
      <c r="CL83" s="382"/>
      <c r="CM83" s="32"/>
      <c r="CN83" s="382"/>
      <c r="CO83" s="392"/>
      <c r="CP83" s="392"/>
      <c r="CQ83" s="382"/>
      <c r="CR83" s="32"/>
      <c r="CS83" s="392"/>
      <c r="CT83" s="392"/>
      <c r="CU83" s="392"/>
      <c r="CV83" s="382"/>
      <c r="CW83" s="32"/>
      <c r="CX83" s="392"/>
      <c r="CY83" s="392"/>
      <c r="CZ83" s="392"/>
      <c r="DA83" s="382"/>
      <c r="DB83" s="32"/>
      <c r="DC83" s="392"/>
      <c r="DD83" s="392"/>
      <c r="DE83" s="392"/>
      <c r="DF83" s="382"/>
      <c r="DG83" s="32"/>
      <c r="DH83" s="392"/>
      <c r="DI83" s="392"/>
      <c r="DJ83" s="392"/>
      <c r="DK83" s="382"/>
      <c r="DM83" s="392"/>
      <c r="DN83" s="392"/>
      <c r="DO83" s="392"/>
      <c r="DP83" s="382"/>
      <c r="DR83" s="392"/>
      <c r="DS83" s="392"/>
      <c r="DT83" s="392"/>
      <c r="DU83" s="382"/>
      <c r="DW83" s="392"/>
      <c r="DX83" s="392"/>
      <c r="DY83" s="392"/>
      <c r="DZ83" s="382"/>
      <c r="EB83" s="392"/>
      <c r="EC83" s="392"/>
      <c r="ED83" s="392"/>
      <c r="EE83" s="382"/>
      <c r="EG83" s="392"/>
      <c r="EH83" s="392"/>
      <c r="EI83" s="392"/>
      <c r="EJ83" s="382"/>
      <c r="EL83" s="392"/>
      <c r="EM83" s="392"/>
      <c r="EN83" s="392"/>
      <c r="EO83" s="382"/>
      <c r="EQ83" s="392"/>
      <c r="ER83" s="392"/>
      <c r="ES83" s="392"/>
      <c r="ET83" s="382"/>
      <c r="EV83" s="392"/>
      <c r="EW83" s="392"/>
      <c r="EX83" s="392"/>
      <c r="EY83" s="382"/>
    </row>
    <row r="84" spans="2:156" collapsed="1">
      <c r="B84" t="s">
        <v>82</v>
      </c>
      <c r="C84" s="45">
        <f t="shared" ref="C84:AH84" si="43">C82/C87</f>
        <v>0.33246753246753247</v>
      </c>
      <c r="D84" s="45">
        <f t="shared" si="43"/>
        <v>0.283436669619132</v>
      </c>
      <c r="E84" s="45">
        <f t="shared" si="43"/>
        <v>0.4715162138475022</v>
      </c>
      <c r="F84" s="45">
        <f t="shared" si="43"/>
        <v>0.60552092609082819</v>
      </c>
      <c r="G84" s="45">
        <f t="shared" si="43"/>
        <v>0.5859872611464968</v>
      </c>
      <c r="H84" s="45">
        <f t="shared" si="43"/>
        <v>0.81740775780510877</v>
      </c>
      <c r="I84" s="45">
        <f t="shared" si="43"/>
        <v>1.0166975881261595</v>
      </c>
      <c r="J84" s="45">
        <f t="shared" si="43"/>
        <v>1.0488479262672812</v>
      </c>
      <c r="K84" s="45">
        <f t="shared" si="43"/>
        <v>1.0322878228782288</v>
      </c>
      <c r="L84" s="57">
        <f t="shared" si="43"/>
        <v>0.31491712707182318</v>
      </c>
      <c r="M84" s="57">
        <f t="shared" si="43"/>
        <v>0.37488626023657873</v>
      </c>
      <c r="N84" s="57">
        <f t="shared" si="43"/>
        <v>-2.0958132045088567</v>
      </c>
      <c r="O84" s="57">
        <f t="shared" si="43"/>
        <v>0.33778767631774315</v>
      </c>
      <c r="P84" s="45">
        <f t="shared" si="43"/>
        <v>-1.207105719237435</v>
      </c>
      <c r="Q84" s="57">
        <f t="shared" si="43"/>
        <v>0.36444444444444446</v>
      </c>
      <c r="R84" s="57">
        <f t="shared" si="43"/>
        <v>0.44988864142538976</v>
      </c>
      <c r="S84" s="57">
        <f t="shared" si="43"/>
        <v>0.45400593471810091</v>
      </c>
      <c r="T84" s="57">
        <f t="shared" si="43"/>
        <v>0.40820895522388062</v>
      </c>
      <c r="U84" s="45">
        <f t="shared" si="43"/>
        <v>1.6775631500742942</v>
      </c>
      <c r="V84" s="57">
        <f t="shared" si="43"/>
        <v>0.51801801801801806</v>
      </c>
      <c r="W84" s="57">
        <f t="shared" si="43"/>
        <v>0.56752655538694996</v>
      </c>
      <c r="X84" s="57">
        <f t="shared" si="43"/>
        <v>0.1787878787878788</v>
      </c>
      <c r="Y84" s="57">
        <f t="shared" si="43"/>
        <v>0.5259541984732824</v>
      </c>
      <c r="Z84" s="45">
        <f t="shared" si="43"/>
        <v>1.790151515151515</v>
      </c>
      <c r="AA84" s="57">
        <f t="shared" si="43"/>
        <v>0.66201550387596897</v>
      </c>
      <c r="AB84" s="57">
        <f t="shared" si="43"/>
        <v>0.82320000000000004</v>
      </c>
      <c r="AC84" s="57">
        <f t="shared" si="43"/>
        <v>0.77421937550040032</v>
      </c>
      <c r="AD84" s="57">
        <f t="shared" si="43"/>
        <v>0.66291230893000808</v>
      </c>
      <c r="AE84" s="45">
        <f t="shared" si="43"/>
        <v>2.9205087440381559</v>
      </c>
      <c r="AF84" s="57">
        <f t="shared" si="43"/>
        <v>0.82183908045977017</v>
      </c>
      <c r="AG84" s="57">
        <f t="shared" si="43"/>
        <v>1.1814345991561181E-2</v>
      </c>
      <c r="AH84" s="57">
        <f t="shared" si="43"/>
        <v>0.93548387096774188</v>
      </c>
      <c r="AI84" s="57">
        <f t="shared" ref="AI84:BS84" si="44">AI82/AI87</f>
        <v>0.70593220338983054</v>
      </c>
      <c r="AJ84" s="45">
        <f t="shared" si="44"/>
        <v>2.4789915966386555</v>
      </c>
      <c r="AK84" s="57">
        <f t="shared" si="44"/>
        <v>0.94392523364485981</v>
      </c>
      <c r="AL84" s="57">
        <f t="shared" si="44"/>
        <v>0.8985890652557319</v>
      </c>
      <c r="AM84" s="57">
        <f t="shared" si="44"/>
        <v>0.18440366972477065</v>
      </c>
      <c r="AN84" s="57">
        <f t="shared" si="44"/>
        <v>0.7646520146520146</v>
      </c>
      <c r="AO84" s="45">
        <f t="shared" si="44"/>
        <v>2.8192341941228851</v>
      </c>
      <c r="AP84" s="57">
        <f t="shared" si="44"/>
        <v>1.0073260073260073</v>
      </c>
      <c r="AQ84" s="57">
        <f t="shared" si="44"/>
        <v>0.83811285846438488</v>
      </c>
      <c r="AR84" s="57">
        <f t="shared" si="44"/>
        <v>1.0535714285714286</v>
      </c>
      <c r="AS84" s="57">
        <f t="shared" si="44"/>
        <v>0.87181903864278987</v>
      </c>
      <c r="AT84" s="45">
        <f t="shared" si="44"/>
        <v>3.7693023255813953</v>
      </c>
      <c r="AU84" s="386">
        <f t="shared" si="44"/>
        <v>0.98264223722275801</v>
      </c>
      <c r="AV84" s="386">
        <f t="shared" si="44"/>
        <v>1.247787610619469</v>
      </c>
      <c r="AW84" s="386">
        <f t="shared" si="44"/>
        <v>1.3561643835616439</v>
      </c>
      <c r="AX84" s="386">
        <f t="shared" si="44"/>
        <v>0.9208704253214639</v>
      </c>
      <c r="AY84" s="45">
        <f t="shared" si="44"/>
        <v>4.5102840352595495</v>
      </c>
      <c r="AZ84" s="57">
        <f t="shared" si="44"/>
        <v>1.1811740890688258</v>
      </c>
      <c r="BA84" s="57">
        <f t="shared" si="44"/>
        <v>1.2468879668049793</v>
      </c>
      <c r="BB84" s="57">
        <f t="shared" si="44"/>
        <v>1.2848232848232848</v>
      </c>
      <c r="BC84" s="57">
        <f t="shared" si="44"/>
        <v>1.080338266384778</v>
      </c>
      <c r="BD84" s="45">
        <f t="shared" si="44"/>
        <v>4.7948186528497407</v>
      </c>
      <c r="BE84" s="57">
        <f t="shared" si="44"/>
        <v>1.1955366631243358</v>
      </c>
      <c r="BF84" s="57">
        <f t="shared" si="44"/>
        <v>1.2513368983957218</v>
      </c>
      <c r="BG84" s="57">
        <f t="shared" si="44"/>
        <v>0.49671772428884026</v>
      </c>
      <c r="BH84" s="57">
        <f t="shared" si="44"/>
        <v>1.0847851335656213</v>
      </c>
      <c r="BI84" s="45">
        <f t="shared" si="44"/>
        <v>4.0339539978094194</v>
      </c>
      <c r="BJ84" s="386">
        <f t="shared" si="44"/>
        <v>1.48</v>
      </c>
      <c r="BK84" s="386">
        <f t="shared" si="44"/>
        <v>1.6127388535031848</v>
      </c>
      <c r="BL84" s="386">
        <f t="shared" si="44"/>
        <v>1.4137931034482758</v>
      </c>
      <c r="BM84" s="386">
        <f t="shared" si="44"/>
        <v>1.0115681233933163</v>
      </c>
      <c r="BN84" s="45">
        <f t="shared" si="44"/>
        <v>5.5196950444726811</v>
      </c>
      <c r="BO84" s="386">
        <f t="shared" si="44"/>
        <v>1.8769633507853403</v>
      </c>
      <c r="BP84" s="386">
        <f t="shared" si="44"/>
        <v>1.6465968586387434</v>
      </c>
      <c r="BQ84" s="386">
        <f t="shared" si="44"/>
        <v>1.7859007832898173</v>
      </c>
      <c r="BR84" s="386">
        <f t="shared" si="44"/>
        <v>1.3328981723237598</v>
      </c>
      <c r="BS84" s="45">
        <f t="shared" si="44"/>
        <v>6.6418300653594775</v>
      </c>
      <c r="BT84" s="386">
        <f t="shared" ref="BT84:CQ84" si="45">BT82/BT87</f>
        <v>1.3971354166666667</v>
      </c>
      <c r="BU84" s="386">
        <f t="shared" si="45"/>
        <v>2.0143229166666665</v>
      </c>
      <c r="BV84" s="386">
        <f t="shared" si="45"/>
        <v>1.6134889753566797</v>
      </c>
      <c r="BW84" s="386">
        <f t="shared" si="45"/>
        <v>1.6761658031088082</v>
      </c>
      <c r="BX84" s="45">
        <f t="shared" si="45"/>
        <v>6.7008769080870412</v>
      </c>
      <c r="BY84" s="386">
        <f t="shared" si="45"/>
        <v>2.1077922077922078</v>
      </c>
      <c r="BZ84" s="386">
        <f t="shared" si="45"/>
        <v>2.15234375</v>
      </c>
      <c r="CA84" s="386">
        <f t="shared" si="45"/>
        <v>2.4384816753926701</v>
      </c>
      <c r="CB84" s="386">
        <f t="shared" si="45"/>
        <v>2.3653088042049935</v>
      </c>
      <c r="CC84" s="45">
        <f t="shared" si="45"/>
        <v>9.0617042115572968</v>
      </c>
      <c r="CD84" s="386">
        <f t="shared" si="45"/>
        <v>2.5</v>
      </c>
      <c r="CE84" s="386">
        <f t="shared" si="45"/>
        <v>2.4735449735449735</v>
      </c>
      <c r="CF84" s="386">
        <f t="shared" si="45"/>
        <v>2.6786188579017263</v>
      </c>
      <c r="CG84" s="386">
        <f t="shared" si="45"/>
        <v>2.5868983957219251</v>
      </c>
      <c r="CH84" s="45">
        <f t="shared" si="45"/>
        <v>10.237984753065959</v>
      </c>
      <c r="CI84" s="386">
        <f t="shared" si="45"/>
        <v>2.7948717948717947</v>
      </c>
      <c r="CJ84" s="386">
        <f t="shared" si="45"/>
        <v>2.9146341463414633</v>
      </c>
      <c r="CK84" s="386">
        <f t="shared" si="45"/>
        <v>2.7571623465211461</v>
      </c>
      <c r="CL84" s="386">
        <f t="shared" si="45"/>
        <v>-5.8895027624309391</v>
      </c>
      <c r="CM84" s="45">
        <f>CM82/CM87</f>
        <v>2.696185286103542</v>
      </c>
      <c r="CN84" s="386">
        <f t="shared" si="45"/>
        <v>3.2503516174402249</v>
      </c>
      <c r="CO84" s="386">
        <f t="shared" si="45"/>
        <v>3.5865560384206665</v>
      </c>
      <c r="CP84" s="386">
        <f t="shared" si="45"/>
        <v>3.5777003621524135</v>
      </c>
      <c r="CQ84" s="386">
        <f t="shared" si="45"/>
        <v>3.3103917492088555</v>
      </c>
      <c r="CR84" s="45">
        <f>CR82/CR87</f>
        <v>13.952415372248222</v>
      </c>
      <c r="CS84" s="386"/>
      <c r="CT84" s="386"/>
      <c r="CU84" s="386"/>
      <c r="CV84" s="386"/>
      <c r="CW84" s="45">
        <f>CW82/CW87</f>
        <v>14.506801170553276</v>
      </c>
      <c r="CX84" s="386"/>
      <c r="CY84" s="386"/>
      <c r="CZ84" s="386"/>
      <c r="DA84" s="386"/>
      <c r="DB84" s="45">
        <f>DB82/DB87</f>
        <v>15.107959400418851</v>
      </c>
      <c r="DC84" s="386"/>
      <c r="DD84" s="386"/>
      <c r="DE84" s="386"/>
      <c r="DF84" s="386"/>
      <c r="DG84" s="45">
        <f>DG82/DG87</f>
        <v>15.627096349373407</v>
      </c>
      <c r="DH84" s="386"/>
      <c r="DI84" s="386"/>
      <c r="DJ84" s="386"/>
      <c r="DK84" s="386"/>
      <c r="DL84" s="45">
        <f>DL82/DL87</f>
        <v>17.224433272044365</v>
      </c>
      <c r="DM84" s="386"/>
      <c r="DN84" s="386"/>
      <c r="DO84" s="386"/>
      <c r="DP84" s="386"/>
      <c r="DQ84" s="45">
        <f>DQ82/DQ87</f>
        <v>18.932101800097357</v>
      </c>
      <c r="DR84" s="386"/>
      <c r="DS84" s="386"/>
      <c r="DT84" s="386"/>
      <c r="DU84" s="386"/>
      <c r="DV84" s="45">
        <f>DV82/DV87</f>
        <v>20.45949142982116</v>
      </c>
      <c r="DW84" s="386"/>
      <c r="DX84" s="386"/>
      <c r="DY84" s="386"/>
      <c r="DZ84" s="386"/>
      <c r="EA84" s="45">
        <f>EA82/EA87</f>
        <v>21.518131379411418</v>
      </c>
      <c r="EB84" s="386"/>
      <c r="EC84" s="386"/>
      <c r="ED84" s="386"/>
      <c r="EE84" s="386"/>
      <c r="EF84" s="45">
        <f>EF82/EF87</f>
        <v>21.882253007172974</v>
      </c>
      <c r="EG84" s="386"/>
      <c r="EH84" s="386"/>
      <c r="EI84" s="386"/>
      <c r="EJ84" s="386"/>
      <c r="EK84" s="45">
        <f>EK82/EK87</f>
        <v>22.277154789323916</v>
      </c>
      <c r="EL84" s="386"/>
      <c r="EM84" s="386"/>
      <c r="EN84" s="386"/>
      <c r="EO84" s="386"/>
      <c r="EP84" s="45">
        <f>EP82/EP87</f>
        <v>20.262570793507503</v>
      </c>
      <c r="EQ84" s="386"/>
      <c r="ER84" s="386"/>
      <c r="ES84" s="386"/>
      <c r="ET84" s="386"/>
      <c r="EU84" s="45">
        <f>EU82/EU87</f>
        <v>19.629915134161465</v>
      </c>
      <c r="EV84" s="386"/>
      <c r="EW84" s="386"/>
      <c r="EX84" s="386"/>
      <c r="EY84" s="386"/>
      <c r="EZ84" s="45">
        <f>EZ82/EZ87</f>
        <v>19.324187823171567</v>
      </c>
    </row>
    <row r="85" spans="2:156">
      <c r="C85" s="34"/>
      <c r="D85" s="34"/>
      <c r="E85" s="34"/>
      <c r="F85" s="34"/>
      <c r="G85" s="34"/>
      <c r="H85" s="34"/>
      <c r="I85" s="34"/>
      <c r="J85" s="34"/>
      <c r="K85" s="34"/>
      <c r="L85" s="54"/>
      <c r="M85" s="54"/>
      <c r="N85" s="54"/>
      <c r="O85" s="54"/>
      <c r="P85" s="34"/>
      <c r="Q85" s="54"/>
      <c r="R85" s="54"/>
      <c r="S85" s="54"/>
      <c r="T85" s="54"/>
      <c r="U85" s="34"/>
      <c r="V85" s="54"/>
      <c r="W85" s="54"/>
      <c r="X85" s="54"/>
      <c r="Y85" s="54"/>
      <c r="Z85" s="34"/>
      <c r="AA85" s="54"/>
      <c r="AB85" s="54"/>
      <c r="AC85" s="54"/>
      <c r="AD85" s="54"/>
      <c r="AE85" s="34"/>
      <c r="AF85" s="54"/>
      <c r="AG85" s="54"/>
      <c r="AH85" s="54"/>
      <c r="AI85" s="54"/>
      <c r="AJ85" s="34"/>
      <c r="AK85" s="54"/>
      <c r="AL85" s="54"/>
      <c r="AM85" s="54"/>
      <c r="AN85" s="54"/>
      <c r="AO85" s="34"/>
      <c r="AP85" s="54"/>
      <c r="AQ85" s="54"/>
      <c r="AR85" s="54"/>
      <c r="AS85" s="54"/>
      <c r="AT85" s="34"/>
      <c r="AU85" s="389"/>
      <c r="AV85" s="389"/>
      <c r="AW85" s="389"/>
      <c r="AX85" s="389"/>
      <c r="AY85" s="34"/>
      <c r="AZ85" s="54"/>
      <c r="BA85" s="54"/>
      <c r="BB85" s="54"/>
      <c r="BC85" s="54"/>
      <c r="BD85" s="34"/>
      <c r="BE85" s="54"/>
      <c r="BF85" s="54"/>
      <c r="BG85" s="54"/>
      <c r="BH85" s="54"/>
      <c r="BI85" s="34"/>
      <c r="BJ85" s="389"/>
      <c r="BK85" s="389"/>
      <c r="BL85" s="389"/>
      <c r="BM85" s="389"/>
      <c r="BN85" s="34"/>
      <c r="BO85" s="389"/>
      <c r="BP85" s="389"/>
      <c r="BQ85" s="389"/>
      <c r="BR85" s="382"/>
      <c r="BT85" s="382"/>
      <c r="BU85" s="382"/>
      <c r="BV85" s="382"/>
      <c r="BW85" s="382"/>
      <c r="BX85" s="239"/>
      <c r="BY85" s="382"/>
      <c r="BZ85" s="382"/>
      <c r="CA85" s="392"/>
      <c r="CB85" s="386"/>
      <c r="CC85" s="32"/>
      <c r="CD85" s="382"/>
      <c r="CE85" s="382"/>
      <c r="CF85" s="382"/>
      <c r="CG85" s="382"/>
      <c r="CH85" s="239"/>
      <c r="CI85" s="382"/>
      <c r="CJ85" s="382"/>
      <c r="CK85" s="382"/>
      <c r="CL85" s="382"/>
      <c r="CM85" s="239"/>
      <c r="CN85" s="383"/>
      <c r="CO85" s="382"/>
      <c r="CP85" s="382"/>
      <c r="CQ85" s="382"/>
      <c r="CR85" s="239"/>
      <c r="CS85" s="382"/>
      <c r="CT85" s="382"/>
      <c r="CU85" s="382"/>
      <c r="CV85" s="382"/>
      <c r="CW85" s="239"/>
      <c r="CX85" s="382"/>
      <c r="CY85" s="382"/>
      <c r="CZ85" s="382"/>
      <c r="DA85" s="382"/>
      <c r="DB85" s="239"/>
      <c r="DC85" s="382"/>
      <c r="DD85" s="382"/>
      <c r="DE85" s="382"/>
      <c r="DF85" s="382"/>
      <c r="DG85" s="239"/>
      <c r="DH85" s="382"/>
      <c r="DI85" s="382"/>
      <c r="DJ85" s="382"/>
      <c r="DK85" s="382"/>
      <c r="DM85" s="382"/>
      <c r="DN85" s="382"/>
      <c r="DO85" s="382"/>
      <c r="DP85" s="382"/>
      <c r="DR85" s="382"/>
      <c r="DS85" s="382"/>
      <c r="DT85" s="382"/>
      <c r="DU85" s="382"/>
      <c r="DW85" s="382"/>
      <c r="DX85" s="382"/>
      <c r="DY85" s="382"/>
      <c r="DZ85" s="382"/>
      <c r="EB85" s="382"/>
      <c r="EC85" s="382"/>
      <c r="ED85" s="382"/>
      <c r="EE85" s="382"/>
      <c r="EG85" s="382"/>
      <c r="EH85" s="382"/>
      <c r="EI85" s="382"/>
      <c r="EJ85" s="382"/>
      <c r="EL85" s="382"/>
      <c r="EM85" s="382"/>
      <c r="EN85" s="382"/>
      <c r="EO85" s="382"/>
      <c r="EQ85" s="382"/>
      <c r="ER85" s="382"/>
      <c r="ES85" s="382"/>
      <c r="ET85" s="382"/>
      <c r="EV85" s="382"/>
      <c r="EW85" s="382"/>
      <c r="EX85" s="382"/>
      <c r="EY85" s="382"/>
    </row>
    <row r="86" spans="2:156">
      <c r="B86" t="s">
        <v>37</v>
      </c>
      <c r="C86" s="1">
        <v>1149</v>
      </c>
      <c r="D86" s="1">
        <v>1118</v>
      </c>
      <c r="E86" s="1">
        <v>1123</v>
      </c>
      <c r="F86" s="1">
        <v>1060</v>
      </c>
      <c r="G86" s="1">
        <v>1057</v>
      </c>
      <c r="H86" s="1">
        <v>1020</v>
      </c>
      <c r="I86" s="1">
        <v>1022</v>
      </c>
      <c r="J86" s="1">
        <v>1030</v>
      </c>
      <c r="K86" s="1">
        <v>1046</v>
      </c>
      <c r="L86" s="48">
        <v>1044</v>
      </c>
      <c r="M86" s="48">
        <v>1039</v>
      </c>
      <c r="N86" s="48">
        <v>1242</v>
      </c>
      <c r="O86" s="48">
        <v>1286</v>
      </c>
      <c r="P86" s="1">
        <v>1154</v>
      </c>
      <c r="Q86" s="48">
        <v>1291</v>
      </c>
      <c r="R86" s="48">
        <v>1288</v>
      </c>
      <c r="S86" s="48">
        <v>1289</v>
      </c>
      <c r="T86" s="48">
        <v>1285</v>
      </c>
      <c r="U86" s="1">
        <v>1288</v>
      </c>
      <c r="V86" s="48">
        <v>1279</v>
      </c>
      <c r="W86" s="48">
        <v>1268</v>
      </c>
      <c r="X86" s="48">
        <v>1272</v>
      </c>
      <c r="Y86" s="48">
        <v>1263</v>
      </c>
      <c r="Z86" s="1">
        <v>1271</v>
      </c>
      <c r="AA86" s="48">
        <v>1249</v>
      </c>
      <c r="AB86" s="48">
        <v>1233</v>
      </c>
      <c r="AC86" s="48">
        <v>1233</v>
      </c>
      <c r="AD86" s="48">
        <v>1229</v>
      </c>
      <c r="AE86" s="1">
        <v>1236</v>
      </c>
      <c r="AF86" s="48">
        <v>1202</v>
      </c>
      <c r="AG86" s="48">
        <v>1173</v>
      </c>
      <c r="AH86" s="48">
        <v>1167</v>
      </c>
      <c r="AI86" s="48">
        <v>1165</v>
      </c>
      <c r="AJ86" s="1">
        <v>1176</v>
      </c>
      <c r="AK86" s="48">
        <v>1167</v>
      </c>
      <c r="AL86" s="48">
        <v>1129</v>
      </c>
      <c r="AM86" s="48">
        <v>1086</v>
      </c>
      <c r="AN86" s="48">
        <v>1087</v>
      </c>
      <c r="AO86" s="1">
        <v>1117</v>
      </c>
      <c r="AP86" s="48">
        <v>1089</v>
      </c>
      <c r="AQ86" s="48">
        <v>1078</v>
      </c>
      <c r="AR86" s="48">
        <v>1058</v>
      </c>
      <c r="AS86" s="48">
        <v>1055</v>
      </c>
      <c r="AT86" s="1">
        <v>1070</v>
      </c>
      <c r="AU86" s="379">
        <v>1032</v>
      </c>
      <c r="AV86" s="379">
        <v>1013</v>
      </c>
      <c r="AW86" s="379">
        <v>1016</v>
      </c>
      <c r="AX86" s="379">
        <v>1006</v>
      </c>
      <c r="AY86" s="1">
        <v>1016</v>
      </c>
      <c r="AZ86" s="48">
        <v>982</v>
      </c>
      <c r="BA86" s="48">
        <v>959</v>
      </c>
      <c r="BB86" s="48">
        <v>958</v>
      </c>
      <c r="BC86" s="55">
        <v>940</v>
      </c>
      <c r="BD86">
        <v>960</v>
      </c>
      <c r="BE86" s="55">
        <v>933</v>
      </c>
      <c r="BF86" s="55">
        <v>927</v>
      </c>
      <c r="BG86" s="55">
        <v>907</v>
      </c>
      <c r="BH86" s="55">
        <v>854</v>
      </c>
      <c r="BI86">
        <v>905</v>
      </c>
      <c r="BJ86" s="382">
        <v>791</v>
      </c>
      <c r="BK86" s="382">
        <v>776</v>
      </c>
      <c r="BL86" s="382">
        <v>771</v>
      </c>
      <c r="BM86" s="382">
        <v>763</v>
      </c>
      <c r="BN86">
        <v>775</v>
      </c>
      <c r="BO86" s="382">
        <v>751</v>
      </c>
      <c r="BP86" s="382">
        <v>752</v>
      </c>
      <c r="BQ86" s="382">
        <v>754</v>
      </c>
      <c r="BR86" s="430">
        <v>754</v>
      </c>
      <c r="BS86" s="77">
        <v>753</v>
      </c>
      <c r="BT86" s="430">
        <v>757</v>
      </c>
      <c r="BU86" s="430">
        <v>759</v>
      </c>
      <c r="BV86" s="430">
        <v>761</v>
      </c>
      <c r="BW86" s="430">
        <v>761</v>
      </c>
      <c r="BX86" s="640">
        <v>759</v>
      </c>
      <c r="BY86" s="430">
        <v>761</v>
      </c>
      <c r="BZ86" s="430">
        <v>760</v>
      </c>
      <c r="CA86" s="430">
        <v>757</v>
      </c>
      <c r="CB86" s="430">
        <v>754</v>
      </c>
      <c r="CC86" s="77">
        <f>AVERAGE(BY86:CB86)</f>
        <v>758</v>
      </c>
      <c r="CD86" s="430">
        <v>753</v>
      </c>
      <c r="CE86" s="430">
        <v>751</v>
      </c>
      <c r="CF86" s="430">
        <v>747</v>
      </c>
      <c r="CG86" s="430">
        <v>742</v>
      </c>
      <c r="CH86" s="77">
        <f>AVERAGE(CD86:CG86)</f>
        <v>748.25</v>
      </c>
      <c r="CI86" s="430">
        <v>737</v>
      </c>
      <c r="CJ86" s="430">
        <v>734</v>
      </c>
      <c r="CK86" s="430">
        <v>728</v>
      </c>
      <c r="CL86" s="430">
        <v>724</v>
      </c>
      <c r="CM86" s="77">
        <f>AVERAGE(CI86:CL86)</f>
        <v>730.75</v>
      </c>
      <c r="CN86" s="430">
        <v>707</v>
      </c>
      <c r="CO86" s="383">
        <f>CN86-35</f>
        <v>672</v>
      </c>
      <c r="CP86" s="383">
        <f>CO86-20</f>
        <v>652</v>
      </c>
      <c r="CQ86" s="383">
        <f t="shared" ref="CQ86" si="46">CP86-4</f>
        <v>648</v>
      </c>
      <c r="CR86" s="77">
        <f>AVERAGE(CN86:CQ86)</f>
        <v>669.75</v>
      </c>
      <c r="CS86" s="383"/>
      <c r="CT86" s="383"/>
      <c r="CU86" s="383"/>
      <c r="CV86" s="383"/>
      <c r="CW86" s="77">
        <f>AVERAGE(CF!AC86,CF!AC87)</f>
        <v>641.11963935483868</v>
      </c>
      <c r="CX86" s="383"/>
      <c r="CY86" s="383"/>
      <c r="CZ86" s="383"/>
      <c r="DA86" s="383"/>
      <c r="DB86" s="77">
        <f>AVERAGE(CF!AD86,CF!AD87)</f>
        <v>627.31918227887627</v>
      </c>
      <c r="DC86" s="383"/>
      <c r="DD86" s="383"/>
      <c r="DE86" s="383"/>
      <c r="DF86" s="383"/>
      <c r="DG86" s="77">
        <f>AVERAGE(CF!AE86,CF!AE87)</f>
        <v>610.75131927872519</v>
      </c>
      <c r="DH86" s="383"/>
      <c r="DI86" s="383"/>
      <c r="DJ86" s="383"/>
      <c r="DK86" s="383"/>
      <c r="DL86" s="77">
        <f>AVERAGE(CF!AF86,CF!AF87)</f>
        <v>594.51826842540618</v>
      </c>
      <c r="DM86" s="383"/>
      <c r="DN86" s="383"/>
      <c r="DO86" s="383"/>
      <c r="DP86" s="383"/>
      <c r="DQ86" s="77">
        <f>AVERAGE(CF!AG86,CF!AG87)</f>
        <v>579.18317410795248</v>
      </c>
      <c r="DR86" s="383"/>
      <c r="DS86" s="383"/>
      <c r="DT86" s="383"/>
      <c r="DU86" s="383"/>
      <c r="DV86" s="77">
        <f>AVERAGE(CF!AH86,CF!AH87)</f>
        <v>564.78504326346103</v>
      </c>
      <c r="DW86" s="383"/>
      <c r="DX86" s="383"/>
      <c r="DY86" s="383"/>
      <c r="DZ86" s="383"/>
      <c r="EA86" s="77">
        <f>AVERAGE(CF!AI86,CF!AI87)</f>
        <v>551.34797211275099</v>
      </c>
      <c r="EB86" s="383"/>
      <c r="EC86" s="383"/>
      <c r="ED86" s="383"/>
      <c r="EE86" s="383"/>
      <c r="EF86" s="77">
        <f>AVERAGE(CF!AJ86,CF!AJ87)</f>
        <v>538.88684590190917</v>
      </c>
      <c r="EG86" s="383"/>
      <c r="EH86" s="383"/>
      <c r="EI86" s="383"/>
      <c r="EJ86" s="383"/>
      <c r="EK86" s="77">
        <f>AVERAGE(CF!AK86,CF!AK87)</f>
        <v>529.41085987166332</v>
      </c>
      <c r="EL86" s="383"/>
      <c r="EM86" s="383"/>
      <c r="EN86" s="383"/>
      <c r="EO86" s="383"/>
      <c r="EP86" s="77">
        <f>AVERAGE(CF!AL86,CF!AL87)</f>
        <v>522.42569430781782</v>
      </c>
      <c r="EQ86" s="383"/>
      <c r="ER86" s="383"/>
      <c r="ES86" s="383"/>
      <c r="ET86" s="383"/>
      <c r="EU86" s="77">
        <f>AVERAGE(CF!AM86,CF!AM87)</f>
        <v>515.43485816111979</v>
      </c>
      <c r="EV86" s="383"/>
      <c r="EW86" s="383"/>
      <c r="EX86" s="383"/>
      <c r="EY86" s="383"/>
      <c r="EZ86" s="77">
        <f>AVERAGE(CF!AN86,CF!AN87)</f>
        <v>508.440519057595</v>
      </c>
    </row>
    <row r="87" spans="2:156">
      <c r="B87" t="s">
        <v>39</v>
      </c>
      <c r="C87" s="1">
        <v>1155</v>
      </c>
      <c r="D87" s="1">
        <v>1129</v>
      </c>
      <c r="E87" s="1">
        <v>1141</v>
      </c>
      <c r="F87" s="1">
        <v>1123</v>
      </c>
      <c r="G87" s="1">
        <v>1099</v>
      </c>
      <c r="H87" s="1">
        <v>1057</v>
      </c>
      <c r="I87" s="1">
        <v>1078</v>
      </c>
      <c r="J87" s="1">
        <v>1085</v>
      </c>
      <c r="K87" s="1">
        <v>1084</v>
      </c>
      <c r="L87" s="48">
        <v>1086</v>
      </c>
      <c r="M87" s="48">
        <v>1099</v>
      </c>
      <c r="N87" s="48">
        <v>1242</v>
      </c>
      <c r="O87" s="48">
        <v>1347</v>
      </c>
      <c r="P87" s="1">
        <v>1154</v>
      </c>
      <c r="Q87" s="48">
        <v>1350</v>
      </c>
      <c r="R87" s="48">
        <v>1347</v>
      </c>
      <c r="S87" s="48">
        <v>1348</v>
      </c>
      <c r="T87" s="48">
        <v>1340</v>
      </c>
      <c r="U87" s="1">
        <v>1346</v>
      </c>
      <c r="V87" s="48">
        <v>1332</v>
      </c>
      <c r="W87" s="48">
        <v>1318</v>
      </c>
      <c r="X87" s="48">
        <v>1320</v>
      </c>
      <c r="Y87" s="48">
        <v>1310</v>
      </c>
      <c r="Z87" s="1">
        <v>1320</v>
      </c>
      <c r="AA87" s="48">
        <v>1290</v>
      </c>
      <c r="AB87" s="48">
        <v>1250</v>
      </c>
      <c r="AC87" s="48">
        <v>1249</v>
      </c>
      <c r="AD87" s="48">
        <v>1243</v>
      </c>
      <c r="AE87" s="1">
        <v>1258</v>
      </c>
      <c r="AF87" s="48">
        <v>1218</v>
      </c>
      <c r="AG87" s="48">
        <v>1185</v>
      </c>
      <c r="AH87" s="48">
        <v>1178</v>
      </c>
      <c r="AI87" s="48">
        <v>1180</v>
      </c>
      <c r="AJ87" s="1">
        <v>1190</v>
      </c>
      <c r="AK87" s="48">
        <v>1177</v>
      </c>
      <c r="AL87" s="48">
        <v>1134</v>
      </c>
      <c r="AM87" s="48">
        <v>1090</v>
      </c>
      <c r="AN87" s="48">
        <v>1092</v>
      </c>
      <c r="AO87" s="1">
        <v>1123</v>
      </c>
      <c r="AP87" s="48">
        <v>1092</v>
      </c>
      <c r="AQ87" s="48">
        <v>1081</v>
      </c>
      <c r="AR87" s="48">
        <v>1064</v>
      </c>
      <c r="AS87" s="48">
        <v>1061</v>
      </c>
      <c r="AT87" s="1">
        <v>1075</v>
      </c>
      <c r="AU87" s="379">
        <v>1037</v>
      </c>
      <c r="AV87" s="379">
        <v>1017</v>
      </c>
      <c r="AW87" s="379">
        <v>1022</v>
      </c>
      <c r="AX87" s="379">
        <v>1011</v>
      </c>
      <c r="AY87" s="1">
        <v>1021</v>
      </c>
      <c r="AZ87" s="48">
        <v>988</v>
      </c>
      <c r="BA87" s="48">
        <v>964</v>
      </c>
      <c r="BB87" s="48">
        <v>962</v>
      </c>
      <c r="BC87" s="55">
        <v>946</v>
      </c>
      <c r="BD87">
        <v>965</v>
      </c>
      <c r="BE87" s="55">
        <v>941</v>
      </c>
      <c r="BF87" s="55">
        <v>935</v>
      </c>
      <c r="BG87" s="55">
        <v>914</v>
      </c>
      <c r="BH87" s="55">
        <v>861</v>
      </c>
      <c r="BI87">
        <v>913</v>
      </c>
      <c r="BJ87" s="382">
        <v>800</v>
      </c>
      <c r="BK87" s="382">
        <v>785</v>
      </c>
      <c r="BL87" s="382">
        <v>783</v>
      </c>
      <c r="BM87" s="382">
        <v>778</v>
      </c>
      <c r="BN87">
        <v>787</v>
      </c>
      <c r="BO87" s="382">
        <v>764</v>
      </c>
      <c r="BP87" s="382">
        <v>764</v>
      </c>
      <c r="BQ87" s="382">
        <v>766</v>
      </c>
      <c r="BR87" s="430">
        <v>766</v>
      </c>
      <c r="BS87" s="77">
        <v>765</v>
      </c>
      <c r="BT87" s="430">
        <v>768</v>
      </c>
      <c r="BU87" s="430">
        <v>768</v>
      </c>
      <c r="BV87" s="430">
        <v>771</v>
      </c>
      <c r="BW87" s="430">
        <v>772</v>
      </c>
      <c r="BX87" s="656">
        <f>AVERAGE(BT87:BW87)</f>
        <v>769.75</v>
      </c>
      <c r="BY87" s="430">
        <v>770</v>
      </c>
      <c r="BZ87" s="430">
        <v>768</v>
      </c>
      <c r="CA87" s="430">
        <v>764</v>
      </c>
      <c r="CB87" s="430">
        <v>761</v>
      </c>
      <c r="CC87" s="77">
        <f>AVERAGE(BY87:CB87)</f>
        <v>765.75</v>
      </c>
      <c r="CD87" s="430">
        <v>760</v>
      </c>
      <c r="CE87" s="430">
        <v>756</v>
      </c>
      <c r="CF87" s="430">
        <v>753</v>
      </c>
      <c r="CG87" s="430">
        <v>748</v>
      </c>
      <c r="CH87" s="77">
        <f>AVERAGE(CD87:CG87)</f>
        <v>754.25</v>
      </c>
      <c r="CI87" s="430">
        <v>741</v>
      </c>
      <c r="CJ87" s="430">
        <v>738</v>
      </c>
      <c r="CK87" s="430">
        <v>733</v>
      </c>
      <c r="CL87" s="430">
        <v>724</v>
      </c>
      <c r="CM87" s="77">
        <f>AVERAGE(CI87:CL87)</f>
        <v>734</v>
      </c>
      <c r="CN87" s="430">
        <v>711</v>
      </c>
      <c r="CO87" s="383">
        <f>CN87-30</f>
        <v>681</v>
      </c>
      <c r="CP87" s="383">
        <f>CO87-25</f>
        <v>656</v>
      </c>
      <c r="CQ87" s="383">
        <f>CP87-4.5</f>
        <v>651.5</v>
      </c>
      <c r="CR87" s="77">
        <f>AVERAGE(CN87:CQ87)</f>
        <v>674.875</v>
      </c>
      <c r="CS87" s="383"/>
      <c r="CT87" s="383"/>
      <c r="CU87" s="383"/>
      <c r="CV87" s="383"/>
      <c r="CW87" s="77">
        <f>(CR87/CR86)*CW86</f>
        <v>646.02555671459027</v>
      </c>
      <c r="CX87" s="383"/>
      <c r="CY87" s="383"/>
      <c r="CZ87" s="383"/>
      <c r="DA87" s="383"/>
      <c r="DB87" s="77">
        <f>(CW87/CW86)*DB86</f>
        <v>632.11949703688936</v>
      </c>
      <c r="DC87" s="383"/>
      <c r="DD87" s="383"/>
      <c r="DE87" s="383"/>
      <c r="DF87" s="383"/>
      <c r="DG87" s="77">
        <f>(DB87/DB86)*DG86</f>
        <v>615.42485494323205</v>
      </c>
      <c r="DH87" s="383"/>
      <c r="DI87" s="383"/>
      <c r="DJ87" s="383"/>
      <c r="DK87" s="383"/>
      <c r="DL87" s="77">
        <f>(DG87/DG86)*DL86</f>
        <v>599.06758701544754</v>
      </c>
      <c r="DM87" s="383"/>
      <c r="DN87" s="383"/>
      <c r="DO87" s="383"/>
      <c r="DP87" s="383"/>
      <c r="DQ87" s="77">
        <f>(DL87/DL86)*DQ86</f>
        <v>583.61514688481441</v>
      </c>
      <c r="DR87" s="383"/>
      <c r="DS87" s="383"/>
      <c r="DT87" s="383"/>
      <c r="DU87" s="383"/>
      <c r="DV87" s="77">
        <f>(DQ87/DQ86)*DV86</f>
        <v>569.10683997376384</v>
      </c>
      <c r="DW87" s="383"/>
      <c r="DX87" s="383"/>
      <c r="DY87" s="383"/>
      <c r="DZ87" s="383"/>
      <c r="EA87" s="77">
        <f>(DV87/DV86)*EA86</f>
        <v>555.5669468900229</v>
      </c>
      <c r="EB87" s="383"/>
      <c r="EC87" s="383"/>
      <c r="ED87" s="383"/>
      <c r="EE87" s="383"/>
      <c r="EF87" s="77">
        <f>(EA87/EA86)*EF86</f>
        <v>543.01046678320415</v>
      </c>
      <c r="EG87" s="383"/>
      <c r="EH87" s="383"/>
      <c r="EI87" s="383"/>
      <c r="EJ87" s="383"/>
      <c r="EK87" s="77">
        <f>(EF87/EF86)*EK86</f>
        <v>533.4619694750113</v>
      </c>
      <c r="EL87" s="383"/>
      <c r="EM87" s="383"/>
      <c r="EN87" s="383"/>
      <c r="EO87" s="383"/>
      <c r="EP87" s="77">
        <f>(EK87/EK86)*EP86</f>
        <v>526.42335266291684</v>
      </c>
      <c r="EQ87" s="383"/>
      <c r="ER87" s="383"/>
      <c r="ES87" s="383"/>
      <c r="ET87" s="383"/>
      <c r="EU87" s="77">
        <f>(EP87/EP86)*EU86</f>
        <v>519.37902187605187</v>
      </c>
      <c r="EV87" s="383"/>
      <c r="EW87" s="383"/>
      <c r="EX87" s="383"/>
      <c r="EY87" s="383"/>
      <c r="EZ87" s="77">
        <f>(EU87/EU86)*EZ86</f>
        <v>512.33116132735267</v>
      </c>
    </row>
    <row r="88" spans="2:156">
      <c r="B88" t="s">
        <v>38</v>
      </c>
      <c r="C88" s="1">
        <v>1155</v>
      </c>
      <c r="D88" s="1">
        <v>1129</v>
      </c>
      <c r="E88" s="1">
        <v>1141</v>
      </c>
      <c r="F88" s="1">
        <v>1123</v>
      </c>
      <c r="G88" s="1">
        <v>1099</v>
      </c>
      <c r="H88" s="1">
        <v>1057</v>
      </c>
      <c r="I88" s="1">
        <v>1078</v>
      </c>
      <c r="J88" s="1">
        <v>1085</v>
      </c>
      <c r="K88" s="1">
        <v>1084</v>
      </c>
      <c r="L88" s="48">
        <v>1086</v>
      </c>
      <c r="M88" s="48">
        <v>1099</v>
      </c>
      <c r="N88" s="48">
        <v>1303</v>
      </c>
      <c r="O88" s="48">
        <v>1347</v>
      </c>
      <c r="P88" s="1">
        <v>1210</v>
      </c>
      <c r="Q88" s="48">
        <v>1350</v>
      </c>
      <c r="R88" s="48">
        <v>1347</v>
      </c>
      <c r="S88" s="48">
        <v>1348</v>
      </c>
      <c r="T88" s="48">
        <v>1340</v>
      </c>
      <c r="U88" s="1">
        <v>1346</v>
      </c>
      <c r="V88" s="48">
        <v>1332</v>
      </c>
      <c r="W88" s="48">
        <v>1318</v>
      </c>
      <c r="X88" s="48">
        <v>1320</v>
      </c>
      <c r="Y88" s="48">
        <v>1310</v>
      </c>
      <c r="Z88" s="1">
        <v>1320</v>
      </c>
      <c r="AA88" s="48">
        <v>1290</v>
      </c>
      <c r="AB88" s="48">
        <v>1250</v>
      </c>
      <c r="AC88" s="48">
        <v>1249</v>
      </c>
      <c r="AD88" s="48">
        <v>1243</v>
      </c>
      <c r="AE88" s="1">
        <v>1258</v>
      </c>
      <c r="AF88" s="48">
        <v>1214</v>
      </c>
      <c r="AG88" s="48">
        <v>1181</v>
      </c>
      <c r="AH88" s="48">
        <v>1174</v>
      </c>
      <c r="AI88" s="48">
        <v>1175</v>
      </c>
      <c r="AJ88" s="1">
        <v>1186</v>
      </c>
      <c r="AK88" s="48">
        <v>1172</v>
      </c>
      <c r="AL88" s="48">
        <v>1132</v>
      </c>
      <c r="AM88" s="48">
        <v>1089</v>
      </c>
      <c r="AN88" s="48">
        <v>1091</v>
      </c>
      <c r="AO88" s="1">
        <v>1121</v>
      </c>
      <c r="AP88" s="48">
        <v>1091</v>
      </c>
      <c r="AQ88" s="48">
        <v>1080</v>
      </c>
      <c r="AR88" s="48">
        <v>1063</v>
      </c>
      <c r="AS88" s="48">
        <v>1061</v>
      </c>
      <c r="AT88" s="1">
        <v>1074</v>
      </c>
      <c r="AU88" s="379">
        <v>1037</v>
      </c>
      <c r="AV88" s="379">
        <v>1016</v>
      </c>
      <c r="AW88" s="379">
        <v>1021</v>
      </c>
      <c r="AX88" s="379">
        <v>1012</v>
      </c>
      <c r="AY88" s="1">
        <v>1021</v>
      </c>
      <c r="AZ88" s="48">
        <v>988</v>
      </c>
      <c r="BA88" s="48">
        <v>964</v>
      </c>
      <c r="BB88" s="48">
        <v>962</v>
      </c>
      <c r="BC88" s="55">
        <v>946</v>
      </c>
      <c r="BD88">
        <v>965</v>
      </c>
      <c r="BE88" s="55">
        <v>940</v>
      </c>
      <c r="BF88" s="55">
        <v>934</v>
      </c>
      <c r="BG88" s="55">
        <v>914</v>
      </c>
      <c r="BH88" s="55">
        <v>860</v>
      </c>
      <c r="BI88">
        <v>912</v>
      </c>
      <c r="BJ88" s="382">
        <v>799</v>
      </c>
      <c r="BK88" s="382">
        <v>784</v>
      </c>
      <c r="BL88" s="382">
        <v>783</v>
      </c>
      <c r="BM88" s="382">
        <v>778</v>
      </c>
      <c r="BN88">
        <v>786</v>
      </c>
      <c r="BO88" s="382">
        <v>764</v>
      </c>
      <c r="BP88" s="382">
        <v>763</v>
      </c>
      <c r="BQ88" s="382">
        <v>765</v>
      </c>
      <c r="BR88" s="430">
        <v>766</v>
      </c>
      <c r="BS88" s="77">
        <v>765</v>
      </c>
      <c r="BT88" s="383">
        <f>BT87</f>
        <v>768</v>
      </c>
      <c r="BU88" s="383">
        <f>BU87</f>
        <v>768</v>
      </c>
      <c r="BV88" s="430">
        <v>770</v>
      </c>
      <c r="BW88" s="383">
        <f>BW87</f>
        <v>772</v>
      </c>
      <c r="BX88" s="656">
        <f>AVERAGE(BT88:BW88)</f>
        <v>769.5</v>
      </c>
      <c r="BY88" s="383">
        <f>BY87</f>
        <v>770</v>
      </c>
      <c r="BZ88" s="383">
        <f>BZ87</f>
        <v>768</v>
      </c>
      <c r="CA88" s="383">
        <f>CA87</f>
        <v>764</v>
      </c>
      <c r="CB88" s="383">
        <f>CB87</f>
        <v>761</v>
      </c>
      <c r="CC88" s="675">
        <v>766</v>
      </c>
      <c r="CD88" s="383">
        <f>CD87</f>
        <v>760</v>
      </c>
      <c r="CE88" s="383">
        <f>CE87</f>
        <v>756</v>
      </c>
      <c r="CF88" s="383">
        <f>CF87</f>
        <v>753</v>
      </c>
      <c r="CG88" s="383">
        <f>CG87</f>
        <v>748</v>
      </c>
      <c r="CH88" s="77">
        <f>AVERAGE(CD88:CG88)</f>
        <v>754.25</v>
      </c>
      <c r="CI88" s="383">
        <f>CI87</f>
        <v>741</v>
      </c>
      <c r="CJ88" s="383">
        <f t="shared" ref="CJ88:CQ88" si="47">CJ87</f>
        <v>738</v>
      </c>
      <c r="CK88" s="383">
        <f t="shared" si="47"/>
        <v>733</v>
      </c>
      <c r="CL88" s="430">
        <v>729</v>
      </c>
      <c r="CM88" s="77">
        <f>AVERAGE(CI88:CL88)</f>
        <v>735.25</v>
      </c>
      <c r="CN88" s="430">
        <f t="shared" si="47"/>
        <v>711</v>
      </c>
      <c r="CO88" s="383">
        <f t="shared" si="47"/>
        <v>681</v>
      </c>
      <c r="CP88" s="383">
        <f t="shared" si="47"/>
        <v>656</v>
      </c>
      <c r="CQ88" s="383">
        <f t="shared" si="47"/>
        <v>651.5</v>
      </c>
      <c r="CR88" s="77">
        <f>CR87</f>
        <v>674.875</v>
      </c>
      <c r="CS88" s="383"/>
      <c r="CT88" s="383"/>
      <c r="CU88" s="383"/>
      <c r="CV88" s="383"/>
      <c r="CW88" s="77">
        <f>CW87</f>
        <v>646.02555671459027</v>
      </c>
      <c r="CX88" s="383"/>
      <c r="CY88" s="383"/>
      <c r="CZ88" s="383"/>
      <c r="DA88" s="383"/>
      <c r="DB88" s="77">
        <f>DB87</f>
        <v>632.11949703688936</v>
      </c>
      <c r="DC88" s="383"/>
      <c r="DD88" s="383"/>
      <c r="DE88" s="383"/>
      <c r="DF88" s="383"/>
      <c r="DG88" s="77">
        <f>DG87</f>
        <v>615.42485494323205</v>
      </c>
      <c r="DH88" s="383"/>
      <c r="DI88" s="383"/>
      <c r="DJ88" s="383"/>
      <c r="DK88" s="383"/>
      <c r="DL88" s="77">
        <f>DL87</f>
        <v>599.06758701544754</v>
      </c>
      <c r="DM88" s="383"/>
      <c r="DN88" s="383"/>
      <c r="DO88" s="383"/>
      <c r="DP88" s="383"/>
      <c r="DQ88" s="77">
        <f>DQ87</f>
        <v>583.61514688481441</v>
      </c>
      <c r="DR88" s="383"/>
      <c r="DS88" s="383"/>
      <c r="DT88" s="383"/>
      <c r="DU88" s="383"/>
      <c r="DV88" s="77">
        <f>DV87</f>
        <v>569.10683997376384</v>
      </c>
      <c r="DW88" s="383"/>
      <c r="DX88" s="383"/>
      <c r="DY88" s="383"/>
      <c r="DZ88" s="383"/>
      <c r="EA88" s="77">
        <f>EA87</f>
        <v>555.5669468900229</v>
      </c>
      <c r="EB88" s="383"/>
      <c r="EC88" s="383"/>
      <c r="ED88" s="383"/>
      <c r="EE88" s="383"/>
      <c r="EF88" s="77">
        <f>EF87</f>
        <v>543.01046678320415</v>
      </c>
      <c r="EG88" s="383"/>
      <c r="EH88" s="383"/>
      <c r="EI88" s="383"/>
      <c r="EJ88" s="383"/>
      <c r="EK88" s="77">
        <f>EK87</f>
        <v>533.4619694750113</v>
      </c>
      <c r="EL88" s="383"/>
      <c r="EM88" s="383"/>
      <c r="EN88" s="383"/>
      <c r="EO88" s="383"/>
      <c r="EP88" s="77">
        <f>EP87</f>
        <v>526.42335266291684</v>
      </c>
      <c r="EQ88" s="383"/>
      <c r="ER88" s="383"/>
      <c r="ES88" s="383"/>
      <c r="ET88" s="383"/>
      <c r="EU88" s="77">
        <f>EU87</f>
        <v>519.37902187605187</v>
      </c>
      <c r="EV88" s="383"/>
      <c r="EW88" s="383"/>
      <c r="EX88" s="383"/>
      <c r="EY88" s="383"/>
      <c r="EZ88" s="77">
        <f>EZ87</f>
        <v>512.33116132735267</v>
      </c>
    </row>
    <row r="89" spans="2:156" ht="13.5" thickBot="1">
      <c r="BJ89" s="382"/>
      <c r="BK89" s="382"/>
      <c r="BL89" s="382"/>
      <c r="BM89" s="382"/>
      <c r="BX89" s="657">
        <v>0.99722328213243494</v>
      </c>
      <c r="BY89" s="436"/>
      <c r="BZ89" s="436"/>
      <c r="CA89" s="436"/>
      <c r="CB89" s="436"/>
      <c r="CC89" s="436"/>
      <c r="CD89" s="436"/>
      <c r="CE89" s="436"/>
      <c r="CF89" s="436"/>
      <c r="CG89" s="436"/>
      <c r="CH89" s="436"/>
      <c r="CI89" s="436"/>
      <c r="CJ89" s="436"/>
      <c r="CK89" s="436"/>
      <c r="CL89" s="436"/>
      <c r="CM89" s="436"/>
      <c r="CN89" s="436"/>
      <c r="CO89" s="436"/>
      <c r="CP89" s="436"/>
      <c r="CQ89" s="436"/>
      <c r="CR89" s="436"/>
      <c r="CS89" s="436"/>
      <c r="CT89" s="436"/>
      <c r="CU89" s="436"/>
      <c r="CV89" s="436"/>
      <c r="CW89" s="436"/>
      <c r="CX89" s="436"/>
      <c r="CY89" s="436"/>
      <c r="CZ89" s="436"/>
      <c r="DA89" s="436"/>
      <c r="DB89" s="436"/>
      <c r="DC89" s="436"/>
      <c r="DD89" s="436"/>
      <c r="DE89" s="436"/>
      <c r="DF89" s="436"/>
      <c r="DG89" s="436"/>
    </row>
    <row r="90" spans="2:156">
      <c r="B90" s="63" t="s">
        <v>702</v>
      </c>
      <c r="C90" s="63"/>
      <c r="D90" s="63"/>
      <c r="E90" s="63"/>
      <c r="F90" s="63"/>
      <c r="G90" s="63"/>
      <c r="H90" s="63"/>
      <c r="I90" s="63"/>
      <c r="J90" s="63"/>
      <c r="K90" s="63"/>
      <c r="L90" s="63"/>
      <c r="M90" s="63"/>
      <c r="N90" s="63"/>
      <c r="O90" s="63"/>
      <c r="P90" s="63"/>
      <c r="Q90" s="63"/>
      <c r="R90" s="63"/>
      <c r="S90" s="63"/>
      <c r="T90" s="63"/>
      <c r="U90" s="63"/>
      <c r="V90" s="63"/>
      <c r="W90" s="63"/>
      <c r="X90" s="63"/>
      <c r="Y90" s="63"/>
      <c r="Z90" s="63"/>
      <c r="AA90" s="63"/>
      <c r="AB90" s="63"/>
      <c r="AC90" s="63"/>
      <c r="AD90" s="63"/>
      <c r="AE90" s="63"/>
      <c r="AF90" s="63"/>
      <c r="AG90" s="63"/>
      <c r="AH90" s="63"/>
      <c r="AI90" s="63"/>
      <c r="AJ90" s="63"/>
      <c r="AK90" s="63"/>
      <c r="AL90" s="63"/>
      <c r="AM90" s="63"/>
      <c r="AN90" s="63"/>
      <c r="AO90" s="63"/>
      <c r="AP90" s="63"/>
      <c r="AQ90" s="63"/>
      <c r="AR90" s="63"/>
      <c r="AS90" s="63"/>
      <c r="AT90" s="63"/>
      <c r="AU90" s="63"/>
      <c r="AV90" s="63"/>
      <c r="AW90" s="63"/>
      <c r="AX90" s="63"/>
      <c r="AY90" s="63"/>
      <c r="AZ90" s="63"/>
      <c r="BA90" s="63"/>
      <c r="BB90" s="63"/>
      <c r="BC90" s="63"/>
      <c r="BD90" s="63"/>
      <c r="BE90" s="63"/>
      <c r="BF90" s="63"/>
      <c r="BG90" s="63"/>
      <c r="BH90" s="63"/>
      <c r="BI90" s="63"/>
      <c r="BJ90" s="568"/>
      <c r="BK90" s="568"/>
      <c r="BL90" s="568"/>
      <c r="BM90" s="568"/>
      <c r="BN90" s="63"/>
      <c r="BO90" s="63"/>
      <c r="BP90" s="63"/>
      <c r="BQ90" s="63"/>
      <c r="BR90" s="63"/>
      <c r="BS90" s="63"/>
      <c r="BT90" s="63"/>
      <c r="BU90" s="63"/>
      <c r="BV90" s="63"/>
      <c r="BW90" s="63"/>
      <c r="BX90" s="63"/>
      <c r="BY90" s="63"/>
      <c r="BZ90" s="63"/>
      <c r="CA90" s="63"/>
      <c r="CB90" s="63"/>
      <c r="CC90" s="63"/>
      <c r="CD90" s="63"/>
      <c r="CE90" s="63"/>
      <c r="CF90" s="63"/>
      <c r="CG90" s="63"/>
      <c r="CH90" s="63"/>
      <c r="CI90" s="63"/>
      <c r="CJ90" s="63"/>
      <c r="CK90" s="63"/>
      <c r="CL90" s="63"/>
      <c r="CM90" s="63"/>
      <c r="CN90" s="63"/>
      <c r="CO90" s="63"/>
      <c r="CP90" s="63"/>
      <c r="CQ90" s="63"/>
      <c r="CR90" s="63"/>
      <c r="CS90" s="63"/>
      <c r="CT90" s="63"/>
      <c r="CU90" s="63"/>
      <c r="CV90" s="63"/>
      <c r="CW90" s="63"/>
      <c r="CX90" s="63"/>
      <c r="CY90" s="63"/>
      <c r="CZ90" s="63"/>
      <c r="DA90" s="63"/>
      <c r="DB90" s="63"/>
      <c r="DC90" s="63"/>
      <c r="DD90" s="63"/>
      <c r="DE90" s="63"/>
      <c r="DF90" s="63"/>
      <c r="DG90" s="63"/>
      <c r="DH90" s="63"/>
      <c r="DI90" s="63"/>
      <c r="DJ90" s="63"/>
      <c r="DK90" s="63"/>
      <c r="DL90" s="63"/>
      <c r="DM90" s="63"/>
      <c r="DN90" s="63"/>
      <c r="DO90" s="63"/>
      <c r="DP90" s="63"/>
      <c r="DQ90" s="63"/>
      <c r="DR90" s="63"/>
      <c r="DS90" s="63"/>
      <c r="DT90" s="63"/>
      <c r="DU90" s="63"/>
      <c r="DV90" s="63"/>
      <c r="DW90" s="63"/>
      <c r="DX90" s="63"/>
      <c r="DY90" s="63"/>
      <c r="DZ90" s="63"/>
      <c r="EA90" s="63"/>
      <c r="EB90" s="63"/>
      <c r="EC90" s="63"/>
      <c r="ED90" s="63"/>
      <c r="EE90" s="63"/>
      <c r="EF90" s="63"/>
      <c r="EG90" s="63"/>
      <c r="EH90" s="63"/>
      <c r="EI90" s="63"/>
      <c r="EJ90" s="63"/>
      <c r="EK90" s="63"/>
      <c r="EL90" s="63"/>
      <c r="EM90" s="63"/>
      <c r="EN90" s="63"/>
      <c r="EO90" s="63"/>
      <c r="EP90" s="63"/>
      <c r="EQ90" s="63"/>
      <c r="ER90" s="63"/>
      <c r="ES90" s="63"/>
      <c r="ET90" s="63"/>
      <c r="EU90" s="63"/>
      <c r="EV90" s="63"/>
      <c r="EW90" s="63"/>
      <c r="EX90" s="63"/>
      <c r="EY90" s="63"/>
      <c r="EZ90" s="63"/>
    </row>
    <row r="91" spans="2:156">
      <c r="B91" s="30" t="s">
        <v>83</v>
      </c>
      <c r="C91" s="59">
        <f t="shared" ref="C91:AH91" si="48">C9/C3</f>
        <v>0.16841176983928927</v>
      </c>
      <c r="D91" s="59">
        <f t="shared" si="48"/>
        <v>0.15358802271553951</v>
      </c>
      <c r="E91" s="59">
        <f t="shared" si="48"/>
        <v>0.15011547344110857</v>
      </c>
      <c r="F91" s="59">
        <f t="shared" si="48"/>
        <v>0.13552341729719378</v>
      </c>
      <c r="G91" s="59">
        <f t="shared" si="48"/>
        <v>0.13559780160374807</v>
      </c>
      <c r="H91" s="59">
        <f t="shared" si="48"/>
        <v>0.13720967228762332</v>
      </c>
      <c r="I91" s="59">
        <f t="shared" si="48"/>
        <v>0.13211515709215196</v>
      </c>
      <c r="J91" s="59">
        <f t="shared" si="48"/>
        <v>0.12741240397226908</v>
      </c>
      <c r="K91" s="59">
        <f t="shared" si="48"/>
        <v>0.12617487895186558</v>
      </c>
      <c r="L91" s="65">
        <f t="shared" si="48"/>
        <v>0.11446180937706361</v>
      </c>
      <c r="M91" s="65">
        <f t="shared" si="48"/>
        <v>0.11836441893830706</v>
      </c>
      <c r="N91" s="65">
        <f t="shared" si="48"/>
        <v>0.14935354436023182</v>
      </c>
      <c r="O91" s="65">
        <f t="shared" si="48"/>
        <v>0.15601874691662557</v>
      </c>
      <c r="P91" s="35">
        <f t="shared" si="48"/>
        <v>0.13824330822247155</v>
      </c>
      <c r="Q91" s="65">
        <f t="shared" si="48"/>
        <v>0.1699370377162418</v>
      </c>
      <c r="R91" s="65">
        <f t="shared" si="48"/>
        <v>0.16905817897208453</v>
      </c>
      <c r="S91" s="65">
        <f t="shared" si="48"/>
        <v>0.16169393647738209</v>
      </c>
      <c r="T91" s="65">
        <f t="shared" si="48"/>
        <v>0.17158176943699732</v>
      </c>
      <c r="U91" s="35">
        <f t="shared" si="48"/>
        <v>0.16814091810279091</v>
      </c>
      <c r="V91" s="65">
        <f t="shared" si="48"/>
        <v>0.16804058338617628</v>
      </c>
      <c r="W91" s="65">
        <f t="shared" si="48"/>
        <v>0.17893870835047307</v>
      </c>
      <c r="X91" s="65">
        <f t="shared" si="48"/>
        <v>0.17460937500000001</v>
      </c>
      <c r="Y91" s="65">
        <f t="shared" si="48"/>
        <v>0.17134629229661627</v>
      </c>
      <c r="Z91" s="35">
        <f t="shared" si="48"/>
        <v>0.17330206078101196</v>
      </c>
      <c r="AA91" s="65">
        <f t="shared" si="48"/>
        <v>0.17879341864716636</v>
      </c>
      <c r="AB91" s="65">
        <f t="shared" si="48"/>
        <v>0.17252604166666666</v>
      </c>
      <c r="AC91" s="65">
        <f t="shared" si="48"/>
        <v>0.16573679028552674</v>
      </c>
      <c r="AD91" s="65">
        <f t="shared" si="48"/>
        <v>0.16130050505050506</v>
      </c>
      <c r="AE91" s="35">
        <f t="shared" si="48"/>
        <v>0.16927299950091498</v>
      </c>
      <c r="AF91" s="65">
        <f t="shared" si="48"/>
        <v>0.17652702270546849</v>
      </c>
      <c r="AG91" s="65">
        <f t="shared" si="48"/>
        <v>0.14093382984818104</v>
      </c>
      <c r="AH91" s="65">
        <f t="shared" si="48"/>
        <v>0.13845275478161576</v>
      </c>
      <c r="AI91" s="65">
        <f t="shared" ref="AI91:BN91" si="49">AI9/AI3</f>
        <v>0.14744447417714746</v>
      </c>
      <c r="AJ91" s="35">
        <f t="shared" si="49"/>
        <v>0.15009380863039401</v>
      </c>
      <c r="AK91" s="65">
        <f t="shared" si="49"/>
        <v>0.15680224403927068</v>
      </c>
      <c r="AL91" s="65">
        <f t="shared" si="49"/>
        <v>0.15149833518312986</v>
      </c>
      <c r="AM91" s="65">
        <f t="shared" si="49"/>
        <v>0.16600454029511919</v>
      </c>
      <c r="AN91" s="65">
        <f t="shared" si="49"/>
        <v>0.15616362631288006</v>
      </c>
      <c r="AO91" s="35">
        <f t="shared" si="49"/>
        <v>0.15757109915449655</v>
      </c>
      <c r="AP91" s="65">
        <f t="shared" si="49"/>
        <v>0.15323720667232119</v>
      </c>
      <c r="AQ91" s="65">
        <f t="shared" si="49"/>
        <v>0.13867822318526543</v>
      </c>
      <c r="AR91" s="65">
        <f t="shared" si="49"/>
        <v>0.15591966173361521</v>
      </c>
      <c r="AS91" s="65">
        <f t="shared" si="49"/>
        <v>0.14942841589548175</v>
      </c>
      <c r="AT91" s="35">
        <f t="shared" si="49"/>
        <v>0.14931572138625995</v>
      </c>
      <c r="AU91" s="393">
        <f t="shared" si="49"/>
        <v>0.14638665843113033</v>
      </c>
      <c r="AV91" s="393">
        <f t="shared" si="49"/>
        <v>0.1450192625206384</v>
      </c>
      <c r="AW91" s="393">
        <f t="shared" si="49"/>
        <v>0.14507494646680943</v>
      </c>
      <c r="AX91" s="393">
        <f t="shared" si="49"/>
        <v>0.14293347582153354</v>
      </c>
      <c r="AY91" s="35">
        <f t="shared" si="49"/>
        <v>0.14479827189742875</v>
      </c>
      <c r="AZ91" s="65">
        <f t="shared" si="49"/>
        <v>0.14285714285714285</v>
      </c>
      <c r="BA91" s="65">
        <f t="shared" si="49"/>
        <v>0.15195128701909771</v>
      </c>
      <c r="BB91" s="65">
        <f t="shared" si="49"/>
        <v>0.15536046820963023</v>
      </c>
      <c r="BC91" s="65">
        <f t="shared" si="49"/>
        <v>0.15106382978723404</v>
      </c>
      <c r="BD91" s="35">
        <f t="shared" si="49"/>
        <v>0.15040927694406547</v>
      </c>
      <c r="BE91" s="65">
        <f t="shared" si="49"/>
        <v>0.14925373134328357</v>
      </c>
      <c r="BF91" s="65">
        <f t="shared" si="49"/>
        <v>0.14615977395324942</v>
      </c>
      <c r="BG91" s="65">
        <f t="shared" si="49"/>
        <v>0.15295331441836471</v>
      </c>
      <c r="BH91" s="65">
        <f t="shared" si="49"/>
        <v>0.16457640133094445</v>
      </c>
      <c r="BI91" s="35">
        <f t="shared" si="49"/>
        <v>0.15331807780320367</v>
      </c>
      <c r="BJ91" s="393">
        <f t="shared" si="49"/>
        <v>0.17072545501153549</v>
      </c>
      <c r="BK91" s="393">
        <f t="shared" si="49"/>
        <v>0.15904761904761905</v>
      </c>
      <c r="BL91" s="393">
        <f t="shared" si="49"/>
        <v>0.16043799095453465</v>
      </c>
      <c r="BM91" s="393">
        <f t="shared" si="49"/>
        <v>0.16762739220659442</v>
      </c>
      <c r="BN91" s="35">
        <f t="shared" si="49"/>
        <v>0.1643728589458501</v>
      </c>
      <c r="BO91" s="384">
        <f t="shared" ref="BO91:CM91" si="50">BO9/BO3</f>
        <v>0.16164779571187665</v>
      </c>
      <c r="BP91" s="384">
        <f t="shared" si="50"/>
        <v>0.15538628944504895</v>
      </c>
      <c r="BQ91" s="384">
        <f t="shared" si="50"/>
        <v>0.15386270712287498</v>
      </c>
      <c r="BR91" s="384">
        <f t="shared" si="50"/>
        <v>0.16045009376953531</v>
      </c>
      <c r="BS91" s="35">
        <f t="shared" si="50"/>
        <v>0.15776165347405452</v>
      </c>
      <c r="BT91" s="393">
        <f t="shared" si="50"/>
        <v>0.15702479338842976</v>
      </c>
      <c r="BU91" s="393">
        <f t="shared" si="50"/>
        <v>0.15942614669630228</v>
      </c>
      <c r="BV91" s="393">
        <f t="shared" si="50"/>
        <v>0.15697194719471946</v>
      </c>
      <c r="BW91" s="393">
        <f t="shared" si="50"/>
        <v>0.15945110166215695</v>
      </c>
      <c r="BX91" s="35">
        <f t="shared" si="50"/>
        <v>0.15827598696124592</v>
      </c>
      <c r="BY91" s="393">
        <f t="shared" si="50"/>
        <v>0.15080016413623307</v>
      </c>
      <c r="BZ91" s="393">
        <f t="shared" si="50"/>
        <v>0.15100478468899522</v>
      </c>
      <c r="CA91" s="393">
        <f t="shared" si="50"/>
        <v>0.13506163886874548</v>
      </c>
      <c r="CB91" s="393">
        <f t="shared" si="50"/>
        <v>0.14336648526928128</v>
      </c>
      <c r="CC91" s="35">
        <f t="shared" si="50"/>
        <v>0.14481474407944997</v>
      </c>
      <c r="CD91" s="393">
        <f t="shared" si="50"/>
        <v>0.13494941782782974</v>
      </c>
      <c r="CE91" s="393">
        <f t="shared" si="50"/>
        <v>0.13481914504932407</v>
      </c>
      <c r="CF91" s="393">
        <f t="shared" si="50"/>
        <v>0.12962291515591007</v>
      </c>
      <c r="CG91" s="393">
        <f t="shared" si="50"/>
        <v>0.13296839131202542</v>
      </c>
      <c r="CH91" s="35">
        <f t="shared" si="50"/>
        <v>0.13306230586515622</v>
      </c>
      <c r="CI91" s="393">
        <f t="shared" si="50"/>
        <v>0.13117907289863434</v>
      </c>
      <c r="CJ91" s="393">
        <f t="shared" si="50"/>
        <v>0.12737710800143523</v>
      </c>
      <c r="CK91" s="393">
        <f t="shared" si="50"/>
        <v>0.13478818998716302</v>
      </c>
      <c r="CL91" s="393">
        <f t="shared" si="50"/>
        <v>0.14652540851140242</v>
      </c>
      <c r="CM91" s="35">
        <f t="shared" si="50"/>
        <v>0.13503097040605644</v>
      </c>
      <c r="CN91" s="393">
        <f t="shared" ref="CN91:CQ91" si="51">CN9/CN3</f>
        <v>0.12689500280741156</v>
      </c>
      <c r="CO91" s="393">
        <f t="shared" si="51"/>
        <v>0.12933554786756565</v>
      </c>
      <c r="CP91" s="393">
        <f t="shared" si="51"/>
        <v>0.13073880042748612</v>
      </c>
      <c r="CQ91" s="393">
        <f t="shared" si="51"/>
        <v>0.13077357873785264</v>
      </c>
      <c r="CR91" s="35">
        <f>CR9/CR3</f>
        <v>0.12944708405875602</v>
      </c>
      <c r="CS91" s="393"/>
      <c r="CT91" s="393"/>
      <c r="CU91" s="393"/>
      <c r="CV91" s="393"/>
      <c r="CW91" s="35">
        <f>CW9/CW3</f>
        <v>0.13204045373196002</v>
      </c>
      <c r="CX91" s="393"/>
      <c r="CY91" s="393"/>
      <c r="CZ91" s="393"/>
      <c r="DA91" s="393"/>
      <c r="DB91" s="35">
        <f>DB9/DB3</f>
        <v>0.13417125983564962</v>
      </c>
      <c r="DC91" s="393"/>
      <c r="DD91" s="393"/>
      <c r="DE91" s="393"/>
      <c r="DF91" s="393"/>
      <c r="DG91" s="35">
        <f>DG9/DG3</f>
        <v>0.13772642841080951</v>
      </c>
      <c r="DH91" s="393"/>
      <c r="DI91" s="393"/>
      <c r="DJ91" s="393"/>
      <c r="DK91" s="393"/>
      <c r="DL91" s="35">
        <f>DL9/DL3</f>
        <v>0.14320447942637071</v>
      </c>
      <c r="DM91" s="393"/>
      <c r="DN91" s="393"/>
      <c r="DO91" s="393"/>
      <c r="DP91" s="393"/>
      <c r="DQ91" s="35">
        <f>DQ9/DQ3</f>
        <v>0.15088035008765852</v>
      </c>
      <c r="DR91" s="393"/>
      <c r="DS91" s="393"/>
      <c r="DT91" s="393"/>
      <c r="DU91" s="393"/>
      <c r="DV91" s="35">
        <f>DV9/DV3</f>
        <v>0.15568691583091404</v>
      </c>
      <c r="DW91" s="393"/>
      <c r="DX91" s="393"/>
      <c r="DY91" s="393"/>
      <c r="DZ91" s="393"/>
      <c r="EA91" s="35">
        <f>EA9/EA3</f>
        <v>0.16229153244740302</v>
      </c>
      <c r="EB91" s="393"/>
      <c r="EC91" s="393"/>
      <c r="ED91" s="393"/>
      <c r="EE91" s="393"/>
      <c r="EF91" s="35">
        <f>EF9/EF3</f>
        <v>0.17020932989900825</v>
      </c>
      <c r="EG91" s="393"/>
      <c r="EH91" s="393"/>
      <c r="EI91" s="393"/>
      <c r="EJ91" s="393"/>
      <c r="EK91" s="35">
        <f>EK9/EK3</f>
        <v>0.17894155362661154</v>
      </c>
      <c r="EL91" s="393"/>
      <c r="EM91" s="393"/>
      <c r="EN91" s="393"/>
      <c r="EO91" s="393"/>
      <c r="EP91" s="35">
        <f>EP9/EP3</f>
        <v>0.18857443454123524</v>
      </c>
      <c r="EQ91" s="393"/>
      <c r="ER91" s="393"/>
      <c r="ES91" s="393"/>
      <c r="ET91" s="393"/>
      <c r="EU91" s="35">
        <f>EU9/EU3</f>
        <v>0.19692515955562984</v>
      </c>
      <c r="EV91" s="393"/>
      <c r="EW91" s="393"/>
      <c r="EX91" s="393"/>
      <c r="EY91" s="393"/>
      <c r="EZ91" s="35">
        <f>EZ9/EZ3</f>
        <v>0.20428984169642664</v>
      </c>
    </row>
    <row r="92" spans="2:156">
      <c r="B92" s="30" t="s">
        <v>84</v>
      </c>
      <c r="C92" s="59">
        <f t="shared" ref="C92:AH92" si="52">C10/C5</f>
        <v>0.83988355167394468</v>
      </c>
      <c r="D92" s="59">
        <f t="shared" si="52"/>
        <v>0.85558252427184467</v>
      </c>
      <c r="E92" s="59">
        <f t="shared" si="52"/>
        <v>0.85927835051546386</v>
      </c>
      <c r="F92" s="59">
        <f t="shared" si="52"/>
        <v>0.87366071428571423</v>
      </c>
      <c r="G92" s="59">
        <f t="shared" si="52"/>
        <v>0.87463556851311952</v>
      </c>
      <c r="H92" s="59">
        <f t="shared" si="52"/>
        <v>0.8730684326710817</v>
      </c>
      <c r="I92" s="59">
        <f t="shared" si="52"/>
        <v>0.87964071856287429</v>
      </c>
      <c r="J92" s="59">
        <f t="shared" si="52"/>
        <v>0.88757233397630197</v>
      </c>
      <c r="K92" s="59">
        <f t="shared" si="52"/>
        <v>0.889691235059761</v>
      </c>
      <c r="L92" s="65">
        <f t="shared" si="52"/>
        <v>0.89692765113974227</v>
      </c>
      <c r="M92" s="65">
        <f t="shared" si="52"/>
        <v>0.89431545236188947</v>
      </c>
      <c r="N92" s="65">
        <f t="shared" si="52"/>
        <v>0.8659106070713809</v>
      </c>
      <c r="O92" s="65">
        <f t="shared" si="52"/>
        <v>0.85673839184597966</v>
      </c>
      <c r="P92" s="35">
        <f t="shared" si="52"/>
        <v>0.87506789788158612</v>
      </c>
      <c r="Q92" s="65">
        <f t="shared" si="52"/>
        <v>0.84213515048268028</v>
      </c>
      <c r="R92" s="65">
        <f t="shared" si="52"/>
        <v>0.84125428711415973</v>
      </c>
      <c r="S92" s="65">
        <f t="shared" si="52"/>
        <v>0.84782608695652173</v>
      </c>
      <c r="T92" s="65">
        <f t="shared" si="52"/>
        <v>0.83631713554987208</v>
      </c>
      <c r="U92" s="35">
        <f t="shared" si="52"/>
        <v>0.84167065581617995</v>
      </c>
      <c r="V92" s="65">
        <f t="shared" si="52"/>
        <v>0.841655996585574</v>
      </c>
      <c r="W92" s="65">
        <f t="shared" si="52"/>
        <v>0.83172147001934238</v>
      </c>
      <c r="X92" s="65">
        <f t="shared" si="52"/>
        <v>0.83523774419461849</v>
      </c>
      <c r="Y92" s="65">
        <f t="shared" si="52"/>
        <v>0.83636988655895494</v>
      </c>
      <c r="Z92" s="35">
        <f t="shared" si="52"/>
        <v>0.83611374407582939</v>
      </c>
      <c r="AA92" s="65">
        <f t="shared" si="52"/>
        <v>0.82739145781856693</v>
      </c>
      <c r="AB92" s="65">
        <f t="shared" si="52"/>
        <v>0.83291298865069352</v>
      </c>
      <c r="AC92" s="65">
        <f t="shared" si="52"/>
        <v>0.83988585922637915</v>
      </c>
      <c r="AD92" s="65">
        <f t="shared" si="52"/>
        <v>0.84377866095995113</v>
      </c>
      <c r="AE92" s="35">
        <f t="shared" si="52"/>
        <v>0.83628318584070793</v>
      </c>
      <c r="AF92" s="65">
        <f t="shared" si="52"/>
        <v>0.82841156356854218</v>
      </c>
      <c r="AG92" s="65">
        <f t="shared" si="52"/>
        <v>0.86348501664816868</v>
      </c>
      <c r="AH92" s="65">
        <f t="shared" si="52"/>
        <v>0.86572535991140642</v>
      </c>
      <c r="AI92" s="65">
        <f t="shared" ref="AI92:BN92" si="53">AI10/AI5</f>
        <v>0.85632333767926994</v>
      </c>
      <c r="AJ92" s="35">
        <f t="shared" si="53"/>
        <v>0.85421923184749093</v>
      </c>
      <c r="AK92" s="65">
        <f t="shared" si="53"/>
        <v>0.84838622186059132</v>
      </c>
      <c r="AL92" s="65">
        <f t="shared" si="53"/>
        <v>0.85354077253218885</v>
      </c>
      <c r="AM92" s="65">
        <f t="shared" si="53"/>
        <v>0.83799501523123787</v>
      </c>
      <c r="AN92" s="65">
        <f t="shared" si="53"/>
        <v>0.84913217623497994</v>
      </c>
      <c r="AO92" s="35">
        <f t="shared" si="53"/>
        <v>0.84733599620878752</v>
      </c>
      <c r="AP92" s="65">
        <f t="shared" si="53"/>
        <v>0.84998616108497094</v>
      </c>
      <c r="AQ92" s="65">
        <f t="shared" si="53"/>
        <v>0.8639744952178533</v>
      </c>
      <c r="AR92" s="65">
        <f t="shared" si="53"/>
        <v>0.847741935483871</v>
      </c>
      <c r="AS92" s="65">
        <f t="shared" si="53"/>
        <v>0.8536390295921088</v>
      </c>
      <c r="AT92" s="35">
        <f t="shared" si="53"/>
        <v>0.85382923415316936</v>
      </c>
      <c r="AU92" s="393">
        <f t="shared" si="53"/>
        <v>0.85671100362756958</v>
      </c>
      <c r="AV92" s="393">
        <f t="shared" si="53"/>
        <v>0.858066253703205</v>
      </c>
      <c r="AW92" s="393">
        <f t="shared" si="53"/>
        <v>0.85781741867785943</v>
      </c>
      <c r="AX92" s="393">
        <f t="shared" si="53"/>
        <v>0.85954318718823841</v>
      </c>
      <c r="AY92" s="35">
        <f t="shared" si="53"/>
        <v>0.85807949733642941</v>
      </c>
      <c r="AZ92" s="65">
        <f t="shared" si="53"/>
        <v>0.85968819599109136</v>
      </c>
      <c r="BA92" s="65">
        <f t="shared" si="53"/>
        <v>0.85567823343848581</v>
      </c>
      <c r="BB92" s="65">
        <f t="shared" si="53"/>
        <v>0.84696016771488469</v>
      </c>
      <c r="BC92" s="65">
        <f t="shared" si="53"/>
        <v>0.85212184326998175</v>
      </c>
      <c r="BD92" s="35">
        <f t="shared" si="53"/>
        <v>0.85351757124825611</v>
      </c>
      <c r="BE92" s="65">
        <f t="shared" si="53"/>
        <v>0.85429033998920667</v>
      </c>
      <c r="BF92" s="65">
        <f t="shared" si="53"/>
        <v>0.85627683758524875</v>
      </c>
      <c r="BG92" s="65">
        <f t="shared" si="53"/>
        <v>0.84964503042596351</v>
      </c>
      <c r="BH92" s="65">
        <f t="shared" si="53"/>
        <v>0.8381575635539894</v>
      </c>
      <c r="BI92" s="35">
        <f t="shared" si="53"/>
        <v>0.84950584007187779</v>
      </c>
      <c r="BJ92" s="393">
        <f t="shared" si="53"/>
        <v>0.83547430830039526</v>
      </c>
      <c r="BK92" s="393">
        <f t="shared" si="53"/>
        <v>0.85079294170203257</v>
      </c>
      <c r="BL92" s="393">
        <f t="shared" si="53"/>
        <v>0.84394535772169488</v>
      </c>
      <c r="BM92" s="393">
        <f t="shared" si="53"/>
        <v>0.8355575661615019</v>
      </c>
      <c r="BN92" s="35">
        <f t="shared" si="53"/>
        <v>0.84158702577468869</v>
      </c>
      <c r="BO92" s="393">
        <f t="shared" ref="BO92:CM92" si="54">BO10/BO5</f>
        <v>0.84167059933931099</v>
      </c>
      <c r="BP92" s="393">
        <f t="shared" si="54"/>
        <v>0.84740329130156011</v>
      </c>
      <c r="BQ92" s="393">
        <f t="shared" si="54"/>
        <v>0.84941027801179447</v>
      </c>
      <c r="BR92" s="393">
        <f t="shared" si="54"/>
        <v>0.84633805627619241</v>
      </c>
      <c r="BS92" s="35">
        <f t="shared" si="54"/>
        <v>0.84632683658170915</v>
      </c>
      <c r="BT92" s="393">
        <f t="shared" si="54"/>
        <v>0.84870603848706039</v>
      </c>
      <c r="BU92" s="393">
        <f t="shared" si="54"/>
        <v>0.84768339768339773</v>
      </c>
      <c r="BV92" s="393">
        <f t="shared" si="54"/>
        <v>0.84873782548201149</v>
      </c>
      <c r="BW92" s="393">
        <f t="shared" si="54"/>
        <v>0.84524479459763646</v>
      </c>
      <c r="BX92" s="35">
        <f t="shared" si="54"/>
        <v>0.84753027961919947</v>
      </c>
      <c r="BY92" s="393">
        <f t="shared" si="54"/>
        <v>0.85396383866481229</v>
      </c>
      <c r="BZ92" s="393">
        <f t="shared" si="54"/>
        <v>0.85307262569832398</v>
      </c>
      <c r="CA92" s="393">
        <f t="shared" si="54"/>
        <v>0.86982351913332168</v>
      </c>
      <c r="CB92" s="393">
        <f t="shared" si="54"/>
        <v>0.86199421965317924</v>
      </c>
      <c r="CC92" s="35">
        <f t="shared" si="54"/>
        <v>0.85998522758748042</v>
      </c>
      <c r="CD92" s="393">
        <f t="shared" si="54"/>
        <v>0.87208250407092458</v>
      </c>
      <c r="CE92" s="393">
        <f t="shared" si="54"/>
        <v>0.870253164556962</v>
      </c>
      <c r="CF92" s="393">
        <f t="shared" si="54"/>
        <v>0.87695749440715887</v>
      </c>
      <c r="CG92" s="393">
        <f t="shared" si="54"/>
        <v>0.87376362112321881</v>
      </c>
      <c r="CH92" s="35">
        <f t="shared" si="54"/>
        <v>0.87329824714018534</v>
      </c>
      <c r="CI92" s="393">
        <f t="shared" si="54"/>
        <v>0.87518301610541727</v>
      </c>
      <c r="CJ92" s="393">
        <f t="shared" si="54"/>
        <v>0.87779690189328741</v>
      </c>
      <c r="CK92" s="393">
        <f t="shared" si="54"/>
        <v>0.8726831803221895</v>
      </c>
      <c r="CL92" s="393">
        <f t="shared" si="54"/>
        <v>0.85935884177869704</v>
      </c>
      <c r="CM92" s="35">
        <f t="shared" si="54"/>
        <v>0.87119786423913514</v>
      </c>
      <c r="CN92" s="393">
        <f t="shared" ref="CN92:CQ92" si="55">CN10/CN5</f>
        <v>0.87792581922938417</v>
      </c>
      <c r="CO92" s="393">
        <f t="shared" si="55"/>
        <v>0.87827727956685897</v>
      </c>
      <c r="CP92" s="393">
        <f t="shared" si="55"/>
        <v>0.87520753944207985</v>
      </c>
      <c r="CQ92" s="393">
        <f t="shared" si="55"/>
        <v>0.87560271059271355</v>
      </c>
      <c r="CR92" s="35">
        <f>CR10/CR5</f>
        <v>0.87674270944512922</v>
      </c>
      <c r="CS92" s="393"/>
      <c r="CT92" s="393"/>
      <c r="CU92" s="393"/>
      <c r="CV92" s="393"/>
      <c r="CW92" s="35">
        <f>CW10/CW5</f>
        <v>0.87525000924390617</v>
      </c>
      <c r="CX92" s="393"/>
      <c r="CY92" s="393"/>
      <c r="CZ92" s="393"/>
      <c r="DA92" s="393"/>
      <c r="DB92" s="35">
        <f>DB10/DB5</f>
        <v>0.87374533242644159</v>
      </c>
      <c r="DC92" s="393"/>
      <c r="DD92" s="393"/>
      <c r="DE92" s="393"/>
      <c r="DF92" s="393"/>
      <c r="DG92" s="35">
        <f>DG10/DG5</f>
        <v>0.86790314527565449</v>
      </c>
      <c r="DH92" s="393"/>
      <c r="DI92" s="393"/>
      <c r="DJ92" s="393"/>
      <c r="DK92" s="393"/>
      <c r="DL92" s="35">
        <f>DL10/DL5</f>
        <v>0.86156372282344895</v>
      </c>
      <c r="DM92" s="393"/>
      <c r="DN92" s="393"/>
      <c r="DO92" s="393"/>
      <c r="DP92" s="393"/>
      <c r="DQ92" s="35">
        <f>DQ10/DQ5</f>
        <v>0.85393034554176217</v>
      </c>
      <c r="DR92" s="393"/>
      <c r="DS92" s="393"/>
      <c r="DT92" s="393"/>
      <c r="DU92" s="393"/>
      <c r="DV92" s="35">
        <f>DV10/DV5</f>
        <v>0.84853700869585491</v>
      </c>
      <c r="DW92" s="393"/>
      <c r="DX92" s="393"/>
      <c r="DY92" s="393"/>
      <c r="DZ92" s="393"/>
      <c r="EA92" s="35">
        <f>EA10/EA5</f>
        <v>0.84004065039490472</v>
      </c>
      <c r="EB92" s="393"/>
      <c r="EC92" s="393"/>
      <c r="ED92" s="393"/>
      <c r="EE92" s="393"/>
      <c r="EF92" s="35">
        <f>EF10/EF5</f>
        <v>0.83180866120315278</v>
      </c>
      <c r="EG92" s="393"/>
      <c r="EH92" s="393"/>
      <c r="EI92" s="393"/>
      <c r="EJ92" s="393"/>
      <c r="EK92" s="35">
        <f>EK10/EK5</f>
        <v>0.82317773699663666</v>
      </c>
      <c r="EL92" s="393"/>
      <c r="EM92" s="393"/>
      <c r="EN92" s="393"/>
      <c r="EO92" s="393"/>
      <c r="EP92" s="35">
        <f>EP10/EP5</f>
        <v>0.81387681422542213</v>
      </c>
      <c r="EQ92" s="393"/>
      <c r="ER92" s="393"/>
      <c r="ES92" s="393"/>
      <c r="ET92" s="393"/>
      <c r="EU92" s="35">
        <f>EU10/EU5</f>
        <v>0.80580385747137284</v>
      </c>
      <c r="EV92" s="393"/>
      <c r="EW92" s="393"/>
      <c r="EX92" s="393"/>
      <c r="EY92" s="393"/>
      <c r="EZ92" s="35">
        <f>EZ10/EZ5</f>
        <v>0.79868714030513177</v>
      </c>
    </row>
    <row r="93" spans="2:156">
      <c r="B93" s="30" t="s">
        <v>85</v>
      </c>
      <c r="C93" s="59">
        <f t="shared" ref="C93:AH93" si="56">C26/C5</f>
        <v>0.23871906841339155</v>
      </c>
      <c r="D93" s="59">
        <f t="shared" si="56"/>
        <v>0.21844660194174756</v>
      </c>
      <c r="E93" s="59">
        <f t="shared" si="56"/>
        <v>0.21546391752577321</v>
      </c>
      <c r="F93" s="59">
        <f t="shared" si="56"/>
        <v>0.21026785714285715</v>
      </c>
      <c r="G93" s="59">
        <f t="shared" si="56"/>
        <v>0.20158267388588089</v>
      </c>
      <c r="H93" s="59">
        <f t="shared" si="56"/>
        <v>0.18947755702722591</v>
      </c>
      <c r="I93" s="59">
        <f t="shared" si="56"/>
        <v>0.19580838323353295</v>
      </c>
      <c r="J93" s="59">
        <f t="shared" si="56"/>
        <v>0.22788647010195645</v>
      </c>
      <c r="K93" s="59">
        <f t="shared" si="56"/>
        <v>0.24178286852589642</v>
      </c>
      <c r="L93" s="65">
        <f t="shared" si="56"/>
        <v>0.24380574826560952</v>
      </c>
      <c r="M93" s="65">
        <f t="shared" si="56"/>
        <v>0.25700560448358689</v>
      </c>
      <c r="N93" s="65">
        <f t="shared" si="56"/>
        <v>0.2515010006671114</v>
      </c>
      <c r="O93" s="65">
        <f t="shared" si="56"/>
        <v>0.2808607021517554</v>
      </c>
      <c r="P93" s="35">
        <f t="shared" si="56"/>
        <v>0.26054680427304</v>
      </c>
      <c r="Q93" s="65">
        <f t="shared" si="56"/>
        <v>0.21351504826802953</v>
      </c>
      <c r="R93" s="65">
        <f t="shared" si="56"/>
        <v>0.21460068593826556</v>
      </c>
      <c r="S93" s="65">
        <f t="shared" si="56"/>
        <v>0.21195652173913043</v>
      </c>
      <c r="T93" s="65">
        <f t="shared" si="56"/>
        <v>0.26044330775788577</v>
      </c>
      <c r="U93" s="35">
        <f t="shared" si="56"/>
        <v>0.22642412637625658</v>
      </c>
      <c r="V93" s="65">
        <f t="shared" si="56"/>
        <v>0.21895006402048656</v>
      </c>
      <c r="W93" s="65">
        <f t="shared" si="56"/>
        <v>0.22707930367504836</v>
      </c>
      <c r="X93" s="65">
        <f t="shared" si="56"/>
        <v>0.23405823811279028</v>
      </c>
      <c r="Y93" s="65">
        <f t="shared" si="56"/>
        <v>0.27947748367136471</v>
      </c>
      <c r="Z93" s="35">
        <f t="shared" si="56"/>
        <v>0.24151658767772513</v>
      </c>
      <c r="AA93" s="65">
        <f t="shared" si="56"/>
        <v>0.20367102012001412</v>
      </c>
      <c r="AB93" s="65">
        <f t="shared" si="56"/>
        <v>0.20365699873896595</v>
      </c>
      <c r="AC93" s="65">
        <f t="shared" si="56"/>
        <v>0.20798985415345592</v>
      </c>
      <c r="AD93" s="65">
        <f t="shared" si="56"/>
        <v>0.27911953531030265</v>
      </c>
      <c r="AE93" s="35">
        <f t="shared" si="56"/>
        <v>0.2246178600160901</v>
      </c>
      <c r="AF93" s="65">
        <f t="shared" si="56"/>
        <v>0.20267329810382345</v>
      </c>
      <c r="AG93" s="65">
        <f t="shared" si="56"/>
        <v>0.22169811320754718</v>
      </c>
      <c r="AH93" s="65">
        <f t="shared" si="56"/>
        <v>0.21650055370985605</v>
      </c>
      <c r="AI93" s="65">
        <f t="shared" ref="AI93:BN93" si="57">AI26/AI5</f>
        <v>0.26101694915254237</v>
      </c>
      <c r="AJ93" s="35">
        <f t="shared" si="57"/>
        <v>0.2266610597140454</v>
      </c>
      <c r="AK93" s="65">
        <f t="shared" si="57"/>
        <v>0.2028749660970979</v>
      </c>
      <c r="AL93" s="65">
        <f t="shared" si="57"/>
        <v>0.22532188841201717</v>
      </c>
      <c r="AM93" s="65">
        <f t="shared" si="57"/>
        <v>0.22265300470783717</v>
      </c>
      <c r="AN93" s="65">
        <f t="shared" si="57"/>
        <v>0.2643524699599466</v>
      </c>
      <c r="AO93" s="35">
        <f t="shared" si="57"/>
        <v>0.2289621555751134</v>
      </c>
      <c r="AP93" s="65">
        <f t="shared" si="57"/>
        <v>0.23858289510102407</v>
      </c>
      <c r="AQ93" s="65">
        <f t="shared" si="57"/>
        <v>0.23751328374070138</v>
      </c>
      <c r="AR93" s="65">
        <f t="shared" si="57"/>
        <v>0.22967741935483871</v>
      </c>
      <c r="AS93" s="65">
        <f t="shared" si="57"/>
        <v>0.28312450013329776</v>
      </c>
      <c r="AT93" s="35">
        <f t="shared" si="57"/>
        <v>0.2471505698860228</v>
      </c>
      <c r="AU93" s="393">
        <f t="shared" si="57"/>
        <v>0.23397823458282951</v>
      </c>
      <c r="AV93" s="393">
        <f t="shared" si="57"/>
        <v>0.23996768112038783</v>
      </c>
      <c r="AW93" s="393">
        <f t="shared" si="57"/>
        <v>0.2395068205666317</v>
      </c>
      <c r="AX93" s="393">
        <f t="shared" si="57"/>
        <v>0.30427933840903126</v>
      </c>
      <c r="AY93" s="35">
        <f t="shared" si="57"/>
        <v>0.2552246960797705</v>
      </c>
      <c r="AZ93" s="65">
        <f t="shared" si="57"/>
        <v>0.2430400890868597</v>
      </c>
      <c r="BA93" s="65">
        <f t="shared" si="57"/>
        <v>0.25446898002103052</v>
      </c>
      <c r="BB93" s="65">
        <f t="shared" si="57"/>
        <v>0.24685534591194969</v>
      </c>
      <c r="BC93" s="65">
        <f t="shared" si="57"/>
        <v>0.29731840666493103</v>
      </c>
      <c r="BD93" s="35">
        <f t="shared" si="57"/>
        <v>0.26074536637215173</v>
      </c>
      <c r="BE93" s="65">
        <f t="shared" si="57"/>
        <v>0.27280086346465193</v>
      </c>
      <c r="BF93" s="65">
        <f t="shared" si="57"/>
        <v>0.28062642081333672</v>
      </c>
      <c r="BG93" s="65">
        <f t="shared" si="57"/>
        <v>0.28220081135902636</v>
      </c>
      <c r="BH93" s="65">
        <f t="shared" si="57"/>
        <v>0.30178706267304306</v>
      </c>
      <c r="BI93" s="35">
        <f t="shared" si="57"/>
        <v>0.28455910666153256</v>
      </c>
      <c r="BJ93" s="393">
        <f t="shared" si="57"/>
        <v>0.26111660079051385</v>
      </c>
      <c r="BK93" s="393">
        <f t="shared" si="57"/>
        <v>0.26781326781326781</v>
      </c>
      <c r="BL93" s="393">
        <f t="shared" si="57"/>
        <v>0.25700393609631861</v>
      </c>
      <c r="BM93" s="393">
        <f t="shared" si="57"/>
        <v>0.30558697127346757</v>
      </c>
      <c r="BN93" s="35">
        <f t="shared" si="57"/>
        <v>0.27321169997103967</v>
      </c>
      <c r="BO93" s="393">
        <f t="shared" ref="BO93:CM93" si="58">BO26/BO5</f>
        <v>0.26993865030674846</v>
      </c>
      <c r="BP93" s="393">
        <f t="shared" si="58"/>
        <v>0.26437272921564436</v>
      </c>
      <c r="BQ93" s="393">
        <f t="shared" si="58"/>
        <v>0.25652906486941868</v>
      </c>
      <c r="BR93" s="393">
        <f t="shared" si="58"/>
        <v>0.26062662143284776</v>
      </c>
      <c r="BS93" s="35">
        <f t="shared" si="58"/>
        <v>0.26263653887342042</v>
      </c>
      <c r="BT93" s="393">
        <f t="shared" si="58"/>
        <v>0.21742977217429771</v>
      </c>
      <c r="BU93" s="394">
        <f t="shared" si="58"/>
        <v>0.21100386100386101</v>
      </c>
      <c r="BV93" s="394">
        <f t="shared" si="58"/>
        <v>0.20413436692506459</v>
      </c>
      <c r="BW93" s="394">
        <f t="shared" si="58"/>
        <v>0.24479459763646597</v>
      </c>
      <c r="BX93" s="35">
        <f t="shared" si="58"/>
        <v>0.2197079200518367</v>
      </c>
      <c r="BY93" s="393">
        <f t="shared" si="58"/>
        <v>0.19729783429366182</v>
      </c>
      <c r="BZ93" s="394">
        <f t="shared" si="58"/>
        <v>0.20707635009310987</v>
      </c>
      <c r="CA93" s="394">
        <f t="shared" si="58"/>
        <v>0.21072863882579068</v>
      </c>
      <c r="CB93" s="394">
        <f t="shared" si="58"/>
        <v>0.24367774566473988</v>
      </c>
      <c r="CC93" s="35">
        <f t="shared" si="58"/>
        <v>0.21512325731696058</v>
      </c>
      <c r="CD93" s="393">
        <f t="shared" si="58"/>
        <v>0.19956576804776552</v>
      </c>
      <c r="CE93" s="394">
        <f t="shared" si="58"/>
        <v>0.22151898734177214</v>
      </c>
      <c r="CF93" s="394">
        <f t="shared" si="58"/>
        <v>0.20943039063844432</v>
      </c>
      <c r="CG93" s="394">
        <f t="shared" si="58"/>
        <v>0.21743503772003353</v>
      </c>
      <c r="CH93" s="35">
        <f t="shared" si="58"/>
        <v>0.212126484276456</v>
      </c>
      <c r="CI93" s="393">
        <f t="shared" si="58"/>
        <v>0.1901537335285505</v>
      </c>
      <c r="CJ93" s="393">
        <f t="shared" si="58"/>
        <v>0.20206540447504304</v>
      </c>
      <c r="CK93" s="393">
        <f t="shared" si="58"/>
        <v>0.19868352676251516</v>
      </c>
      <c r="CL93" s="393">
        <f t="shared" si="58"/>
        <v>0.24233023095484316</v>
      </c>
      <c r="CM93" s="35">
        <f t="shared" si="58"/>
        <v>0.20858680905072433</v>
      </c>
      <c r="CN93" s="393">
        <f t="shared" ref="CN93:CQ93" si="59">CN26/CN5</f>
        <v>0.19787540511343177</v>
      </c>
      <c r="CO93" s="393">
        <f t="shared" si="59"/>
        <v>0.20192863006058662</v>
      </c>
      <c r="CP93" s="393">
        <f t="shared" si="59"/>
        <v>0.21636080208227632</v>
      </c>
      <c r="CQ93" s="393">
        <f t="shared" si="59"/>
        <v>0.22659116613192842</v>
      </c>
      <c r="CR93" s="35">
        <f>CR26/CR5</f>
        <v>0.21077499665946037</v>
      </c>
      <c r="CS93" s="393"/>
      <c r="CT93" s="393"/>
      <c r="CU93" s="393"/>
      <c r="CV93" s="393"/>
      <c r="CW93" s="35">
        <f>CW26/CW5</f>
        <v>0.21537742772839402</v>
      </c>
      <c r="CX93" s="393"/>
      <c r="CY93" s="393"/>
      <c r="CZ93" s="393"/>
      <c r="DA93" s="393"/>
      <c r="DB93" s="35">
        <f>DB26/DB5</f>
        <v>0.2162526890692554</v>
      </c>
      <c r="DC93" s="393"/>
      <c r="DD93" s="393"/>
      <c r="DE93" s="393"/>
      <c r="DF93" s="393"/>
      <c r="DG93" s="35">
        <f>DG26/DG5</f>
        <v>0.2111162678934683</v>
      </c>
      <c r="DH93" s="393"/>
      <c r="DI93" s="393"/>
      <c r="DJ93" s="393"/>
      <c r="DK93" s="393"/>
      <c r="DL93" s="35">
        <f>DL26/DL5</f>
        <v>0.19750056706608443</v>
      </c>
      <c r="DM93" s="393"/>
      <c r="DN93" s="393"/>
      <c r="DO93" s="393"/>
      <c r="DP93" s="393"/>
      <c r="DQ93" s="35">
        <f>DQ26/DQ5</f>
        <v>0.1861597744803353</v>
      </c>
      <c r="DR93" s="393"/>
      <c r="DS93" s="393"/>
      <c r="DT93" s="393"/>
      <c r="DU93" s="393"/>
      <c r="DV93" s="35">
        <f>DV26/DV5</f>
        <v>0.17890732173426113</v>
      </c>
      <c r="DW93" s="393"/>
      <c r="DX93" s="393"/>
      <c r="DY93" s="393"/>
      <c r="DZ93" s="393"/>
      <c r="EA93" s="35">
        <f>EA26/EA5</f>
        <v>0.17090582997475831</v>
      </c>
      <c r="EB93" s="393"/>
      <c r="EC93" s="393"/>
      <c r="ED93" s="393"/>
      <c r="EE93" s="393"/>
      <c r="EF93" s="35">
        <f>EF26/EF5</f>
        <v>0.16965351834220843</v>
      </c>
      <c r="EG93" s="393"/>
      <c r="EH93" s="393"/>
      <c r="EI93" s="393"/>
      <c r="EJ93" s="393"/>
      <c r="EK93" s="35">
        <f>EK26/EK5</f>
        <v>0.16758242450107677</v>
      </c>
      <c r="EL93" s="393"/>
      <c r="EM93" s="393"/>
      <c r="EN93" s="393"/>
      <c r="EO93" s="393"/>
      <c r="EP93" s="35">
        <f>EP26/EP5</f>
        <v>0.17470558537801603</v>
      </c>
      <c r="EQ93" s="393"/>
      <c r="ER93" s="393"/>
      <c r="ES93" s="393"/>
      <c r="ET93" s="393"/>
      <c r="EU93" s="35">
        <f>EU26/EU5</f>
        <v>0.17282322158225941</v>
      </c>
      <c r="EV93" s="393"/>
      <c r="EW93" s="393"/>
      <c r="EX93" s="393"/>
      <c r="EY93" s="393"/>
      <c r="EZ93" s="35">
        <f>EZ26/EZ5</f>
        <v>0.16852566396717802</v>
      </c>
    </row>
    <row r="94" spans="2:156">
      <c r="B94" s="30" t="s">
        <v>86</v>
      </c>
      <c r="C94" s="59">
        <f t="shared" ref="C94:AH94" si="60">C19/C5</f>
        <v>0.18558951965065501</v>
      </c>
      <c r="D94" s="59">
        <f t="shared" si="60"/>
        <v>0.19660194174757281</v>
      </c>
      <c r="E94" s="59">
        <f t="shared" si="60"/>
        <v>0.23298969072164949</v>
      </c>
      <c r="F94" s="59">
        <f t="shared" si="60"/>
        <v>0.23571428571428571</v>
      </c>
      <c r="G94" s="59">
        <f t="shared" si="60"/>
        <v>0.26280716368179924</v>
      </c>
      <c r="H94" s="59">
        <f t="shared" si="60"/>
        <v>0.24392935982339956</v>
      </c>
      <c r="I94" s="59">
        <f t="shared" si="60"/>
        <v>0.2464071856287425</v>
      </c>
      <c r="J94" s="59">
        <f t="shared" si="60"/>
        <v>0.23284651419123725</v>
      </c>
      <c r="K94" s="59">
        <f t="shared" si="60"/>
        <v>0.21538844621513945</v>
      </c>
      <c r="L94" s="65">
        <f t="shared" si="60"/>
        <v>0.20118929633300298</v>
      </c>
      <c r="M94" s="65">
        <f t="shared" si="60"/>
        <v>0.18734987990392313</v>
      </c>
      <c r="N94" s="65">
        <f t="shared" si="60"/>
        <v>0.2028018679119413</v>
      </c>
      <c r="O94" s="65">
        <f t="shared" si="60"/>
        <v>0.20215175537938845</v>
      </c>
      <c r="P94" s="35">
        <f t="shared" si="60"/>
        <v>0.19898605830164764</v>
      </c>
      <c r="Q94" s="65">
        <f t="shared" si="60"/>
        <v>0.19420783645655879</v>
      </c>
      <c r="R94" s="65">
        <f t="shared" si="60"/>
        <v>0.18863302302792748</v>
      </c>
      <c r="S94" s="65">
        <f t="shared" si="60"/>
        <v>0.18115942028985507</v>
      </c>
      <c r="T94" s="65">
        <f t="shared" si="60"/>
        <v>0.21057118499573743</v>
      </c>
      <c r="U94" s="35">
        <f t="shared" si="60"/>
        <v>0.19387266634753469</v>
      </c>
      <c r="V94" s="65">
        <f t="shared" si="60"/>
        <v>0.18480580452411438</v>
      </c>
      <c r="W94" s="65">
        <f t="shared" si="60"/>
        <v>0.17794970986460348</v>
      </c>
      <c r="X94" s="65">
        <f t="shared" si="60"/>
        <v>0.18245484703280501</v>
      </c>
      <c r="Y94" s="65">
        <f t="shared" si="60"/>
        <v>0.20900653145410794</v>
      </c>
      <c r="Z94" s="35">
        <f t="shared" si="60"/>
        <v>0.18919431279620852</v>
      </c>
      <c r="AA94" s="65">
        <f t="shared" si="60"/>
        <v>0.18390398870455349</v>
      </c>
      <c r="AB94" s="65">
        <f t="shared" si="60"/>
        <v>0.17780580075662042</v>
      </c>
      <c r="AC94" s="65">
        <f t="shared" si="60"/>
        <v>0.17723525681674066</v>
      </c>
      <c r="AD94" s="65">
        <f t="shared" si="60"/>
        <v>0.20116172424335066</v>
      </c>
      <c r="AE94" s="35">
        <f t="shared" si="60"/>
        <v>0.18519710378117457</v>
      </c>
      <c r="AF94" s="65">
        <f t="shared" si="60"/>
        <v>0.19396953683556109</v>
      </c>
      <c r="AG94" s="65">
        <f t="shared" si="60"/>
        <v>0.20227524972253053</v>
      </c>
      <c r="AH94" s="65">
        <f t="shared" si="60"/>
        <v>0.23117386489479513</v>
      </c>
      <c r="AI94" s="65">
        <f t="shared" ref="AI94:BN94" si="61">AI19/AI5</f>
        <v>0.26153846153846155</v>
      </c>
      <c r="AJ94" s="35">
        <f t="shared" si="61"/>
        <v>0.22364732268012336</v>
      </c>
      <c r="AK94" s="65">
        <f t="shared" si="61"/>
        <v>0.21779224301600217</v>
      </c>
      <c r="AL94" s="65">
        <f t="shared" si="61"/>
        <v>0.20842274678111589</v>
      </c>
      <c r="AM94" s="65">
        <f t="shared" si="61"/>
        <v>0.19357518692882858</v>
      </c>
      <c r="AN94" s="65">
        <f t="shared" si="61"/>
        <v>0.20961281708945259</v>
      </c>
      <c r="AO94" s="35">
        <f t="shared" si="61"/>
        <v>0.20743348453049895</v>
      </c>
      <c r="AP94" s="65">
        <f t="shared" si="61"/>
        <v>0.18295045668419596</v>
      </c>
      <c r="AQ94" s="65">
        <f t="shared" si="61"/>
        <v>0.20696068012752392</v>
      </c>
      <c r="AR94" s="65">
        <f t="shared" si="61"/>
        <v>0.18064516129032257</v>
      </c>
      <c r="AS94" s="65">
        <f t="shared" si="61"/>
        <v>0.20527859237536658</v>
      </c>
      <c r="AT94" s="35">
        <f t="shared" si="61"/>
        <v>0.1939612077584483</v>
      </c>
      <c r="AU94" s="393">
        <f t="shared" si="61"/>
        <v>0.18288996372430472</v>
      </c>
      <c r="AV94" s="393">
        <f t="shared" si="61"/>
        <v>0.17694586587664962</v>
      </c>
      <c r="AW94" s="393">
        <f t="shared" si="61"/>
        <v>0.16080797481636935</v>
      </c>
      <c r="AX94" s="393">
        <f t="shared" si="61"/>
        <v>0.22683118928852716</v>
      </c>
      <c r="AY94" s="35">
        <f t="shared" si="61"/>
        <v>0.18706460866001912</v>
      </c>
      <c r="AZ94" s="65">
        <f t="shared" si="61"/>
        <v>0.1717706013363029</v>
      </c>
      <c r="BA94" s="65">
        <f t="shared" si="61"/>
        <v>0.16876971608832808</v>
      </c>
      <c r="BB94" s="65">
        <f t="shared" si="61"/>
        <v>0.18055555555555555</v>
      </c>
      <c r="BC94" s="65">
        <f t="shared" si="61"/>
        <v>0.21478781567300181</v>
      </c>
      <c r="BD94" s="35">
        <f t="shared" si="61"/>
        <v>0.18421577094266925</v>
      </c>
      <c r="BE94" s="65">
        <f t="shared" si="61"/>
        <v>0.18969239071775498</v>
      </c>
      <c r="BF94" s="65">
        <f t="shared" si="61"/>
        <v>0.20409194240969941</v>
      </c>
      <c r="BG94" s="65">
        <f t="shared" si="61"/>
        <v>0.19345841784989859</v>
      </c>
      <c r="BH94" s="65">
        <f t="shared" si="61"/>
        <v>0.21193053108482254</v>
      </c>
      <c r="BI94" s="35">
        <f t="shared" si="61"/>
        <v>0.19997432935438325</v>
      </c>
      <c r="BJ94" s="393">
        <f t="shared" si="61"/>
        <v>0.17860671936758893</v>
      </c>
      <c r="BK94" s="393">
        <f t="shared" si="61"/>
        <v>0.18025463480008935</v>
      </c>
      <c r="BL94" s="393">
        <f t="shared" si="61"/>
        <v>0.19657328085204909</v>
      </c>
      <c r="BM94" s="393">
        <f t="shared" si="61"/>
        <v>0.20741913594209455</v>
      </c>
      <c r="BN94" s="35">
        <f t="shared" si="61"/>
        <v>0.19090645815233132</v>
      </c>
      <c r="BO94" s="393">
        <f t="shared" ref="BO94:CM94" si="62">BO19/BO5</f>
        <v>0.20080226521944314</v>
      </c>
      <c r="BP94" s="393">
        <f t="shared" si="62"/>
        <v>0.20175251122034624</v>
      </c>
      <c r="BQ94" s="393">
        <f t="shared" si="62"/>
        <v>0.20345408593091829</v>
      </c>
      <c r="BR94" s="393">
        <f t="shared" si="62"/>
        <v>0.23308720814208742</v>
      </c>
      <c r="BS94" s="35">
        <f t="shared" si="62"/>
        <v>0.21037695437995288</v>
      </c>
      <c r="BT94" s="393">
        <f t="shared" si="62"/>
        <v>0.21986286219862863</v>
      </c>
      <c r="BU94" s="393">
        <f t="shared" si="62"/>
        <v>0.18899613899613898</v>
      </c>
      <c r="BV94" s="393">
        <f t="shared" si="62"/>
        <v>0.19479228781554364</v>
      </c>
      <c r="BW94" s="393">
        <f t="shared" si="62"/>
        <v>0.21909585443631588</v>
      </c>
      <c r="BX94" s="35">
        <f t="shared" si="62"/>
        <v>0.20540298061107512</v>
      </c>
      <c r="BY94" s="393">
        <f t="shared" si="62"/>
        <v>0.17007748857540234</v>
      </c>
      <c r="BZ94" s="393">
        <f t="shared" si="62"/>
        <v>0.17094972067039105</v>
      </c>
      <c r="CA94" s="393">
        <f t="shared" si="62"/>
        <v>0.1897606150620304</v>
      </c>
      <c r="CB94" s="393">
        <f t="shared" si="62"/>
        <v>0.1909320809248555</v>
      </c>
      <c r="CC94" s="35">
        <f t="shared" si="62"/>
        <v>0.18082356199796878</v>
      </c>
      <c r="CD94" s="393">
        <f t="shared" si="62"/>
        <v>0.15523792292382849</v>
      </c>
      <c r="CE94" s="393">
        <f t="shared" si="62"/>
        <v>0.15436005625879043</v>
      </c>
      <c r="CF94" s="393">
        <f t="shared" si="62"/>
        <v>0.16572018585441403</v>
      </c>
      <c r="CG94" s="393">
        <f t="shared" si="62"/>
        <v>0.17703269069572505</v>
      </c>
      <c r="CH94" s="35">
        <f t="shared" si="62"/>
        <v>0.16332477926145014</v>
      </c>
      <c r="CI94" s="393">
        <f t="shared" si="62"/>
        <v>0.13689604685212298</v>
      </c>
      <c r="CJ94" s="393">
        <f t="shared" si="62"/>
        <v>0.14647160068846815</v>
      </c>
      <c r="CK94" s="393">
        <f t="shared" si="62"/>
        <v>0.14862289970552572</v>
      </c>
      <c r="CL94" s="393">
        <f t="shared" si="62"/>
        <v>0.17666321957945536</v>
      </c>
      <c r="CM94" s="35">
        <f t="shared" si="62"/>
        <v>0.1523917895750361</v>
      </c>
      <c r="CN94" s="393">
        <f t="shared" ref="CN94:CQ94" si="63">CN19/CN5</f>
        <v>0.13305725603168889</v>
      </c>
      <c r="CO94" s="393">
        <f t="shared" si="63"/>
        <v>0.15107292256948676</v>
      </c>
      <c r="CP94" s="393">
        <f t="shared" si="63"/>
        <v>0.16187035335326452</v>
      </c>
      <c r="CQ94" s="393">
        <f t="shared" si="63"/>
        <v>0.18418404584651868</v>
      </c>
      <c r="CR94" s="35">
        <f>CR19/CR5</f>
        <v>0.15769133252854986</v>
      </c>
      <c r="CS94" s="393"/>
      <c r="CT94" s="393"/>
      <c r="CU94" s="393"/>
      <c r="CV94" s="393"/>
      <c r="CW94" s="35">
        <f>CW19/CW5</f>
        <v>0.16272217515898466</v>
      </c>
      <c r="CX94" s="393"/>
      <c r="CY94" s="393"/>
      <c r="CZ94" s="393"/>
      <c r="DA94" s="393"/>
      <c r="DB94" s="35">
        <f>DB19/DB5</f>
        <v>0.16499314270228238</v>
      </c>
      <c r="DC94" s="393"/>
      <c r="DD94" s="393"/>
      <c r="DE94" s="393"/>
      <c r="DF94" s="393"/>
      <c r="DG94" s="35">
        <f>DG19/DG5</f>
        <v>0.16854675133152777</v>
      </c>
      <c r="DH94" s="393"/>
      <c r="DI94" s="393"/>
      <c r="DJ94" s="393"/>
      <c r="DK94" s="393"/>
      <c r="DL94" s="35">
        <f>DL19/DL5</f>
        <v>0.1649914127215632</v>
      </c>
      <c r="DM94" s="393"/>
      <c r="DN94" s="393"/>
      <c r="DO94" s="393"/>
      <c r="DP94" s="393"/>
      <c r="DQ94" s="35">
        <f>DQ19/DQ5</f>
        <v>0.15944455253674766</v>
      </c>
      <c r="DR94" s="393"/>
      <c r="DS94" s="393"/>
      <c r="DT94" s="393"/>
      <c r="DU94" s="393"/>
      <c r="DV94" s="35">
        <f>DV19/DV5</f>
        <v>0.15284592547351533</v>
      </c>
      <c r="DW94" s="393"/>
      <c r="DX94" s="393"/>
      <c r="DY94" s="393"/>
      <c r="DZ94" s="393"/>
      <c r="EA94" s="35">
        <f>EA19/EA5</f>
        <v>0.14864421073231995</v>
      </c>
      <c r="EB94" s="393"/>
      <c r="EC94" s="393"/>
      <c r="ED94" s="393"/>
      <c r="EE94" s="393"/>
      <c r="EF94" s="35">
        <f>EF19/EF5</f>
        <v>0.14755502100579762</v>
      </c>
      <c r="EG94" s="393"/>
      <c r="EH94" s="393"/>
      <c r="EI94" s="393"/>
      <c r="EJ94" s="393"/>
      <c r="EK94" s="35">
        <f>EK19/EK5</f>
        <v>0.14575370089042733</v>
      </c>
      <c r="EL94" s="393"/>
      <c r="EM94" s="393"/>
      <c r="EN94" s="393"/>
      <c r="EO94" s="393"/>
      <c r="EP94" s="35">
        <f>EP19/EP5</f>
        <v>0.15469037111109729</v>
      </c>
      <c r="EQ94" s="393"/>
      <c r="ER94" s="393"/>
      <c r="ES94" s="393"/>
      <c r="ET94" s="393"/>
      <c r="EU94" s="35">
        <f>EU19/EU5</f>
        <v>0.15906406873937501</v>
      </c>
      <c r="EV94" s="393"/>
      <c r="EW94" s="393"/>
      <c r="EX94" s="393"/>
      <c r="EY94" s="393"/>
      <c r="EZ94" s="35">
        <f>EZ19/EZ5</f>
        <v>0.16123136714224887</v>
      </c>
    </row>
    <row r="95" spans="2:156" ht="13.5" thickBot="1">
      <c r="B95" s="629" t="s">
        <v>714</v>
      </c>
      <c r="C95" s="59">
        <f t="shared" ref="C95:AH95" si="64">C29/C3</f>
        <v>0.43787060158215207</v>
      </c>
      <c r="D95" s="59">
        <f t="shared" si="64"/>
        <v>0.37364481156427465</v>
      </c>
      <c r="E95" s="59">
        <f t="shared" si="64"/>
        <v>0.40910590564170241</v>
      </c>
      <c r="F95" s="59">
        <f t="shared" si="64"/>
        <v>0.43338760655109665</v>
      </c>
      <c r="G95" s="59">
        <f t="shared" si="64"/>
        <v>0.35678889990089196</v>
      </c>
      <c r="H95" s="59">
        <f t="shared" si="64"/>
        <v>0.47287623289850467</v>
      </c>
      <c r="I95" s="59">
        <f t="shared" si="64"/>
        <v>0.49066649138950968</v>
      </c>
      <c r="J95" s="59">
        <f t="shared" si="64"/>
        <v>0.48216850914995946</v>
      </c>
      <c r="K95" s="59">
        <f t="shared" si="64"/>
        <v>0.43605810310452864</v>
      </c>
      <c r="L95" s="65">
        <f t="shared" si="64"/>
        <v>0.50407219898745326</v>
      </c>
      <c r="M95" s="65">
        <f t="shared" si="64"/>
        <v>0.50573888091822106</v>
      </c>
      <c r="N95" s="65">
        <f t="shared" si="64"/>
        <v>0.46069252489225732</v>
      </c>
      <c r="O95" s="65">
        <f t="shared" si="64"/>
        <v>0.41070547607301433</v>
      </c>
      <c r="P95" s="35">
        <f t="shared" si="64"/>
        <v>0.46241384837313676</v>
      </c>
      <c r="Q95" s="65">
        <f t="shared" si="64"/>
        <v>0.46763249587383088</v>
      </c>
      <c r="R95" s="65">
        <f t="shared" si="64"/>
        <v>0.46647534568223326</v>
      </c>
      <c r="S95" s="65">
        <f t="shared" si="64"/>
        <v>0.48315688161693937</v>
      </c>
      <c r="T95" s="65">
        <f t="shared" si="64"/>
        <v>0.38293118856121539</v>
      </c>
      <c r="U95" s="35">
        <f t="shared" si="64"/>
        <v>0.44748614712012608</v>
      </c>
      <c r="V95" s="65">
        <f t="shared" si="64"/>
        <v>0.46471600688468157</v>
      </c>
      <c r="W95" s="65">
        <f t="shared" si="64"/>
        <v>0.4537227478403949</v>
      </c>
      <c r="X95" s="65">
        <f t="shared" si="64"/>
        <v>0.44374999999999998</v>
      </c>
      <c r="Y95" s="65">
        <f t="shared" si="64"/>
        <v>0.3642908567314615</v>
      </c>
      <c r="Z95" s="35">
        <f t="shared" si="64"/>
        <v>0.42869457140566114</v>
      </c>
      <c r="AA95" s="65">
        <f t="shared" si="64"/>
        <v>0.45557586837294334</v>
      </c>
      <c r="AB95" s="65">
        <f t="shared" si="64"/>
        <v>0.46614583333333331</v>
      </c>
      <c r="AC95" s="65">
        <f t="shared" si="64"/>
        <v>0.47062684607810962</v>
      </c>
      <c r="AD95" s="65">
        <f t="shared" si="64"/>
        <v>0.37531565656565657</v>
      </c>
      <c r="AE95" s="35">
        <f t="shared" si="64"/>
        <v>0.44094160705373481</v>
      </c>
      <c r="AF95" s="65">
        <f t="shared" si="64"/>
        <v>0.44419571474256475</v>
      </c>
      <c r="AG95" s="65">
        <f t="shared" si="64"/>
        <v>0.45373818390146092</v>
      </c>
      <c r="AH95" s="65">
        <f t="shared" si="64"/>
        <v>0.43105909220667998</v>
      </c>
      <c r="AI95" s="65">
        <f t="shared" ref="AI95:BN95" si="65">AI29/AI3</f>
        <v>0.34252073856034254</v>
      </c>
      <c r="AJ95" s="35">
        <f t="shared" si="65"/>
        <v>0.4158608745850772</v>
      </c>
      <c r="AK95" s="65">
        <f t="shared" si="65"/>
        <v>0.44235624123422163</v>
      </c>
      <c r="AL95" s="65">
        <f t="shared" si="65"/>
        <v>0.43423973362930079</v>
      </c>
      <c r="AM95" s="65">
        <f t="shared" si="65"/>
        <v>0.43217934165720773</v>
      </c>
      <c r="AN95" s="65">
        <f t="shared" si="65"/>
        <v>0.38833609729132118</v>
      </c>
      <c r="AO95" s="35">
        <f t="shared" si="65"/>
        <v>0.42414925581720353</v>
      </c>
      <c r="AP95" s="65">
        <f t="shared" si="65"/>
        <v>0.43765903307888043</v>
      </c>
      <c r="AQ95" s="65">
        <f t="shared" si="65"/>
        <v>0.42768147345612134</v>
      </c>
      <c r="AR95" s="65">
        <f t="shared" si="65"/>
        <v>0.44793868921775898</v>
      </c>
      <c r="AS95" s="65">
        <f t="shared" si="65"/>
        <v>0.37289058247142082</v>
      </c>
      <c r="AT95" s="35">
        <f t="shared" si="65"/>
        <v>0.42159733097296931</v>
      </c>
      <c r="AU95" s="393">
        <f t="shared" si="65"/>
        <v>0.44935145151327982</v>
      </c>
      <c r="AV95" s="393">
        <f t="shared" si="65"/>
        <v>0.4507429829389103</v>
      </c>
      <c r="AW95" s="393">
        <f t="shared" si="65"/>
        <v>0.46680942184154178</v>
      </c>
      <c r="AX95" s="393">
        <f t="shared" si="65"/>
        <v>0.33422388458455782</v>
      </c>
      <c r="AY95" s="35">
        <f t="shared" si="65"/>
        <v>0.42422130861960838</v>
      </c>
      <c r="AZ95" s="65">
        <f t="shared" si="65"/>
        <v>0.45294784580498865</v>
      </c>
      <c r="BA95" s="65">
        <f t="shared" si="65"/>
        <v>0.45530030445613062</v>
      </c>
      <c r="BB95" s="65">
        <f t="shared" si="65"/>
        <v>0.42591114658153767</v>
      </c>
      <c r="BC95" s="65">
        <f t="shared" si="65"/>
        <v>0.34734042553191491</v>
      </c>
      <c r="BD95" s="35">
        <f t="shared" si="65"/>
        <v>0.41950886766712142</v>
      </c>
      <c r="BE95" s="65">
        <f t="shared" si="65"/>
        <v>0.40132669983416253</v>
      </c>
      <c r="BF95" s="65">
        <f t="shared" si="65"/>
        <v>0.37785769329565888</v>
      </c>
      <c r="BG95" s="65">
        <f t="shared" si="65"/>
        <v>0.38044880061903535</v>
      </c>
      <c r="BH95" s="65">
        <f t="shared" si="65"/>
        <v>0.32992065523419506</v>
      </c>
      <c r="BI95" s="35">
        <f t="shared" si="65"/>
        <v>0.37182085648904872</v>
      </c>
      <c r="BJ95" s="393">
        <f t="shared" si="65"/>
        <v>0.41066393232504483</v>
      </c>
      <c r="BK95" s="393">
        <f t="shared" si="65"/>
        <v>0.42928571428571427</v>
      </c>
      <c r="BL95" s="393">
        <f t="shared" si="65"/>
        <v>0.40133301594858367</v>
      </c>
      <c r="BM95" s="393">
        <f t="shared" si="65"/>
        <v>0.32879870878487433</v>
      </c>
      <c r="BN95" s="35">
        <f t="shared" si="65"/>
        <v>0.39167017248632729</v>
      </c>
      <c r="BO95" s="393">
        <f t="shared" ref="BO95:CM95" si="66">BO29/BO3</f>
        <v>0.37870392676463505</v>
      </c>
      <c r="BP95" s="393">
        <f t="shared" si="66"/>
        <v>0.38824809575625679</v>
      </c>
      <c r="BQ95" s="393">
        <f t="shared" si="66"/>
        <v>0.39789111254572845</v>
      </c>
      <c r="BR95" s="393">
        <f t="shared" si="66"/>
        <v>0.36820170868931029</v>
      </c>
      <c r="BS95" s="35">
        <f t="shared" si="66"/>
        <v>0.38324538258575197</v>
      </c>
      <c r="BT95" s="393">
        <f t="shared" si="66"/>
        <v>0.42699724517906334</v>
      </c>
      <c r="BU95" s="393">
        <f t="shared" si="66"/>
        <v>0.4685795110123257</v>
      </c>
      <c r="BV95" s="393">
        <f t="shared" si="66"/>
        <v>0.4667904290429043</v>
      </c>
      <c r="BW95" s="393">
        <f t="shared" si="66"/>
        <v>0.39292616930807883</v>
      </c>
      <c r="BX95" s="35">
        <f t="shared" si="66"/>
        <v>0.43850571739017952</v>
      </c>
      <c r="BY95" s="393">
        <f t="shared" si="66"/>
        <v>0.5024620434961018</v>
      </c>
      <c r="BZ95" s="393">
        <f t="shared" si="66"/>
        <v>0.48822966507177035</v>
      </c>
      <c r="CA95" s="393">
        <f t="shared" si="66"/>
        <v>0.48694706308919505</v>
      </c>
      <c r="CB95" s="393">
        <f t="shared" si="66"/>
        <v>0.44398573841246014</v>
      </c>
      <c r="CC95" s="35">
        <f t="shared" si="66"/>
        <v>0.4799465240641711</v>
      </c>
      <c r="CD95" s="393">
        <f t="shared" si="66"/>
        <v>0.54571483107463259</v>
      </c>
      <c r="CE95" s="393">
        <f t="shared" si="66"/>
        <v>0.51370113262696382</v>
      </c>
      <c r="CF95" s="393">
        <f t="shared" si="66"/>
        <v>0.52864394488759969</v>
      </c>
      <c r="CG95" s="393">
        <f t="shared" si="66"/>
        <v>0.50485608334804877</v>
      </c>
      <c r="CH95" s="35">
        <f t="shared" si="66"/>
        <v>0.52283939338571173</v>
      </c>
      <c r="CI95" s="393">
        <f t="shared" si="66"/>
        <v>0.57607232160030775</v>
      </c>
      <c r="CJ95" s="393">
        <f t="shared" si="66"/>
        <v>0.55166846071044129</v>
      </c>
      <c r="CK95" s="393">
        <f t="shared" si="66"/>
        <v>0.55620759215110949</v>
      </c>
      <c r="CL95" s="393">
        <f t="shared" si="66"/>
        <v>0.45878972885616809</v>
      </c>
      <c r="CM95" s="35">
        <f t="shared" si="66"/>
        <v>0.53489332415691671</v>
      </c>
      <c r="CN95" s="393">
        <f t="shared" ref="CN95:CQ95" si="67">CN29/CN3</f>
        <v>0.56915590492232826</v>
      </c>
      <c r="CO95" s="393">
        <f t="shared" si="67"/>
        <v>0.55812771587058618</v>
      </c>
      <c r="CP95" s="393">
        <f t="shared" si="67"/>
        <v>0.52065722556730942</v>
      </c>
      <c r="CQ95" s="393">
        <f t="shared" si="67"/>
        <v>0.48865337644560708</v>
      </c>
      <c r="CR95" s="35">
        <f>CR29/CR3</f>
        <v>0.53394045175832172</v>
      </c>
      <c r="CS95" s="393"/>
      <c r="CT95" s="393"/>
      <c r="CU95" s="393"/>
      <c r="CV95" s="393"/>
      <c r="CW95" s="35">
        <f>CW29/CW3</f>
        <v>0.52620416907836631</v>
      </c>
      <c r="CX95" s="393"/>
      <c r="CY95" s="393"/>
      <c r="CZ95" s="393"/>
      <c r="DA95" s="393"/>
      <c r="DB95" s="35">
        <f>DB29/DB3</f>
        <v>0.52338087566384606</v>
      </c>
      <c r="DC95" s="393"/>
      <c r="DD95" s="393"/>
      <c r="DE95" s="393"/>
      <c r="DF95" s="393"/>
      <c r="DG95" s="35">
        <f>DG29/DG3</f>
        <v>0.50904746300070369</v>
      </c>
      <c r="DH95" s="393"/>
      <c r="DI95" s="393"/>
      <c r="DJ95" s="393"/>
      <c r="DK95" s="393"/>
      <c r="DL95" s="35">
        <f>DL29/DL3</f>
        <v>0.51626142088974869</v>
      </c>
      <c r="DM95" s="393"/>
      <c r="DN95" s="393"/>
      <c r="DO95" s="393"/>
      <c r="DP95" s="393"/>
      <c r="DQ95" s="35">
        <f>DQ29/DQ3</f>
        <v>0.5250673585703397</v>
      </c>
      <c r="DR95" s="393"/>
      <c r="DS95" s="393"/>
      <c r="DT95" s="393"/>
      <c r="DU95" s="393"/>
      <c r="DV95" s="35">
        <f>DV29/DV3</f>
        <v>0.53119556985387351</v>
      </c>
      <c r="DW95" s="393"/>
      <c r="DX95" s="393"/>
      <c r="DY95" s="393"/>
      <c r="DZ95" s="393"/>
      <c r="EA95" s="35">
        <f>EA29/EA3</f>
        <v>0.52807928313825614</v>
      </c>
      <c r="EB95" s="393"/>
      <c r="EC95" s="393"/>
      <c r="ED95" s="393"/>
      <c r="EE95" s="393"/>
      <c r="EF95" s="35">
        <f>EF29/EF3</f>
        <v>0.52077439024793859</v>
      </c>
      <c r="EG95" s="393"/>
      <c r="EH95" s="393"/>
      <c r="EI95" s="393"/>
      <c r="EJ95" s="393"/>
      <c r="EK95" s="35">
        <f>EK29/EK3</f>
        <v>0.51595228188196274</v>
      </c>
      <c r="EL95" s="393"/>
      <c r="EM95" s="393"/>
      <c r="EN95" s="393"/>
      <c r="EO95" s="393"/>
      <c r="EP95" s="35">
        <f>EP29/EP3</f>
        <v>0.49086148731801832</v>
      </c>
      <c r="EQ95" s="393"/>
      <c r="ER95" s="393"/>
      <c r="ES95" s="393"/>
      <c r="ET95" s="393"/>
      <c r="EU95" s="35">
        <f>EU29/EU3</f>
        <v>0.48057646453127179</v>
      </c>
      <c r="EV95" s="393"/>
      <c r="EW95" s="393"/>
      <c r="EX95" s="393"/>
      <c r="EY95" s="393"/>
      <c r="EZ95" s="35">
        <f>EZ29/EZ3</f>
        <v>0.47586457178880665</v>
      </c>
    </row>
    <row r="96" spans="2:156" ht="13.5" thickBot="1">
      <c r="B96" s="30"/>
      <c r="C96" s="59"/>
      <c r="D96" s="59"/>
      <c r="E96" s="59"/>
      <c r="F96" s="59"/>
      <c r="G96" s="59"/>
      <c r="H96" s="59"/>
      <c r="I96" s="59"/>
      <c r="J96" s="59"/>
      <c r="K96" s="59"/>
      <c r="L96" s="65"/>
      <c r="M96" s="65"/>
      <c r="N96" s="65"/>
      <c r="O96" s="65"/>
      <c r="P96" s="35"/>
      <c r="Q96" s="65"/>
      <c r="R96" s="65"/>
      <c r="S96" s="65"/>
      <c r="T96" s="65"/>
      <c r="U96" s="35"/>
      <c r="V96" s="65"/>
      <c r="W96" s="65"/>
      <c r="X96" s="65"/>
      <c r="Y96" s="65"/>
      <c r="Z96" s="35"/>
      <c r="AA96" s="65"/>
      <c r="AB96" s="65"/>
      <c r="AC96" s="65"/>
      <c r="AD96" s="65"/>
      <c r="AE96" s="35"/>
      <c r="AF96" s="65"/>
      <c r="AG96" s="65"/>
      <c r="AH96" s="65"/>
      <c r="AI96" s="65"/>
      <c r="AJ96" s="35"/>
      <c r="AK96" s="65"/>
      <c r="AL96" s="65"/>
      <c r="AM96" s="65"/>
      <c r="AN96" s="65"/>
      <c r="AO96" s="35"/>
      <c r="AP96" s="65"/>
      <c r="AQ96" s="65"/>
      <c r="AR96" s="65"/>
      <c r="AS96" s="65"/>
      <c r="AT96" s="35"/>
      <c r="AU96" s="393"/>
      <c r="AV96" s="393"/>
      <c r="AW96" s="393"/>
      <c r="AX96" s="393"/>
      <c r="AY96" s="35"/>
      <c r="AZ96" s="65"/>
      <c r="BA96" s="65"/>
      <c r="BB96" s="65"/>
      <c r="BC96" s="65"/>
      <c r="BD96" s="35"/>
      <c r="BE96" s="65"/>
      <c r="BF96" s="65"/>
      <c r="BG96" s="65"/>
      <c r="BH96" s="65"/>
      <c r="BI96" s="35"/>
      <c r="BJ96" s="393"/>
      <c r="BK96" s="393"/>
      <c r="BL96" s="393"/>
      <c r="BM96" s="393"/>
      <c r="BN96" s="35"/>
      <c r="BO96" s="393"/>
      <c r="BP96" s="393"/>
      <c r="BQ96" s="393"/>
      <c r="BR96" s="393"/>
      <c r="BS96" s="35"/>
      <c r="BT96" s="393"/>
      <c r="BU96" s="393"/>
      <c r="BV96" s="393"/>
      <c r="BW96" s="393"/>
      <c r="BX96" s="35"/>
      <c r="BY96" s="393"/>
      <c r="BZ96" s="393"/>
      <c r="CA96" s="393"/>
      <c r="CB96" s="393"/>
      <c r="CC96" s="35"/>
      <c r="CD96" s="393"/>
      <c r="CE96" s="393"/>
      <c r="CF96" s="393"/>
      <c r="CG96" s="393"/>
      <c r="CH96" s="35"/>
      <c r="CI96" s="393"/>
      <c r="CJ96" s="393"/>
      <c r="CK96" s="393"/>
      <c r="CL96" s="393"/>
      <c r="CN96" s="393"/>
      <c r="CO96" s="393"/>
      <c r="CP96" s="645" t="s">
        <v>32</v>
      </c>
      <c r="CQ96" s="646"/>
      <c r="CR96" s="428" t="s">
        <v>713</v>
      </c>
      <c r="CS96" s="393"/>
      <c r="CT96" s="393"/>
      <c r="CU96" s="393"/>
      <c r="CV96" s="393"/>
      <c r="CW96" s="35"/>
      <c r="CX96" s="393"/>
      <c r="CY96" s="393"/>
      <c r="CZ96" s="393"/>
      <c r="DA96" s="393"/>
      <c r="DB96" s="35"/>
      <c r="DC96" s="393"/>
      <c r="DD96" s="393"/>
      <c r="DE96" s="393"/>
      <c r="DF96" s="393"/>
      <c r="DG96" s="35"/>
      <c r="DH96" s="393"/>
      <c r="DI96" s="393"/>
      <c r="DJ96" s="393"/>
      <c r="DK96" s="393"/>
      <c r="DL96" s="35"/>
      <c r="DM96" s="393"/>
      <c r="DN96" s="393"/>
      <c r="DO96" s="393"/>
      <c r="DP96" s="393"/>
      <c r="DQ96" s="35"/>
      <c r="DR96" s="393"/>
      <c r="DS96" s="393"/>
      <c r="DT96" s="393"/>
      <c r="DU96" s="393"/>
      <c r="DV96" s="35"/>
      <c r="DW96" s="393"/>
      <c r="DX96" s="393"/>
      <c r="DY96" s="393"/>
      <c r="DZ96" s="393"/>
      <c r="EA96" s="35"/>
      <c r="EB96" s="393"/>
      <c r="EC96" s="393"/>
      <c r="ED96" s="393"/>
      <c r="EE96" s="393"/>
      <c r="EF96" s="35"/>
      <c r="EG96" s="393"/>
      <c r="EH96" s="393"/>
      <c r="EI96" s="393"/>
      <c r="EJ96" s="393"/>
      <c r="EK96" s="35"/>
      <c r="EL96" s="393"/>
      <c r="EM96" s="393"/>
      <c r="EN96" s="393"/>
      <c r="EO96" s="393"/>
      <c r="EP96" s="35"/>
      <c r="EQ96" s="393"/>
      <c r="ER96" s="393"/>
      <c r="ES96" s="393"/>
      <c r="ET96" s="393"/>
      <c r="EU96" s="35"/>
      <c r="EV96" s="393"/>
      <c r="EW96" s="393"/>
      <c r="EX96" s="393"/>
      <c r="EY96" s="393"/>
      <c r="EZ96" s="35"/>
    </row>
    <row r="97" spans="2:156">
      <c r="B97" s="60" t="s">
        <v>87</v>
      </c>
      <c r="C97" s="59">
        <f t="shared" ref="C97:AH97" si="68">C112/C5</f>
        <v>0.4534206695778748</v>
      </c>
      <c r="D97" s="59">
        <f t="shared" si="68"/>
        <v>0.39684466019417475</v>
      </c>
      <c r="E97" s="59">
        <f t="shared" si="68"/>
        <v>0.42680412371134019</v>
      </c>
      <c r="F97" s="59">
        <f t="shared" si="68"/>
        <v>0.4486607142857143</v>
      </c>
      <c r="G97" s="59">
        <f t="shared" si="68"/>
        <v>0.37859225322782175</v>
      </c>
      <c r="H97" s="59">
        <f t="shared" si="68"/>
        <v>0.49043414275202357</v>
      </c>
      <c r="I97" s="59">
        <f t="shared" si="68"/>
        <v>0.5</v>
      </c>
      <c r="J97" s="59">
        <f t="shared" si="68"/>
        <v>0.48387985670983741</v>
      </c>
      <c r="K97" s="59">
        <f t="shared" si="68"/>
        <v>0.44746015936254979</v>
      </c>
      <c r="L97" s="65">
        <f t="shared" si="68"/>
        <v>0.51437066402378595</v>
      </c>
      <c r="M97" s="65">
        <f t="shared" si="68"/>
        <v>0.50520416333066454</v>
      </c>
      <c r="N97" s="65">
        <f t="shared" si="68"/>
        <v>0.51767845230153431</v>
      </c>
      <c r="O97" s="65">
        <f t="shared" si="68"/>
        <v>0.46998867497168745</v>
      </c>
      <c r="P97" s="35">
        <f t="shared" si="68"/>
        <v>0.49882310338584102</v>
      </c>
      <c r="Q97" s="65">
        <f t="shared" si="68"/>
        <v>0.53094832481544574</v>
      </c>
      <c r="R97" s="65">
        <f t="shared" si="68"/>
        <v>0.52180303772660463</v>
      </c>
      <c r="S97" s="65">
        <f t="shared" si="68"/>
        <v>0.53125</v>
      </c>
      <c r="T97" s="65">
        <f t="shared" si="68"/>
        <v>0.44075021312872975</v>
      </c>
      <c r="U97" s="35">
        <f t="shared" si="68"/>
        <v>0.50359023456199137</v>
      </c>
      <c r="V97" s="65">
        <f t="shared" si="68"/>
        <v>0.51301749893299187</v>
      </c>
      <c r="W97" s="65">
        <f t="shared" si="68"/>
        <v>0.49593810444874276</v>
      </c>
      <c r="X97" s="65">
        <f t="shared" si="68"/>
        <v>0.48728345005528934</v>
      </c>
      <c r="Y97" s="65">
        <f t="shared" si="68"/>
        <v>0.41423169474046062</v>
      </c>
      <c r="Z97" s="35">
        <f t="shared" si="68"/>
        <v>0.47497630331753554</v>
      </c>
      <c r="AA97" s="65">
        <f t="shared" si="68"/>
        <v>0.51111895517119665</v>
      </c>
      <c r="AB97" s="65">
        <f t="shared" si="68"/>
        <v>0.51986128625472883</v>
      </c>
      <c r="AC97" s="65">
        <f t="shared" si="68"/>
        <v>0.51934051997463537</v>
      </c>
      <c r="AD97" s="65">
        <f t="shared" si="68"/>
        <v>0.43014368694588812</v>
      </c>
      <c r="AE97" s="35">
        <f t="shared" si="68"/>
        <v>0.49412711182622687</v>
      </c>
      <c r="AF97" s="65">
        <f t="shared" si="68"/>
        <v>0.49984457569163815</v>
      </c>
      <c r="AG97" s="65">
        <f t="shared" si="68"/>
        <v>0.51082130965593786</v>
      </c>
      <c r="AH97" s="65">
        <f t="shared" si="68"/>
        <v>0.49750830564784054</v>
      </c>
      <c r="AI97" s="65">
        <f t="shared" ref="AI97:BN97" si="69">AI112/AI5</f>
        <v>0.38591916558018252</v>
      </c>
      <c r="AJ97" s="35">
        <f t="shared" si="69"/>
        <v>0.47140454163162321</v>
      </c>
      <c r="AK97" s="65">
        <f t="shared" si="69"/>
        <v>0.49389747762408465</v>
      </c>
      <c r="AL97" s="65">
        <f t="shared" si="69"/>
        <v>0.49543991416309013</v>
      </c>
      <c r="AM97" s="65">
        <f t="shared" si="69"/>
        <v>0.52533924120742181</v>
      </c>
      <c r="AN97" s="65">
        <f t="shared" si="69"/>
        <v>0.45580774365821097</v>
      </c>
      <c r="AO97" s="35">
        <f t="shared" si="69"/>
        <v>0.49231602464288132</v>
      </c>
      <c r="AP97" s="65">
        <f t="shared" si="69"/>
        <v>0.50207583725435923</v>
      </c>
      <c r="AQ97" s="65">
        <f t="shared" si="69"/>
        <v>0.48990435706695007</v>
      </c>
      <c r="AR97" s="65">
        <f t="shared" si="69"/>
        <v>0.50658064516129031</v>
      </c>
      <c r="AS97" s="65">
        <f t="shared" si="69"/>
        <v>0.43828312450013329</v>
      </c>
      <c r="AT97" s="35">
        <f t="shared" si="69"/>
        <v>0.48423648603612612</v>
      </c>
      <c r="AU97" s="393">
        <f t="shared" si="69"/>
        <v>0.52055622732769047</v>
      </c>
      <c r="AV97" s="393">
        <f t="shared" si="69"/>
        <v>0.50929167788849983</v>
      </c>
      <c r="AW97" s="393">
        <f t="shared" si="69"/>
        <v>0.52885624344176285</v>
      </c>
      <c r="AX97" s="393">
        <f t="shared" si="69"/>
        <v>0.39590443686006827</v>
      </c>
      <c r="AY97" s="35">
        <f t="shared" si="69"/>
        <v>0.48743341073623819</v>
      </c>
      <c r="AZ97" s="65">
        <f t="shared" si="69"/>
        <v>0.51503340757238303</v>
      </c>
      <c r="BA97" s="65">
        <f t="shared" si="69"/>
        <v>0.49842271293375395</v>
      </c>
      <c r="BB97" s="65">
        <f t="shared" si="69"/>
        <v>0.48584905660377359</v>
      </c>
      <c r="BC97" s="65">
        <f t="shared" si="69"/>
        <v>0.40796667534496223</v>
      </c>
      <c r="BD97" s="35">
        <f t="shared" si="69"/>
        <v>0.47611771739852521</v>
      </c>
      <c r="BE97" s="65">
        <f t="shared" si="69"/>
        <v>0.46546141392336754</v>
      </c>
      <c r="BF97" s="65">
        <f t="shared" si="69"/>
        <v>0.43748421318514774</v>
      </c>
      <c r="BG97" s="65">
        <f t="shared" si="69"/>
        <v>0.44117647058823528</v>
      </c>
      <c r="BH97" s="65">
        <f t="shared" si="69"/>
        <v>0.39013340045305817</v>
      </c>
      <c r="BI97" s="35">
        <f t="shared" si="69"/>
        <v>0.43299961494031575</v>
      </c>
      <c r="BJ97" s="393">
        <f t="shared" si="69"/>
        <v>0.45973320158102765</v>
      </c>
      <c r="BK97" s="393">
        <f t="shared" si="69"/>
        <v>0.46280991735537191</v>
      </c>
      <c r="BL97" s="393">
        <f t="shared" si="69"/>
        <v>0.45681870803426722</v>
      </c>
      <c r="BM97" s="393">
        <f t="shared" si="69"/>
        <v>0.384302194073739</v>
      </c>
      <c r="BN97" s="35">
        <f t="shared" si="69"/>
        <v>0.44048653344917466</v>
      </c>
      <c r="BO97" s="393">
        <f t="shared" ref="BO97:CM97" si="70">BO112/BO5</f>
        <v>0.4362907031618688</v>
      </c>
      <c r="BP97" s="393">
        <f t="shared" si="70"/>
        <v>0.44047873477238725</v>
      </c>
      <c r="BQ97" s="393">
        <f t="shared" si="70"/>
        <v>0.45134793597304129</v>
      </c>
      <c r="BR97" s="393">
        <f t="shared" si="70"/>
        <v>0.44003192975454003</v>
      </c>
      <c r="BS97" s="35">
        <f t="shared" si="70"/>
        <v>0.44217177125722851</v>
      </c>
      <c r="BT97" s="393">
        <f t="shared" si="70"/>
        <v>0.52709577527095774</v>
      </c>
      <c r="BU97" s="393">
        <f t="shared" si="70"/>
        <v>0.5486486486486486</v>
      </c>
      <c r="BV97" s="393">
        <f t="shared" si="70"/>
        <v>0.55376664678990262</v>
      </c>
      <c r="BW97" s="393">
        <f t="shared" si="70"/>
        <v>0.47945976364659537</v>
      </c>
      <c r="BX97" s="35">
        <f t="shared" si="70"/>
        <v>0.52669092359068936</v>
      </c>
      <c r="BY97" s="393">
        <f t="shared" si="70"/>
        <v>0.59129743691635206</v>
      </c>
      <c r="BZ97" s="393">
        <f t="shared" si="70"/>
        <v>0.57318435754189945</v>
      </c>
      <c r="CA97" s="393">
        <f t="shared" si="70"/>
        <v>0.56141883627468114</v>
      </c>
      <c r="CB97" s="393">
        <f t="shared" si="70"/>
        <v>0.52257947976878616</v>
      </c>
      <c r="CC97" s="35">
        <f t="shared" si="70"/>
        <v>0.56135167574554523</v>
      </c>
      <c r="CD97" s="393">
        <f t="shared" si="70"/>
        <v>0.61249321512574628</v>
      </c>
      <c r="CE97" s="393">
        <f t="shared" si="70"/>
        <v>0.58689345991561181</v>
      </c>
      <c r="CF97" s="393">
        <f t="shared" si="70"/>
        <v>0.59236792290483564</v>
      </c>
      <c r="CG97" s="393">
        <f t="shared" si="70"/>
        <v>0.56751886001676444</v>
      </c>
      <c r="CH97" s="35">
        <f t="shared" si="70"/>
        <v>0.58940454960636768</v>
      </c>
      <c r="CI97" s="393">
        <f t="shared" si="70"/>
        <v>0.63758235724743773</v>
      </c>
      <c r="CJ97" s="393">
        <f t="shared" si="70"/>
        <v>0.61338209982788294</v>
      </c>
      <c r="CK97" s="393">
        <f t="shared" si="70"/>
        <v>0.61003810843582196</v>
      </c>
      <c r="CL97" s="393">
        <f t="shared" si="70"/>
        <v>0.52460358497069981</v>
      </c>
      <c r="CM97" s="35">
        <f t="shared" si="70"/>
        <v>0.59578099698017417</v>
      </c>
      <c r="CN97" s="393">
        <f t="shared" ref="CN97:CQ97" si="71">CN112/CN5</f>
        <v>0.65258773931730418</v>
      </c>
      <c r="CO97" s="393">
        <f t="shared" si="71"/>
        <v>0.62818227329723009</v>
      </c>
      <c r="CP97" s="393">
        <f t="shared" si="71"/>
        <v>0.598756181094934</v>
      </c>
      <c r="CQ97" s="393">
        <f t="shared" si="71"/>
        <v>0.567614413916253</v>
      </c>
      <c r="CR97" s="35">
        <f>CR112/CR5</f>
        <v>0.6115271541461933</v>
      </c>
      <c r="CS97" s="393"/>
      <c r="CT97" s="393"/>
      <c r="CU97" s="393"/>
      <c r="CV97" s="393"/>
      <c r="CW97" s="35">
        <f>CW112/CW5</f>
        <v>0.60603737752363296</v>
      </c>
      <c r="CX97" s="393"/>
      <c r="CY97" s="393"/>
      <c r="CZ97" s="393"/>
      <c r="DA97" s="393"/>
      <c r="DB97" s="35">
        <f>DB112/DB5</f>
        <v>0.60375277728073173</v>
      </c>
      <c r="DC97" s="393"/>
      <c r="DD97" s="393"/>
      <c r="DE97" s="393"/>
      <c r="DF97" s="393"/>
      <c r="DG97" s="35">
        <f>DG112/DG5</f>
        <v>0.60381022106937376</v>
      </c>
      <c r="DH97" s="393"/>
      <c r="DI97" s="393"/>
      <c r="DJ97" s="393"/>
      <c r="DK97" s="393"/>
      <c r="DL97" s="35">
        <f>DL112/DL5</f>
        <v>0.61412480604895092</v>
      </c>
      <c r="DM97" s="393"/>
      <c r="DN97" s="393"/>
      <c r="DO97" s="393"/>
      <c r="DP97" s="393"/>
      <c r="DQ97" s="35">
        <f>DQ112/DQ5</f>
        <v>0.58822133480961802</v>
      </c>
      <c r="DR97" s="393"/>
      <c r="DS97" s="393"/>
      <c r="DT97" s="393"/>
      <c r="DU97" s="393"/>
      <c r="DV97" s="35">
        <f>DV112/DV5</f>
        <v>0.56234296115003957</v>
      </c>
      <c r="DW97" s="393"/>
      <c r="DX97" s="393"/>
      <c r="DY97" s="393"/>
      <c r="DZ97" s="393"/>
      <c r="EA97" s="35">
        <f>EA112/EA5</f>
        <v>0.56727658264252079</v>
      </c>
      <c r="EB97" s="393"/>
      <c r="EC97" s="393"/>
      <c r="ED97" s="393"/>
      <c r="EE97" s="393"/>
      <c r="EF97" s="35">
        <f>EF112/EF5</f>
        <v>0.56355454773913871</v>
      </c>
      <c r="EG97" s="393"/>
      <c r="EH97" s="393"/>
      <c r="EI97" s="393"/>
      <c r="EJ97" s="393"/>
      <c r="EK97" s="35">
        <f>EK112/EK5</f>
        <v>0.56207233227020115</v>
      </c>
      <c r="EL97" s="393"/>
      <c r="EM97" s="393"/>
      <c r="EN97" s="393"/>
      <c r="EO97" s="393"/>
      <c r="EP97" s="35">
        <f>EP112/EP5</f>
        <v>0.54387729957244091</v>
      </c>
      <c r="EQ97" s="393"/>
      <c r="ER97" s="393"/>
      <c r="ES97" s="393"/>
      <c r="ET97" s="393"/>
      <c r="EU97" s="35">
        <f>EU112/EU5</f>
        <v>0.5396957604116247</v>
      </c>
      <c r="EV97" s="393"/>
      <c r="EW97" s="393"/>
      <c r="EX97" s="393"/>
      <c r="EY97" s="393"/>
      <c r="EZ97" s="35">
        <f>EZ112/EZ5</f>
        <v>0.54304942320349381</v>
      </c>
    </row>
    <row r="98" spans="2:156" ht="13.5" thickBot="1">
      <c r="B98" s="31" t="s">
        <v>88</v>
      </c>
      <c r="C98" s="61">
        <f t="shared" ref="C98:AH98" si="72">C37/C5</f>
        <v>0.27292576419213976</v>
      </c>
      <c r="D98" s="61">
        <f t="shared" si="72"/>
        <v>0.1941747572815534</v>
      </c>
      <c r="E98" s="61">
        <f t="shared" si="72"/>
        <v>0.27731958762886599</v>
      </c>
      <c r="F98" s="61">
        <f t="shared" si="72"/>
        <v>0.30357142857142855</v>
      </c>
      <c r="G98" s="61">
        <f t="shared" si="72"/>
        <v>0.26822157434402333</v>
      </c>
      <c r="H98" s="61">
        <f t="shared" si="72"/>
        <v>0.31788079470198677</v>
      </c>
      <c r="I98" s="61">
        <f t="shared" si="72"/>
        <v>0.32814371257485031</v>
      </c>
      <c r="J98" s="61">
        <f t="shared" si="72"/>
        <v>0.31358500964453018</v>
      </c>
      <c r="K98" s="61">
        <f t="shared" si="72"/>
        <v>0.27863545816733065</v>
      </c>
      <c r="L98" s="66">
        <f t="shared" si="72"/>
        <v>0.33894945490584738</v>
      </c>
      <c r="M98" s="66">
        <f t="shared" si="72"/>
        <v>0.32986389111289033</v>
      </c>
      <c r="N98" s="66">
        <f t="shared" si="72"/>
        <v>0.29086057371581053</v>
      </c>
      <c r="O98" s="66">
        <f t="shared" si="72"/>
        <v>0.26727066817667045</v>
      </c>
      <c r="P98" s="62">
        <f t="shared" si="72"/>
        <v>0.30074235017200796</v>
      </c>
      <c r="Q98" s="66">
        <f t="shared" si="72"/>
        <v>0.31629755820556504</v>
      </c>
      <c r="R98" s="66">
        <f t="shared" si="72"/>
        <v>0.31945124938755515</v>
      </c>
      <c r="S98" s="66">
        <f t="shared" si="72"/>
        <v>0.3233695652173913</v>
      </c>
      <c r="T98" s="66">
        <f t="shared" si="72"/>
        <v>0.26214833759590794</v>
      </c>
      <c r="U98" s="62">
        <f t="shared" si="72"/>
        <v>0.30385351842987074</v>
      </c>
      <c r="V98" s="66">
        <f t="shared" si="72"/>
        <v>0.32095603926589844</v>
      </c>
      <c r="W98" s="66">
        <f t="shared" si="72"/>
        <v>0.31295938104448745</v>
      </c>
      <c r="X98" s="66">
        <f t="shared" si="72"/>
        <v>0.3092517508293402</v>
      </c>
      <c r="Y98" s="66">
        <f t="shared" si="72"/>
        <v>0.25713303540735649</v>
      </c>
      <c r="Z98" s="62">
        <f t="shared" si="72"/>
        <v>0.29838862559241708</v>
      </c>
      <c r="AA98" s="66">
        <f t="shared" si="72"/>
        <v>0.32615601835510061</v>
      </c>
      <c r="AB98" s="66">
        <f t="shared" si="72"/>
        <v>0.34804539722572508</v>
      </c>
      <c r="AC98" s="66">
        <f t="shared" si="72"/>
        <v>0.3383005707038681</v>
      </c>
      <c r="AD98" s="66">
        <f t="shared" si="72"/>
        <v>0.28370528890247632</v>
      </c>
      <c r="AE98" s="62">
        <f t="shared" si="72"/>
        <v>0.32365245374094931</v>
      </c>
      <c r="AF98" s="66">
        <f t="shared" si="72"/>
        <v>0.34224432701274482</v>
      </c>
      <c r="AG98" s="66">
        <f t="shared" si="72"/>
        <v>0.34267480577136517</v>
      </c>
      <c r="AH98" s="66">
        <f t="shared" si="72"/>
        <v>0.33887043189368771</v>
      </c>
      <c r="AI98" s="66">
        <f t="shared" ref="AI98:BN98" si="73">AI37/AI5</f>
        <v>0.27640156453715775</v>
      </c>
      <c r="AJ98" s="62">
        <f t="shared" si="73"/>
        <v>0.32380151387720774</v>
      </c>
      <c r="AK98" s="66">
        <f t="shared" si="73"/>
        <v>0.34445348521833469</v>
      </c>
      <c r="AL98" s="66">
        <f t="shared" si="73"/>
        <v>0.33932403433476394</v>
      </c>
      <c r="AM98" s="66">
        <f t="shared" si="73"/>
        <v>0.32705621711437277</v>
      </c>
      <c r="AN98" s="66">
        <f t="shared" si="73"/>
        <v>0.290520694259012</v>
      </c>
      <c r="AO98" s="62">
        <f t="shared" si="73"/>
        <v>0.32523187326518177</v>
      </c>
      <c r="AP98" s="66">
        <f t="shared" si="73"/>
        <v>0.33711597010794353</v>
      </c>
      <c r="AQ98" s="66">
        <f t="shared" si="73"/>
        <v>0.32810839532412328</v>
      </c>
      <c r="AR98" s="66">
        <f t="shared" si="73"/>
        <v>0.33754838709677421</v>
      </c>
      <c r="AS98" s="66">
        <f t="shared" si="73"/>
        <v>0.29965342575313247</v>
      </c>
      <c r="AT98" s="62">
        <f t="shared" si="73"/>
        <v>0.32560154635739519</v>
      </c>
      <c r="AU98" s="395">
        <f t="shared" si="73"/>
        <v>0.3385731559854897</v>
      </c>
      <c r="AV98" s="395">
        <f t="shared" si="73"/>
        <v>0.35308375976299489</v>
      </c>
      <c r="AW98" s="395">
        <f t="shared" si="73"/>
        <v>0.39821615949632738</v>
      </c>
      <c r="AX98" s="395">
        <f t="shared" si="73"/>
        <v>0.27960094512995537</v>
      </c>
      <c r="AY98" s="62">
        <f t="shared" si="73"/>
        <v>0.34243955743750853</v>
      </c>
      <c r="AZ98" s="66">
        <f t="shared" si="73"/>
        <v>0.35690423162583518</v>
      </c>
      <c r="BA98" s="66">
        <f t="shared" si="73"/>
        <v>0.34858044164037855</v>
      </c>
      <c r="BB98" s="66">
        <f t="shared" si="73"/>
        <v>0.3440775681341719</v>
      </c>
      <c r="BC98" s="66">
        <f t="shared" si="73"/>
        <v>0.28716480083311635</v>
      </c>
      <c r="BD98" s="62">
        <f t="shared" si="73"/>
        <v>0.33375406895635423</v>
      </c>
      <c r="BE98" s="66">
        <f t="shared" si="73"/>
        <v>0.33944954128440369</v>
      </c>
      <c r="BF98" s="66">
        <f t="shared" si="73"/>
        <v>0.32356655721141703</v>
      </c>
      <c r="BG98" s="66">
        <f t="shared" si="73"/>
        <v>0.32454361054766734</v>
      </c>
      <c r="BH98" s="66">
        <f t="shared" si="73"/>
        <v>0.26151522778756608</v>
      </c>
      <c r="BI98" s="62">
        <f t="shared" si="73"/>
        <v>0.31176999101527403</v>
      </c>
      <c r="BJ98" s="395">
        <f t="shared" si="73"/>
        <v>0.31793478260869568</v>
      </c>
      <c r="BK98" s="395">
        <f t="shared" si="73"/>
        <v>0.32008041098950191</v>
      </c>
      <c r="BL98" s="395">
        <f t="shared" si="73"/>
        <v>0.30354248668673306</v>
      </c>
      <c r="BM98" s="395">
        <f t="shared" si="73"/>
        <v>0.24609816783533137</v>
      </c>
      <c r="BN98" s="62">
        <f t="shared" si="73"/>
        <v>0.29649580075296844</v>
      </c>
      <c r="BO98" s="395">
        <f t="shared" ref="BO98:CM98" si="74">BO37/BO5</f>
        <v>0.35346861727229828</v>
      </c>
      <c r="BP98" s="395">
        <f t="shared" si="74"/>
        <v>0.30861295148536011</v>
      </c>
      <c r="BQ98" s="395">
        <f t="shared" si="74"/>
        <v>0.31192080876158385</v>
      </c>
      <c r="BR98" s="395">
        <f t="shared" si="74"/>
        <v>0.2775893035322291</v>
      </c>
      <c r="BS98" s="62">
        <f t="shared" si="74"/>
        <v>0.31130863139858644</v>
      </c>
      <c r="BT98" s="395">
        <f t="shared" si="74"/>
        <v>0.31807122318071224</v>
      </c>
      <c r="BU98" s="395">
        <f t="shared" si="74"/>
        <v>0.3519305019305019</v>
      </c>
      <c r="BV98" s="395">
        <f t="shared" si="74"/>
        <v>0.35161995627111908</v>
      </c>
      <c r="BW98" s="395">
        <f t="shared" si="74"/>
        <v>0.31326205214781466</v>
      </c>
      <c r="BX98" s="62">
        <f t="shared" si="74"/>
        <v>0.33394806359966106</v>
      </c>
      <c r="BY98" s="395">
        <f t="shared" si="74"/>
        <v>0.37969401947148818</v>
      </c>
      <c r="BZ98" s="395">
        <f t="shared" si="74"/>
        <v>0.36815642458100556</v>
      </c>
      <c r="CA98" s="395">
        <f t="shared" si="74"/>
        <v>0.36362047876987597</v>
      </c>
      <c r="CB98" s="395">
        <f t="shared" si="74"/>
        <v>0.35856213872832371</v>
      </c>
      <c r="CC98" s="62">
        <f t="shared" si="74"/>
        <v>0.36718677869079491</v>
      </c>
      <c r="CD98" s="395">
        <f t="shared" si="74"/>
        <v>0.39858874615523793</v>
      </c>
      <c r="CE98" s="395">
        <f t="shared" si="74"/>
        <v>0.37728551336146271</v>
      </c>
      <c r="CF98" s="395">
        <f t="shared" si="74"/>
        <v>0.39167096885217689</v>
      </c>
      <c r="CG98" s="395">
        <f t="shared" si="74"/>
        <v>0.36211232187761944</v>
      </c>
      <c r="CH98" s="62">
        <f t="shared" si="74"/>
        <v>0.38210604149449784</v>
      </c>
      <c r="CI98" s="395">
        <f t="shared" si="74"/>
        <v>0.42697657393850658</v>
      </c>
      <c r="CJ98" s="395">
        <f t="shared" si="74"/>
        <v>0.41480206540447506</v>
      </c>
      <c r="CK98" s="395">
        <f t="shared" si="74"/>
        <v>0.41555517062186037</v>
      </c>
      <c r="CL98" s="395">
        <f t="shared" si="74"/>
        <v>0.36263357462943813</v>
      </c>
      <c r="CM98" s="62">
        <f t="shared" si="74"/>
        <v>0.40465665893474551</v>
      </c>
      <c r="CN98" s="395">
        <f t="shared" ref="CN98:CQ98" si="75">CN37/CN5</f>
        <v>0.44400432120993877</v>
      </c>
      <c r="CO98" s="395">
        <f t="shared" si="75"/>
        <v>0.43077202304935236</v>
      </c>
      <c r="CP98" s="395">
        <f t="shared" si="75"/>
        <v>0.40940122604247858</v>
      </c>
      <c r="CQ98" s="395">
        <f t="shared" si="75"/>
        <v>0.37993683243117377</v>
      </c>
      <c r="CR98" s="62">
        <f>CR37/CR5</f>
        <v>0.4158564096682566</v>
      </c>
      <c r="CS98" s="395"/>
      <c r="CT98" s="395"/>
      <c r="CU98" s="395"/>
      <c r="CV98" s="395"/>
      <c r="CW98" s="62">
        <f>CW37/CW5</f>
        <v>0.41686132160097444</v>
      </c>
      <c r="CX98" s="395"/>
      <c r="CY98" s="395"/>
      <c r="CZ98" s="395"/>
      <c r="DA98" s="395"/>
      <c r="DB98" s="62">
        <f>DB37/DB5</f>
        <v>0.42021400909937962</v>
      </c>
      <c r="DC98" s="395"/>
      <c r="DD98" s="395"/>
      <c r="DE98" s="395"/>
      <c r="DF98" s="395"/>
      <c r="DG98" s="62">
        <f>DG37/DG5</f>
        <v>0.42589966911338534</v>
      </c>
      <c r="DH98" s="395"/>
      <c r="DI98" s="395"/>
      <c r="DJ98" s="395"/>
      <c r="DK98" s="395"/>
      <c r="DL98" s="62">
        <f>DL37/DL5</f>
        <v>0.44070670451334726</v>
      </c>
      <c r="DM98" s="395"/>
      <c r="DN98" s="395"/>
      <c r="DO98" s="395"/>
      <c r="DP98" s="395"/>
      <c r="DQ98" s="62">
        <f>DQ37/DQ5</f>
        <v>0.44930016931455513</v>
      </c>
      <c r="DR98" s="395"/>
      <c r="DS98" s="395"/>
      <c r="DT98" s="395"/>
      <c r="DU98" s="395"/>
      <c r="DV98" s="62">
        <f>DV37/DV5</f>
        <v>0.45962845907732236</v>
      </c>
      <c r="DW98" s="395"/>
      <c r="DX98" s="395"/>
      <c r="DY98" s="395"/>
      <c r="DZ98" s="395"/>
      <c r="EA98" s="62">
        <f>EA37/EA5</f>
        <v>0.46474663674303712</v>
      </c>
      <c r="EB98" s="395"/>
      <c r="EC98" s="395"/>
      <c r="ED98" s="395"/>
      <c r="EE98" s="395"/>
      <c r="EF98" s="62">
        <f>EF37/EF5</f>
        <v>0.46434890493953757</v>
      </c>
      <c r="EG98" s="395"/>
      <c r="EH98" s="395"/>
      <c r="EI98" s="395"/>
      <c r="EJ98" s="395"/>
      <c r="EK98" s="62">
        <f>EK37/EK5</f>
        <v>0.46455364338955613</v>
      </c>
      <c r="EL98" s="395"/>
      <c r="EM98" s="395"/>
      <c r="EN98" s="395"/>
      <c r="EO98" s="395"/>
      <c r="EP98" s="62">
        <f>EP37/EP5</f>
        <v>0.44813510097329257</v>
      </c>
      <c r="EQ98" s="395"/>
      <c r="ER98" s="395"/>
      <c r="ES98" s="395"/>
      <c r="ET98" s="395"/>
      <c r="EU98" s="62">
        <f>EU37/EU5</f>
        <v>0.446019450045264</v>
      </c>
      <c r="EV98" s="395"/>
      <c r="EW98" s="395"/>
      <c r="EX98" s="395"/>
      <c r="EY98" s="395"/>
      <c r="EZ98" s="62">
        <f>EZ37/EZ5</f>
        <v>0.44457326099580274</v>
      </c>
    </row>
    <row r="99" spans="2:156" ht="13.5" thickBot="1">
      <c r="BJ99" s="382"/>
      <c r="BK99" s="382"/>
      <c r="BL99" s="382"/>
      <c r="BM99" s="382"/>
      <c r="BS99" s="59"/>
      <c r="BT99" s="59"/>
      <c r="BU99" s="59"/>
      <c r="BV99" s="59"/>
      <c r="BW99" s="59"/>
      <c r="BX99" s="59"/>
      <c r="BY99" s="59"/>
      <c r="BZ99" s="59"/>
      <c r="CA99" s="59"/>
      <c r="CB99" s="59"/>
      <c r="CC99" s="59"/>
      <c r="CD99" s="59"/>
      <c r="CE99" s="59"/>
      <c r="CF99" s="59"/>
      <c r="CG99" s="59"/>
      <c r="CH99" s="59"/>
      <c r="CI99" s="59"/>
      <c r="CJ99" s="59"/>
      <c r="CK99" s="59"/>
      <c r="CL99" s="59"/>
      <c r="CM99" s="59"/>
      <c r="CN99" s="59"/>
      <c r="CO99" s="59"/>
      <c r="CP99" s="59"/>
      <c r="CQ99" s="59"/>
      <c r="CR99" s="59"/>
      <c r="CS99" s="59"/>
      <c r="CT99" s="59"/>
      <c r="CU99" s="59"/>
      <c r="CV99" s="59"/>
      <c r="CW99" s="59"/>
      <c r="CX99" s="59"/>
      <c r="CY99" s="59"/>
      <c r="CZ99" s="59"/>
      <c r="DA99" s="59"/>
      <c r="DB99" s="59"/>
      <c r="DC99" s="59"/>
      <c r="DD99" s="59"/>
      <c r="DE99" s="59"/>
      <c r="DF99" s="59"/>
      <c r="DG99" s="59"/>
    </row>
    <row r="100" spans="2:156">
      <c r="B100" s="63" t="s">
        <v>703</v>
      </c>
      <c r="C100" s="63"/>
      <c r="D100" s="63"/>
      <c r="E100" s="63"/>
      <c r="F100" s="63"/>
      <c r="G100" s="63"/>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c r="AE100" s="63"/>
      <c r="AF100" s="63"/>
      <c r="AG100" s="63"/>
      <c r="AH100" s="63"/>
      <c r="AI100" s="63"/>
      <c r="AJ100" s="63"/>
      <c r="AK100" s="63"/>
      <c r="AL100" s="63"/>
      <c r="AM100" s="63"/>
      <c r="AN100" s="63"/>
      <c r="AO100" s="63"/>
      <c r="AP100" s="63"/>
      <c r="AQ100" s="63"/>
      <c r="AR100" s="63"/>
      <c r="AS100" s="63"/>
      <c r="AT100" s="63"/>
      <c r="AU100" s="63"/>
      <c r="AV100" s="63"/>
      <c r="AW100" s="63"/>
      <c r="AX100" s="63"/>
      <c r="AY100" s="63"/>
      <c r="AZ100" s="63"/>
      <c r="BA100" s="63"/>
      <c r="BB100" s="63"/>
      <c r="BC100" s="63"/>
      <c r="BD100" s="63"/>
      <c r="BE100" s="63"/>
      <c r="BF100" s="63"/>
      <c r="BG100" s="63"/>
      <c r="BH100" s="63"/>
      <c r="BI100" s="63"/>
      <c r="BJ100" s="568"/>
      <c r="BK100" s="568"/>
      <c r="BL100" s="568"/>
      <c r="BM100" s="568"/>
      <c r="BN100" s="63"/>
      <c r="BO100" s="63"/>
      <c r="BP100" s="63"/>
      <c r="BQ100" s="63"/>
      <c r="BR100" s="63"/>
      <c r="BS100" s="63"/>
      <c r="BT100" s="63"/>
      <c r="BU100" s="63"/>
      <c r="BV100" s="63"/>
      <c r="BW100" s="63"/>
      <c r="BX100" s="63"/>
      <c r="BY100" s="63"/>
      <c r="BZ100" s="63"/>
      <c r="CA100" s="63"/>
      <c r="CB100" s="63"/>
      <c r="CC100" s="63"/>
      <c r="CD100" s="63"/>
      <c r="CE100" s="63"/>
      <c r="CF100" s="63"/>
      <c r="CG100" s="63"/>
      <c r="CH100" s="63"/>
      <c r="CI100" s="63"/>
      <c r="CJ100" s="63"/>
      <c r="CK100" s="63"/>
      <c r="CL100" s="63"/>
      <c r="CM100" s="63"/>
      <c r="CN100" s="63"/>
      <c r="CO100" s="63"/>
      <c r="CP100" s="63"/>
      <c r="CQ100" s="63"/>
      <c r="CR100" s="63"/>
      <c r="CS100" s="63"/>
      <c r="CT100" s="63"/>
      <c r="CU100" s="63"/>
      <c r="CV100" s="63"/>
      <c r="CW100" s="63"/>
      <c r="CX100" s="63"/>
      <c r="CY100" s="63"/>
      <c r="CZ100" s="63"/>
      <c r="DA100" s="63"/>
      <c r="DB100" s="63"/>
      <c r="DC100" s="63"/>
      <c r="DD100" s="63"/>
      <c r="DE100" s="63"/>
      <c r="DF100" s="63"/>
      <c r="DG100" s="63"/>
      <c r="DH100" s="63"/>
      <c r="DI100" s="63"/>
      <c r="DJ100" s="63"/>
      <c r="DK100" s="63"/>
      <c r="DL100" s="63"/>
      <c r="DM100" s="63"/>
      <c r="DN100" s="63"/>
      <c r="DO100" s="63"/>
      <c r="DP100" s="63"/>
      <c r="DQ100" s="63"/>
      <c r="DR100" s="63"/>
      <c r="DS100" s="63"/>
      <c r="DT100" s="63"/>
      <c r="DU100" s="63"/>
      <c r="DV100" s="63"/>
      <c r="DW100" s="63"/>
      <c r="DX100" s="63"/>
      <c r="DY100" s="63"/>
      <c r="DZ100" s="63"/>
      <c r="EA100" s="63"/>
      <c r="EB100" s="63"/>
      <c r="EC100" s="63"/>
      <c r="ED100" s="63"/>
      <c r="EE100" s="63"/>
      <c r="EF100" s="63"/>
      <c r="EG100" s="63"/>
      <c r="EH100" s="63"/>
      <c r="EI100" s="63"/>
      <c r="EJ100" s="63"/>
      <c r="EK100" s="63"/>
      <c r="EL100" s="63"/>
      <c r="EM100" s="63"/>
      <c r="EN100" s="63"/>
      <c r="EO100" s="63"/>
      <c r="EP100" s="63"/>
      <c r="EQ100" s="63"/>
      <c r="ER100" s="63"/>
      <c r="ES100" s="63"/>
      <c r="ET100" s="63"/>
      <c r="EU100" s="63"/>
      <c r="EV100" s="63"/>
      <c r="EW100" s="63"/>
      <c r="EX100" s="63"/>
      <c r="EY100" s="63"/>
      <c r="EZ100" s="63"/>
    </row>
    <row r="101" spans="2:156">
      <c r="B101" s="30" t="s">
        <v>70</v>
      </c>
      <c r="D101" s="59">
        <f t="shared" ref="D101:K101" si="76">D3/C3-1</f>
        <v>0.18623126610437546</v>
      </c>
      <c r="E101" s="59">
        <f t="shared" si="76"/>
        <v>0.17359318533815182</v>
      </c>
      <c r="F101" s="59">
        <f t="shared" si="76"/>
        <v>0.14824590344220834</v>
      </c>
      <c r="G101" s="59">
        <f t="shared" si="76"/>
        <v>6.3020783449861284E-2</v>
      </c>
      <c r="H101" s="59">
        <f t="shared" si="76"/>
        <v>0.13271465897828616</v>
      </c>
      <c r="I101" s="59">
        <f t="shared" si="76"/>
        <v>0.21014953865733377</v>
      </c>
      <c r="J101" s="59">
        <f t="shared" si="76"/>
        <v>5.2385960299723866E-2</v>
      </c>
      <c r="K101" s="59">
        <f t="shared" si="76"/>
        <v>9.6433701829991891E-2</v>
      </c>
      <c r="L101" s="55"/>
      <c r="M101" s="55"/>
      <c r="N101" s="55"/>
      <c r="O101" s="55"/>
      <c r="P101" s="59">
        <f t="shared" ref="P101:AU101" si="77">P3/K3-1</f>
        <v>0.4215892908003418</v>
      </c>
      <c r="Q101" s="67">
        <f t="shared" si="77"/>
        <v>0.80046224961479195</v>
      </c>
      <c r="R101" s="67">
        <f t="shared" si="77"/>
        <v>0.7185258249641322</v>
      </c>
      <c r="S101" s="67">
        <f t="shared" si="77"/>
        <v>0.54406301084856579</v>
      </c>
      <c r="T101" s="67">
        <f t="shared" si="77"/>
        <v>0.38011840157868781</v>
      </c>
      <c r="U101" s="59">
        <f t="shared" si="77"/>
        <v>0.57645456002564521</v>
      </c>
      <c r="V101" s="67">
        <f t="shared" si="77"/>
        <v>0.34959349593495936</v>
      </c>
      <c r="W101" s="67">
        <f t="shared" si="77"/>
        <v>0.26845812679363412</v>
      </c>
      <c r="X101" s="67">
        <f t="shared" si="77"/>
        <v>0.23195380173243496</v>
      </c>
      <c r="Y101" s="67">
        <f t="shared" si="77"/>
        <v>0.24128686327077742</v>
      </c>
      <c r="Z101" s="59">
        <f t="shared" si="77"/>
        <v>0.26795790757968585</v>
      </c>
      <c r="AA101" s="67">
        <f t="shared" si="77"/>
        <v>0.23878974544795706</v>
      </c>
      <c r="AB101" s="67">
        <f t="shared" si="77"/>
        <v>0.26367749897161663</v>
      </c>
      <c r="AC101" s="67">
        <f t="shared" si="77"/>
        <v>0.19023437499999996</v>
      </c>
      <c r="AD101" s="67">
        <f t="shared" si="77"/>
        <v>0.14038876889848817</v>
      </c>
      <c r="AE101" s="59">
        <f t="shared" si="77"/>
        <v>0.20499558976826249</v>
      </c>
      <c r="AF101" s="67">
        <f t="shared" si="77"/>
        <v>0.1433272394881171</v>
      </c>
      <c r="AG101" s="67">
        <f t="shared" si="77"/>
        <v>0.13639322916666674</v>
      </c>
      <c r="AH101" s="67">
        <f t="shared" si="77"/>
        <v>0.1496553987528717</v>
      </c>
      <c r="AI101" s="67">
        <f t="shared" si="77"/>
        <v>0.17960858585858586</v>
      </c>
      <c r="AJ101" s="59">
        <f t="shared" si="77"/>
        <v>0.1527200133089337</v>
      </c>
      <c r="AK101" s="67">
        <f t="shared" si="77"/>
        <v>0.1400703549728175</v>
      </c>
      <c r="AL101" s="67">
        <f t="shared" si="77"/>
        <v>3.2368948725293611E-2</v>
      </c>
      <c r="AM101" s="67">
        <f t="shared" si="77"/>
        <v>5.9948615472451561E-3</v>
      </c>
      <c r="AN101" s="67">
        <f t="shared" si="77"/>
        <v>-3.184372491303189E-2</v>
      </c>
      <c r="AO101" s="59">
        <f t="shared" si="77"/>
        <v>3.268869966806176E-2</v>
      </c>
      <c r="AP101" s="67">
        <f t="shared" si="77"/>
        <v>-7.8541374474053738E-3</v>
      </c>
      <c r="AQ101" s="67">
        <f t="shared" si="77"/>
        <v>2.441731409544956E-2</v>
      </c>
      <c r="AR101" s="67">
        <f t="shared" si="77"/>
        <v>7.3779795686719662E-2</v>
      </c>
      <c r="AS101" s="67">
        <f t="shared" si="77"/>
        <v>1.5478164731896005E-2</v>
      </c>
      <c r="AT101" s="59">
        <f t="shared" si="77"/>
        <v>2.6273495912235267E-2</v>
      </c>
      <c r="AU101" s="394">
        <f t="shared" si="77"/>
        <v>-8.4534916595985332E-2</v>
      </c>
      <c r="AV101" s="394">
        <f t="shared" ref="AV101:CA101" si="78">AV3/AQ3-1</f>
        <v>-1.5709642470205898E-2</v>
      </c>
      <c r="AW101" s="394">
        <f t="shared" si="78"/>
        <v>-1.2684989429175508E-2</v>
      </c>
      <c r="AX101" s="394">
        <f t="shared" si="78"/>
        <v>1.8780620577027785E-2</v>
      </c>
      <c r="AY101" s="59">
        <f t="shared" si="78"/>
        <v>-2.2877374548920804E-2</v>
      </c>
      <c r="AZ101" s="67">
        <f t="shared" si="78"/>
        <v>8.9561457689931956E-2</v>
      </c>
      <c r="BA101" s="67">
        <f t="shared" si="78"/>
        <v>-5.778756191524459E-3</v>
      </c>
      <c r="BB101" s="67">
        <f t="shared" si="78"/>
        <v>6.1563169164882137E-3</v>
      </c>
      <c r="BC101" s="67">
        <f t="shared" si="78"/>
        <v>4.5418113812449867E-3</v>
      </c>
      <c r="BD101" s="59">
        <f t="shared" si="78"/>
        <v>2.1531600585324995E-2</v>
      </c>
      <c r="BE101" s="67">
        <f t="shared" si="78"/>
        <v>2.5510204081632626E-2</v>
      </c>
      <c r="BF101" s="67">
        <f t="shared" si="78"/>
        <v>7.7497924162745591E-2</v>
      </c>
      <c r="BG101" s="67">
        <f t="shared" si="78"/>
        <v>3.1391327480712938E-2</v>
      </c>
      <c r="BH101" s="67">
        <f t="shared" si="78"/>
        <v>3.9095744680851086E-2</v>
      </c>
      <c r="BI101" s="59">
        <f t="shared" si="78"/>
        <v>4.3315143246930532E-2</v>
      </c>
      <c r="BJ101" s="394">
        <f t="shared" si="78"/>
        <v>7.8220011055831984E-2</v>
      </c>
      <c r="BK101" s="394">
        <f t="shared" si="78"/>
        <v>7.8859491394811299E-2</v>
      </c>
      <c r="BL101" s="394">
        <f t="shared" si="78"/>
        <v>8.356977044106273E-2</v>
      </c>
      <c r="BM101" s="394">
        <f t="shared" si="78"/>
        <v>0.11005886869721015</v>
      </c>
      <c r="BN101" s="59">
        <f t="shared" si="78"/>
        <v>8.7871853546910739E-2</v>
      </c>
      <c r="BO101" s="394">
        <f t="shared" si="78"/>
        <v>6.4086131761086795E-2</v>
      </c>
      <c r="BP101" s="394">
        <f t="shared" si="78"/>
        <v>9.4047619047619158E-2</v>
      </c>
      <c r="BQ101" s="394">
        <f t="shared" si="78"/>
        <v>0.10616519876219943</v>
      </c>
      <c r="BR101" s="394">
        <f t="shared" si="78"/>
        <v>0.1065252478671892</v>
      </c>
      <c r="BS101" s="59">
        <f t="shared" si="78"/>
        <v>9.3334935993749646E-2</v>
      </c>
      <c r="BT101" s="394">
        <f t="shared" si="78"/>
        <v>4.9385690195133725E-2</v>
      </c>
      <c r="BU101" s="394">
        <f t="shared" si="78"/>
        <v>7.7040261153427547E-2</v>
      </c>
      <c r="BV101" s="394">
        <f t="shared" si="78"/>
        <v>4.3253712072304662E-2</v>
      </c>
      <c r="BW101" s="394">
        <f t="shared" si="78"/>
        <v>7.8141279433215249E-2</v>
      </c>
      <c r="BX101" s="59">
        <f t="shared" si="78"/>
        <v>6.2390061565523292E-2</v>
      </c>
      <c r="BY101" s="394">
        <f t="shared" si="78"/>
        <v>0.11891643709825539</v>
      </c>
      <c r="BZ101" s="394">
        <f t="shared" si="78"/>
        <v>5.5768842190341505E-2</v>
      </c>
      <c r="CA101" s="394">
        <f t="shared" si="78"/>
        <v>0.13778877887788776</v>
      </c>
      <c r="CB101" s="394">
        <f t="shared" ref="CB101:CM101" si="79">CB3/BW3-1</f>
        <v>2.9957479706223422E-2</v>
      </c>
      <c r="CC101" s="59">
        <f t="shared" si="79"/>
        <v>8.3665338645418252E-2</v>
      </c>
      <c r="CD101" s="394">
        <f t="shared" si="79"/>
        <v>7.4887156339761951E-2</v>
      </c>
      <c r="CE101" s="394">
        <f t="shared" si="79"/>
        <v>4.7655502392344395E-2</v>
      </c>
      <c r="CF101" s="394">
        <f t="shared" si="79"/>
        <v>0</v>
      </c>
      <c r="CG101" s="394">
        <f t="shared" si="79"/>
        <v>6.2675924188403176E-2</v>
      </c>
      <c r="CH101" s="59">
        <f t="shared" si="79"/>
        <v>4.5263559969442424E-2</v>
      </c>
      <c r="CI101" s="394">
        <f t="shared" si="79"/>
        <v>-7.6350448558885065E-3</v>
      </c>
      <c r="CJ101" s="394">
        <f t="shared" si="79"/>
        <v>1.8268176835951833E-2</v>
      </c>
      <c r="CK101" s="394">
        <f t="shared" si="79"/>
        <v>-1.1421319796954266E-2</v>
      </c>
      <c r="CL101" s="394">
        <f t="shared" si="79"/>
        <v>-1.6598975807875727E-2</v>
      </c>
      <c r="CM101" s="59">
        <f t="shared" si="79"/>
        <v>-4.4308423168281097E-3</v>
      </c>
      <c r="CN101" s="394">
        <f t="shared" ref="CN101" si="80">CN3/CI3-1</f>
        <v>2.7697634160415374E-2</v>
      </c>
      <c r="CO101" s="394">
        <f t="shared" ref="CO101" si="81">CO3/CJ3-1</f>
        <v>-4.2664813510736699E-2</v>
      </c>
      <c r="CP101" s="394">
        <f t="shared" ref="CP101" si="82">CP3/CK3-1</f>
        <v>3.4760687067760809E-3</v>
      </c>
      <c r="CQ101" s="394">
        <f t="shared" ref="CQ101" si="83">CQ3/CL3-1</f>
        <v>-3.03921924366225E-2</v>
      </c>
      <c r="CR101" s="59">
        <f>CR3/CM3-1</f>
        <v>-1.1200403190197439E-2</v>
      </c>
      <c r="CS101" s="394"/>
      <c r="CT101" s="394"/>
      <c r="CU101" s="394"/>
      <c r="CV101" s="394"/>
      <c r="CW101" s="59">
        <f>CW3/CR3-1</f>
        <v>-1.440585091698865E-2</v>
      </c>
      <c r="CX101" s="394"/>
      <c r="CY101" s="394"/>
      <c r="CZ101" s="394"/>
      <c r="DA101" s="394"/>
      <c r="DB101" s="59">
        <f>DB3/CW3-1</f>
        <v>6.8369432686048448E-3</v>
      </c>
      <c r="DC101" s="394"/>
      <c r="DD101" s="394"/>
      <c r="DE101" s="394"/>
      <c r="DF101" s="394"/>
      <c r="DG101" s="59">
        <f>DG3/DB3-1</f>
        <v>1.2741945106120811E-2</v>
      </c>
      <c r="DH101" s="394"/>
      <c r="DI101" s="394"/>
      <c r="DJ101" s="394"/>
      <c r="DK101" s="394"/>
      <c r="DL101" s="59">
        <f>DL3/DG3-1</f>
        <v>4.5064762203439024E-2</v>
      </c>
      <c r="DM101" s="394"/>
      <c r="DN101" s="394"/>
      <c r="DO101" s="394"/>
      <c r="DP101" s="394"/>
      <c r="DQ101" s="59">
        <f>DQ3/DL3-1</f>
        <v>5.1844904227952515E-2</v>
      </c>
      <c r="DR101" s="394"/>
      <c r="DS101" s="394"/>
      <c r="DT101" s="394"/>
      <c r="DU101" s="394"/>
      <c r="DV101" s="59">
        <f>DV3/DQ3-1</f>
        <v>3.5189885359918183E-2</v>
      </c>
      <c r="DW101" s="394"/>
      <c r="DX101" s="394"/>
      <c r="DY101" s="394"/>
      <c r="DZ101" s="394"/>
      <c r="EA101" s="59">
        <f>EA3/DV3-1</f>
        <v>2.8732179400468016E-2</v>
      </c>
      <c r="EB101" s="394"/>
      <c r="EC101" s="394"/>
      <c r="ED101" s="394"/>
      <c r="EE101" s="394"/>
      <c r="EF101" s="59">
        <f>EF3/EA3-1</f>
        <v>-2.6729267194395279E-3</v>
      </c>
      <c r="EG101" s="394"/>
      <c r="EH101" s="394"/>
      <c r="EI101" s="394"/>
      <c r="EJ101" s="394"/>
      <c r="EK101" s="59">
        <f>EK3/EF3-1</f>
        <v>-2.8322211114706342E-4</v>
      </c>
      <c r="EL101" s="394"/>
      <c r="EM101" s="394"/>
      <c r="EN101" s="394"/>
      <c r="EO101" s="394"/>
      <c r="EP101" s="59">
        <f>EP3/EK3-1</f>
        <v>-7.0637089329931069E-2</v>
      </c>
      <c r="EQ101" s="394"/>
      <c r="ER101" s="394"/>
      <c r="ES101" s="394"/>
      <c r="ET101" s="394"/>
      <c r="EU101" s="59">
        <f>EU3/EP3-1</f>
        <v>-4.0488845256865802E-2</v>
      </c>
      <c r="EV101" s="394"/>
      <c r="EW101" s="394"/>
      <c r="EX101" s="394"/>
      <c r="EY101" s="394"/>
      <c r="EZ101" s="59">
        <f>EZ3/EU3-1</f>
        <v>-2.6479708183154815E-2</v>
      </c>
    </row>
    <row r="102" spans="2:156">
      <c r="B102" s="30" t="s">
        <v>59</v>
      </c>
      <c r="D102" s="59">
        <f t="shared" ref="D102:K102" si="84">D5/C5-1</f>
        <v>0.19941775836972342</v>
      </c>
      <c r="E102" s="59">
        <f t="shared" si="84"/>
        <v>0.17718446601941751</v>
      </c>
      <c r="F102" s="59">
        <f t="shared" si="84"/>
        <v>0.15463917525773185</v>
      </c>
      <c r="G102" s="59">
        <f t="shared" si="84"/>
        <v>7.1874999999999911E-2</v>
      </c>
      <c r="H102" s="59">
        <f t="shared" si="84"/>
        <v>0.13202832153269473</v>
      </c>
      <c r="I102" s="59">
        <f t="shared" si="84"/>
        <v>0.22884473877851352</v>
      </c>
      <c r="J102" s="59">
        <f t="shared" si="84"/>
        <v>8.6526946107784442E-2</v>
      </c>
      <c r="K102" s="59">
        <f t="shared" si="84"/>
        <v>0.10664094791953715</v>
      </c>
      <c r="L102" s="55"/>
      <c r="M102" s="55"/>
      <c r="N102" s="55"/>
      <c r="O102" s="55"/>
      <c r="P102" s="59">
        <f t="shared" ref="P102:AU102" si="85">P5/K5-1</f>
        <v>0.37524900398406369</v>
      </c>
      <c r="Q102" s="67">
        <f t="shared" si="85"/>
        <v>0.74529236868186333</v>
      </c>
      <c r="R102" s="67">
        <f t="shared" si="85"/>
        <v>0.63410728582866294</v>
      </c>
      <c r="S102" s="67">
        <f t="shared" si="85"/>
        <v>0.47298198799199476</v>
      </c>
      <c r="T102" s="67">
        <f t="shared" si="85"/>
        <v>0.32842582106455276</v>
      </c>
      <c r="U102" s="59">
        <f t="shared" si="85"/>
        <v>0.51294586275574861</v>
      </c>
      <c r="V102" s="67">
        <f t="shared" si="85"/>
        <v>0.33049403747870532</v>
      </c>
      <c r="W102" s="67">
        <f t="shared" si="85"/>
        <v>0.2665360117589417</v>
      </c>
      <c r="X102" s="67">
        <f t="shared" si="85"/>
        <v>0.22871376811594213</v>
      </c>
      <c r="Y102" s="67">
        <f t="shared" si="85"/>
        <v>0.23998294970161971</v>
      </c>
      <c r="Z102" s="59">
        <f t="shared" si="85"/>
        <v>0.2625658209669699</v>
      </c>
      <c r="AA102" s="67">
        <f t="shared" si="85"/>
        <v>0.20913358941527949</v>
      </c>
      <c r="AB102" s="67">
        <f t="shared" si="85"/>
        <v>0.22707930367504825</v>
      </c>
      <c r="AC102" s="67">
        <f t="shared" si="85"/>
        <v>0.16255068190195354</v>
      </c>
      <c r="AD102" s="67">
        <f t="shared" si="85"/>
        <v>0.12444138879339972</v>
      </c>
      <c r="AE102" s="59">
        <f t="shared" si="85"/>
        <v>0.17819905213270149</v>
      </c>
      <c r="AF102" s="67">
        <f t="shared" si="85"/>
        <v>0.13554535827744441</v>
      </c>
      <c r="AG102" s="67">
        <f t="shared" si="85"/>
        <v>0.1361916771752838</v>
      </c>
      <c r="AH102" s="67">
        <f t="shared" si="85"/>
        <v>0.14521242866201645</v>
      </c>
      <c r="AI102" s="67">
        <f t="shared" si="85"/>
        <v>0.17242433506572907</v>
      </c>
      <c r="AJ102" s="59">
        <f t="shared" si="85"/>
        <v>0.14786806114239748</v>
      </c>
      <c r="AK102" s="67">
        <f t="shared" si="85"/>
        <v>0.14609884986011812</v>
      </c>
      <c r="AL102" s="67">
        <f t="shared" si="85"/>
        <v>3.4406215316315159E-2</v>
      </c>
      <c r="AM102" s="67">
        <f t="shared" si="85"/>
        <v>-2.7685492801776679E-4</v>
      </c>
      <c r="AN102" s="67">
        <f t="shared" si="85"/>
        <v>-2.3468057366362483E-2</v>
      </c>
      <c r="AO102" s="59">
        <f t="shared" si="85"/>
        <v>3.5253714606111597E-2</v>
      </c>
      <c r="AP102" s="67">
        <f t="shared" si="85"/>
        <v>-2.0070518036343965E-2</v>
      </c>
      <c r="AQ102" s="67">
        <f t="shared" si="85"/>
        <v>9.65665236051505E-3</v>
      </c>
      <c r="AR102" s="67">
        <f t="shared" si="85"/>
        <v>7.3109941844364368E-2</v>
      </c>
      <c r="AS102" s="67">
        <f t="shared" si="85"/>
        <v>1.6021361815754531E-3</v>
      </c>
      <c r="AT102" s="59">
        <f t="shared" si="85"/>
        <v>1.5706451831291046E-2</v>
      </c>
      <c r="AU102" s="394">
        <f t="shared" si="85"/>
        <v>-8.4417381677276526E-2</v>
      </c>
      <c r="AV102" s="394">
        <f t="shared" ref="AV102:CA102" si="86">AV5/AQ5-1</f>
        <v>-1.3549415515409113E-2</v>
      </c>
      <c r="AW102" s="394">
        <f t="shared" si="86"/>
        <v>-1.6258064516128989E-2</v>
      </c>
      <c r="AX102" s="394">
        <f t="shared" si="86"/>
        <v>1.5462543321780764E-2</v>
      </c>
      <c r="AY102" s="59">
        <f t="shared" si="86"/>
        <v>-2.4061854295807539E-2</v>
      </c>
      <c r="AZ102" s="67">
        <f t="shared" si="86"/>
        <v>8.5852478839177682E-2</v>
      </c>
      <c r="BA102" s="67">
        <f t="shared" si="86"/>
        <v>2.4508483705898199E-2</v>
      </c>
      <c r="BB102" s="67">
        <f t="shared" si="86"/>
        <v>1.0493179433368471E-3</v>
      </c>
      <c r="BC102" s="67">
        <f t="shared" si="86"/>
        <v>8.4011551588343281E-3</v>
      </c>
      <c r="BD102" s="59">
        <f t="shared" si="86"/>
        <v>2.8069935801120049E-2</v>
      </c>
      <c r="BE102" s="67">
        <f t="shared" si="86"/>
        <v>3.1737193763919924E-2</v>
      </c>
      <c r="BF102" s="67">
        <f t="shared" si="86"/>
        <v>4.0746582544689769E-2</v>
      </c>
      <c r="BG102" s="67">
        <f t="shared" si="86"/>
        <v>3.3542976939203273E-2</v>
      </c>
      <c r="BH102" s="67">
        <f t="shared" si="86"/>
        <v>3.4366050507680379E-2</v>
      </c>
      <c r="BI102" s="59">
        <f t="shared" si="86"/>
        <v>3.514249651232304E-2</v>
      </c>
      <c r="BJ102" s="394">
        <f t="shared" si="86"/>
        <v>9.2282784673502372E-2</v>
      </c>
      <c r="BK102" s="394">
        <f t="shared" si="86"/>
        <v>0.13084112149532712</v>
      </c>
      <c r="BL102" s="394">
        <f t="shared" si="86"/>
        <v>9.5081135902636893E-2</v>
      </c>
      <c r="BM102" s="394">
        <f t="shared" si="86"/>
        <v>0.1127611376793356</v>
      </c>
      <c r="BN102" s="59">
        <f t="shared" si="86"/>
        <v>0.10800924143242208</v>
      </c>
      <c r="BO102" s="394">
        <f t="shared" si="86"/>
        <v>4.6936758893280528E-2</v>
      </c>
      <c r="BP102" s="394">
        <f t="shared" si="86"/>
        <v>4.511949966495421E-2</v>
      </c>
      <c r="BQ102" s="394">
        <f t="shared" si="86"/>
        <v>9.9328548275063655E-2</v>
      </c>
      <c r="BR102" s="394">
        <f t="shared" si="86"/>
        <v>0.13345396969011536</v>
      </c>
      <c r="BS102" s="59">
        <f t="shared" si="86"/>
        <v>8.1726035331595615E-2</v>
      </c>
      <c r="BT102" s="394">
        <f t="shared" si="86"/>
        <v>6.6776781500707871E-2</v>
      </c>
      <c r="BU102" s="394">
        <f t="shared" si="86"/>
        <v>0.10707416114554391</v>
      </c>
      <c r="BV102" s="394">
        <f t="shared" si="86"/>
        <v>5.960404380791906E-2</v>
      </c>
      <c r="BW102" s="394">
        <f t="shared" si="86"/>
        <v>6.3859509080024024E-2</v>
      </c>
      <c r="BX102" s="59">
        <f t="shared" si="86"/>
        <v>7.4266438209466656E-2</v>
      </c>
      <c r="BY102" s="394">
        <f t="shared" si="86"/>
        <v>0.11324928113249277</v>
      </c>
      <c r="BZ102" s="394">
        <f t="shared" si="86"/>
        <v>3.6679536679536717E-2</v>
      </c>
      <c r="CA102" s="394">
        <f t="shared" si="86"/>
        <v>0.13754720731464909</v>
      </c>
      <c r="CB102" s="394">
        <f t="shared" ref="CB102:CM102" si="87">CB5/BW5-1</f>
        <v>3.8454323766647924E-2</v>
      </c>
      <c r="CC102" s="59">
        <f t="shared" si="87"/>
        <v>7.9698948312814544E-2</v>
      </c>
      <c r="CD102" s="394">
        <f t="shared" si="87"/>
        <v>9.8152195509636497E-2</v>
      </c>
      <c r="CE102" s="394">
        <f t="shared" si="87"/>
        <v>5.921787709497206E-2</v>
      </c>
      <c r="CF102" s="394">
        <f t="shared" si="87"/>
        <v>1.5376550760090923E-2</v>
      </c>
      <c r="CG102" s="394">
        <f t="shared" si="87"/>
        <v>7.7492774566473965E-2</v>
      </c>
      <c r="CH102" s="59">
        <f t="shared" si="87"/>
        <v>6.1351675745545231E-2</v>
      </c>
      <c r="CI102" s="394">
        <f t="shared" si="87"/>
        <v>-1.1398588746155291E-2</v>
      </c>
      <c r="CJ102" s="394">
        <f t="shared" si="87"/>
        <v>2.1448663853727234E-2</v>
      </c>
      <c r="CK102" s="394">
        <f t="shared" si="87"/>
        <v>-6.5393219755636167E-3</v>
      </c>
      <c r="CL102" s="394">
        <f t="shared" si="87"/>
        <v>-2.7326068734283337E-2</v>
      </c>
      <c r="CM102" s="59">
        <f t="shared" si="87"/>
        <v>-6.1763298682092627E-3</v>
      </c>
      <c r="CN102" s="394">
        <f t="shared" ref="CN102" si="88">CN5/CI5-1</f>
        <v>1.6471449487554857E-2</v>
      </c>
      <c r="CO102" s="394">
        <f t="shared" ref="CO102" si="89">CO5/CJ5-1</f>
        <v>-2.4109454391239571E-2</v>
      </c>
      <c r="CP102" s="394">
        <f t="shared" ref="CP102" si="90">CP5/CK5-1</f>
        <v>-6.9820295940076216E-3</v>
      </c>
      <c r="CQ102" s="394">
        <f t="shared" ref="CQ102" si="91">CQ5/CL5-1</f>
        <v>-2.1626482348961584E-2</v>
      </c>
      <c r="CR102" s="59">
        <f>CR5/CM5-1</f>
        <v>-9.4472422183898841E-3</v>
      </c>
      <c r="CS102" s="394"/>
      <c r="CT102" s="394"/>
      <c r="CU102" s="394"/>
      <c r="CV102" s="394"/>
      <c r="CW102" s="59">
        <f>CW5/CR5-1</f>
        <v>-6.6896802243301412E-3</v>
      </c>
      <c r="CX102" s="394"/>
      <c r="CY102" s="394"/>
      <c r="CZ102" s="394"/>
      <c r="DA102" s="394"/>
      <c r="DB102" s="59">
        <f>DB5/CW5-1</f>
        <v>1.0891888027853236E-2</v>
      </c>
      <c r="DC102" s="394"/>
      <c r="DD102" s="394"/>
      <c r="DE102" s="394"/>
      <c r="DF102" s="394"/>
      <c r="DG102" s="59">
        <f>DG5/DB5-1</f>
        <v>-6.4000728592471523E-3</v>
      </c>
      <c r="DH102" s="394"/>
      <c r="DI102" s="394"/>
      <c r="DJ102" s="394"/>
      <c r="DK102" s="394"/>
      <c r="DL102" s="59">
        <f>DL5/DG5-1</f>
        <v>3.6871857629366289E-2</v>
      </c>
      <c r="DM102" s="394"/>
      <c r="DN102" s="394"/>
      <c r="DO102" s="394"/>
      <c r="DP102" s="394"/>
      <c r="DQ102" s="59">
        <f>DQ5/DL5-1</f>
        <v>5.0310476262838577E-2</v>
      </c>
      <c r="DR102" s="394"/>
      <c r="DS102" s="394"/>
      <c r="DT102" s="394"/>
      <c r="DU102" s="394"/>
      <c r="DV102" s="59">
        <f>DV5/DQ5-1</f>
        <v>3.0132109457644773E-2</v>
      </c>
      <c r="DW102" s="394"/>
      <c r="DX102" s="394"/>
      <c r="DY102" s="394"/>
      <c r="DZ102" s="394"/>
      <c r="EA102" s="59">
        <f>EA5/DV5-1</f>
        <v>1.5413588336126605E-2</v>
      </c>
      <c r="EB102" s="394"/>
      <c r="EC102" s="394"/>
      <c r="ED102" s="394"/>
      <c r="EE102" s="394"/>
      <c r="EF102" s="59">
        <f>EF5/EA5-1</f>
        <v>-5.2106861724580122E-3</v>
      </c>
      <c r="EG102" s="394"/>
      <c r="EH102" s="394"/>
      <c r="EI102" s="394"/>
      <c r="EJ102" s="394"/>
      <c r="EK102" s="59">
        <f>EK5/EF5-1</f>
        <v>-2.9582540229688981E-4</v>
      </c>
      <c r="EL102" s="394"/>
      <c r="EM102" s="394"/>
      <c r="EN102" s="394"/>
      <c r="EO102" s="394"/>
      <c r="EP102" s="59">
        <f>EP5/EK5-1</f>
        <v>-6.9549199504302495E-2</v>
      </c>
      <c r="EQ102" s="394"/>
      <c r="ER102" s="394"/>
      <c r="ES102" s="394"/>
      <c r="ET102" s="394"/>
      <c r="EU102" s="59">
        <f>EU5/EP5-1</f>
        <v>-3.96527469538136E-2</v>
      </c>
      <c r="EV102" s="394"/>
      <c r="EW102" s="394"/>
      <c r="EX102" s="394"/>
      <c r="EY102" s="394"/>
      <c r="EZ102" s="59">
        <f>EZ5/EU5-1</f>
        <v>-2.5774136483316501E-2</v>
      </c>
    </row>
    <row r="103" spans="2:156">
      <c r="B103" s="30" t="s">
        <v>63</v>
      </c>
      <c r="D103" s="59">
        <f t="shared" ref="D103:K103" si="92">D9/C9-1</f>
        <v>8.181818181818179E-2</v>
      </c>
      <c r="E103" s="59">
        <f t="shared" si="92"/>
        <v>0.14705882352941169</v>
      </c>
      <c r="F103" s="59">
        <f t="shared" si="92"/>
        <v>3.6630036630036722E-2</v>
      </c>
      <c r="G103" s="59">
        <f t="shared" si="92"/>
        <v>6.360424028268552E-2</v>
      </c>
      <c r="H103" s="59">
        <f t="shared" si="92"/>
        <v>0.14617940199335555</v>
      </c>
      <c r="I103" s="59">
        <f t="shared" si="92"/>
        <v>0.16521739130434776</v>
      </c>
      <c r="J103" s="59">
        <f t="shared" si="92"/>
        <v>1.4925373134328401E-2</v>
      </c>
      <c r="K103" s="59">
        <f t="shared" si="92"/>
        <v>8.5784313725490113E-2</v>
      </c>
      <c r="L103" s="55"/>
      <c r="M103" s="55"/>
      <c r="N103" s="55"/>
      <c r="O103" s="55"/>
      <c r="P103" s="59">
        <f t="shared" ref="P103:AU103" si="93">P9/K9-1</f>
        <v>0.55756207674943559</v>
      </c>
      <c r="Q103" s="67">
        <f t="shared" si="93"/>
        <v>1.6730769230769229</v>
      </c>
      <c r="R103" s="67">
        <f t="shared" si="93"/>
        <v>1.4545454545454546</v>
      </c>
      <c r="S103" s="67">
        <f t="shared" si="93"/>
        <v>0.67164179104477606</v>
      </c>
      <c r="T103" s="67">
        <f t="shared" si="93"/>
        <v>0.51778656126482203</v>
      </c>
      <c r="U103" s="59">
        <f t="shared" si="93"/>
        <v>0.91739130434782612</v>
      </c>
      <c r="V103" s="67">
        <f t="shared" si="93"/>
        <v>0.33453237410071934</v>
      </c>
      <c r="W103" s="67">
        <f t="shared" si="93"/>
        <v>0.34259259259259256</v>
      </c>
      <c r="X103" s="67">
        <f t="shared" si="93"/>
        <v>0.33035714285714279</v>
      </c>
      <c r="Y103" s="67">
        <f t="shared" si="93"/>
        <v>0.23958333333333326</v>
      </c>
      <c r="Z103" s="59">
        <f t="shared" si="93"/>
        <v>0.30687830687830697</v>
      </c>
      <c r="AA103" s="67">
        <f t="shared" si="93"/>
        <v>0.31805929919137466</v>
      </c>
      <c r="AB103" s="67">
        <f t="shared" si="93"/>
        <v>0.21839080459770122</v>
      </c>
      <c r="AC103" s="67">
        <f t="shared" si="93"/>
        <v>0.12975391498881428</v>
      </c>
      <c r="AD103" s="67">
        <f t="shared" si="93"/>
        <v>7.3529411764705843E-2</v>
      </c>
      <c r="AE103" s="59">
        <f t="shared" si="93"/>
        <v>0.17698091382301917</v>
      </c>
      <c r="AF103" s="67">
        <f t="shared" si="93"/>
        <v>0.12883435582822078</v>
      </c>
      <c r="AG103" s="67">
        <f t="shared" si="93"/>
        <v>-7.1698113207547154E-2</v>
      </c>
      <c r="AH103" s="67">
        <f t="shared" si="93"/>
        <v>-3.9603960396039639E-2</v>
      </c>
      <c r="AI103" s="67">
        <f t="shared" si="93"/>
        <v>7.8277886497064575E-2</v>
      </c>
      <c r="AJ103" s="59">
        <f t="shared" si="93"/>
        <v>2.2113022113022129E-2</v>
      </c>
      <c r="AK103" s="67">
        <f t="shared" si="93"/>
        <v>1.26811594202898E-2</v>
      </c>
      <c r="AL103" s="67">
        <f t="shared" si="93"/>
        <v>0.10975609756097571</v>
      </c>
      <c r="AM103" s="67">
        <f t="shared" si="93"/>
        <v>0.20618556701030921</v>
      </c>
      <c r="AN103" s="67">
        <f t="shared" si="93"/>
        <v>2.5408348457350183E-2</v>
      </c>
      <c r="AO103" s="59">
        <f t="shared" si="93"/>
        <v>8.4134615384615419E-2</v>
      </c>
      <c r="AP103" s="67">
        <f t="shared" si="93"/>
        <v>-3.0411449016100156E-2</v>
      </c>
      <c r="AQ103" s="67">
        <f t="shared" si="93"/>
        <v>-6.2271062271062272E-2</v>
      </c>
      <c r="AR103" s="67">
        <f t="shared" si="93"/>
        <v>8.5470085470085166E-3</v>
      </c>
      <c r="AS103" s="67">
        <f t="shared" si="93"/>
        <v>-2.831858407079646E-2</v>
      </c>
      <c r="AT103" s="59">
        <f t="shared" si="93"/>
        <v>-2.749445676274942E-2</v>
      </c>
      <c r="AU103" s="394">
        <f t="shared" si="93"/>
        <v>-0.12546125461254609</v>
      </c>
      <c r="AV103" s="394">
        <f t="shared" ref="AV103:CA103" si="94">AV9/AQ9-1</f>
        <v>2.9296875E-2</v>
      </c>
      <c r="AW103" s="394">
        <f t="shared" si="94"/>
        <v>-8.135593220338988E-2</v>
      </c>
      <c r="AX103" s="394">
        <f t="shared" si="94"/>
        <v>-2.5500910746812377E-2</v>
      </c>
      <c r="AY103" s="59">
        <f t="shared" si="94"/>
        <v>-5.2439580483356174E-2</v>
      </c>
      <c r="AZ103" s="67">
        <f t="shared" si="94"/>
        <v>6.3291139240506222E-2</v>
      </c>
      <c r="BA103" s="67">
        <f t="shared" si="94"/>
        <v>4.1745730550284632E-2</v>
      </c>
      <c r="BB103" s="67">
        <f t="shared" si="94"/>
        <v>7.7490774907749138E-2</v>
      </c>
      <c r="BC103" s="67">
        <f t="shared" si="94"/>
        <v>6.1682242990654279E-2</v>
      </c>
      <c r="BD103" s="59">
        <f t="shared" si="94"/>
        <v>6.1116458132820073E-2</v>
      </c>
      <c r="BE103" s="67">
        <f t="shared" si="94"/>
        <v>7.1428571428571397E-2</v>
      </c>
      <c r="BF103" s="67">
        <f t="shared" si="94"/>
        <v>3.6429872495446158E-2</v>
      </c>
      <c r="BG103" s="67">
        <f t="shared" si="94"/>
        <v>1.5410958904109595E-2</v>
      </c>
      <c r="BH103" s="67">
        <f t="shared" si="94"/>
        <v>0.13204225352112675</v>
      </c>
      <c r="BI103" s="59">
        <f t="shared" si="94"/>
        <v>6.3492063492063489E-2</v>
      </c>
      <c r="BJ103" s="394">
        <f t="shared" si="94"/>
        <v>0.23333333333333339</v>
      </c>
      <c r="BK103" s="394">
        <f t="shared" si="94"/>
        <v>0.17398945518453424</v>
      </c>
      <c r="BL103" s="394">
        <f t="shared" si="94"/>
        <v>0.13659359190556497</v>
      </c>
      <c r="BM103" s="394">
        <f t="shared" si="94"/>
        <v>0.13063763608087098</v>
      </c>
      <c r="BN103" s="59">
        <f t="shared" si="94"/>
        <v>0.16631130063965882</v>
      </c>
      <c r="BO103" s="394">
        <f t="shared" si="94"/>
        <v>7.5075075075075048E-3</v>
      </c>
      <c r="BP103" s="394">
        <f t="shared" si="94"/>
        <v>6.8862275449101729E-2</v>
      </c>
      <c r="BQ103" s="394">
        <f t="shared" si="94"/>
        <v>6.0830860534124565E-2</v>
      </c>
      <c r="BR103" s="394">
        <f t="shared" si="94"/>
        <v>5.9147180192572257E-2</v>
      </c>
      <c r="BS103" s="59">
        <f t="shared" si="94"/>
        <v>4.9360146252285242E-2</v>
      </c>
      <c r="BT103" s="394">
        <f t="shared" si="94"/>
        <v>1.9374068554396384E-2</v>
      </c>
      <c r="BU103" s="394">
        <f t="shared" si="94"/>
        <v>0.10504201680672276</v>
      </c>
      <c r="BV103" s="394">
        <f t="shared" si="94"/>
        <v>6.4335664335664289E-2</v>
      </c>
      <c r="BW103" s="394">
        <f t="shared" si="94"/>
        <v>7.1428571428571397E-2</v>
      </c>
      <c r="BX103" s="59">
        <f t="shared" si="94"/>
        <v>6.5853658536585424E-2</v>
      </c>
      <c r="BY103" s="394">
        <f t="shared" si="94"/>
        <v>7.4561403508771829E-2</v>
      </c>
      <c r="BZ103" s="394">
        <f t="shared" si="94"/>
        <v>0</v>
      </c>
      <c r="CA103" s="394">
        <f t="shared" si="94"/>
        <v>-2.1024967148488782E-2</v>
      </c>
      <c r="CB103" s="394">
        <f t="shared" ref="CB103:CH103" si="95">CB9/BW9-1</f>
        <v>-7.3939393939393971E-2</v>
      </c>
      <c r="CC103" s="59">
        <f t="shared" si="95"/>
        <v>-8.4995096436744078E-3</v>
      </c>
      <c r="CD103" s="394">
        <f t="shared" si="95"/>
        <v>-3.8095238095238071E-2</v>
      </c>
      <c r="CE103" s="394">
        <f t="shared" si="95"/>
        <v>-6.4638783269961975E-2</v>
      </c>
      <c r="CF103" s="394">
        <f t="shared" si="95"/>
        <v>-4.0268456375838979E-2</v>
      </c>
      <c r="CG103" s="394">
        <f t="shared" si="95"/>
        <v>-1.4397905759162333E-2</v>
      </c>
      <c r="CH103" s="59">
        <f t="shared" si="95"/>
        <v>-3.9564787339268048E-2</v>
      </c>
      <c r="CI103" s="394">
        <f t="shared" ref="CI103" si="96">CI9/CD9-1</f>
        <v>-3.536067892503536E-2</v>
      </c>
      <c r="CJ103" s="394">
        <f t="shared" ref="CJ103" si="97">CJ9/CE9-1</f>
        <v>-3.7940379403794022E-2</v>
      </c>
      <c r="CK103" s="394">
        <f t="shared" ref="CK103" si="98">CK9/CF9-1</f>
        <v>2.7972027972027913E-2</v>
      </c>
      <c r="CL103" s="394">
        <f t="shared" ref="CL103" si="99">CL9/CG9-1</f>
        <v>8.3665338645418252E-2</v>
      </c>
      <c r="CM103" s="59">
        <f>CM9/CH9-1</f>
        <v>1.029866117404743E-2</v>
      </c>
      <c r="CN103" s="394">
        <f t="shared" ref="CN103" si="100">CN9/CI9-1</f>
        <v>-5.8651026392961825E-3</v>
      </c>
      <c r="CO103" s="394">
        <f t="shared" ref="CO103" si="101">CO9/CJ9-1</f>
        <v>-2.7945658523728878E-2</v>
      </c>
      <c r="CP103" s="394">
        <f t="shared" ref="CP103" si="102">CP9/CK9-1</f>
        <v>-2.6670975454836765E-2</v>
      </c>
      <c r="CQ103" s="394">
        <f t="shared" ref="CQ103" si="103">CQ9/CL9-1</f>
        <v>-0.13462733695529205</v>
      </c>
      <c r="CR103" s="59">
        <f>CR9/CM9-1</f>
        <v>-5.2089871378413588E-2</v>
      </c>
      <c r="CS103" s="394"/>
      <c r="CT103" s="394"/>
      <c r="CU103" s="394"/>
      <c r="CV103" s="394"/>
      <c r="CW103" s="59">
        <f>CW9/CR9-1</f>
        <v>5.3397462504145565E-3</v>
      </c>
      <c r="CX103" s="394"/>
      <c r="CY103" s="394"/>
      <c r="CZ103" s="394"/>
      <c r="DA103" s="394"/>
      <c r="DB103" s="59">
        <f>DB9/CW9-1</f>
        <v>2.3084799463434447E-2</v>
      </c>
      <c r="DC103" s="394"/>
      <c r="DD103" s="394"/>
      <c r="DE103" s="394"/>
      <c r="DF103" s="394"/>
      <c r="DG103" s="59">
        <f>DG9/DB9-1</f>
        <v>3.9576815274276589E-2</v>
      </c>
      <c r="DH103" s="394"/>
      <c r="DI103" s="394"/>
      <c r="DJ103" s="394"/>
      <c r="DK103" s="394"/>
      <c r="DL103" s="59">
        <f>DL9/DG9-1</f>
        <v>8.6632079006569329E-2</v>
      </c>
      <c r="DM103" s="394"/>
      <c r="DN103" s="394"/>
      <c r="DO103" s="394"/>
      <c r="DP103" s="394"/>
      <c r="DQ103" s="59">
        <f>DQ9/DL9-1</f>
        <v>0.10822460319358185</v>
      </c>
      <c r="DR103" s="394"/>
      <c r="DS103" s="394"/>
      <c r="DT103" s="394"/>
      <c r="DU103" s="394"/>
      <c r="DV103" s="59">
        <f>DV9/DQ9-1</f>
        <v>6.816772666161719E-2</v>
      </c>
      <c r="DW103" s="394"/>
      <c r="DX103" s="394"/>
      <c r="DY103" s="394"/>
      <c r="DZ103" s="394"/>
      <c r="EA103" s="59">
        <f>EA9/DV9-1</f>
        <v>7.2373493827714963E-2</v>
      </c>
      <c r="EB103" s="394"/>
      <c r="EC103" s="394"/>
      <c r="ED103" s="394"/>
      <c r="EE103" s="394"/>
      <c r="EF103" s="59">
        <f>EF9/EA9-1</f>
        <v>4.5984163642295295E-2</v>
      </c>
      <c r="EG103" s="394"/>
      <c r="EH103" s="394"/>
      <c r="EI103" s="394"/>
      <c r="EJ103" s="394"/>
      <c r="EK103" s="59">
        <f>EK9/EF9-1</f>
        <v>5.1005097829621482E-2</v>
      </c>
      <c r="EL103" s="394"/>
      <c r="EM103" s="394"/>
      <c r="EN103" s="394"/>
      <c r="EO103" s="394"/>
      <c r="EP103" s="59">
        <f>EP9/EK9-1</f>
        <v>-2.0607109911995214E-2</v>
      </c>
      <c r="EQ103" s="394"/>
      <c r="ER103" s="394"/>
      <c r="ES103" s="394"/>
      <c r="ET103" s="394"/>
      <c r="EU103" s="59">
        <f>EU9/EP9-1</f>
        <v>2.0016112092891003E-3</v>
      </c>
      <c r="EV103" s="394"/>
      <c r="EW103" s="394"/>
      <c r="EX103" s="394"/>
      <c r="EY103" s="394"/>
      <c r="EZ103" s="59">
        <f>EZ9/EU9-1</f>
        <v>9.9283745779585875E-3</v>
      </c>
    </row>
    <row r="104" spans="2:156">
      <c r="B104" s="30" t="s">
        <v>62</v>
      </c>
      <c r="D104" s="59">
        <f t="shared" ref="D104:K104" si="104">D19/C19-1</f>
        <v>0.27058823529411757</v>
      </c>
      <c r="E104" s="59">
        <f t="shared" si="104"/>
        <v>0.39506172839506171</v>
      </c>
      <c r="F104" s="59">
        <f t="shared" si="104"/>
        <v>0.16814159292035402</v>
      </c>
      <c r="G104" s="59">
        <f t="shared" si="104"/>
        <v>0.19507575757575757</v>
      </c>
      <c r="H104" s="59">
        <f t="shared" si="104"/>
        <v>5.0713153724247118E-2</v>
      </c>
      <c r="I104" s="59">
        <f t="shared" si="104"/>
        <v>0.24132730015082959</v>
      </c>
      <c r="J104" s="59">
        <f t="shared" si="104"/>
        <v>2.6731470230862753E-2</v>
      </c>
      <c r="K104" s="59">
        <f t="shared" si="104"/>
        <v>2.3668639053254337E-2</v>
      </c>
      <c r="L104" s="55"/>
      <c r="M104" s="55"/>
      <c r="N104" s="55"/>
      <c r="O104" s="55"/>
      <c r="P104" s="59">
        <f t="shared" ref="P104:AU104" si="105">P19/K19-1</f>
        <v>0.27052023121387281</v>
      </c>
      <c r="Q104" s="67">
        <f t="shared" si="105"/>
        <v>0.68472906403940881</v>
      </c>
      <c r="R104" s="67">
        <f t="shared" si="105"/>
        <v>0.64529914529914523</v>
      </c>
      <c r="S104" s="67">
        <f t="shared" si="105"/>
        <v>0.31578947368421062</v>
      </c>
      <c r="T104" s="67">
        <f t="shared" si="105"/>
        <v>0.38375350140056019</v>
      </c>
      <c r="U104" s="59">
        <f t="shared" si="105"/>
        <v>0.47406733393994549</v>
      </c>
      <c r="V104" s="67">
        <f t="shared" si="105"/>
        <v>0.26608187134502925</v>
      </c>
      <c r="W104" s="67">
        <f t="shared" si="105"/>
        <v>0.19480519480519476</v>
      </c>
      <c r="X104" s="67">
        <f t="shared" si="105"/>
        <v>0.23750000000000004</v>
      </c>
      <c r="Y104" s="67">
        <f t="shared" si="105"/>
        <v>0.23076923076923084</v>
      </c>
      <c r="Z104" s="59">
        <f t="shared" si="105"/>
        <v>0.23209876543209873</v>
      </c>
      <c r="AA104" s="67">
        <f t="shared" si="105"/>
        <v>0.20323325635103928</v>
      </c>
      <c r="AB104" s="67">
        <f t="shared" si="105"/>
        <v>0.22608695652173916</v>
      </c>
      <c r="AC104" s="67">
        <f t="shared" si="105"/>
        <v>0.12929292929292924</v>
      </c>
      <c r="AD104" s="67">
        <f t="shared" si="105"/>
        <v>8.2236842105263053E-2</v>
      </c>
      <c r="AE104" s="59">
        <f t="shared" si="105"/>
        <v>0.15330661322645289</v>
      </c>
      <c r="AF104" s="67">
        <f t="shared" si="105"/>
        <v>0.19769673704414581</v>
      </c>
      <c r="AG104" s="67">
        <f t="shared" si="105"/>
        <v>0.29255319148936176</v>
      </c>
      <c r="AH104" s="67">
        <f t="shared" si="105"/>
        <v>0.49373881932021457</v>
      </c>
      <c r="AI104" s="67">
        <f t="shared" si="105"/>
        <v>0.5243161094224924</v>
      </c>
      <c r="AJ104" s="59">
        <f t="shared" si="105"/>
        <v>0.38618592528236317</v>
      </c>
      <c r="AK104" s="67">
        <f t="shared" si="105"/>
        <v>0.28685897435897445</v>
      </c>
      <c r="AL104" s="67">
        <f t="shared" si="105"/>
        <v>6.5843621399176877E-2</v>
      </c>
      <c r="AM104" s="67">
        <f t="shared" si="105"/>
        <v>-0.16287425149700596</v>
      </c>
      <c r="AN104" s="67">
        <f t="shared" si="105"/>
        <v>-0.21734795613160518</v>
      </c>
      <c r="AO104" s="59">
        <f t="shared" si="105"/>
        <v>-3.9799435913506764E-2</v>
      </c>
      <c r="AP104" s="67">
        <f t="shared" si="105"/>
        <v>-0.17683686176836866</v>
      </c>
      <c r="AQ104" s="67">
        <f t="shared" si="105"/>
        <v>2.5740025740026429E-3</v>
      </c>
      <c r="AR104" s="67">
        <f t="shared" si="105"/>
        <v>1.4306151645206988E-3</v>
      </c>
      <c r="AS104" s="67">
        <f t="shared" si="105"/>
        <v>-1.9108280254777066E-2</v>
      </c>
      <c r="AT104" s="59">
        <f t="shared" si="105"/>
        <v>-5.0261096605744071E-2</v>
      </c>
      <c r="AU104" s="394">
        <f t="shared" si="105"/>
        <v>-8.4720121028744377E-2</v>
      </c>
      <c r="AV104" s="394">
        <f t="shared" ref="AV104:CA104" si="106">AV19/AQ19-1</f>
        <v>-0.15661103979460844</v>
      </c>
      <c r="AW104" s="394">
        <f t="shared" si="106"/>
        <v>-0.12428571428571433</v>
      </c>
      <c r="AX104" s="394">
        <f t="shared" si="106"/>
        <v>0.12207792207792201</v>
      </c>
      <c r="AY104" s="59">
        <f t="shared" si="106"/>
        <v>-5.8762886597938158E-2</v>
      </c>
      <c r="AZ104" s="67">
        <f t="shared" si="106"/>
        <v>1.983471074380172E-2</v>
      </c>
      <c r="BA104" s="67">
        <f t="shared" si="106"/>
        <v>-2.2831050228310557E-2</v>
      </c>
      <c r="BB104" s="67">
        <f t="shared" si="106"/>
        <v>0.12398042414355626</v>
      </c>
      <c r="BC104" s="67">
        <f t="shared" si="106"/>
        <v>-4.513888888888884E-2</v>
      </c>
      <c r="BD104" s="59">
        <f t="shared" si="106"/>
        <v>1.241328952172327E-2</v>
      </c>
      <c r="BE104" s="67">
        <f t="shared" si="106"/>
        <v>0.13938411669367912</v>
      </c>
      <c r="BF104" s="67">
        <f t="shared" si="106"/>
        <v>0.25856697819314634</v>
      </c>
      <c r="BG104" s="67">
        <f t="shared" si="106"/>
        <v>0.10740203193033371</v>
      </c>
      <c r="BH104" s="67">
        <f t="shared" si="106"/>
        <v>2.0606060606060517E-2</v>
      </c>
      <c r="BI104" s="59">
        <f t="shared" si="106"/>
        <v>0.12369275153263604</v>
      </c>
      <c r="BJ104" s="394">
        <f t="shared" si="106"/>
        <v>2.8449502133712556E-2</v>
      </c>
      <c r="BK104" s="394">
        <f t="shared" si="106"/>
        <v>-1.2376237623762387E-3</v>
      </c>
      <c r="BL104" s="394">
        <f t="shared" si="106"/>
        <v>0.11271297509829625</v>
      </c>
      <c r="BM104" s="394">
        <f t="shared" si="106"/>
        <v>8.9073634204275498E-2</v>
      </c>
      <c r="BN104" s="59">
        <f t="shared" si="106"/>
        <v>5.7766367137355612E-2</v>
      </c>
      <c r="BO104" s="394">
        <f t="shared" si="106"/>
        <v>0.17704011065006919</v>
      </c>
      <c r="BP104" s="394">
        <f t="shared" si="106"/>
        <v>0.16976456009913266</v>
      </c>
      <c r="BQ104" s="394">
        <f t="shared" si="106"/>
        <v>0.13780918727915203</v>
      </c>
      <c r="BR104" s="394">
        <f t="shared" si="106"/>
        <v>0.27371864776444932</v>
      </c>
      <c r="BS104" s="59">
        <f t="shared" si="106"/>
        <v>0.19205097087378631</v>
      </c>
      <c r="BT104" s="394">
        <f t="shared" si="106"/>
        <v>0.16803760282021152</v>
      </c>
      <c r="BU104" s="394">
        <f t="shared" si="106"/>
        <v>3.7076271186440746E-2</v>
      </c>
      <c r="BV104" s="394">
        <f t="shared" si="106"/>
        <v>1.449275362318847E-2</v>
      </c>
      <c r="BW104" s="394">
        <f t="shared" si="106"/>
        <v>0</v>
      </c>
      <c r="BX104" s="59">
        <f t="shared" si="106"/>
        <v>4.8867396284041797E-2</v>
      </c>
      <c r="BY104" s="394">
        <f t="shared" si="106"/>
        <v>-0.13883299798792759</v>
      </c>
      <c r="BZ104" s="394">
        <f t="shared" si="106"/>
        <v>-6.2308478038815118E-2</v>
      </c>
      <c r="CA104" s="394">
        <f t="shared" si="106"/>
        <v>0.10816326530612241</v>
      </c>
      <c r="CB104" s="394">
        <f t="shared" ref="CB104:CH104" si="107">CB19/BW19-1</f>
        <v>-9.5034246575342429E-2</v>
      </c>
      <c r="CC104" s="59">
        <f t="shared" si="107"/>
        <v>-4.9502547925260876E-2</v>
      </c>
      <c r="CD104" s="394">
        <f t="shared" si="107"/>
        <v>2.3364485981307581E-3</v>
      </c>
      <c r="CE104" s="394">
        <f t="shared" si="107"/>
        <v>-4.3572984749455368E-2</v>
      </c>
      <c r="CF104" s="394">
        <f t="shared" si="107"/>
        <v>-0.11325966850828728</v>
      </c>
      <c r="CG104" s="394">
        <f t="shared" si="107"/>
        <v>-9.4607379375588607E-4</v>
      </c>
      <c r="CH104" s="59">
        <f t="shared" si="107"/>
        <v>-4.1358182282358991E-2</v>
      </c>
      <c r="CI104" s="394">
        <f t="shared" ref="CI104" si="108">CI19/CD19-1</f>
        <v>-0.12820512820512819</v>
      </c>
      <c r="CJ104" s="394">
        <f t="shared" ref="CJ104" si="109">CJ19/CE19-1</f>
        <v>-3.0751708428246038E-2</v>
      </c>
      <c r="CK104" s="394">
        <f t="shared" ref="CK104" si="110">CK19/CF19-1</f>
        <v>-0.1090342679127726</v>
      </c>
      <c r="CL104" s="394">
        <f t="shared" ref="CL104" si="111">CL19/CG19-1</f>
        <v>-2.9356060606060552E-2</v>
      </c>
      <c r="CM104" s="59">
        <f>CM19/CH19-1</f>
        <v>-7.2703062583222344E-2</v>
      </c>
      <c r="CN104" s="394">
        <f t="shared" ref="CN104" si="112">CN19/CI19-1</f>
        <v>-1.2032085561497374E-2</v>
      </c>
      <c r="CO104" s="394">
        <f t="shared" ref="CO104" si="113">CO19/CJ19-1</f>
        <v>6.5475910693300055E-3</v>
      </c>
      <c r="CP104" s="394">
        <f t="shared" ref="CP104" si="114">CP19/CK19-1</f>
        <v>8.1530303030302953E-2</v>
      </c>
      <c r="CQ104" s="394">
        <f t="shared" ref="CQ104" si="115">CQ19/CL19-1</f>
        <v>2.0024390243902568E-2</v>
      </c>
      <c r="CR104" s="59">
        <f>CR19/CM19-1</f>
        <v>2.4999999999999911E-2</v>
      </c>
      <c r="CS104" s="394"/>
      <c r="CT104" s="394"/>
      <c r="CU104" s="394"/>
      <c r="CV104" s="394"/>
      <c r="CW104" s="59">
        <f>CW19/CR19-1</f>
        <v>2.4999999999999911E-2</v>
      </c>
      <c r="CX104" s="394"/>
      <c r="CY104" s="394"/>
      <c r="CZ104" s="394"/>
      <c r="DA104" s="394"/>
      <c r="DB104" s="59">
        <f>DB19/CW19-1</f>
        <v>2.4999999999999911E-2</v>
      </c>
      <c r="DC104" s="394"/>
      <c r="DD104" s="394"/>
      <c r="DE104" s="394"/>
      <c r="DF104" s="394"/>
      <c r="DG104" s="59">
        <f>DG19/DB19-1</f>
        <v>1.4999999999999902E-2</v>
      </c>
      <c r="DH104" s="394"/>
      <c r="DI104" s="394"/>
      <c r="DJ104" s="394"/>
      <c r="DK104" s="394"/>
      <c r="DL104" s="59">
        <f>DL19/DG19-1</f>
        <v>1.4999999999999902E-2</v>
      </c>
      <c r="DM104" s="394"/>
      <c r="DN104" s="394"/>
      <c r="DO104" s="394"/>
      <c r="DP104" s="394"/>
      <c r="DQ104" s="59">
        <f>DQ19/DL19-1</f>
        <v>1.4999999999999902E-2</v>
      </c>
      <c r="DR104" s="394"/>
      <c r="DS104" s="394"/>
      <c r="DT104" s="394"/>
      <c r="DU104" s="394"/>
      <c r="DV104" s="59">
        <f>DV19/DQ19-1</f>
        <v>-1.2499999999999956E-2</v>
      </c>
      <c r="DW104" s="394"/>
      <c r="DX104" s="394"/>
      <c r="DY104" s="394"/>
      <c r="DZ104" s="394"/>
      <c r="EA104" s="59">
        <f>EA19/DV19-1</f>
        <v>-1.2499999999999956E-2</v>
      </c>
      <c r="EB104" s="394"/>
      <c r="EC104" s="394"/>
      <c r="ED104" s="394"/>
      <c r="EE104" s="394"/>
      <c r="EF104" s="59">
        <f>EF19/EA19-1</f>
        <v>-1.2499999999999956E-2</v>
      </c>
      <c r="EG104" s="394"/>
      <c r="EH104" s="394"/>
      <c r="EI104" s="394"/>
      <c r="EJ104" s="394"/>
      <c r="EK104" s="59">
        <f>EK19/EF19-1</f>
        <v>-1.2499999999999956E-2</v>
      </c>
      <c r="EL104" s="394"/>
      <c r="EM104" s="394"/>
      <c r="EN104" s="394"/>
      <c r="EO104" s="394"/>
      <c r="EP104" s="59">
        <f>EP19/EK19-1</f>
        <v>-1.2499999999999956E-2</v>
      </c>
      <c r="EQ104" s="394"/>
      <c r="ER104" s="394"/>
      <c r="ES104" s="394"/>
      <c r="ET104" s="394"/>
      <c r="EU104" s="59">
        <f>EU19/EP19-1</f>
        <v>-1.2499999999999956E-2</v>
      </c>
      <c r="EV104" s="394"/>
      <c r="EW104" s="394"/>
      <c r="EX104" s="394"/>
      <c r="EY104" s="394"/>
      <c r="EZ104" s="59">
        <f>EZ19/EU19-1</f>
        <v>-1.2499999999999956E-2</v>
      </c>
    </row>
    <row r="105" spans="2:156">
      <c r="B105" s="30" t="s">
        <v>61</v>
      </c>
      <c r="D105" s="59">
        <f t="shared" ref="D105:K105" si="116">D26/C26-1</f>
        <v>9.7560975609756184E-2</v>
      </c>
      <c r="E105" s="59">
        <f t="shared" si="116"/>
        <v>0.1611111111111112</v>
      </c>
      <c r="F105" s="59">
        <f t="shared" si="116"/>
        <v>0.12679425837320579</v>
      </c>
      <c r="G105" s="59">
        <f t="shared" si="116"/>
        <v>2.7600849256900206E-2</v>
      </c>
      <c r="H105" s="59">
        <f t="shared" si="116"/>
        <v>6.4049586776859568E-2</v>
      </c>
      <c r="I105" s="59">
        <f t="shared" si="116"/>
        <v>0.26990291262135924</v>
      </c>
      <c r="J105" s="59">
        <f t="shared" si="116"/>
        <v>0.26452599388379205</v>
      </c>
      <c r="K105" s="59">
        <f t="shared" si="116"/>
        <v>0.17412333736396612</v>
      </c>
      <c r="L105" s="55"/>
      <c r="M105" s="55"/>
      <c r="N105" s="55"/>
      <c r="O105" s="55"/>
      <c r="P105" s="59">
        <f t="shared" ref="P105:AU105" si="117">P26/K26-1</f>
        <v>0.48197734294541705</v>
      </c>
      <c r="Q105" s="67">
        <f t="shared" si="117"/>
        <v>0.52845528455284563</v>
      </c>
      <c r="R105" s="67">
        <f t="shared" si="117"/>
        <v>0.36448598130841114</v>
      </c>
      <c r="S105" s="67">
        <f t="shared" si="117"/>
        <v>0.24137931034482762</v>
      </c>
      <c r="T105" s="67">
        <f t="shared" si="117"/>
        <v>0.23185483870967749</v>
      </c>
      <c r="U105" s="59">
        <f t="shared" si="117"/>
        <v>0.31480194579569143</v>
      </c>
      <c r="V105" s="67">
        <f t="shared" si="117"/>
        <v>0.3643617021276595</v>
      </c>
      <c r="W105" s="67">
        <f t="shared" si="117"/>
        <v>0.34018264840182644</v>
      </c>
      <c r="X105" s="67">
        <f t="shared" si="117"/>
        <v>0.3568376068376069</v>
      </c>
      <c r="Y105" s="67">
        <f t="shared" si="117"/>
        <v>0.33060556464811786</v>
      </c>
      <c r="Z105" s="59">
        <f t="shared" si="117"/>
        <v>0.34672304439746293</v>
      </c>
      <c r="AA105" s="67">
        <f t="shared" si="117"/>
        <v>0.12475633528265107</v>
      </c>
      <c r="AB105" s="67">
        <f t="shared" si="117"/>
        <v>0.10051107325383302</v>
      </c>
      <c r="AC105" s="67">
        <f t="shared" si="117"/>
        <v>3.3070866141732269E-2</v>
      </c>
      <c r="AD105" s="67">
        <f t="shared" si="117"/>
        <v>0.12300123001230023</v>
      </c>
      <c r="AE105" s="59">
        <f t="shared" si="117"/>
        <v>9.5761381475667262E-2</v>
      </c>
      <c r="AF105" s="67">
        <f t="shared" si="117"/>
        <v>0.12998266897746968</v>
      </c>
      <c r="AG105" s="67">
        <f t="shared" si="117"/>
        <v>0.23684210526315796</v>
      </c>
      <c r="AH105" s="67">
        <f t="shared" si="117"/>
        <v>0.19207317073170738</v>
      </c>
      <c r="AI105" s="67">
        <f t="shared" si="117"/>
        <v>9.6385542168674787E-2</v>
      </c>
      <c r="AJ105" s="59">
        <f t="shared" si="117"/>
        <v>0.15830945558739251</v>
      </c>
      <c r="AK105" s="67">
        <f t="shared" si="117"/>
        <v>0.14723926380368102</v>
      </c>
      <c r="AL105" s="67">
        <f t="shared" si="117"/>
        <v>5.1314142678347885E-2</v>
      </c>
      <c r="AM105" s="67">
        <f t="shared" si="117"/>
        <v>2.8132992327365658E-2</v>
      </c>
      <c r="AN105" s="67">
        <f t="shared" si="117"/>
        <v>-1.098901098901095E-2</v>
      </c>
      <c r="AO105" s="59">
        <f t="shared" si="117"/>
        <v>4.5763760049474245E-2</v>
      </c>
      <c r="AP105" s="67">
        <f t="shared" si="117"/>
        <v>0.15240641711229941</v>
      </c>
      <c r="AQ105" s="67">
        <f t="shared" si="117"/>
        <v>6.4285714285714279E-2</v>
      </c>
      <c r="AR105" s="67">
        <f t="shared" si="117"/>
        <v>0.10696517412935314</v>
      </c>
      <c r="AS105" s="67">
        <f t="shared" si="117"/>
        <v>7.2727272727272751E-2</v>
      </c>
      <c r="AT105" s="59">
        <f t="shared" si="117"/>
        <v>9.6392667060910764E-2</v>
      </c>
      <c r="AU105" s="394">
        <f t="shared" si="117"/>
        <v>-0.10208816705336432</v>
      </c>
      <c r="AV105" s="394">
        <f t="shared" ref="AV105:CA105" si="118">AV26/AQ26-1</f>
        <v>-3.3557046979866278E-3</v>
      </c>
      <c r="AW105" s="394">
        <f t="shared" si="118"/>
        <v>2.5842696629213568E-2</v>
      </c>
      <c r="AX105" s="394">
        <f t="shared" si="118"/>
        <v>9.1337099811676037E-2</v>
      </c>
      <c r="AY105" s="59">
        <f t="shared" si="118"/>
        <v>7.8209277238403541E-3</v>
      </c>
      <c r="AZ105" s="67">
        <f t="shared" si="118"/>
        <v>0.12790697674418605</v>
      </c>
      <c r="BA105" s="67">
        <f t="shared" si="118"/>
        <v>8.6419753086419693E-2</v>
      </c>
      <c r="BB105" s="67">
        <f t="shared" si="118"/>
        <v>3.1763417305586072E-2</v>
      </c>
      <c r="BC105" s="67">
        <f t="shared" si="118"/>
        <v>-1.4667817083692802E-2</v>
      </c>
      <c r="BD105" s="59">
        <f t="shared" si="118"/>
        <v>5.030773347605022E-2</v>
      </c>
      <c r="BE105" s="67">
        <f t="shared" si="118"/>
        <v>0.15807560137457055</v>
      </c>
      <c r="BF105" s="67">
        <f t="shared" si="118"/>
        <v>0.14772727272727271</v>
      </c>
      <c r="BG105" s="67">
        <f t="shared" si="118"/>
        <v>0.18152866242038224</v>
      </c>
      <c r="BH105" s="67">
        <f t="shared" si="118"/>
        <v>4.9912434325744215E-2</v>
      </c>
      <c r="BI105" s="59">
        <f t="shared" si="118"/>
        <v>0.12968152866242044</v>
      </c>
      <c r="BJ105" s="394">
        <f t="shared" si="118"/>
        <v>4.549950544015835E-2</v>
      </c>
      <c r="BK105" s="394">
        <f t="shared" si="118"/>
        <v>7.9207920792079278E-2</v>
      </c>
      <c r="BL105" s="394">
        <f t="shared" si="118"/>
        <v>-2.6954177897574594E-3</v>
      </c>
      <c r="BM105" s="394">
        <f t="shared" si="118"/>
        <v>0.12677231025854874</v>
      </c>
      <c r="BN105" s="59">
        <f t="shared" si="118"/>
        <v>6.3824988723500287E-2</v>
      </c>
      <c r="BO105" s="394">
        <f t="shared" si="118"/>
        <v>8.2308420056764531E-2</v>
      </c>
      <c r="BP105" s="394">
        <f t="shared" si="118"/>
        <v>3.1693077564637129E-2</v>
      </c>
      <c r="BQ105" s="394">
        <f t="shared" si="118"/>
        <v>9.7297297297297192E-2</v>
      </c>
      <c r="BR105" s="394">
        <f t="shared" si="118"/>
        <v>-3.3308660251665456E-2</v>
      </c>
      <c r="BS105" s="59">
        <f t="shared" si="118"/>
        <v>3.9855840576637602E-2</v>
      </c>
      <c r="BT105" s="394">
        <f t="shared" si="118"/>
        <v>-0.14073426573426573</v>
      </c>
      <c r="BU105" s="394">
        <f t="shared" si="118"/>
        <v>-0.11641067097817304</v>
      </c>
      <c r="BV105" s="394">
        <f t="shared" si="118"/>
        <v>-0.15681444991789817</v>
      </c>
      <c r="BW105" s="394">
        <f t="shared" si="118"/>
        <v>-7.6569678407345521E-4</v>
      </c>
      <c r="BX105" s="59">
        <f t="shared" si="118"/>
        <v>-0.10132517838939858</v>
      </c>
      <c r="BY105" s="394">
        <f t="shared" si="118"/>
        <v>1.0172939979654183E-2</v>
      </c>
      <c r="BZ105" s="394">
        <f t="shared" si="118"/>
        <v>1.7383348581884617E-2</v>
      </c>
      <c r="CA105" s="394">
        <f t="shared" si="118"/>
        <v>0.17429406037000983</v>
      </c>
      <c r="CB105" s="394">
        <f t="shared" ref="CB105:CH105" si="119">CB26/BW26-1</f>
        <v>3.3716475095785459E-2</v>
      </c>
      <c r="CC105" s="59">
        <f t="shared" si="119"/>
        <v>5.7168784029038022E-2</v>
      </c>
      <c r="CD105" s="394">
        <f t="shared" si="119"/>
        <v>0.11077542799597184</v>
      </c>
      <c r="CE105" s="394">
        <f t="shared" si="119"/>
        <v>0.13309352517985618</v>
      </c>
      <c r="CF105" s="394">
        <f t="shared" si="119"/>
        <v>9.121061359867344E-3</v>
      </c>
      <c r="CG105" s="394">
        <f t="shared" si="119"/>
        <v>-3.854707190511486E-2</v>
      </c>
      <c r="CH105" s="59">
        <f t="shared" si="119"/>
        <v>4.6566523605150234E-2</v>
      </c>
      <c r="CI105" s="394">
        <f t="shared" ref="CI105" si="120">CI26/CD26-1</f>
        <v>-5.8023572076155938E-2</v>
      </c>
      <c r="CJ105" s="394">
        <f t="shared" ref="CJ105" si="121">CJ26/CE26-1</f>
        <v>-6.8253968253968234E-2</v>
      </c>
      <c r="CK105" s="394">
        <f t="shared" ref="CK105" si="122">CK26/CF26-1</f>
        <v>-5.751848808545601E-2</v>
      </c>
      <c r="CL105" s="394">
        <f t="shared" ref="CL105" si="123">CL26/CG26-1</f>
        <v>8.4040092521202814E-2</v>
      </c>
      <c r="CM105" s="59">
        <f>CM26/CH26-1</f>
        <v>-2.2759893377076068E-2</v>
      </c>
      <c r="CN105" s="394">
        <f t="shared" ref="CN105" si="124">CN26/CI26-1</f>
        <v>5.7747834456207903E-2</v>
      </c>
      <c r="CO105" s="394">
        <f t="shared" ref="CO105" si="125">CO26/CJ26-1</f>
        <v>-2.4770017035775305E-2</v>
      </c>
      <c r="CP105" s="394">
        <f t="shared" ref="CP105" si="126">CP26/CK26-1</f>
        <v>8.136878814298143E-2</v>
      </c>
      <c r="CQ105" s="394">
        <f t="shared" ref="CQ105" si="127">CQ26/CL26-1</f>
        <v>-8.5170697012802887E-2</v>
      </c>
      <c r="CR105" s="59">
        <f>CR26/CM26-1</f>
        <v>9.4418799832118872E-4</v>
      </c>
      <c r="CS105" s="394"/>
      <c r="CT105" s="394"/>
      <c r="CU105" s="394"/>
      <c r="CV105" s="394"/>
      <c r="CW105" s="59">
        <f>CW26/CR26-1</f>
        <v>1.4999999999999902E-2</v>
      </c>
      <c r="CX105" s="394"/>
      <c r="CY105" s="394"/>
      <c r="CZ105" s="394"/>
      <c r="DA105" s="394"/>
      <c r="DB105" s="59">
        <f>DB26/CW26-1</f>
        <v>1.4999999999999902E-2</v>
      </c>
      <c r="DC105" s="394"/>
      <c r="DD105" s="394"/>
      <c r="DE105" s="394"/>
      <c r="DF105" s="394"/>
      <c r="DG105" s="59">
        <f>DG26/DB26-1</f>
        <v>-3.0000000000000027E-2</v>
      </c>
      <c r="DH105" s="394"/>
      <c r="DI105" s="394"/>
      <c r="DJ105" s="394"/>
      <c r="DK105" s="394"/>
      <c r="DL105" s="59">
        <f>DL26/DG26-1</f>
        <v>-3.0000000000000138E-2</v>
      </c>
      <c r="DM105" s="394"/>
      <c r="DN105" s="394"/>
      <c r="DO105" s="394"/>
      <c r="DP105" s="394"/>
      <c r="DQ105" s="59">
        <f>DQ26/DL26-1</f>
        <v>-1.0000000000000009E-2</v>
      </c>
      <c r="DR105" s="394"/>
      <c r="DS105" s="394"/>
      <c r="DT105" s="394"/>
      <c r="DU105" s="394"/>
      <c r="DV105" s="59">
        <f>DV26/DQ26-1</f>
        <v>-9.9999999999998979E-3</v>
      </c>
      <c r="DW105" s="394"/>
      <c r="DX105" s="394"/>
      <c r="DY105" s="394"/>
      <c r="DZ105" s="394"/>
      <c r="EA105" s="59">
        <f>EA26/DV26-1</f>
        <v>-3.0000000000000027E-2</v>
      </c>
      <c r="EB105" s="394"/>
      <c r="EC105" s="394"/>
      <c r="ED105" s="394"/>
      <c r="EE105" s="394"/>
      <c r="EF105" s="59">
        <f>EF26/EA26-1</f>
        <v>-1.2500000000000067E-2</v>
      </c>
      <c r="EG105" s="394"/>
      <c r="EH105" s="394"/>
      <c r="EI105" s="394"/>
      <c r="EJ105" s="394"/>
      <c r="EK105" s="59">
        <f>EK26/EF26-1</f>
        <v>-1.2499999999999845E-2</v>
      </c>
      <c r="EL105" s="394"/>
      <c r="EM105" s="394"/>
      <c r="EN105" s="394"/>
      <c r="EO105" s="394"/>
      <c r="EP105" s="59">
        <f>EP26/EK26-1</f>
        <v>-3.0000000000000027E-2</v>
      </c>
      <c r="EQ105" s="394"/>
      <c r="ER105" s="394"/>
      <c r="ES105" s="394"/>
      <c r="ET105" s="394"/>
      <c r="EU105" s="59">
        <f>EU26/EP26-1</f>
        <v>-5.0000000000000044E-2</v>
      </c>
      <c r="EV105" s="394"/>
      <c r="EW105" s="394"/>
      <c r="EX105" s="394"/>
      <c r="EY105" s="394"/>
      <c r="EZ105" s="59">
        <f>EZ26/EU26-1</f>
        <v>-4.9999999999999933E-2</v>
      </c>
    </row>
    <row r="106" spans="2:156">
      <c r="B106" s="629" t="s">
        <v>705</v>
      </c>
      <c r="D106" s="59"/>
      <c r="E106" s="59"/>
      <c r="F106" s="59"/>
      <c r="G106" s="59"/>
      <c r="H106" s="59"/>
      <c r="I106" s="59"/>
      <c r="J106" s="59"/>
      <c r="K106" s="59"/>
      <c r="L106" s="55"/>
      <c r="M106" s="55"/>
      <c r="N106" s="55"/>
      <c r="O106" s="55"/>
      <c r="P106" s="59"/>
      <c r="Q106" s="67"/>
      <c r="R106" s="67"/>
      <c r="S106" s="67"/>
      <c r="T106" s="67"/>
      <c r="U106" s="59"/>
      <c r="V106" s="67"/>
      <c r="W106" s="67"/>
      <c r="X106" s="67"/>
      <c r="Y106" s="67"/>
      <c r="Z106" s="59"/>
      <c r="AA106" s="67"/>
      <c r="AB106" s="67"/>
      <c r="AC106" s="67"/>
      <c r="AD106" s="67"/>
      <c r="AE106" s="59"/>
      <c r="AF106" s="67"/>
      <c r="AG106" s="67"/>
      <c r="AH106" s="67"/>
      <c r="AI106" s="67"/>
      <c r="AJ106" s="59"/>
      <c r="AK106" s="67"/>
      <c r="AL106" s="67"/>
      <c r="AM106" s="67"/>
      <c r="AN106" s="67"/>
      <c r="AO106" s="59"/>
      <c r="AP106" s="67"/>
      <c r="AQ106" s="67"/>
      <c r="AR106" s="67"/>
      <c r="AS106" s="67"/>
      <c r="AT106" s="59"/>
      <c r="AU106" s="394"/>
      <c r="AV106" s="394"/>
      <c r="AW106" s="394"/>
      <c r="AX106" s="394"/>
      <c r="AY106" s="59">
        <f>AY39/AT39-1</f>
        <v>7.9688065466553493E-2</v>
      </c>
      <c r="AZ106" s="67"/>
      <c r="BA106" s="67"/>
      <c r="BB106" s="67"/>
      <c r="BC106" s="67"/>
      <c r="BD106" s="59">
        <f>BD39/AY39-1</f>
        <v>6.0141241828579606E-2</v>
      </c>
      <c r="BE106" s="67"/>
      <c r="BF106" s="67"/>
      <c r="BG106" s="67"/>
      <c r="BH106" s="67"/>
      <c r="BI106" s="59">
        <f>BI39/BD39-1</f>
        <v>2.3152464660856076E-2</v>
      </c>
      <c r="BJ106" s="394"/>
      <c r="BK106" s="394"/>
      <c r="BL106" s="394"/>
      <c r="BM106" s="394"/>
      <c r="BN106" s="59">
        <f t="shared" ref="BN106:CS106" si="128">BN39/BI39-1</f>
        <v>0.22264369152637187</v>
      </c>
      <c r="BO106" s="394">
        <f t="shared" si="128"/>
        <v>0.21726935077720411</v>
      </c>
      <c r="BP106" s="394">
        <f t="shared" si="128"/>
        <v>3.5410411211482806E-2</v>
      </c>
      <c r="BQ106" s="394">
        <f t="shared" si="128"/>
        <v>0.15625252389285249</v>
      </c>
      <c r="BR106" s="394">
        <f t="shared" si="128"/>
        <v>0.29852125249577632</v>
      </c>
      <c r="BS106" s="59">
        <f t="shared" si="128"/>
        <v>0.16694666927134194</v>
      </c>
      <c r="BT106" s="394">
        <f t="shared" si="128"/>
        <v>-4.5053126390743325E-2</v>
      </c>
      <c r="BU106" s="394">
        <f t="shared" si="128"/>
        <v>0.25424619834949214</v>
      </c>
      <c r="BV106" s="394">
        <f t="shared" si="128"/>
        <v>0.1867069459912134</v>
      </c>
      <c r="BW106" s="394">
        <f t="shared" si="128"/>
        <v>0.19124423104859911</v>
      </c>
      <c r="BX106" s="59">
        <f t="shared" si="128"/>
        <v>0.14565165350022236</v>
      </c>
      <c r="BY106" s="394">
        <f t="shared" si="128"/>
        <v>0.32547730433683153</v>
      </c>
      <c r="BZ106" s="394">
        <f t="shared" si="128"/>
        <v>8.447613823368072E-2</v>
      </c>
      <c r="CA106" s="394">
        <f t="shared" si="128"/>
        <v>0.18560934535736151</v>
      </c>
      <c r="CB106" s="394">
        <f t="shared" si="128"/>
        <v>0.20580389811703781</v>
      </c>
      <c r="CC106" s="59">
        <f t="shared" si="128"/>
        <v>0.19258855851291834</v>
      </c>
      <c r="CD106" s="394">
        <f t="shared" si="128"/>
        <v>0.16796799691536535</v>
      </c>
      <c r="CE106" s="394">
        <f t="shared" si="128"/>
        <v>0.10271294489807392</v>
      </c>
      <c r="CF106" s="394">
        <f t="shared" si="128"/>
        <v>0.10968204707998064</v>
      </c>
      <c r="CG106" s="394">
        <f t="shared" si="128"/>
        <v>0.1070731017389781</v>
      </c>
      <c r="CH106" s="59">
        <f t="shared" si="128"/>
        <v>0.12168168826903192</v>
      </c>
      <c r="CI106" s="394">
        <f t="shared" ref="CI106" si="129">CI39/CD39-1</f>
        <v>8.6164554162738494E-2</v>
      </c>
      <c r="CJ106" s="394">
        <f t="shared" ref="CJ106" si="130">CJ39/CE39-1</f>
        <v>0.15041029254654137</v>
      </c>
      <c r="CK106" s="394">
        <f t="shared" ref="CK106" si="131">CK39/CF39-1</f>
        <v>8.2801856731490764E-2</v>
      </c>
      <c r="CL106" s="394">
        <f t="shared" ref="CL106" si="132">CL39/CG39-1</f>
        <v>-5.3853579230811466E-4</v>
      </c>
      <c r="CM106" s="59">
        <f t="shared" si="128"/>
        <v>7.967341785527049E-2</v>
      </c>
      <c r="CN106" s="394">
        <f t="shared" ref="CN106" si="133">CN39/CI39-1</f>
        <v>0.10160764376827802</v>
      </c>
      <c r="CO106" s="394">
        <f t="shared" ref="CO106" si="134">CO39/CJ39-1</f>
        <v>9.8289774420934339E-2</v>
      </c>
      <c r="CP106" s="394">
        <f t="shared" ref="CP106" si="135">CP39/CK39-1</f>
        <v>9.3144795939024361E-2</v>
      </c>
      <c r="CQ106" s="394">
        <f t="shared" ref="CQ106" si="136">CQ39/CL39-1</f>
        <v>0.14699409941694652</v>
      </c>
      <c r="CR106" s="59">
        <f t="shared" si="128"/>
        <v>0.10903694120704199</v>
      </c>
      <c r="CS106" s="394">
        <f t="shared" si="128"/>
        <v>-1</v>
      </c>
      <c r="CT106" s="394">
        <f t="shared" ref="CT106:DY106" si="137">CT39/CO39-1</f>
        <v>-1</v>
      </c>
      <c r="CU106" s="394">
        <f t="shared" si="137"/>
        <v>-1</v>
      </c>
      <c r="CV106" s="394">
        <f t="shared" si="137"/>
        <v>-1</v>
      </c>
      <c r="CW106" s="59">
        <f t="shared" si="137"/>
        <v>4.0175907211734696E-2</v>
      </c>
      <c r="CX106" s="394" t="e">
        <f t="shared" si="137"/>
        <v>#DIV/0!</v>
      </c>
      <c r="CY106" s="394" t="e">
        <f t="shared" si="137"/>
        <v>#DIV/0!</v>
      </c>
      <c r="CZ106" s="394" t="e">
        <f t="shared" si="137"/>
        <v>#DIV/0!</v>
      </c>
      <c r="DA106" s="394" t="e">
        <f t="shared" si="137"/>
        <v>#DIV/0!</v>
      </c>
      <c r="DB106" s="59">
        <f t="shared" si="137"/>
        <v>4.1439751106938649E-2</v>
      </c>
      <c r="DC106" s="394" t="e">
        <f t="shared" si="137"/>
        <v>#DIV/0!</v>
      </c>
      <c r="DD106" s="394" t="e">
        <f t="shared" si="137"/>
        <v>#DIV/0!</v>
      </c>
      <c r="DE106" s="394" t="e">
        <f t="shared" si="137"/>
        <v>#DIV/0!</v>
      </c>
      <c r="DF106" s="394" t="e">
        <f t="shared" si="137"/>
        <v>#DIV/0!</v>
      </c>
      <c r="DG106" s="59">
        <f t="shared" si="137"/>
        <v>3.4361817846833898E-2</v>
      </c>
      <c r="DH106" s="394" t="e">
        <f t="shared" si="137"/>
        <v>#DIV/0!</v>
      </c>
      <c r="DI106" s="394" t="e">
        <f t="shared" si="137"/>
        <v>#DIV/0!</v>
      </c>
      <c r="DJ106" s="394" t="e">
        <f t="shared" si="137"/>
        <v>#DIV/0!</v>
      </c>
      <c r="DK106" s="394" t="e">
        <f t="shared" si="137"/>
        <v>#DIV/0!</v>
      </c>
      <c r="DL106" s="59">
        <f t="shared" si="137"/>
        <v>0.10221584912254067</v>
      </c>
      <c r="DM106" s="394" t="e">
        <f t="shared" si="137"/>
        <v>#DIV/0!</v>
      </c>
      <c r="DN106" s="394" t="e">
        <f t="shared" si="137"/>
        <v>#DIV/0!</v>
      </c>
      <c r="DO106" s="394" t="e">
        <f t="shared" si="137"/>
        <v>#DIV/0!</v>
      </c>
      <c r="DP106" s="394" t="e">
        <f t="shared" si="137"/>
        <v>#DIV/0!</v>
      </c>
      <c r="DQ106" s="59">
        <f t="shared" si="137"/>
        <v>9.9142218561383721E-2</v>
      </c>
      <c r="DR106" s="394" t="e">
        <f t="shared" si="137"/>
        <v>#DIV/0!</v>
      </c>
      <c r="DS106" s="394" t="e">
        <f t="shared" si="137"/>
        <v>#DIV/0!</v>
      </c>
      <c r="DT106" s="394" t="e">
        <f t="shared" si="137"/>
        <v>#DIV/0!</v>
      </c>
      <c r="DU106" s="394" t="e">
        <f t="shared" si="137"/>
        <v>#DIV/0!</v>
      </c>
      <c r="DV106" s="59">
        <f t="shared" si="137"/>
        <v>8.0677235198257202E-2</v>
      </c>
      <c r="DW106" s="394" t="e">
        <f t="shared" si="137"/>
        <v>#DIV/0!</v>
      </c>
      <c r="DX106" s="394" t="e">
        <f t="shared" si="137"/>
        <v>#DIV/0!</v>
      </c>
      <c r="DY106" s="394" t="e">
        <f t="shared" si="137"/>
        <v>#DIV/0!</v>
      </c>
      <c r="DZ106" s="394" t="e">
        <f t="shared" ref="DZ106:EZ106" si="138">DZ39/DU39-1</f>
        <v>#DIV/0!</v>
      </c>
      <c r="EA106" s="59">
        <f t="shared" si="138"/>
        <v>5.1743219191031198E-2</v>
      </c>
      <c r="EB106" s="394" t="e">
        <f t="shared" si="138"/>
        <v>#DIV/0!</v>
      </c>
      <c r="EC106" s="394" t="e">
        <f t="shared" si="138"/>
        <v>#DIV/0!</v>
      </c>
      <c r="ED106" s="394" t="e">
        <f t="shared" si="138"/>
        <v>#DIV/0!</v>
      </c>
      <c r="EE106" s="394" t="e">
        <f t="shared" si="138"/>
        <v>#DIV/0!</v>
      </c>
      <c r="EF106" s="59">
        <f t="shared" si="138"/>
        <v>1.6921619323783332E-2</v>
      </c>
      <c r="EG106" s="394" t="e">
        <f t="shared" si="138"/>
        <v>#DIV/0!</v>
      </c>
      <c r="EH106" s="394" t="e">
        <f t="shared" si="138"/>
        <v>#DIV/0!</v>
      </c>
      <c r="EI106" s="394" t="e">
        <f t="shared" si="138"/>
        <v>#DIV/0!</v>
      </c>
      <c r="EJ106" s="394" t="e">
        <f t="shared" si="138"/>
        <v>#DIV/0!</v>
      </c>
      <c r="EK106" s="59">
        <f t="shared" si="138"/>
        <v>1.8046669235635582E-2</v>
      </c>
      <c r="EL106" s="394" t="e">
        <f t="shared" si="138"/>
        <v>#DIV/0!</v>
      </c>
      <c r="EM106" s="394" t="e">
        <f t="shared" si="138"/>
        <v>#DIV/0!</v>
      </c>
      <c r="EN106" s="394" t="e">
        <f t="shared" si="138"/>
        <v>#DIV/0!</v>
      </c>
      <c r="EO106" s="394" t="e">
        <f t="shared" si="138"/>
        <v>#DIV/0!</v>
      </c>
      <c r="EP106" s="59">
        <f t="shared" si="138"/>
        <v>-9.0432733213394068E-2</v>
      </c>
      <c r="EQ106" s="394" t="e">
        <f t="shared" si="138"/>
        <v>#DIV/0!</v>
      </c>
      <c r="ER106" s="394" t="e">
        <f t="shared" si="138"/>
        <v>#DIV/0!</v>
      </c>
      <c r="ES106" s="394" t="e">
        <f t="shared" si="138"/>
        <v>#DIV/0!</v>
      </c>
      <c r="ET106" s="394" t="e">
        <f t="shared" si="138"/>
        <v>#DIV/0!</v>
      </c>
      <c r="EU106" s="59">
        <f t="shared" si="138"/>
        <v>-3.1222872250186162E-2</v>
      </c>
      <c r="EV106" s="394" t="e">
        <f t="shared" si="138"/>
        <v>#DIV/0!</v>
      </c>
      <c r="EW106" s="394" t="e">
        <f t="shared" si="138"/>
        <v>#DIV/0!</v>
      </c>
      <c r="EX106" s="394" t="e">
        <f t="shared" si="138"/>
        <v>#DIV/0!</v>
      </c>
      <c r="EY106" s="394" t="e">
        <f t="shared" si="138"/>
        <v>#DIV/0!</v>
      </c>
      <c r="EZ106" s="59">
        <f t="shared" si="138"/>
        <v>-1.557456101569421E-2</v>
      </c>
    </row>
    <row r="107" spans="2:156">
      <c r="B107" s="30" t="s">
        <v>89</v>
      </c>
      <c r="D107" s="35">
        <f t="shared" ref="D107:K107" si="139">D95/C95-1</f>
        <v>-0.14667755676177219</v>
      </c>
      <c r="E107" s="35">
        <f t="shared" si="139"/>
        <v>9.4905891852127944E-2</v>
      </c>
      <c r="F107" s="35">
        <f t="shared" si="139"/>
        <v>5.9353093109979049E-2</v>
      </c>
      <c r="G107" s="35">
        <f t="shared" si="139"/>
        <v>-0.17674410964304688</v>
      </c>
      <c r="H107" s="35">
        <f t="shared" si="139"/>
        <v>0.32536699720719775</v>
      </c>
      <c r="I107" s="35">
        <f t="shared" si="139"/>
        <v>3.7621384314367567E-2</v>
      </c>
      <c r="J107" s="35">
        <f t="shared" si="139"/>
        <v>-1.7319263468522084E-2</v>
      </c>
      <c r="K107" s="35">
        <f t="shared" si="139"/>
        <v>-9.5631309740076831E-2</v>
      </c>
      <c r="L107" s="55"/>
      <c r="M107" s="55"/>
      <c r="N107" s="55"/>
      <c r="O107" s="55"/>
      <c r="P107" s="59">
        <f>P95/K95-1</f>
        <v>6.0440902441595723E-2</v>
      </c>
      <c r="Q107" s="67">
        <f t="shared" ref="Q107:BT107" si="140">Q95/L95-1</f>
        <v>-7.2290642465146937E-2</v>
      </c>
      <c r="R107" s="67">
        <f t="shared" si="140"/>
        <v>-7.7635983147470888E-2</v>
      </c>
      <c r="S107" s="67">
        <f t="shared" si="140"/>
        <v>4.8762147225930752E-2</v>
      </c>
      <c r="T107" s="67">
        <f t="shared" si="140"/>
        <v>-6.7625802746446251E-2</v>
      </c>
      <c r="U107" s="59">
        <f t="shared" si="140"/>
        <v>-3.2282124130860845E-2</v>
      </c>
      <c r="V107" s="67">
        <f t="shared" si="140"/>
        <v>-6.2367115520907124E-3</v>
      </c>
      <c r="W107" s="67">
        <f t="shared" si="140"/>
        <v>-2.7338203315305565E-2</v>
      </c>
      <c r="X107" s="67">
        <f t="shared" si="140"/>
        <v>-8.1561254980079712E-2</v>
      </c>
      <c r="Y107" s="67">
        <f t="shared" si="140"/>
        <v>-4.8678019410722473E-2</v>
      </c>
      <c r="Z107" s="59">
        <f t="shared" si="140"/>
        <v>-4.1993647927207056E-2</v>
      </c>
      <c r="AA107" s="67">
        <f t="shared" si="140"/>
        <v>-1.9668223982666322E-2</v>
      </c>
      <c r="AB107" s="67">
        <f t="shared" si="140"/>
        <v>2.7380345270474393E-2</v>
      </c>
      <c r="AC107" s="67">
        <f t="shared" si="140"/>
        <v>6.0567540457711955E-2</v>
      </c>
      <c r="AD107" s="67">
        <f t="shared" si="140"/>
        <v>3.0263729189124344E-2</v>
      </c>
      <c r="AE107" s="59">
        <f t="shared" si="140"/>
        <v>2.8568207915291355E-2</v>
      </c>
      <c r="AF107" s="67">
        <f t="shared" si="140"/>
        <v>-2.4979711219169642E-2</v>
      </c>
      <c r="AG107" s="67">
        <f t="shared" si="140"/>
        <v>-2.6617527272843611E-2</v>
      </c>
      <c r="AH107" s="67">
        <f t="shared" si="140"/>
        <v>-8.4074578832807556E-2</v>
      </c>
      <c r="AI107" s="67">
        <f t="shared" si="140"/>
        <v>-8.737956286024795E-2</v>
      </c>
      <c r="AJ107" s="59">
        <f t="shared" si="140"/>
        <v>-5.6879940716506705E-2</v>
      </c>
      <c r="AK107" s="67">
        <f t="shared" si="140"/>
        <v>-4.1411329449884127E-3</v>
      </c>
      <c r="AL107" s="67">
        <f t="shared" si="140"/>
        <v>-4.297291029047412E-2</v>
      </c>
      <c r="AM107" s="67">
        <f t="shared" si="140"/>
        <v>2.5988303478137187E-3</v>
      </c>
      <c r="AN107" s="67">
        <f t="shared" si="140"/>
        <v>0.13375937154505246</v>
      </c>
      <c r="AO107" s="59">
        <f t="shared" si="140"/>
        <v>1.9930658878154928E-2</v>
      </c>
      <c r="AP107" s="67">
        <f t="shared" si="140"/>
        <v>-1.0618609431700232E-2</v>
      </c>
      <c r="AQ107" s="67">
        <f t="shared" si="140"/>
        <v>-1.510285601542416E-2</v>
      </c>
      <c r="AR107" s="67">
        <f t="shared" si="140"/>
        <v>3.6464833094801419E-2</v>
      </c>
      <c r="AS107" s="67">
        <f t="shared" si="140"/>
        <v>-3.9773574817366208E-2</v>
      </c>
      <c r="AT107" s="59">
        <f t="shared" si="140"/>
        <v>-6.0165727258378876E-3</v>
      </c>
      <c r="AU107" s="394">
        <f t="shared" si="140"/>
        <v>2.6715816539063741E-2</v>
      </c>
      <c r="AV107" s="394">
        <f t="shared" si="140"/>
        <v>5.3922161501239296E-2</v>
      </c>
      <c r="AW107" s="394">
        <f t="shared" si="140"/>
        <v>4.2127936429731117E-2</v>
      </c>
      <c r="AX107" s="394">
        <f t="shared" si="140"/>
        <v>-0.10369448761776257</v>
      </c>
      <c r="AY107" s="59">
        <f t="shared" si="140"/>
        <v>6.2238952997719643E-3</v>
      </c>
      <c r="AZ107" s="67">
        <f t="shared" si="140"/>
        <v>8.0035221419609837E-3</v>
      </c>
      <c r="BA107" s="67">
        <f t="shared" si="140"/>
        <v>1.0110687663967388E-2</v>
      </c>
      <c r="BB107" s="67">
        <f t="shared" si="140"/>
        <v>-8.7612360304687664E-2</v>
      </c>
      <c r="BC107" s="67">
        <f t="shared" si="140"/>
        <v>3.924477439325158E-2</v>
      </c>
      <c r="BD107" s="59">
        <f t="shared" si="140"/>
        <v>-1.1108449426599942E-2</v>
      </c>
      <c r="BE107" s="67">
        <f t="shared" si="140"/>
        <v>-0.1139670857228251</v>
      </c>
      <c r="BF107" s="67">
        <f t="shared" si="140"/>
        <v>-0.17009127910199662</v>
      </c>
      <c r="BG107" s="67">
        <f t="shared" si="140"/>
        <v>-0.10674138567960412</v>
      </c>
      <c r="BH107" s="67">
        <f t="shared" si="140"/>
        <v>-5.0151865481949942E-2</v>
      </c>
      <c r="BI107" s="59">
        <f t="shared" si="140"/>
        <v>-0.11367581201147081</v>
      </c>
      <c r="BJ107" s="394">
        <f t="shared" si="140"/>
        <v>2.3265914016537215E-2</v>
      </c>
      <c r="BK107" s="394">
        <f t="shared" si="140"/>
        <v>0.13610420510828392</v>
      </c>
      <c r="BL107" s="394">
        <f t="shared" si="140"/>
        <v>5.4893629039090674E-2</v>
      </c>
      <c r="BM107" s="394">
        <f t="shared" si="140"/>
        <v>-3.4006553743181067E-3</v>
      </c>
      <c r="BN107" s="59">
        <f t="shared" si="140"/>
        <v>5.3384084434390022E-2</v>
      </c>
      <c r="BO107" s="394">
        <f t="shared" si="140"/>
        <v>-7.7825207048163869E-2</v>
      </c>
      <c r="BP107" s="394">
        <f t="shared" si="140"/>
        <v>-9.5595118038669713E-2</v>
      </c>
      <c r="BQ107" s="394">
        <f t="shared" si="140"/>
        <v>-8.5761780518355257E-3</v>
      </c>
      <c r="BR107" s="394">
        <f t="shared" si="140"/>
        <v>0.11983927811047601</v>
      </c>
      <c r="BS107" s="59">
        <f t="shared" si="140"/>
        <v>-2.1509909337988797E-2</v>
      </c>
      <c r="BT107" s="394">
        <f t="shared" si="140"/>
        <v>0.12752262387932056</v>
      </c>
      <c r="BU107" s="394">
        <f t="shared" ref="BU107:CH107" si="141">BU95/BP95-1</f>
        <v>0.20690742886863034</v>
      </c>
      <c r="BV107" s="394">
        <f t="shared" si="141"/>
        <v>0.17316123513378923</v>
      </c>
      <c r="BW107" s="394">
        <f t="shared" si="141"/>
        <v>6.7149228358500457E-2</v>
      </c>
      <c r="BX107" s="59">
        <f t="shared" si="141"/>
        <v>0.1441904777341001</v>
      </c>
      <c r="BY107" s="394">
        <f t="shared" si="141"/>
        <v>0.1767336889618385</v>
      </c>
      <c r="BZ107" s="394">
        <f t="shared" si="141"/>
        <v>4.1935581043635928E-2</v>
      </c>
      <c r="CA107" s="394">
        <f t="shared" si="141"/>
        <v>4.3181335332044934E-2</v>
      </c>
      <c r="CB107" s="394">
        <f t="shared" si="141"/>
        <v>0.12994698010136196</v>
      </c>
      <c r="CC107" s="59">
        <f t="shared" si="141"/>
        <v>9.4504598299496756E-2</v>
      </c>
      <c r="CD107" s="394">
        <f t="shared" si="141"/>
        <v>8.6081701371073516E-2</v>
      </c>
      <c r="CE107" s="394">
        <f t="shared" si="141"/>
        <v>5.2171077215164896E-2</v>
      </c>
      <c r="CF107" s="394">
        <f t="shared" si="141"/>
        <v>8.5629188384214405E-2</v>
      </c>
      <c r="CG107" s="394">
        <f t="shared" si="141"/>
        <v>0.13709977521629413</v>
      </c>
      <c r="CH107" s="59">
        <f t="shared" si="141"/>
        <v>8.9370100981928768E-2</v>
      </c>
      <c r="CI107" s="394">
        <f t="shared" ref="CI107" si="142">CI95/CD95-1</f>
        <v>5.5628853747468288E-2</v>
      </c>
      <c r="CJ107" s="394">
        <f t="shared" ref="CJ107" si="143">CJ95/CE95-1</f>
        <v>7.3909371951975666E-2</v>
      </c>
      <c r="CK107" s="394">
        <f t="shared" ref="CK107" si="144">CK95/CF95-1</f>
        <v>5.2140287484746306E-2</v>
      </c>
      <c r="CL107" s="394">
        <f t="shared" ref="CL107" si="145">CL95/CG95-1</f>
        <v>-9.1246507690633138E-2</v>
      </c>
      <c r="CM107" s="59">
        <f>CM95/CH95-1</f>
        <v>2.3054748597171049E-2</v>
      </c>
      <c r="CN107" s="394">
        <f t="shared" ref="CN107" si="146">CN95/CI95-1</f>
        <v>-1.2006160370222174E-2</v>
      </c>
      <c r="CO107" s="394">
        <f t="shared" ref="CO107" si="147">CO95/CJ95-1</f>
        <v>1.1708581548828478E-2</v>
      </c>
      <c r="CP107" s="394">
        <f t="shared" ref="CP107" si="148">CP95/CK95-1</f>
        <v>-6.3915644240508329E-2</v>
      </c>
      <c r="CQ107" s="394">
        <f t="shared" ref="CQ107" si="149">CQ95/CL95-1</f>
        <v>6.5092232260503202E-2</v>
      </c>
      <c r="CR107" s="59">
        <f>CR95/CM95-1</f>
        <v>-1.781425109570911E-3</v>
      </c>
      <c r="CS107" s="394"/>
      <c r="CT107" s="394"/>
      <c r="CU107" s="394"/>
      <c r="CV107" s="394"/>
      <c r="CW107" s="59">
        <f>CW95/CR95-1</f>
        <v>-1.4489036473035566E-2</v>
      </c>
      <c r="CX107" s="394"/>
      <c r="CY107" s="394"/>
      <c r="CZ107" s="394"/>
      <c r="DA107" s="394"/>
      <c r="DB107" s="59">
        <f>DB95/CW95-1</f>
        <v>-5.3653953739385418E-3</v>
      </c>
      <c r="DC107" s="394"/>
      <c r="DD107" s="394"/>
      <c r="DE107" s="394"/>
      <c r="DF107" s="394"/>
      <c r="DG107" s="59">
        <f>DG95/DB95-1</f>
        <v>-2.7386198712289866E-2</v>
      </c>
      <c r="DH107" s="394"/>
      <c r="DI107" s="394"/>
      <c r="DJ107" s="394"/>
      <c r="DK107" s="394"/>
      <c r="DL107" s="59">
        <f>DL95/DG95-1</f>
        <v>1.4171483826911802E-2</v>
      </c>
      <c r="DM107" s="394"/>
      <c r="DN107" s="394"/>
      <c r="DO107" s="394"/>
      <c r="DP107" s="394"/>
      <c r="DQ107" s="59">
        <f>DQ95/DL95-1</f>
        <v>1.7057129051817332E-2</v>
      </c>
      <c r="DR107" s="394"/>
      <c r="DS107" s="394"/>
      <c r="DT107" s="394"/>
      <c r="DU107" s="394"/>
      <c r="DV107" s="59">
        <f>DV95/DQ95-1</f>
        <v>1.1671285947425503E-2</v>
      </c>
      <c r="DW107" s="394"/>
      <c r="DX107" s="394"/>
      <c r="DY107" s="394"/>
      <c r="DZ107" s="394"/>
      <c r="EA107" s="59">
        <f>EA95/DV95-1</f>
        <v>-5.8665525325721779E-3</v>
      </c>
      <c r="EB107" s="394"/>
      <c r="EC107" s="394"/>
      <c r="ED107" s="394"/>
      <c r="EE107" s="394"/>
      <c r="EF107" s="59">
        <f>EF95/EA95-1</f>
        <v>-1.3832947293266673E-2</v>
      </c>
      <c r="EG107" s="394"/>
      <c r="EH107" s="394"/>
      <c r="EI107" s="394"/>
      <c r="EJ107" s="394"/>
      <c r="EK107" s="59">
        <f>EK95/EF95-1</f>
        <v>-9.2594959665356358E-3</v>
      </c>
      <c r="EL107" s="394"/>
      <c r="EM107" s="394"/>
      <c r="EN107" s="394"/>
      <c r="EO107" s="394"/>
      <c r="EP107" s="59">
        <f>EP95/EK95-1</f>
        <v>-4.8630068021841999E-2</v>
      </c>
      <c r="EQ107" s="394"/>
      <c r="ER107" s="394"/>
      <c r="ES107" s="394"/>
      <c r="ET107" s="394"/>
      <c r="EU107" s="59">
        <f>EU95/EP95-1</f>
        <v>-2.09530041620134E-2</v>
      </c>
      <c r="EV107" s="394"/>
      <c r="EW107" s="394"/>
      <c r="EX107" s="394"/>
      <c r="EY107" s="394"/>
      <c r="EZ107" s="59">
        <f>EZ95/EU95-1</f>
        <v>-9.8046681230236077E-3</v>
      </c>
    </row>
    <row r="108" spans="2:156" ht="13.5" thickBot="1">
      <c r="B108" s="31" t="s">
        <v>90</v>
      </c>
      <c r="C108" s="25"/>
      <c r="D108" s="62">
        <f t="shared" ref="D108:K108" si="150">D97/C97-1</f>
        <v>-0.12477598217207686</v>
      </c>
      <c r="E108" s="62">
        <f t="shared" si="150"/>
        <v>7.5494183297077466E-2</v>
      </c>
      <c r="F108" s="62">
        <f t="shared" si="150"/>
        <v>5.1209886128364523E-2</v>
      </c>
      <c r="G108" s="62">
        <f t="shared" si="150"/>
        <v>-0.15617249031808889</v>
      </c>
      <c r="H108" s="62">
        <f t="shared" si="150"/>
        <v>0.29541515593796319</v>
      </c>
      <c r="I108" s="62">
        <f t="shared" si="150"/>
        <v>1.9504876219054612E-2</v>
      </c>
      <c r="J108" s="62">
        <f t="shared" si="150"/>
        <v>-3.2240286580325184E-2</v>
      </c>
      <c r="K108" s="62">
        <f t="shared" si="150"/>
        <v>-7.5265991841290902E-2</v>
      </c>
      <c r="L108" s="64"/>
      <c r="M108" s="64"/>
      <c r="N108" s="64"/>
      <c r="O108" s="64"/>
      <c r="P108" s="61">
        <f>P97/K97-1</f>
        <v>0.11478774802311498</v>
      </c>
      <c r="Q108" s="68">
        <f t="shared" ref="Q108:AV108" si="151">Q97/L97-1</f>
        <v>3.2229016837735491E-2</v>
      </c>
      <c r="R108" s="68">
        <f t="shared" si="151"/>
        <v>3.2855775151393374E-2</v>
      </c>
      <c r="S108" s="68">
        <f t="shared" si="151"/>
        <v>2.6216172680412431E-2</v>
      </c>
      <c r="T108" s="68">
        <f t="shared" si="151"/>
        <v>-6.2210992306823254E-2</v>
      </c>
      <c r="U108" s="61">
        <f t="shared" si="151"/>
        <v>9.5567569821699561E-3</v>
      </c>
      <c r="V108" s="68">
        <f t="shared" si="151"/>
        <v>-3.3771320191445242E-2</v>
      </c>
      <c r="W108" s="68">
        <f t="shared" si="151"/>
        <v>-4.9568383868653587E-2</v>
      </c>
      <c r="X108" s="68">
        <f t="shared" si="151"/>
        <v>-8.2760564601808362E-2</v>
      </c>
      <c r="Y108" s="68">
        <f t="shared" si="151"/>
        <v>-6.0166773828703501E-2</v>
      </c>
      <c r="Z108" s="61">
        <f t="shared" si="151"/>
        <v>-5.6819869172688442E-2</v>
      </c>
      <c r="AA108" s="68">
        <f t="shared" si="151"/>
        <v>-3.7007387969103522E-3</v>
      </c>
      <c r="AB108" s="68">
        <f t="shared" si="151"/>
        <v>4.823824100504992E-2</v>
      </c>
      <c r="AC108" s="68">
        <f t="shared" si="151"/>
        <v>6.5787315197568752E-2</v>
      </c>
      <c r="AD108" s="68">
        <f t="shared" si="151"/>
        <v>3.8413265830363974E-2</v>
      </c>
      <c r="AE108" s="61">
        <f t="shared" si="151"/>
        <v>4.0319503046636118E-2</v>
      </c>
      <c r="AF108" s="68">
        <f t="shared" si="151"/>
        <v>-2.2058230017672154E-2</v>
      </c>
      <c r="AG108" s="68">
        <f t="shared" si="151"/>
        <v>-1.7389209079056944E-2</v>
      </c>
      <c r="AH108" s="68">
        <f t="shared" si="151"/>
        <v>-4.2038341872228879E-2</v>
      </c>
      <c r="AI108" s="68">
        <f t="shared" si="151"/>
        <v>-0.1028133684344158</v>
      </c>
      <c r="AJ108" s="61">
        <f t="shared" si="151"/>
        <v>-4.5985273122586046E-2</v>
      </c>
      <c r="AK108" s="68">
        <f t="shared" si="151"/>
        <v>-1.1897894579178891E-2</v>
      </c>
      <c r="AL108" s="68">
        <f t="shared" si="151"/>
        <v>-3.0111107743738819E-2</v>
      </c>
      <c r="AM108" s="68">
        <f t="shared" si="151"/>
        <v>5.5940645098056407E-2</v>
      </c>
      <c r="AN108" s="68">
        <f t="shared" si="151"/>
        <v>0.18109641684408051</v>
      </c>
      <c r="AO108" s="61">
        <f t="shared" si="151"/>
        <v>4.435995236464918E-2</v>
      </c>
      <c r="AP108" s="68">
        <f t="shared" si="151"/>
        <v>1.6558820404625196E-2</v>
      </c>
      <c r="AQ108" s="68">
        <f t="shared" si="151"/>
        <v>-1.1173013998056369E-2</v>
      </c>
      <c r="AR108" s="68">
        <f t="shared" si="151"/>
        <v>-3.5707585831618815E-2</v>
      </c>
      <c r="AS108" s="68">
        <f t="shared" si="151"/>
        <v>-3.8447392353251897E-2</v>
      </c>
      <c r="AT108" s="61">
        <f t="shared" si="151"/>
        <v>-1.6411285033055667E-2</v>
      </c>
      <c r="AU108" s="396">
        <f t="shared" si="151"/>
        <v>3.6807965454766167E-2</v>
      </c>
      <c r="AV108" s="396">
        <f t="shared" si="151"/>
        <v>3.9573685234443268E-2</v>
      </c>
      <c r="AW108" s="396">
        <f t="shared" ref="AW108:BT108" si="152">AW97/AR97-1</f>
        <v>4.3972462219475927E-2</v>
      </c>
      <c r="AX108" s="396">
        <f t="shared" si="152"/>
        <v>-9.6692492297982935E-2</v>
      </c>
      <c r="AY108" s="61">
        <f t="shared" si="152"/>
        <v>6.6019905403691403E-3</v>
      </c>
      <c r="AZ108" s="68">
        <f t="shared" si="152"/>
        <v>-1.0609458624016854E-2</v>
      </c>
      <c r="BA108" s="68">
        <f t="shared" si="152"/>
        <v>-2.1341336264924071E-2</v>
      </c>
      <c r="BB108" s="68">
        <f t="shared" si="152"/>
        <v>-8.1321129080562993E-2</v>
      </c>
      <c r="BC108" s="68">
        <f t="shared" si="152"/>
        <v>3.0467550655809639E-2</v>
      </c>
      <c r="BD108" s="61">
        <f t="shared" si="152"/>
        <v>-2.321484963581244E-2</v>
      </c>
      <c r="BE108" s="68">
        <f t="shared" si="152"/>
        <v>-9.6250054695818155E-2</v>
      </c>
      <c r="BF108" s="68">
        <f t="shared" si="152"/>
        <v>-0.12226268620448211</v>
      </c>
      <c r="BG108" s="68">
        <f t="shared" si="152"/>
        <v>-9.1947458595088571E-2</v>
      </c>
      <c r="BH108" s="68">
        <f t="shared" si="152"/>
        <v>-4.3712577447226231E-2</v>
      </c>
      <c r="BI108" s="61">
        <f t="shared" si="152"/>
        <v>-9.0561852421295774E-2</v>
      </c>
      <c r="BJ108" s="396">
        <f t="shared" si="152"/>
        <v>-1.2306524603311053E-2</v>
      </c>
      <c r="BK108" s="396">
        <f t="shared" si="152"/>
        <v>5.7889412707804455E-2</v>
      </c>
      <c r="BL108" s="396">
        <f t="shared" si="152"/>
        <v>3.5455738211005672E-2</v>
      </c>
      <c r="BM108" s="396">
        <f t="shared" si="152"/>
        <v>-1.4946698674216163E-2</v>
      </c>
      <c r="BN108" s="61">
        <f t="shared" si="152"/>
        <v>1.7290820246782301E-2</v>
      </c>
      <c r="BO108" s="396">
        <f t="shared" si="152"/>
        <v>-5.0991527996106956E-2</v>
      </c>
      <c r="BP108" s="396">
        <f t="shared" si="152"/>
        <v>-4.8251305223949048E-2</v>
      </c>
      <c r="BQ108" s="396">
        <f t="shared" si="152"/>
        <v>-1.1975805642389648E-2</v>
      </c>
      <c r="BR108" s="396">
        <f t="shared" si="152"/>
        <v>0.14501539814292008</v>
      </c>
      <c r="BS108" s="61">
        <f t="shared" si="152"/>
        <v>3.8258554577317305E-3</v>
      </c>
      <c r="BT108" s="396">
        <f t="shared" si="152"/>
        <v>0.20812974342797141</v>
      </c>
      <c r="BU108" s="396">
        <f t="shared" ref="BU108:CH108" si="153">BU97/BP97-1</f>
        <v>0.24557352111937258</v>
      </c>
      <c r="BV108" s="396">
        <f t="shared" si="153"/>
        <v>0.22691742368570123</v>
      </c>
      <c r="BW108" s="396">
        <f t="shared" si="153"/>
        <v>8.9602211171469159E-2</v>
      </c>
      <c r="BX108" s="61">
        <f t="shared" si="153"/>
        <v>0.19114551816174807</v>
      </c>
      <c r="BY108" s="396">
        <f t="shared" si="153"/>
        <v>0.12180264888746439</v>
      </c>
      <c r="BZ108" s="396">
        <f t="shared" si="153"/>
        <v>4.4720257588683809E-2</v>
      </c>
      <c r="CA108" s="396">
        <f t="shared" si="153"/>
        <v>1.3818436933927147E-2</v>
      </c>
      <c r="CB108" s="396">
        <f t="shared" si="153"/>
        <v>8.9933961912127991E-2</v>
      </c>
      <c r="CC108" s="61">
        <f t="shared" si="153"/>
        <v>6.5808523751573089E-2</v>
      </c>
      <c r="CD108" s="396">
        <f t="shared" si="153"/>
        <v>3.5846220338669799E-2</v>
      </c>
      <c r="CE108" s="396">
        <f t="shared" si="153"/>
        <v>2.3917439813786689E-2</v>
      </c>
      <c r="CF108" s="396">
        <f t="shared" si="153"/>
        <v>5.5126555488445028E-2</v>
      </c>
      <c r="CG108" s="396">
        <f t="shared" si="153"/>
        <v>8.5995302126791406E-2</v>
      </c>
      <c r="CH108" s="61">
        <f t="shared" si="153"/>
        <v>4.9973795524106635E-2</v>
      </c>
      <c r="CI108" s="396">
        <f t="shared" ref="CI108" si="154">CI97/CD97-1</f>
        <v>4.0962318442238743E-2</v>
      </c>
      <c r="CJ108" s="396">
        <f t="shared" ref="CJ108" si="155">CJ97/CE97-1</f>
        <v>4.5133643022840841E-2</v>
      </c>
      <c r="CK108" s="396">
        <f t="shared" ref="CK108" si="156">CK97/CF97-1</f>
        <v>2.9829747438611776E-2</v>
      </c>
      <c r="CL108" s="396">
        <f t="shared" ref="CL108" si="157">CL97/CG97-1</f>
        <v>-7.5619116948460352E-2</v>
      </c>
      <c r="CM108" s="61">
        <f>CM97/CH97-1</f>
        <v>1.0818456318440361E-2</v>
      </c>
      <c r="CN108" s="396">
        <f t="shared" ref="CN108" si="158">CN97/CI97-1</f>
        <v>2.353481381550071E-2</v>
      </c>
      <c r="CO108" s="396">
        <f t="shared" ref="CO108" si="159">CO97/CJ97-1</f>
        <v>2.4128799118037669E-2</v>
      </c>
      <c r="CP108" s="396">
        <f t="shared" ref="CP108" si="160">CP97/CK97-1</f>
        <v>-1.8493807493134451E-2</v>
      </c>
      <c r="CQ108" s="396">
        <f t="shared" ref="CQ108" si="161">CQ97/CL97-1</f>
        <v>8.1987295126767945E-2</v>
      </c>
      <c r="CR108" s="61">
        <f>CR97/CM97-1</f>
        <v>2.6429438410811024E-2</v>
      </c>
      <c r="CS108" s="396"/>
      <c r="CT108" s="396"/>
      <c r="CU108" s="396"/>
      <c r="CV108" s="396"/>
      <c r="CW108" s="61">
        <f>CW97/CR97-1</f>
        <v>-8.9771592076317575E-3</v>
      </c>
      <c r="CX108" s="396"/>
      <c r="CY108" s="396"/>
      <c r="CZ108" s="396"/>
      <c r="DA108" s="396"/>
      <c r="DB108" s="61">
        <f>DB97/CW97-1</f>
        <v>-3.7697348837401057E-3</v>
      </c>
      <c r="DC108" s="396"/>
      <c r="DD108" s="396"/>
      <c r="DE108" s="396"/>
      <c r="DF108" s="396"/>
      <c r="DG108" s="61">
        <f>DG97/DB97-1</f>
        <v>9.5144553869719317E-5</v>
      </c>
      <c r="DH108" s="396"/>
      <c r="DI108" s="396"/>
      <c r="DJ108" s="396"/>
      <c r="DK108" s="396"/>
      <c r="DL108" s="61">
        <f>DL97/DG97-1</f>
        <v>1.7082494829765427E-2</v>
      </c>
      <c r="DM108" s="396"/>
      <c r="DN108" s="396"/>
      <c r="DO108" s="396"/>
      <c r="DP108" s="396"/>
      <c r="DQ108" s="61">
        <f>DQ97/DL97-1</f>
        <v>-4.217949020165157E-2</v>
      </c>
      <c r="DR108" s="396"/>
      <c r="DS108" s="396"/>
      <c r="DT108" s="396"/>
      <c r="DU108" s="396"/>
      <c r="DV108" s="61">
        <f>DV97/DQ97-1</f>
        <v>-4.3994279241765688E-2</v>
      </c>
      <c r="DW108" s="396"/>
      <c r="DX108" s="396"/>
      <c r="DY108" s="396"/>
      <c r="DZ108" s="396"/>
      <c r="EA108" s="61">
        <f>EA97/DV97-1</f>
        <v>8.7733319936851295E-3</v>
      </c>
      <c r="EB108" s="396"/>
      <c r="EC108" s="396"/>
      <c r="ED108" s="396"/>
      <c r="EE108" s="396"/>
      <c r="EF108" s="61">
        <f>EF97/EA97-1</f>
        <v>-6.5612348848314017E-3</v>
      </c>
      <c r="EG108" s="396"/>
      <c r="EH108" s="396"/>
      <c r="EI108" s="396"/>
      <c r="EJ108" s="396"/>
      <c r="EK108" s="61">
        <f>EK97/EF97-1</f>
        <v>-2.6301189031016081E-3</v>
      </c>
      <c r="EL108" s="396"/>
      <c r="EM108" s="396"/>
      <c r="EN108" s="396"/>
      <c r="EO108" s="396"/>
      <c r="EP108" s="61">
        <f>EP97/EK97-1</f>
        <v>-3.2371336664572703E-2</v>
      </c>
      <c r="EQ108" s="396"/>
      <c r="ER108" s="396"/>
      <c r="ES108" s="396"/>
      <c r="ET108" s="396"/>
      <c r="EU108" s="61">
        <f>EU97/EP97-1</f>
        <v>-7.6883870021849932E-3</v>
      </c>
      <c r="EV108" s="396"/>
      <c r="EW108" s="396"/>
      <c r="EX108" s="396"/>
      <c r="EY108" s="396"/>
      <c r="EZ108" s="61">
        <f>EZ97/EU97-1</f>
        <v>6.2139876535463046E-3</v>
      </c>
    </row>
    <row r="109" spans="2:156">
      <c r="AU109" s="382"/>
      <c r="AV109" s="382"/>
      <c r="AW109" s="382"/>
      <c r="AX109" s="382"/>
      <c r="BJ109" s="382"/>
      <c r="BK109" s="382"/>
      <c r="BL109" s="382"/>
      <c r="BM109" s="382"/>
      <c r="BO109" s="382"/>
      <c r="BP109" s="382"/>
      <c r="BQ109" s="382"/>
      <c r="BR109" s="382"/>
      <c r="BT109" s="382"/>
      <c r="BU109" s="382"/>
      <c r="BV109" s="382"/>
      <c r="BW109" s="382"/>
      <c r="BY109" s="382"/>
      <c r="BZ109" s="382"/>
      <c r="CA109" s="382"/>
      <c r="CB109" s="382"/>
      <c r="CD109" s="382"/>
      <c r="CE109" s="382"/>
      <c r="CF109" s="382"/>
      <c r="CG109" s="382"/>
      <c r="CI109" s="382"/>
      <c r="CJ109" s="382"/>
      <c r="CK109" s="382"/>
      <c r="CL109" s="382"/>
      <c r="CN109" s="382"/>
      <c r="CO109" s="382"/>
      <c r="CP109" s="382"/>
      <c r="CQ109" s="382"/>
      <c r="CS109" s="382"/>
      <c r="CT109" s="382"/>
      <c r="CU109" s="382"/>
      <c r="CV109" s="382"/>
      <c r="CX109" s="382"/>
      <c r="CY109" s="382"/>
      <c r="CZ109" s="382"/>
      <c r="DA109" s="382"/>
    </row>
    <row r="110" spans="2:156">
      <c r="B110" s="40" t="s">
        <v>178</v>
      </c>
      <c r="AU110" s="382"/>
      <c r="AV110" s="382"/>
      <c r="AW110" s="382"/>
      <c r="AX110" s="382"/>
      <c r="BJ110" s="382"/>
      <c r="BK110" s="382"/>
      <c r="BL110" s="382"/>
      <c r="BM110" s="382"/>
      <c r="BO110" s="382"/>
      <c r="BP110" s="382"/>
      <c r="BQ110" s="382"/>
      <c r="BR110" s="382"/>
      <c r="BT110" s="382"/>
      <c r="BU110" s="382"/>
      <c r="BV110" s="382"/>
      <c r="BW110" s="382"/>
      <c r="BY110" s="382"/>
      <c r="BZ110" s="382"/>
      <c r="CA110" s="382"/>
      <c r="CB110" s="382"/>
      <c r="CD110" s="382"/>
      <c r="CE110" s="382"/>
      <c r="CF110" s="382"/>
      <c r="CG110" s="382"/>
      <c r="CI110" s="382"/>
      <c r="CJ110" s="382"/>
      <c r="CK110" s="382"/>
      <c r="CL110" s="382"/>
      <c r="CN110" s="382"/>
      <c r="CO110" s="382"/>
      <c r="CP110" s="382"/>
      <c r="CQ110" s="382"/>
      <c r="CS110" s="382"/>
      <c r="CT110" s="382"/>
      <c r="CU110" s="382"/>
      <c r="CV110" s="382"/>
      <c r="CX110" s="382"/>
      <c r="CY110" s="382"/>
      <c r="CZ110" s="382"/>
      <c r="DA110" s="382"/>
    </row>
    <row r="111" spans="2:156">
      <c r="B111" t="s">
        <v>177</v>
      </c>
      <c r="C111">
        <v>51</v>
      </c>
      <c r="D111">
        <v>75</v>
      </c>
      <c r="E111">
        <v>84</v>
      </c>
      <c r="F111">
        <v>100</v>
      </c>
      <c r="G111">
        <v>117</v>
      </c>
      <c r="H111">
        <v>144</v>
      </c>
      <c r="I111">
        <v>177</v>
      </c>
      <c r="J111">
        <v>212</v>
      </c>
      <c r="K111">
        <v>266</v>
      </c>
      <c r="L111" s="55">
        <v>61</v>
      </c>
      <c r="M111" s="55">
        <v>67</v>
      </c>
      <c r="N111" s="55">
        <v>156</v>
      </c>
      <c r="O111" s="55">
        <v>164</v>
      </c>
      <c r="P111">
        <v>447</v>
      </c>
      <c r="Q111" s="55">
        <v>170</v>
      </c>
      <c r="R111" s="55">
        <v>171</v>
      </c>
      <c r="S111" s="55">
        <v>169</v>
      </c>
      <c r="T111" s="55">
        <v>177</v>
      </c>
      <c r="U111">
        <v>687</v>
      </c>
      <c r="V111" s="55">
        <v>176</v>
      </c>
      <c r="W111" s="55">
        <v>179</v>
      </c>
      <c r="X111" s="55">
        <v>186</v>
      </c>
      <c r="Y111" s="55">
        <v>193</v>
      </c>
      <c r="Z111">
        <v>734</v>
      </c>
      <c r="AA111" s="55">
        <v>202</v>
      </c>
      <c r="AB111" s="55">
        <v>217</v>
      </c>
      <c r="AC111" s="55">
        <v>204</v>
      </c>
      <c r="AD111" s="55">
        <v>218</v>
      </c>
      <c r="AE111">
        <v>841</v>
      </c>
      <c r="AF111" s="55">
        <v>219</v>
      </c>
      <c r="AG111" s="55">
        <v>257</v>
      </c>
      <c r="AH111" s="55">
        <v>287</v>
      </c>
      <c r="AI111" s="55">
        <v>200</v>
      </c>
      <c r="AJ111">
        <v>963</v>
      </c>
      <c r="AK111" s="55">
        <v>244</v>
      </c>
      <c r="AL111" s="55">
        <v>282</v>
      </c>
      <c r="AM111" s="55">
        <v>374</v>
      </c>
      <c r="AN111" s="55">
        <v>302</v>
      </c>
      <c r="AO111">
        <v>1202</v>
      </c>
      <c r="AP111" s="55">
        <v>266</v>
      </c>
      <c r="AQ111" s="55">
        <v>265</v>
      </c>
      <c r="AR111" s="55">
        <v>268</v>
      </c>
      <c r="AS111" s="55">
        <v>274</v>
      </c>
      <c r="AT111">
        <v>1073</v>
      </c>
      <c r="AU111" s="382">
        <v>267</v>
      </c>
      <c r="AV111" s="382">
        <v>253</v>
      </c>
      <c r="AW111" s="382">
        <v>272</v>
      </c>
      <c r="AX111" s="382">
        <v>257</v>
      </c>
      <c r="AY111">
        <v>1049</v>
      </c>
      <c r="AZ111" s="55">
        <v>252</v>
      </c>
      <c r="BA111" s="55">
        <v>251</v>
      </c>
      <c r="BB111" s="55">
        <v>253</v>
      </c>
      <c r="BC111" s="55">
        <v>261</v>
      </c>
      <c r="BD111">
        <v>1017</v>
      </c>
      <c r="BE111" s="55">
        <v>273</v>
      </c>
      <c r="BF111" s="55">
        <v>261</v>
      </c>
      <c r="BG111" s="55">
        <v>265</v>
      </c>
      <c r="BH111" s="55">
        <v>261</v>
      </c>
      <c r="BI111">
        <v>1060</v>
      </c>
      <c r="BJ111" s="382">
        <v>259</v>
      </c>
      <c r="BK111" s="382">
        <v>269</v>
      </c>
      <c r="BL111" s="382">
        <v>287</v>
      </c>
      <c r="BM111" s="382">
        <v>273</v>
      </c>
      <c r="BN111">
        <v>1088</v>
      </c>
      <c r="BO111" s="382">
        <v>277</v>
      </c>
      <c r="BP111" s="382">
        <v>277</v>
      </c>
      <c r="BQ111" s="382">
        <v>294</v>
      </c>
      <c r="BR111" s="383">
        <f>BS111-SUM(BO111:BQ111)</f>
        <v>438</v>
      </c>
      <c r="BS111" s="77">
        <f>CF!W5</f>
        <v>1286</v>
      </c>
      <c r="BT111" s="383">
        <f>BX111/4</f>
        <v>523</v>
      </c>
      <c r="BU111" s="383">
        <f>BX111/4</f>
        <v>523</v>
      </c>
      <c r="BV111" s="383">
        <f>BX111/4</f>
        <v>523</v>
      </c>
      <c r="BW111" s="383">
        <f>BX111/4</f>
        <v>523</v>
      </c>
      <c r="BX111" s="656">
        <f>CF!X5</f>
        <v>2092</v>
      </c>
      <c r="BY111" s="383">
        <f>CC111/4</f>
        <v>527</v>
      </c>
      <c r="BZ111" s="383">
        <f>CC111/4</f>
        <v>527</v>
      </c>
      <c r="CA111" s="383">
        <f>CC111/4</f>
        <v>527</v>
      </c>
      <c r="CB111" s="383">
        <f>CC111/4</f>
        <v>527</v>
      </c>
      <c r="CC111" s="77">
        <f>CF!Y5</f>
        <v>2108</v>
      </c>
      <c r="CD111" s="383">
        <f>CH111/4</f>
        <v>526.25</v>
      </c>
      <c r="CE111" s="383">
        <f>CH111/4</f>
        <v>526.25</v>
      </c>
      <c r="CF111" s="383">
        <f>CH111/4</f>
        <v>526.25</v>
      </c>
      <c r="CG111" s="383">
        <f>CH111/4</f>
        <v>526.25</v>
      </c>
      <c r="CH111" s="77">
        <f>CF!Z5</f>
        <v>2105</v>
      </c>
      <c r="CI111" s="383">
        <f>CM111/4</f>
        <v>488.75</v>
      </c>
      <c r="CJ111" s="383">
        <f>CM111/4</f>
        <v>488.75</v>
      </c>
      <c r="CK111" s="383">
        <f>CM111/4</f>
        <v>488.75</v>
      </c>
      <c r="CL111" s="383">
        <f>CM111/4</f>
        <v>488.75</v>
      </c>
      <c r="CM111" s="77">
        <f>CF!AA5</f>
        <v>1955</v>
      </c>
      <c r="CN111" s="383">
        <f>CR111/4</f>
        <v>583.47230416830757</v>
      </c>
      <c r="CO111" s="383">
        <f>CR111/4</f>
        <v>583.47230416830757</v>
      </c>
      <c r="CP111" s="383">
        <f>CR111/4</f>
        <v>583.47230416830757</v>
      </c>
      <c r="CQ111" s="383">
        <f>CR111/4</f>
        <v>583.47230416830757</v>
      </c>
      <c r="CR111" s="77">
        <f>CF!AB5</f>
        <v>2333.8892166732303</v>
      </c>
      <c r="CS111" s="383"/>
      <c r="CT111" s="383"/>
      <c r="CU111" s="383"/>
      <c r="CV111" s="383"/>
      <c r="CW111" s="77">
        <f>CF!AC5</f>
        <v>2447.9676489443873</v>
      </c>
      <c r="CX111" s="383"/>
      <c r="CY111" s="383"/>
      <c r="CZ111" s="383"/>
      <c r="DA111" s="383"/>
      <c r="DB111" s="77">
        <f>CF!AD5</f>
        <v>2528.4087161008347</v>
      </c>
      <c r="DG111" s="77">
        <f>CF!AE5</f>
        <v>2609.7054315504975</v>
      </c>
      <c r="DL111" s="77">
        <f>CF!AF5</f>
        <v>2693.8244569491171</v>
      </c>
      <c r="DQ111" s="77">
        <f>CF!AG5</f>
        <v>1964.7627873954461</v>
      </c>
      <c r="DV111" s="77">
        <f>CF!AH5</f>
        <v>1154.1381964194484</v>
      </c>
      <c r="EA111" s="77">
        <f>CF!AI5</f>
        <v>1203.4841207572581</v>
      </c>
      <c r="EF111" s="77">
        <f>CF!AJ5</f>
        <v>1252.7020036098277</v>
      </c>
      <c r="EK111" s="77">
        <f>CF!AK5</f>
        <v>1336.1442102405836</v>
      </c>
      <c r="EP111" s="77">
        <f>CF!AL5</f>
        <v>1413.7778039753871</v>
      </c>
      <c r="EU111" s="77">
        <f>CF!AM5</f>
        <v>1503.6181907301948</v>
      </c>
      <c r="EZ111" s="77">
        <f>CF!AN5</f>
        <v>1650.5932866910493</v>
      </c>
    </row>
    <row r="112" spans="2:156">
      <c r="B112" t="s">
        <v>178</v>
      </c>
      <c r="C112" s="1">
        <f t="shared" ref="C112:AH112" si="162">C111+C29</f>
        <v>623</v>
      </c>
      <c r="D112" s="1">
        <f t="shared" si="162"/>
        <v>654</v>
      </c>
      <c r="E112" s="1">
        <f t="shared" si="162"/>
        <v>828</v>
      </c>
      <c r="F112" s="1">
        <f t="shared" si="162"/>
        <v>1005</v>
      </c>
      <c r="G112" s="1">
        <f t="shared" si="162"/>
        <v>909</v>
      </c>
      <c r="H112" s="1">
        <f t="shared" si="162"/>
        <v>1333</v>
      </c>
      <c r="I112" s="1">
        <f t="shared" si="162"/>
        <v>1670</v>
      </c>
      <c r="J112" s="1">
        <f t="shared" si="162"/>
        <v>1756</v>
      </c>
      <c r="K112" s="1">
        <f t="shared" si="162"/>
        <v>1797</v>
      </c>
      <c r="L112" s="55">
        <f t="shared" si="162"/>
        <v>519</v>
      </c>
      <c r="M112" s="55">
        <f t="shared" si="162"/>
        <v>631</v>
      </c>
      <c r="N112" s="55">
        <f t="shared" si="162"/>
        <v>776</v>
      </c>
      <c r="O112" s="55">
        <f t="shared" si="162"/>
        <v>830</v>
      </c>
      <c r="P112">
        <f t="shared" si="162"/>
        <v>2755</v>
      </c>
      <c r="Q112" s="55">
        <f t="shared" si="162"/>
        <v>935</v>
      </c>
      <c r="R112" s="55">
        <f t="shared" si="162"/>
        <v>1065</v>
      </c>
      <c r="S112" s="55">
        <f t="shared" si="162"/>
        <v>1173</v>
      </c>
      <c r="T112" s="55">
        <f t="shared" si="162"/>
        <v>1034</v>
      </c>
      <c r="U112">
        <f t="shared" si="162"/>
        <v>4208</v>
      </c>
      <c r="V112" s="55">
        <f t="shared" si="162"/>
        <v>1202</v>
      </c>
      <c r="W112" s="55">
        <f t="shared" si="162"/>
        <v>1282</v>
      </c>
      <c r="X112" s="55">
        <f t="shared" si="162"/>
        <v>1322</v>
      </c>
      <c r="Y112" s="55">
        <f t="shared" si="162"/>
        <v>1205</v>
      </c>
      <c r="Z112">
        <f t="shared" si="162"/>
        <v>5011</v>
      </c>
      <c r="AA112" s="55">
        <f t="shared" si="162"/>
        <v>1448</v>
      </c>
      <c r="AB112" s="55">
        <f t="shared" si="162"/>
        <v>1649</v>
      </c>
      <c r="AC112" s="55">
        <f t="shared" si="162"/>
        <v>1638</v>
      </c>
      <c r="AD112" s="55">
        <f t="shared" si="162"/>
        <v>1407</v>
      </c>
      <c r="AE112">
        <f t="shared" si="162"/>
        <v>6142</v>
      </c>
      <c r="AF112" s="55">
        <f t="shared" si="162"/>
        <v>1608</v>
      </c>
      <c r="AG112" s="55">
        <f t="shared" si="162"/>
        <v>1841</v>
      </c>
      <c r="AH112" s="55">
        <f t="shared" si="162"/>
        <v>1797</v>
      </c>
      <c r="AI112" s="55">
        <f t="shared" ref="AI112:BN112" si="163">AI111+AI29</f>
        <v>1480</v>
      </c>
      <c r="AJ112">
        <f t="shared" si="163"/>
        <v>6726</v>
      </c>
      <c r="AK112" s="55">
        <f t="shared" si="163"/>
        <v>1821</v>
      </c>
      <c r="AL112" s="55">
        <f t="shared" si="163"/>
        <v>1847</v>
      </c>
      <c r="AM112" s="55">
        <f t="shared" si="163"/>
        <v>1897</v>
      </c>
      <c r="AN112" s="55">
        <f t="shared" si="163"/>
        <v>1707</v>
      </c>
      <c r="AO112">
        <f t="shared" si="163"/>
        <v>7272</v>
      </c>
      <c r="AP112" s="55">
        <f t="shared" si="163"/>
        <v>1814</v>
      </c>
      <c r="AQ112" s="55">
        <f t="shared" si="163"/>
        <v>1844</v>
      </c>
      <c r="AR112" s="55">
        <f t="shared" si="163"/>
        <v>1963</v>
      </c>
      <c r="AS112" s="55">
        <f t="shared" si="163"/>
        <v>1644</v>
      </c>
      <c r="AT112">
        <f t="shared" si="163"/>
        <v>7265</v>
      </c>
      <c r="AU112" s="382">
        <f t="shared" si="163"/>
        <v>1722</v>
      </c>
      <c r="AV112" s="382">
        <f t="shared" si="163"/>
        <v>1891</v>
      </c>
      <c r="AW112" s="382">
        <f t="shared" si="163"/>
        <v>2016</v>
      </c>
      <c r="AX112" s="382">
        <f t="shared" si="163"/>
        <v>1508</v>
      </c>
      <c r="AY112">
        <f t="shared" si="163"/>
        <v>7137</v>
      </c>
      <c r="AZ112" s="55">
        <f t="shared" si="163"/>
        <v>1850</v>
      </c>
      <c r="BA112" s="55">
        <f t="shared" si="163"/>
        <v>1896</v>
      </c>
      <c r="BB112" s="55">
        <f t="shared" si="163"/>
        <v>1854</v>
      </c>
      <c r="BC112" s="55">
        <f t="shared" si="163"/>
        <v>1567</v>
      </c>
      <c r="BD112">
        <f t="shared" si="163"/>
        <v>7167</v>
      </c>
      <c r="BE112" s="55">
        <f t="shared" si="163"/>
        <v>1725</v>
      </c>
      <c r="BF112" s="55">
        <f t="shared" si="163"/>
        <v>1732</v>
      </c>
      <c r="BG112" s="55">
        <f t="shared" si="163"/>
        <v>1740</v>
      </c>
      <c r="BH112" s="55">
        <f t="shared" si="163"/>
        <v>1550</v>
      </c>
      <c r="BI112">
        <f t="shared" si="163"/>
        <v>6747</v>
      </c>
      <c r="BJ112" s="382">
        <f t="shared" si="163"/>
        <v>1861</v>
      </c>
      <c r="BK112" s="382">
        <f t="shared" si="163"/>
        <v>2072</v>
      </c>
      <c r="BL112" s="382">
        <f t="shared" si="163"/>
        <v>1973</v>
      </c>
      <c r="BM112" s="382">
        <f t="shared" si="163"/>
        <v>1699</v>
      </c>
      <c r="BN112">
        <f t="shared" si="163"/>
        <v>7605</v>
      </c>
      <c r="BO112" s="382">
        <f t="shared" ref="BO112:CQ112" si="164">BO111+BO29</f>
        <v>1849</v>
      </c>
      <c r="BP112" s="382">
        <f t="shared" si="164"/>
        <v>2061</v>
      </c>
      <c r="BQ112" s="382">
        <f t="shared" si="164"/>
        <v>2143</v>
      </c>
      <c r="BR112" s="383">
        <f t="shared" si="164"/>
        <v>2205</v>
      </c>
      <c r="BS112" s="77">
        <f t="shared" si="164"/>
        <v>8258</v>
      </c>
      <c r="BT112" s="383">
        <f t="shared" si="164"/>
        <v>2383</v>
      </c>
      <c r="BU112" s="383">
        <f t="shared" si="164"/>
        <v>2842</v>
      </c>
      <c r="BV112" s="383">
        <f t="shared" si="164"/>
        <v>2786</v>
      </c>
      <c r="BW112" s="383">
        <f t="shared" si="164"/>
        <v>2556</v>
      </c>
      <c r="BX112" s="77">
        <f t="shared" si="164"/>
        <v>10567</v>
      </c>
      <c r="BY112" s="383">
        <f t="shared" si="164"/>
        <v>2976</v>
      </c>
      <c r="BZ112" s="383">
        <f t="shared" si="164"/>
        <v>3078</v>
      </c>
      <c r="CA112" s="383">
        <f t="shared" si="164"/>
        <v>3213</v>
      </c>
      <c r="CB112" s="383">
        <f t="shared" si="164"/>
        <v>2893</v>
      </c>
      <c r="CC112" s="77">
        <f t="shared" si="164"/>
        <v>12160</v>
      </c>
      <c r="CD112" s="383">
        <f t="shared" si="164"/>
        <v>3385.25</v>
      </c>
      <c r="CE112" s="383">
        <f t="shared" si="164"/>
        <v>3338.25</v>
      </c>
      <c r="CF112" s="383">
        <f t="shared" si="164"/>
        <v>3442.25</v>
      </c>
      <c r="CG112" s="383">
        <f t="shared" si="164"/>
        <v>3385.25</v>
      </c>
      <c r="CH112" s="77">
        <f t="shared" si="164"/>
        <v>13551</v>
      </c>
      <c r="CI112" s="383">
        <f t="shared" si="164"/>
        <v>3483.75</v>
      </c>
      <c r="CJ112" s="383">
        <f t="shared" si="164"/>
        <v>3563.75</v>
      </c>
      <c r="CK112" s="383">
        <f t="shared" si="164"/>
        <v>3521.75</v>
      </c>
      <c r="CL112" s="383">
        <f t="shared" si="164"/>
        <v>3043.75</v>
      </c>
      <c r="CM112" s="77">
        <f>CM111+CM29</f>
        <v>13613</v>
      </c>
      <c r="CN112" s="383">
        <f t="shared" si="164"/>
        <v>3624.4723041683073</v>
      </c>
      <c r="CO112" s="383">
        <f t="shared" si="164"/>
        <v>3561.7457917070524</v>
      </c>
      <c r="CP112" s="383">
        <f t="shared" si="164"/>
        <v>3432.485214281407</v>
      </c>
      <c r="CQ112" s="383">
        <f t="shared" si="164"/>
        <v>3222.0763605351522</v>
      </c>
      <c r="CR112" s="77">
        <f>CR111+CR29</f>
        <v>13840.779670691911</v>
      </c>
      <c r="CS112" s="383"/>
      <c r="CT112" s="383"/>
      <c r="CU112" s="383"/>
      <c r="CV112" s="383"/>
      <c r="CW112" s="77">
        <f>CW111+CW29</f>
        <v>13624.769596650614</v>
      </c>
      <c r="CX112" s="383"/>
      <c r="CY112" s="383"/>
      <c r="CZ112" s="383"/>
      <c r="DA112" s="383"/>
      <c r="DB112" s="77">
        <f>DB111+DB29</f>
        <v>13721.247865631834</v>
      </c>
      <c r="DG112" s="77">
        <f>DG111+DG29</f>
        <v>13634.728026270754</v>
      </c>
      <c r="DL112" s="77">
        <f>DL111+DL29</f>
        <v>14378.968962909916</v>
      </c>
      <c r="DQ112" s="77">
        <f>DQ111+DQ29</f>
        <v>14465.370976995324</v>
      </c>
      <c r="DV112" s="77">
        <f>DV111+DV29</f>
        <v>14245.673667809597</v>
      </c>
      <c r="EA112" s="77">
        <f>EA111+EA29</f>
        <v>14592.159063333409</v>
      </c>
      <c r="EF112" s="77">
        <f>EF111+EF29</f>
        <v>14420.880203338265</v>
      </c>
      <c r="EK112" s="77">
        <f>EK111+EK29</f>
        <v>14378.696731280592</v>
      </c>
      <c r="EP112" s="77">
        <f>EP111+EP29</f>
        <v>12945.584456775305</v>
      </c>
      <c r="EU112" s="77">
        <f>EU111+EU29</f>
        <v>12336.672473073329</v>
      </c>
      <c r="EZ112" s="77">
        <f>EZ111+EZ29</f>
        <v>12093.389479926091</v>
      </c>
    </row>
    <row r="113" spans="2:105">
      <c r="B113" t="s">
        <v>179</v>
      </c>
      <c r="L113" s="55">
        <v>1.7</v>
      </c>
      <c r="M113" s="55">
        <v>5.2</v>
      </c>
      <c r="N113" s="55"/>
      <c r="O113" s="55">
        <v>5</v>
      </c>
      <c r="P113">
        <v>11.9</v>
      </c>
      <c r="Q113" s="55">
        <v>5.2</v>
      </c>
      <c r="R113" s="55">
        <v>5.2</v>
      </c>
      <c r="S113" s="55">
        <v>5</v>
      </c>
      <c r="T113" s="55">
        <v>6</v>
      </c>
      <c r="U113">
        <v>21.4</v>
      </c>
      <c r="V113" s="55">
        <v>5</v>
      </c>
      <c r="W113" s="55">
        <v>5</v>
      </c>
      <c r="X113" s="55">
        <v>5</v>
      </c>
      <c r="Y113" s="55">
        <v>6</v>
      </c>
      <c r="Z113">
        <v>21</v>
      </c>
      <c r="AA113" s="55">
        <v>5</v>
      </c>
      <c r="AB113" s="55">
        <v>1</v>
      </c>
      <c r="AC113" s="55"/>
      <c r="AD113" s="55"/>
      <c r="AE113">
        <v>6</v>
      </c>
      <c r="AF113" s="55"/>
      <c r="AG113" s="55"/>
      <c r="AH113" s="55"/>
      <c r="AI113" s="55"/>
      <c r="AK113" s="55"/>
      <c r="AL113" s="55"/>
      <c r="AM113" s="55"/>
      <c r="AN113" s="55"/>
      <c r="AP113" s="55"/>
      <c r="AQ113" s="55"/>
      <c r="AR113" s="55"/>
      <c r="AS113" s="55"/>
      <c r="AU113" s="382"/>
      <c r="AV113" s="382"/>
      <c r="AW113" s="382"/>
      <c r="AX113" s="382"/>
      <c r="AZ113" s="55"/>
      <c r="BA113" s="55"/>
      <c r="BB113" s="55"/>
      <c r="BC113" s="55"/>
      <c r="BE113" s="55"/>
      <c r="BF113" s="55"/>
      <c r="BG113" s="55"/>
      <c r="BH113" s="55"/>
      <c r="BJ113" s="382"/>
      <c r="BK113" s="382"/>
      <c r="BL113" s="382"/>
      <c r="BM113" s="382"/>
      <c r="BO113" s="382"/>
      <c r="BP113" s="382"/>
      <c r="BQ113" s="382"/>
      <c r="BR113" s="382"/>
      <c r="BT113" s="382"/>
      <c r="BU113" s="382"/>
      <c r="BV113" s="382"/>
      <c r="BW113" s="382"/>
      <c r="BY113" s="382"/>
      <c r="BZ113" s="382"/>
      <c r="CA113" s="382"/>
      <c r="CB113" s="382"/>
      <c r="CD113" s="382"/>
      <c r="CE113" s="382"/>
      <c r="CF113" s="382"/>
      <c r="CG113" s="382"/>
      <c r="CI113" s="382"/>
      <c r="CJ113" s="382"/>
      <c r="CK113" s="382"/>
      <c r="CL113" s="382"/>
      <c r="CN113" s="382"/>
      <c r="CO113" s="382"/>
      <c r="CP113" s="382"/>
      <c r="CQ113" s="382"/>
      <c r="CS113" s="382"/>
      <c r="CT113" s="382"/>
      <c r="CU113" s="382"/>
      <c r="CV113" s="382"/>
      <c r="CX113" s="382"/>
      <c r="CY113" s="382"/>
      <c r="CZ113" s="382"/>
      <c r="DA113" s="382"/>
    </row>
    <row r="114" spans="2:105">
      <c r="L114" s="55"/>
      <c r="M114" s="55"/>
      <c r="N114" s="55"/>
      <c r="O114" s="55"/>
      <c r="Q114" s="55"/>
      <c r="R114" s="55"/>
      <c r="S114" s="55"/>
      <c r="T114" s="55"/>
      <c r="V114" s="55"/>
      <c r="W114" s="55"/>
      <c r="X114" s="55"/>
      <c r="Y114" s="55"/>
      <c r="AA114" s="55"/>
      <c r="AB114" s="55"/>
      <c r="AC114" s="55"/>
      <c r="AD114" s="55"/>
      <c r="AF114" s="55"/>
      <c r="AG114" s="55"/>
      <c r="AH114" s="55"/>
      <c r="AI114" s="55"/>
      <c r="AK114" s="55"/>
      <c r="AL114" s="55"/>
      <c r="AM114" s="55"/>
      <c r="AN114" s="55"/>
      <c r="AP114" s="55"/>
      <c r="AQ114" s="55"/>
      <c r="AR114" s="55"/>
      <c r="AS114" s="55"/>
      <c r="AU114" s="382"/>
      <c r="AV114" s="382"/>
      <c r="AW114" s="382"/>
      <c r="AX114" s="382"/>
      <c r="AZ114" s="55"/>
      <c r="BA114" s="55"/>
      <c r="BB114" s="55"/>
      <c r="BC114" s="55"/>
      <c r="BE114" s="55"/>
      <c r="BF114" s="55"/>
      <c r="BG114" s="55"/>
      <c r="BH114" s="55"/>
      <c r="BJ114" s="382"/>
      <c r="BK114" s="382"/>
      <c r="BL114" s="382"/>
      <c r="BM114" s="382"/>
      <c r="BO114" s="382"/>
      <c r="BP114" s="382"/>
      <c r="BQ114" s="382"/>
      <c r="BR114" s="382"/>
      <c r="BT114" s="382"/>
      <c r="BU114" s="382"/>
      <c r="BV114" s="382"/>
      <c r="BW114" s="382"/>
      <c r="BY114" s="382"/>
      <c r="BZ114" s="382"/>
      <c r="CA114" s="382"/>
      <c r="CB114" s="382"/>
      <c r="CD114" s="382"/>
      <c r="CE114" s="382"/>
      <c r="CF114" s="382"/>
      <c r="CG114" s="382"/>
      <c r="CI114" s="382"/>
      <c r="CJ114" s="382"/>
      <c r="CK114" s="382"/>
      <c r="CL114" s="382"/>
      <c r="CN114" s="382"/>
      <c r="CO114" s="382"/>
      <c r="CP114" s="382"/>
      <c r="CQ114" s="382"/>
      <c r="CS114" s="382"/>
      <c r="CT114" s="382"/>
      <c r="CU114" s="382"/>
      <c r="CV114" s="382"/>
      <c r="CX114" s="382"/>
      <c r="CY114" s="382"/>
      <c r="CZ114" s="382"/>
      <c r="DA114" s="382"/>
    </row>
    <row r="115" spans="2:105">
      <c r="B115" s="40" t="s">
        <v>180</v>
      </c>
      <c r="L115" s="55"/>
      <c r="M115" s="55"/>
      <c r="N115" s="55"/>
      <c r="O115" s="55"/>
      <c r="Q115" s="55"/>
      <c r="R115" s="55"/>
      <c r="S115" s="55"/>
      <c r="T115" s="55"/>
      <c r="V115" s="55"/>
      <c r="W115" s="55"/>
      <c r="X115" s="55"/>
      <c r="Y115" s="55"/>
      <c r="AA115" s="55"/>
      <c r="AB115" s="55"/>
      <c r="AC115" s="55"/>
      <c r="AD115" s="55"/>
      <c r="AF115" s="55"/>
      <c r="AG115" s="55"/>
      <c r="AH115" s="55"/>
      <c r="AI115" s="55"/>
      <c r="AK115" s="55"/>
      <c r="AL115" s="55"/>
      <c r="AM115" s="55"/>
      <c r="AN115" s="55"/>
      <c r="AP115" s="55"/>
      <c r="AQ115" s="55"/>
      <c r="AR115" s="55"/>
      <c r="AS115" s="55"/>
      <c r="AU115" s="382"/>
      <c r="AV115" s="382"/>
      <c r="AW115" s="382"/>
      <c r="AX115" s="382"/>
      <c r="AZ115" s="55"/>
      <c r="BA115" s="55"/>
      <c r="BB115" s="55"/>
      <c r="BC115" s="55"/>
      <c r="BE115" s="55"/>
      <c r="BF115" s="55"/>
      <c r="BG115" s="55"/>
      <c r="BH115" s="55"/>
      <c r="BJ115" s="382"/>
      <c r="BK115" s="382"/>
      <c r="BL115" s="382"/>
      <c r="BM115" s="382"/>
      <c r="BO115" s="382"/>
      <c r="BP115" s="382"/>
      <c r="BQ115" s="382"/>
      <c r="BR115" s="382"/>
      <c r="BT115" s="382"/>
      <c r="BU115" s="382"/>
      <c r="BV115" s="382"/>
      <c r="BW115" s="382"/>
      <c r="BY115" s="382"/>
      <c r="BZ115" s="382"/>
      <c r="CA115" s="382"/>
      <c r="CB115" s="382"/>
      <c r="CD115" s="382"/>
      <c r="CE115" s="382"/>
      <c r="CF115" s="382"/>
      <c r="CG115" s="382"/>
      <c r="CI115" s="382"/>
      <c r="CJ115" s="382"/>
      <c r="CK115" s="382"/>
      <c r="CL115" s="382"/>
      <c r="CN115" s="382"/>
      <c r="CO115" s="382"/>
      <c r="CP115" s="382"/>
      <c r="CQ115" s="382"/>
      <c r="CS115" s="382"/>
      <c r="CT115" s="382"/>
      <c r="CU115" s="382"/>
      <c r="CV115" s="382"/>
      <c r="CX115" s="382"/>
      <c r="CY115" s="382"/>
      <c r="CZ115" s="382"/>
      <c r="DA115" s="382"/>
    </row>
    <row r="116" spans="2:105">
      <c r="B116" s="349" t="s">
        <v>537</v>
      </c>
      <c r="C116">
        <v>5</v>
      </c>
      <c r="D116">
        <v>13</v>
      </c>
      <c r="E116">
        <v>7</v>
      </c>
      <c r="F116">
        <v>8</v>
      </c>
      <c r="G116">
        <v>27</v>
      </c>
      <c r="H116">
        <v>57</v>
      </c>
      <c r="I116">
        <v>27</v>
      </c>
      <c r="J116">
        <v>12</v>
      </c>
      <c r="K116">
        <v>13</v>
      </c>
      <c r="L116" s="55">
        <v>13</v>
      </c>
      <c r="M116" s="55">
        <v>13</v>
      </c>
      <c r="N116" s="55">
        <v>0</v>
      </c>
      <c r="O116" s="55">
        <v>3</v>
      </c>
      <c r="P116">
        <v>28</v>
      </c>
      <c r="Q116" s="55">
        <v>8</v>
      </c>
      <c r="R116" s="55">
        <v>7</v>
      </c>
      <c r="S116" s="55">
        <v>5</v>
      </c>
      <c r="T116" s="55">
        <v>9</v>
      </c>
      <c r="U116">
        <v>30</v>
      </c>
      <c r="V116" s="55">
        <v>10</v>
      </c>
      <c r="W116" s="55">
        <v>18</v>
      </c>
      <c r="X116" s="55">
        <v>24</v>
      </c>
      <c r="Y116" s="55">
        <v>18</v>
      </c>
      <c r="Z116">
        <v>69</v>
      </c>
      <c r="AA116" s="55">
        <v>27</v>
      </c>
      <c r="AB116" s="55">
        <v>12</v>
      </c>
      <c r="AC116" s="55">
        <v>10</v>
      </c>
      <c r="AD116" s="55">
        <v>15</v>
      </c>
      <c r="AE116">
        <v>63</v>
      </c>
      <c r="AF116" s="55">
        <v>47</v>
      </c>
      <c r="AG116" s="55">
        <v>13</v>
      </c>
      <c r="AH116" s="55">
        <v>7</v>
      </c>
      <c r="AI116" s="55">
        <v>3</v>
      </c>
      <c r="AJ116">
        <v>70</v>
      </c>
      <c r="AK116" s="55">
        <v>9</v>
      </c>
      <c r="AL116" s="55">
        <v>74</v>
      </c>
      <c r="AM116" s="55">
        <v>3</v>
      </c>
      <c r="AN116" s="55">
        <v>2</v>
      </c>
      <c r="AO116">
        <v>87</v>
      </c>
      <c r="AP116" s="55">
        <v>0</v>
      </c>
      <c r="AQ116" s="55">
        <v>33</v>
      </c>
      <c r="AR116" s="55">
        <v>0</v>
      </c>
      <c r="AS116" s="55">
        <v>13</v>
      </c>
      <c r="AT116">
        <v>45</v>
      </c>
      <c r="AU116" s="382">
        <v>38</v>
      </c>
      <c r="AV116" s="382">
        <v>0</v>
      </c>
      <c r="AW116" s="382">
        <v>0</v>
      </c>
      <c r="AX116" s="382">
        <v>22</v>
      </c>
      <c r="AY116">
        <v>59</v>
      </c>
      <c r="AZ116" s="55">
        <v>29</v>
      </c>
      <c r="BA116" s="55">
        <v>10</v>
      </c>
      <c r="BB116" s="55">
        <v>7</v>
      </c>
      <c r="BC116" s="55">
        <v>20</v>
      </c>
      <c r="BD116">
        <v>66</v>
      </c>
      <c r="BE116" s="55">
        <v>0</v>
      </c>
      <c r="BF116" s="55">
        <v>13</v>
      </c>
      <c r="BG116" s="55">
        <v>45</v>
      </c>
      <c r="BH116" s="55">
        <v>86</v>
      </c>
      <c r="BI116">
        <v>144</v>
      </c>
      <c r="BJ116" s="382">
        <v>21</v>
      </c>
      <c r="BK116" s="382">
        <v>17</v>
      </c>
      <c r="BL116" s="382">
        <v>10</v>
      </c>
      <c r="BM116" s="382">
        <v>14</v>
      </c>
      <c r="BN116">
        <v>63</v>
      </c>
      <c r="BO116" s="551">
        <f>5.2615+3.811</f>
        <v>9.0724999999999998</v>
      </c>
      <c r="BP116" s="432">
        <v>0</v>
      </c>
      <c r="BQ116" s="432">
        <v>0</v>
      </c>
      <c r="BR116" s="432">
        <v>0</v>
      </c>
      <c r="BS116" s="76">
        <f>SUM(BO116:BR116)</f>
        <v>9.0724999999999998</v>
      </c>
      <c r="BT116" s="382"/>
      <c r="BU116" s="382"/>
      <c r="BV116" s="382"/>
      <c r="BW116" s="382"/>
      <c r="BX116" s="76">
        <f>SUM(BT116:BW116)</f>
        <v>0</v>
      </c>
      <c r="BY116" s="382"/>
      <c r="BZ116" s="382"/>
      <c r="CA116" s="382"/>
      <c r="CB116" s="382"/>
      <c r="CD116" s="382"/>
      <c r="CE116" s="382"/>
      <c r="CF116" s="382"/>
      <c r="CG116" s="382"/>
      <c r="CI116" s="382"/>
      <c r="CJ116" s="382"/>
      <c r="CK116" s="382"/>
      <c r="CL116" s="382"/>
      <c r="CN116" s="382"/>
      <c r="CO116" s="382"/>
      <c r="CP116" s="382"/>
      <c r="CQ116" s="382"/>
      <c r="CS116" s="382"/>
      <c r="CT116" s="382"/>
      <c r="CU116" s="382"/>
      <c r="CV116" s="382"/>
      <c r="CX116" s="382"/>
      <c r="CY116" s="382"/>
      <c r="CZ116" s="382"/>
      <c r="DA116" s="382"/>
    </row>
    <row r="117" spans="2:105">
      <c r="B117" t="s">
        <v>182</v>
      </c>
      <c r="C117" s="34">
        <v>40.9</v>
      </c>
      <c r="D117" s="34">
        <v>23.29</v>
      </c>
      <c r="E117" s="34">
        <v>39.14</v>
      </c>
      <c r="F117" s="34">
        <v>58.44</v>
      </c>
      <c r="G117" s="34">
        <v>27.03</v>
      </c>
      <c r="H117" s="34">
        <v>15.89</v>
      </c>
      <c r="I117" s="34">
        <v>37.81</v>
      </c>
      <c r="J117" s="34">
        <v>65.569999999999993</v>
      </c>
      <c r="K117" s="34">
        <v>58.07</v>
      </c>
      <c r="L117" s="55">
        <v>57.22</v>
      </c>
      <c r="M117" s="55">
        <v>45.44</v>
      </c>
      <c r="N117" s="55">
        <v>0</v>
      </c>
      <c r="O117" s="55">
        <v>45.76</v>
      </c>
      <c r="P117">
        <v>50.73</v>
      </c>
      <c r="Q117" s="55">
        <v>54.95</v>
      </c>
      <c r="R117" s="55">
        <v>61.51</v>
      </c>
      <c r="S117" s="55">
        <v>64.8</v>
      </c>
      <c r="T117" s="55">
        <v>62.76</v>
      </c>
      <c r="U117">
        <v>60.64</v>
      </c>
      <c r="V117" s="55">
        <v>64.36</v>
      </c>
      <c r="W117" s="55">
        <v>57.14</v>
      </c>
      <c r="X117" s="55">
        <v>58.25</v>
      </c>
      <c r="Y117" s="55">
        <v>58.13</v>
      </c>
      <c r="Z117">
        <v>58.83</v>
      </c>
      <c r="AA117" s="55">
        <v>62.5</v>
      </c>
      <c r="AB117" s="55">
        <v>61.98</v>
      </c>
      <c r="AC117" s="55">
        <v>80.95</v>
      </c>
      <c r="AD117" s="55">
        <v>83.73</v>
      </c>
      <c r="AE117">
        <v>70.14</v>
      </c>
      <c r="AF117" s="55">
        <v>72.400000000000006</v>
      </c>
      <c r="AG117" s="55">
        <v>67.38</v>
      </c>
      <c r="AH117" s="55">
        <v>69.180000000000007</v>
      </c>
      <c r="AI117" s="55">
        <v>74.7</v>
      </c>
      <c r="AJ117">
        <v>71.25</v>
      </c>
      <c r="AK117" s="55">
        <v>61.02</v>
      </c>
      <c r="AL117" s="55">
        <v>60.39</v>
      </c>
      <c r="AM117" s="55">
        <v>0</v>
      </c>
      <c r="AN117" s="55">
        <v>54.39</v>
      </c>
      <c r="AO117">
        <v>58.59</v>
      </c>
      <c r="AP117" s="55">
        <v>0</v>
      </c>
      <c r="AQ117" s="55">
        <v>47.37</v>
      </c>
      <c r="AR117" s="55">
        <v>0</v>
      </c>
      <c r="AS117" s="55">
        <v>55.57</v>
      </c>
      <c r="AT117">
        <v>50.07</v>
      </c>
      <c r="AU117" s="382">
        <v>53.25</v>
      </c>
      <c r="AV117" s="382">
        <v>0</v>
      </c>
      <c r="AW117" s="382">
        <v>0</v>
      </c>
      <c r="AX117" s="382">
        <v>55.72</v>
      </c>
      <c r="AY117">
        <v>54.16</v>
      </c>
      <c r="AZ117" s="55">
        <v>57.87</v>
      </c>
      <c r="BA117" s="55">
        <v>59.81</v>
      </c>
      <c r="BB117" s="55">
        <v>55.15</v>
      </c>
      <c r="BC117" s="55">
        <v>55.55</v>
      </c>
      <c r="BD117">
        <v>57.19</v>
      </c>
      <c r="BE117" s="55">
        <v>0</v>
      </c>
      <c r="BF117" s="55">
        <v>56.87</v>
      </c>
      <c r="BG117" s="55">
        <v>53.32</v>
      </c>
      <c r="BH117" s="55">
        <v>60.47</v>
      </c>
      <c r="BI117">
        <v>57.99</v>
      </c>
      <c r="BJ117" s="382">
        <v>67.92</v>
      </c>
      <c r="BK117" s="382">
        <v>69.31</v>
      </c>
      <c r="BL117" s="382">
        <v>82.18</v>
      </c>
      <c r="BM117" s="382">
        <v>86.56</v>
      </c>
      <c r="BN117">
        <v>73.900000000000006</v>
      </c>
      <c r="BO117" s="430">
        <v>85.03</v>
      </c>
      <c r="BP117" s="432">
        <v>0</v>
      </c>
      <c r="BQ117" s="432">
        <v>0</v>
      </c>
      <c r="BR117" s="432">
        <v>0</v>
      </c>
      <c r="BS117" s="76"/>
      <c r="BT117" s="382"/>
      <c r="BU117" s="382"/>
      <c r="BV117" s="382"/>
      <c r="BW117" s="382"/>
      <c r="BX117" s="76"/>
      <c r="BY117" s="382"/>
      <c r="BZ117" s="382"/>
      <c r="CA117" s="382"/>
      <c r="CB117" s="382"/>
      <c r="CD117" s="382"/>
      <c r="CE117" s="382"/>
      <c r="CF117" s="382"/>
      <c r="CG117" s="382"/>
      <c r="CI117" s="382"/>
      <c r="CJ117" s="382"/>
      <c r="CK117" s="382"/>
      <c r="CL117" s="382"/>
      <c r="CN117" s="382"/>
      <c r="CO117" s="382"/>
      <c r="CP117" s="382"/>
      <c r="CQ117" s="382"/>
      <c r="CS117" s="382"/>
      <c r="CT117" s="382"/>
      <c r="CU117" s="382"/>
      <c r="CV117" s="382"/>
      <c r="CX117" s="382"/>
      <c r="CY117" s="382"/>
      <c r="CZ117" s="382"/>
      <c r="DA117" s="382"/>
    </row>
    <row r="118" spans="2:105">
      <c r="B118" t="s">
        <v>183</v>
      </c>
      <c r="C118">
        <v>207</v>
      </c>
      <c r="D118">
        <v>301</v>
      </c>
      <c r="E118">
        <v>286</v>
      </c>
      <c r="F118">
        <v>450</v>
      </c>
      <c r="G118">
        <v>738</v>
      </c>
      <c r="H118">
        <v>912</v>
      </c>
      <c r="I118" s="1">
        <v>1025</v>
      </c>
      <c r="J118">
        <v>800</v>
      </c>
      <c r="K118">
        <v>738</v>
      </c>
      <c r="L118" s="55">
        <v>715</v>
      </c>
      <c r="M118" s="55">
        <v>591</v>
      </c>
      <c r="N118" s="55">
        <v>0</v>
      </c>
      <c r="O118" s="55">
        <v>114</v>
      </c>
      <c r="P118">
        <v>1420</v>
      </c>
      <c r="Q118" s="55">
        <v>451</v>
      </c>
      <c r="R118" s="55">
        <v>449</v>
      </c>
      <c r="S118" s="55">
        <v>324</v>
      </c>
      <c r="T118" s="55">
        <v>577</v>
      </c>
      <c r="U118">
        <v>1801</v>
      </c>
      <c r="V118" s="55">
        <v>650</v>
      </c>
      <c r="W118" s="55">
        <v>1000</v>
      </c>
      <c r="X118" s="55">
        <v>1398</v>
      </c>
      <c r="Y118" s="55">
        <v>1025</v>
      </c>
      <c r="Z118">
        <v>4073</v>
      </c>
      <c r="AA118" s="55">
        <v>1675</v>
      </c>
      <c r="AB118" s="55">
        <v>750</v>
      </c>
      <c r="AC118" s="55">
        <v>769</v>
      </c>
      <c r="AD118" s="55">
        <v>1238</v>
      </c>
      <c r="AE118">
        <v>4432</v>
      </c>
      <c r="AF118" s="55">
        <v>3374</v>
      </c>
      <c r="AG118" s="55">
        <v>876</v>
      </c>
      <c r="AH118" s="55">
        <v>505</v>
      </c>
      <c r="AI118" s="55">
        <v>245</v>
      </c>
      <c r="AJ118">
        <v>5000</v>
      </c>
      <c r="AK118" s="55">
        <v>537</v>
      </c>
      <c r="AL118" s="55">
        <v>4463</v>
      </c>
      <c r="AM118" s="55">
        <v>0</v>
      </c>
      <c r="AN118" s="55">
        <v>100</v>
      </c>
      <c r="AO118">
        <v>5100</v>
      </c>
      <c r="AP118" s="55">
        <v>0</v>
      </c>
      <c r="AQ118" s="55">
        <v>1549</v>
      </c>
      <c r="AR118" s="55">
        <v>19</v>
      </c>
      <c r="AS118" s="55">
        <v>700</v>
      </c>
      <c r="AT118">
        <v>2268</v>
      </c>
      <c r="AU118" s="382">
        <v>1997</v>
      </c>
      <c r="AV118" s="382">
        <v>0</v>
      </c>
      <c r="AW118" s="382">
        <v>0</v>
      </c>
      <c r="AX118" s="382">
        <v>1211</v>
      </c>
      <c r="AY118">
        <v>3208</v>
      </c>
      <c r="AZ118" s="55">
        <v>1684</v>
      </c>
      <c r="BA118" s="55">
        <v>616</v>
      </c>
      <c r="BB118" s="55">
        <v>364</v>
      </c>
      <c r="BC118" s="55">
        <v>1136</v>
      </c>
      <c r="BD118">
        <v>3800</v>
      </c>
      <c r="BE118" s="55">
        <v>14</v>
      </c>
      <c r="BF118" s="55">
        <v>732</v>
      </c>
      <c r="BG118" s="55">
        <v>2421</v>
      </c>
      <c r="BH118" s="55">
        <v>5200</v>
      </c>
      <c r="BI118">
        <v>8367</v>
      </c>
      <c r="BJ118" s="382">
        <v>1429</v>
      </c>
      <c r="BK118" s="382">
        <v>1203</v>
      </c>
      <c r="BL118" s="382">
        <v>797</v>
      </c>
      <c r="BM118" s="382">
        <v>1200</v>
      </c>
      <c r="BN118">
        <v>4629</v>
      </c>
      <c r="BO118" s="550">
        <f>BO117*BO116</f>
        <v>771.43467499999997</v>
      </c>
      <c r="BP118" s="432">
        <v>0</v>
      </c>
      <c r="BQ118" s="432">
        <v>0</v>
      </c>
      <c r="BR118" s="432">
        <v>0</v>
      </c>
      <c r="BS118" s="76">
        <f>SUM(BO118:BR118)</f>
        <v>771.43467499999997</v>
      </c>
      <c r="BT118" s="382"/>
      <c r="BU118" s="382"/>
      <c r="BV118" s="382"/>
      <c r="BW118" s="382"/>
      <c r="BX118" s="76">
        <f>SUM(BT118:BW118)</f>
        <v>0</v>
      </c>
      <c r="BY118" s="382"/>
      <c r="BZ118" s="382"/>
      <c r="CA118" s="382"/>
      <c r="CB118" s="382"/>
      <c r="CD118" s="382"/>
      <c r="CE118" s="382"/>
      <c r="CF118" s="382"/>
      <c r="CG118" s="382"/>
      <c r="CI118" s="382"/>
      <c r="CJ118" s="382"/>
      <c r="CK118" s="382"/>
      <c r="CL118" s="382"/>
      <c r="CN118" s="382"/>
      <c r="CO118" s="382"/>
      <c r="CP118" s="382"/>
      <c r="CQ118" s="382"/>
      <c r="CS118" s="382"/>
      <c r="CT118" s="382"/>
      <c r="CU118" s="382"/>
      <c r="CV118" s="382"/>
      <c r="CX118" s="382"/>
      <c r="CY118" s="382"/>
      <c r="CZ118" s="382"/>
      <c r="DA118" s="382"/>
    </row>
    <row r="119" spans="2:105">
      <c r="B119" t="s">
        <v>184</v>
      </c>
      <c r="D119" s="32">
        <v>331</v>
      </c>
      <c r="G119" s="32">
        <v>712</v>
      </c>
      <c r="I119" s="32">
        <v>1648</v>
      </c>
      <c r="J119" s="32">
        <v>2848</v>
      </c>
      <c r="K119" s="32">
        <v>1263</v>
      </c>
      <c r="L119" s="55">
        <v>547</v>
      </c>
      <c r="M119" s="55">
        <v>1957</v>
      </c>
      <c r="N119" s="55">
        <v>1957</v>
      </c>
      <c r="O119" s="55">
        <v>1842</v>
      </c>
      <c r="P119">
        <v>1842</v>
      </c>
      <c r="Q119" s="55">
        <v>1392</v>
      </c>
      <c r="R119" s="55">
        <v>943</v>
      </c>
      <c r="S119" s="55">
        <v>619</v>
      </c>
      <c r="T119" s="55">
        <v>5000</v>
      </c>
      <c r="U119">
        <v>5000</v>
      </c>
      <c r="V119" s="55">
        <v>4400</v>
      </c>
      <c r="W119" s="55">
        <v>3400</v>
      </c>
      <c r="X119" s="55">
        <v>1993</v>
      </c>
      <c r="Y119" s="55">
        <v>5969</v>
      </c>
      <c r="Z119">
        <v>5969</v>
      </c>
      <c r="AA119" s="55">
        <v>4294</v>
      </c>
      <c r="AB119" s="55">
        <v>3544</v>
      </c>
      <c r="AC119" s="55">
        <v>2775</v>
      </c>
      <c r="AD119" s="55">
        <v>6539</v>
      </c>
      <c r="AE119">
        <v>6539</v>
      </c>
      <c r="AF119" s="55">
        <v>3165</v>
      </c>
      <c r="AG119" s="55">
        <v>2289</v>
      </c>
      <c r="AH119" s="55">
        <v>1784</v>
      </c>
      <c r="AI119" s="55">
        <v>6539</v>
      </c>
      <c r="AJ119">
        <v>6539</v>
      </c>
      <c r="AK119" s="55">
        <v>6002</v>
      </c>
      <c r="AL119" s="55">
        <v>1539</v>
      </c>
      <c r="AM119" s="55">
        <v>6500</v>
      </c>
      <c r="AN119" s="55">
        <v>6439</v>
      </c>
      <c r="AO119">
        <v>6439</v>
      </c>
      <c r="AP119" s="55">
        <v>6400</v>
      </c>
      <c r="AQ119" s="55">
        <v>4900</v>
      </c>
      <c r="AR119" s="55">
        <v>4900</v>
      </c>
      <c r="AS119" s="55">
        <v>4171</v>
      </c>
      <c r="AT119">
        <v>4171</v>
      </c>
      <c r="AU119" s="382">
        <v>2200</v>
      </c>
      <c r="AV119" s="382">
        <v>2200</v>
      </c>
      <c r="AW119" s="382">
        <v>2200</v>
      </c>
      <c r="AX119" s="382">
        <v>5963</v>
      </c>
      <c r="AY119">
        <v>5963</v>
      </c>
      <c r="AZ119" s="55">
        <v>4300</v>
      </c>
      <c r="BA119" s="55">
        <v>3700</v>
      </c>
      <c r="BB119" s="55">
        <v>3300</v>
      </c>
      <c r="BC119" s="55">
        <v>2163</v>
      </c>
      <c r="BD119">
        <v>2163</v>
      </c>
      <c r="BE119" s="55">
        <v>2163</v>
      </c>
      <c r="BF119" s="55">
        <v>6432</v>
      </c>
      <c r="BG119" s="55">
        <v>4011</v>
      </c>
      <c r="BH119" s="55">
        <v>5000</v>
      </c>
      <c r="BI119">
        <v>5000</v>
      </c>
      <c r="BJ119" s="382">
        <v>3571</v>
      </c>
      <c r="BK119" s="382">
        <v>2368</v>
      </c>
      <c r="BL119" s="382">
        <v>1571</v>
      </c>
      <c r="BM119" s="382">
        <v>2371</v>
      </c>
      <c r="BN119">
        <v>2371</v>
      </c>
      <c r="BO119" s="551">
        <v>1559.8385410000001</v>
      </c>
      <c r="BP119" s="550">
        <f>BO119-BP118</f>
        <v>1559.8385410000001</v>
      </c>
      <c r="BQ119" s="550">
        <f>BP119-BQ118</f>
        <v>1559.8385410000001</v>
      </c>
      <c r="BR119" s="550">
        <f>BQ119-BR118</f>
        <v>1559.8385410000001</v>
      </c>
      <c r="BS119" s="76">
        <f>BR119</f>
        <v>1559.8385410000001</v>
      </c>
      <c r="BT119" s="382"/>
      <c r="BU119" s="382"/>
      <c r="BV119" s="382"/>
      <c r="BW119" s="382"/>
      <c r="BX119" s="76">
        <f>BW119</f>
        <v>0</v>
      </c>
      <c r="BY119" s="382"/>
      <c r="BZ119" s="382"/>
      <c r="CA119" s="382"/>
      <c r="CB119" s="382"/>
      <c r="CD119" s="382"/>
      <c r="CE119" s="382"/>
      <c r="CF119" s="382"/>
      <c r="CG119" s="382"/>
      <c r="CI119" s="382"/>
      <c r="CJ119" s="382"/>
      <c r="CK119" s="382"/>
      <c r="CL119" s="382"/>
      <c r="CN119" s="382"/>
      <c r="CO119" s="382"/>
      <c r="CP119" s="382"/>
      <c r="CQ119" s="382"/>
      <c r="CS119" s="382"/>
      <c r="CT119" s="382"/>
      <c r="CU119" s="382"/>
      <c r="CV119" s="382"/>
      <c r="CX119" s="382"/>
      <c r="CY119" s="382"/>
      <c r="CZ119" s="382"/>
      <c r="DA119" s="382"/>
    </row>
    <row r="120" spans="2:105">
      <c r="L120" s="55"/>
      <c r="M120" s="55"/>
      <c r="N120" s="55"/>
      <c r="O120" s="55"/>
      <c r="Q120" s="55"/>
      <c r="R120" s="55"/>
      <c r="S120" s="55"/>
      <c r="T120" s="55"/>
      <c r="V120" s="55"/>
      <c r="W120" s="55"/>
      <c r="X120" s="55"/>
      <c r="Y120" s="55"/>
      <c r="AA120" s="55"/>
      <c r="AB120" s="55"/>
      <c r="AC120" s="55"/>
      <c r="AD120" s="55"/>
      <c r="AF120" s="55"/>
      <c r="AG120" s="55"/>
      <c r="AH120" s="55"/>
      <c r="AI120" s="55"/>
      <c r="AK120" s="55"/>
      <c r="AL120" s="55"/>
      <c r="AM120" s="55"/>
      <c r="AN120" s="55"/>
      <c r="AP120" s="55"/>
      <c r="AQ120" s="55"/>
      <c r="AR120" s="55"/>
      <c r="AS120" s="55"/>
      <c r="AU120" s="382"/>
      <c r="AV120" s="382"/>
      <c r="AW120" s="382"/>
      <c r="AX120" s="382"/>
      <c r="AZ120" s="55"/>
      <c r="BA120" s="55"/>
      <c r="BB120" s="55"/>
      <c r="BC120" s="55"/>
      <c r="BE120" s="55"/>
      <c r="BF120" s="55"/>
      <c r="BG120" s="55"/>
      <c r="BH120" s="55"/>
      <c r="BJ120" s="382"/>
      <c r="BK120" s="382"/>
      <c r="BL120" s="382"/>
      <c r="BM120" s="382"/>
      <c r="BO120" s="382"/>
      <c r="BP120" s="382"/>
      <c r="BQ120" s="382"/>
      <c r="BR120" s="382"/>
      <c r="BT120" s="382"/>
      <c r="BU120" s="382"/>
      <c r="BV120" s="382"/>
      <c r="BW120" s="382"/>
      <c r="BY120" s="382"/>
      <c r="BZ120" s="382"/>
      <c r="CA120" s="382"/>
      <c r="CB120" s="382"/>
      <c r="CD120" s="382"/>
      <c r="CE120" s="382"/>
      <c r="CF120" s="382"/>
      <c r="CG120" s="382"/>
      <c r="CI120" s="382"/>
      <c r="CJ120" s="382"/>
      <c r="CK120" s="382"/>
      <c r="CL120" s="382"/>
      <c r="CN120" s="382"/>
      <c r="CO120" s="382"/>
      <c r="CP120" s="382"/>
      <c r="CQ120" s="382"/>
      <c r="CS120" s="382"/>
      <c r="CT120" s="382"/>
      <c r="CU120" s="382"/>
      <c r="CV120" s="382"/>
      <c r="CX120" s="382"/>
      <c r="CY120" s="382"/>
      <c r="CZ120" s="382"/>
      <c r="DA120" s="382"/>
    </row>
    <row r="121" spans="2:105">
      <c r="B121" s="40" t="s">
        <v>181</v>
      </c>
      <c r="L121" s="55"/>
      <c r="M121" s="55"/>
      <c r="N121" s="55"/>
      <c r="O121" s="55"/>
      <c r="Q121" s="55"/>
      <c r="R121" s="55"/>
      <c r="S121" s="55"/>
      <c r="T121" s="55"/>
      <c r="V121" s="55"/>
      <c r="W121" s="55"/>
      <c r="X121" s="55"/>
      <c r="Y121" s="55"/>
      <c r="AA121" s="55"/>
      <c r="AB121" s="55"/>
      <c r="AC121" s="55"/>
      <c r="AD121" s="55"/>
      <c r="AF121" s="55"/>
      <c r="AG121" s="55"/>
      <c r="AH121" s="55"/>
      <c r="AI121" s="55"/>
      <c r="AK121" s="55"/>
      <c r="AL121" s="55"/>
      <c r="AM121" s="55"/>
      <c r="AN121" s="55"/>
      <c r="AP121" s="55"/>
      <c r="AQ121" s="55"/>
      <c r="AR121" s="55"/>
      <c r="AS121" s="55"/>
      <c r="AU121" s="382"/>
      <c r="AV121" s="382"/>
      <c r="AW121" s="382"/>
      <c r="AX121" s="382"/>
      <c r="AZ121" s="55"/>
      <c r="BA121" s="55"/>
      <c r="BB121" s="55"/>
      <c r="BC121" s="55"/>
      <c r="BE121" s="55"/>
      <c r="BF121" s="55"/>
      <c r="BG121" s="55"/>
      <c r="BH121" s="55"/>
      <c r="BJ121" s="382"/>
      <c r="BK121" s="382"/>
      <c r="BL121" s="382"/>
      <c r="BM121" s="382"/>
      <c r="BO121" s="382"/>
      <c r="BP121" s="382"/>
      <c r="BQ121" s="382"/>
      <c r="BR121" s="382"/>
      <c r="BT121" s="382"/>
      <c r="BU121" s="382"/>
      <c r="BV121" s="382"/>
      <c r="BW121" s="382"/>
      <c r="BY121" s="382"/>
      <c r="BZ121" s="382"/>
      <c r="CA121" s="382"/>
      <c r="CB121" s="382"/>
      <c r="CD121" s="382"/>
      <c r="CE121" s="382"/>
      <c r="CF121" s="382"/>
      <c r="CG121" s="382"/>
      <c r="CI121" s="382"/>
      <c r="CJ121" s="382"/>
      <c r="CK121" s="382"/>
      <c r="CL121" s="382"/>
      <c r="CN121" s="382"/>
      <c r="CO121" s="382"/>
      <c r="CP121" s="382"/>
      <c r="CQ121" s="382"/>
      <c r="CS121" s="382"/>
      <c r="CT121" s="382"/>
      <c r="CU121" s="382"/>
      <c r="CV121" s="382"/>
      <c r="CX121" s="382"/>
      <c r="CY121" s="382"/>
      <c r="CZ121" s="382"/>
      <c r="DA121" s="382"/>
    </row>
    <row r="122" spans="2:105">
      <c r="B122" t="s">
        <v>110</v>
      </c>
      <c r="L122" s="55"/>
      <c r="M122" s="55"/>
      <c r="N122" s="55"/>
      <c r="O122" s="55"/>
      <c r="Q122" s="55"/>
      <c r="R122" s="55"/>
      <c r="S122" s="55"/>
      <c r="T122" s="55"/>
      <c r="V122" s="55"/>
      <c r="W122" s="55"/>
      <c r="X122" s="55"/>
      <c r="Y122" s="55"/>
      <c r="AA122" s="55"/>
      <c r="AB122" s="55"/>
      <c r="AC122" s="55"/>
      <c r="AD122" s="55"/>
      <c r="AF122" s="55"/>
      <c r="AG122" s="55"/>
      <c r="AH122" s="55"/>
      <c r="AI122" s="55"/>
      <c r="AK122" s="55"/>
      <c r="AL122" s="55"/>
      <c r="AM122" s="55"/>
      <c r="AN122" s="55"/>
      <c r="AP122" s="55"/>
      <c r="AQ122" s="55"/>
      <c r="AR122" s="55"/>
      <c r="AS122" s="55"/>
      <c r="AU122" s="382"/>
      <c r="AV122" s="382"/>
      <c r="AW122" s="382"/>
      <c r="AX122" s="382"/>
      <c r="AZ122" s="55"/>
      <c r="BA122" s="55"/>
      <c r="BB122" s="55"/>
      <c r="BC122" s="55"/>
      <c r="BE122" s="55"/>
      <c r="BF122" s="55"/>
      <c r="BG122" s="55"/>
      <c r="BH122" s="55"/>
      <c r="BJ122" s="382"/>
      <c r="BK122" s="382"/>
      <c r="BL122" s="382"/>
      <c r="BM122" s="382"/>
      <c r="BO122" s="382"/>
      <c r="BP122" s="382"/>
      <c r="BQ122" s="382"/>
      <c r="BR122" s="382"/>
      <c r="BT122" s="382"/>
      <c r="BU122" s="382"/>
      <c r="BV122" s="382"/>
      <c r="BW122" s="382"/>
      <c r="BY122" s="382"/>
      <c r="BZ122" s="382"/>
      <c r="CA122" s="382"/>
      <c r="CB122" s="382"/>
      <c r="CD122" s="382"/>
      <c r="CE122" s="382"/>
      <c r="CF122" s="382"/>
      <c r="CG122" s="382"/>
      <c r="CI122" s="382"/>
      <c r="CJ122" s="382"/>
      <c r="CK122" s="382"/>
      <c r="CL122" s="382"/>
      <c r="CN122" s="382"/>
      <c r="CO122" s="382"/>
      <c r="CP122" s="382"/>
      <c r="CQ122" s="382"/>
      <c r="CS122" s="382"/>
      <c r="CT122" s="382"/>
      <c r="CU122" s="382"/>
      <c r="CV122" s="382"/>
      <c r="CX122" s="382"/>
      <c r="CY122" s="382"/>
      <c r="CZ122" s="382"/>
      <c r="DA122" s="382"/>
    </row>
    <row r="123" spans="2:105">
      <c r="B123" t="s">
        <v>185</v>
      </c>
      <c r="C123" s="1">
        <v>1130</v>
      </c>
      <c r="D123" s="1">
        <v>1334</v>
      </c>
      <c r="E123" s="1">
        <v>1546</v>
      </c>
      <c r="F123" s="1">
        <v>1804</v>
      </c>
      <c r="G123" s="1">
        <v>2093</v>
      </c>
      <c r="H123" s="1">
        <v>2442</v>
      </c>
      <c r="I123" s="1">
        <v>3025</v>
      </c>
      <c r="J123" s="1">
        <v>3343</v>
      </c>
      <c r="K123" s="1">
        <v>3689</v>
      </c>
      <c r="L123" s="55"/>
      <c r="M123" s="55"/>
      <c r="N123" s="55"/>
      <c r="O123" s="55"/>
      <c r="P123">
        <v>5026</v>
      </c>
      <c r="Q123" s="55"/>
      <c r="R123" s="55"/>
      <c r="S123" s="55"/>
      <c r="T123" s="55"/>
      <c r="U123">
        <v>7246</v>
      </c>
      <c r="V123" s="55"/>
      <c r="W123" s="55"/>
      <c r="X123" s="55"/>
      <c r="Y123" s="55"/>
      <c r="Z123">
        <v>8847</v>
      </c>
      <c r="AA123" s="55"/>
      <c r="AB123" s="55"/>
      <c r="AC123" s="55"/>
      <c r="AD123" s="55"/>
      <c r="AE123">
        <v>10298</v>
      </c>
      <c r="AF123" s="55"/>
      <c r="AG123" s="55"/>
      <c r="AH123" s="55"/>
      <c r="AI123" s="55"/>
      <c r="AJ123">
        <v>11782</v>
      </c>
      <c r="AK123" s="55"/>
      <c r="AL123" s="55"/>
      <c r="AM123" s="55"/>
      <c r="AN123" s="55"/>
      <c r="AO123">
        <v>11887</v>
      </c>
      <c r="AP123" s="55"/>
      <c r="AQ123" s="55"/>
      <c r="AR123" s="55"/>
      <c r="AS123" s="55"/>
      <c r="AT123">
        <v>11772</v>
      </c>
      <c r="AU123" s="382"/>
      <c r="AV123" s="382"/>
      <c r="AW123" s="382"/>
      <c r="AX123" s="382"/>
      <c r="AY123">
        <v>11421</v>
      </c>
      <c r="AZ123" s="55"/>
      <c r="BA123" s="55"/>
      <c r="BB123" s="55"/>
      <c r="BC123" s="55"/>
      <c r="BD123">
        <v>11636</v>
      </c>
      <c r="BE123" s="55"/>
      <c r="BF123" s="55"/>
      <c r="BG123" s="55"/>
      <c r="BH123" s="55"/>
      <c r="BI123">
        <v>11985</v>
      </c>
      <c r="BJ123" s="382"/>
      <c r="BK123" s="382"/>
      <c r="BL123" s="382"/>
      <c r="BM123" s="382"/>
      <c r="BN123">
        <v>13415</v>
      </c>
      <c r="BO123" s="382"/>
      <c r="BP123" s="382"/>
      <c r="BQ123" s="382"/>
      <c r="BR123" s="382"/>
      <c r="BT123" s="382"/>
      <c r="BU123" s="382"/>
      <c r="BV123" s="382"/>
      <c r="BW123" s="382"/>
      <c r="BY123" s="382"/>
      <c r="BZ123" s="382"/>
      <c r="CA123" s="382"/>
      <c r="CB123" s="382"/>
      <c r="CD123" s="382"/>
      <c r="CE123" s="382"/>
      <c r="CF123" s="382"/>
      <c r="CG123" s="382"/>
      <c r="CI123" s="382"/>
      <c r="CJ123" s="382"/>
      <c r="CK123" s="382"/>
      <c r="CL123" s="382"/>
      <c r="CN123" s="382"/>
      <c r="CO123" s="382"/>
      <c r="CP123" s="382"/>
      <c r="CQ123" s="382"/>
      <c r="CS123" s="382"/>
      <c r="CT123" s="382"/>
      <c r="CU123" s="382"/>
      <c r="CV123" s="382"/>
      <c r="CX123" s="382"/>
      <c r="CY123" s="382"/>
      <c r="CZ123" s="382"/>
      <c r="DA123" s="382"/>
    </row>
    <row r="124" spans="2:105">
      <c r="B124" t="s">
        <v>186</v>
      </c>
      <c r="C124" s="1">
        <v>244</v>
      </c>
      <c r="D124" s="1">
        <v>314</v>
      </c>
      <c r="E124" s="1">
        <v>394</v>
      </c>
      <c r="F124" s="1">
        <v>436</v>
      </c>
      <c r="G124" s="1">
        <v>308</v>
      </c>
      <c r="H124" s="1">
        <v>277</v>
      </c>
      <c r="I124" s="1">
        <v>316</v>
      </c>
      <c r="J124" s="1">
        <v>286</v>
      </c>
      <c r="K124" s="1">
        <v>327</v>
      </c>
      <c r="L124" s="55"/>
      <c r="M124" s="55"/>
      <c r="N124" s="55"/>
      <c r="O124" s="55"/>
      <c r="P124">
        <v>497</v>
      </c>
      <c r="Q124" s="55"/>
      <c r="R124" s="55"/>
      <c r="S124" s="55"/>
      <c r="T124" s="55"/>
      <c r="U124">
        <v>1110</v>
      </c>
      <c r="V124" s="55"/>
      <c r="W124" s="55"/>
      <c r="X124" s="55"/>
      <c r="Y124" s="55"/>
      <c r="Z124">
        <v>1703</v>
      </c>
      <c r="AA124" s="55"/>
      <c r="AB124" s="55"/>
      <c r="AC124" s="55"/>
      <c r="AD124" s="55"/>
      <c r="AE124">
        <v>2132</v>
      </c>
      <c r="AF124" s="55"/>
      <c r="AG124" s="55"/>
      <c r="AH124" s="55"/>
      <c r="AI124" s="55"/>
      <c r="AJ124">
        <v>2486</v>
      </c>
      <c r="AK124" s="55"/>
      <c r="AL124" s="55"/>
      <c r="AM124" s="55"/>
      <c r="AN124" s="55"/>
      <c r="AO124">
        <v>2884</v>
      </c>
      <c r="AP124" s="55"/>
      <c r="AQ124" s="55"/>
      <c r="AR124" s="55"/>
      <c r="AS124" s="55"/>
      <c r="AT124">
        <v>3231</v>
      </c>
      <c r="AU124" s="382"/>
      <c r="AV124" s="382"/>
      <c r="AW124" s="382"/>
      <c r="AX124" s="382"/>
      <c r="AY124">
        <v>3221</v>
      </c>
      <c r="AZ124" s="55"/>
      <c r="BA124" s="55"/>
      <c r="BB124" s="55"/>
      <c r="BC124" s="55"/>
      <c r="BD124">
        <v>3417</v>
      </c>
      <c r="BE124" s="55"/>
      <c r="BF124" s="55"/>
      <c r="BG124" s="55"/>
      <c r="BH124" s="55"/>
      <c r="BI124">
        <v>3597</v>
      </c>
      <c r="BJ124" s="382"/>
      <c r="BK124" s="382"/>
      <c r="BL124" s="382"/>
      <c r="BM124" s="382"/>
      <c r="BN124">
        <v>3850</v>
      </c>
      <c r="BO124" s="382"/>
      <c r="BP124" s="382"/>
      <c r="BQ124" s="382"/>
      <c r="BR124" s="382"/>
      <c r="BT124" s="382"/>
      <c r="BU124" s="382"/>
      <c r="BV124" s="382"/>
      <c r="BW124" s="382"/>
      <c r="BY124" s="382"/>
      <c r="BZ124" s="382"/>
      <c r="CA124" s="382"/>
      <c r="CB124" s="382"/>
      <c r="CD124" s="382"/>
      <c r="CE124" s="382"/>
      <c r="CF124" s="382"/>
      <c r="CG124" s="382"/>
      <c r="CI124" s="382"/>
      <c r="CJ124" s="382"/>
      <c r="CK124" s="382"/>
      <c r="CL124" s="382"/>
      <c r="CN124" s="382"/>
      <c r="CO124" s="382"/>
      <c r="CP124" s="382"/>
      <c r="CQ124" s="382"/>
      <c r="CS124" s="382"/>
      <c r="CT124" s="382"/>
      <c r="CU124" s="382"/>
      <c r="CV124" s="382"/>
      <c r="CX124" s="382"/>
      <c r="CY124" s="382"/>
      <c r="CZ124" s="382"/>
      <c r="DA124" s="382"/>
    </row>
    <row r="125" spans="2:105">
      <c r="B125" t="s">
        <v>187</v>
      </c>
      <c r="C125" s="1">
        <v>1374</v>
      </c>
      <c r="D125" s="1">
        <v>1648</v>
      </c>
      <c r="E125" s="1">
        <v>1940</v>
      </c>
      <c r="F125" s="1">
        <v>2240</v>
      </c>
      <c r="G125" s="1">
        <v>2401</v>
      </c>
      <c r="H125" s="1">
        <v>2718</v>
      </c>
      <c r="I125" s="1">
        <v>3340</v>
      </c>
      <c r="J125" s="1">
        <v>3629</v>
      </c>
      <c r="K125" s="1">
        <v>4016</v>
      </c>
      <c r="L125" s="55"/>
      <c r="M125" s="55"/>
      <c r="N125" s="55"/>
      <c r="O125" s="55"/>
      <c r="P125">
        <v>5523</v>
      </c>
      <c r="Q125" s="55"/>
      <c r="R125" s="55"/>
      <c r="S125" s="55"/>
      <c r="T125" s="55"/>
      <c r="U125">
        <v>8356</v>
      </c>
      <c r="V125" s="55"/>
      <c r="W125" s="55"/>
      <c r="X125" s="55"/>
      <c r="Y125" s="55"/>
      <c r="Z125">
        <v>10550</v>
      </c>
      <c r="AA125" s="55"/>
      <c r="AB125" s="55"/>
      <c r="AC125" s="55"/>
      <c r="AD125" s="55"/>
      <c r="AE125">
        <v>12430</v>
      </c>
      <c r="AF125" s="55"/>
      <c r="AG125" s="55"/>
      <c r="AH125" s="55"/>
      <c r="AI125" s="55"/>
      <c r="AJ125">
        <v>14268</v>
      </c>
      <c r="AK125" s="55"/>
      <c r="AL125" s="55"/>
      <c r="AM125" s="55"/>
      <c r="AN125" s="55"/>
      <c r="AO125">
        <v>14771</v>
      </c>
      <c r="AP125" s="55"/>
      <c r="AQ125" s="55"/>
      <c r="AR125" s="55"/>
      <c r="AS125" s="55"/>
      <c r="AT125">
        <v>15003</v>
      </c>
      <c r="AU125" s="382"/>
      <c r="AV125" s="382"/>
      <c r="AW125" s="382"/>
      <c r="AX125" s="382"/>
      <c r="AY125">
        <v>14642</v>
      </c>
      <c r="AZ125" s="55"/>
      <c r="BA125" s="55"/>
      <c r="BB125" s="55"/>
      <c r="BC125" s="55"/>
      <c r="BD125">
        <v>15053</v>
      </c>
      <c r="BE125" s="55"/>
      <c r="BF125" s="55"/>
      <c r="BG125" s="55"/>
      <c r="BH125" s="55"/>
      <c r="BI125">
        <v>15582</v>
      </c>
      <c r="BJ125" s="382"/>
      <c r="BK125" s="382"/>
      <c r="BL125" s="382"/>
      <c r="BM125" s="382"/>
      <c r="BN125">
        <v>17265</v>
      </c>
      <c r="BO125" s="382"/>
      <c r="BP125" s="382"/>
      <c r="BQ125" s="382"/>
      <c r="BR125" s="382"/>
      <c r="BT125" s="382"/>
      <c r="BU125" s="382"/>
      <c r="BV125" s="382"/>
      <c r="BW125" s="382"/>
      <c r="BY125" s="382"/>
      <c r="BZ125" s="382"/>
      <c r="CA125" s="382"/>
      <c r="CB125" s="382"/>
      <c r="CD125" s="382"/>
      <c r="CE125" s="382"/>
      <c r="CF125" s="382"/>
      <c r="CG125" s="382"/>
      <c r="CI125" s="382"/>
      <c r="CJ125" s="382"/>
      <c r="CK125" s="382"/>
      <c r="CL125" s="382"/>
      <c r="CN125" s="382"/>
      <c r="CO125" s="382"/>
      <c r="CP125" s="382"/>
      <c r="CQ125" s="382"/>
      <c r="CS125" s="382"/>
      <c r="CT125" s="382"/>
      <c r="CU125" s="382"/>
      <c r="CV125" s="382"/>
      <c r="CX125" s="382"/>
      <c r="CY125" s="382"/>
      <c r="CZ125" s="382"/>
      <c r="DA125" s="382"/>
    </row>
    <row r="126" spans="2:105">
      <c r="C126" s="1"/>
      <c r="D126" s="1"/>
      <c r="E126" s="1"/>
      <c r="F126" s="1"/>
      <c r="G126" s="1"/>
      <c r="H126" s="1"/>
      <c r="I126" s="1"/>
      <c r="J126" s="1"/>
      <c r="K126" s="1"/>
      <c r="L126" s="55"/>
      <c r="M126" s="55"/>
      <c r="N126" s="55"/>
      <c r="O126" s="55"/>
      <c r="Q126" s="55"/>
      <c r="R126" s="55"/>
      <c r="S126" s="55"/>
      <c r="T126" s="55"/>
      <c r="V126" s="55"/>
      <c r="W126" s="55"/>
      <c r="X126" s="55"/>
      <c r="Y126" s="55"/>
      <c r="AA126" s="55"/>
      <c r="AB126" s="55"/>
      <c r="AC126" s="55"/>
      <c r="AD126" s="55"/>
      <c r="AF126" s="55"/>
      <c r="AG126" s="55"/>
      <c r="AH126" s="55"/>
      <c r="AI126" s="55"/>
      <c r="AK126" s="55"/>
      <c r="AL126" s="55"/>
      <c r="AM126" s="55"/>
      <c r="AN126" s="55"/>
      <c r="AP126" s="55"/>
      <c r="AQ126" s="55"/>
      <c r="AR126" s="55"/>
      <c r="AS126" s="55"/>
      <c r="AU126" s="382"/>
      <c r="AV126" s="382"/>
      <c r="AW126" s="382"/>
      <c r="AX126" s="382"/>
      <c r="AZ126" s="55"/>
      <c r="BA126" s="55"/>
      <c r="BB126" s="55"/>
      <c r="BC126" s="55"/>
      <c r="BE126" s="55"/>
      <c r="BF126" s="55"/>
      <c r="BG126" s="55"/>
      <c r="BH126" s="55"/>
      <c r="BJ126" s="382"/>
      <c r="BK126" s="382"/>
      <c r="BL126" s="382"/>
      <c r="BM126" s="382"/>
      <c r="BO126" s="382"/>
      <c r="BP126" s="382"/>
      <c r="BQ126" s="382"/>
      <c r="BR126" s="382"/>
      <c r="BT126" s="382"/>
      <c r="BU126" s="382"/>
      <c r="BV126" s="382"/>
      <c r="BW126" s="382"/>
      <c r="BY126" s="382"/>
      <c r="BZ126" s="382"/>
      <c r="CA126" s="382"/>
      <c r="CB126" s="382"/>
      <c r="CD126" s="382"/>
      <c r="CE126" s="382"/>
      <c r="CF126" s="382"/>
      <c r="CG126" s="382"/>
      <c r="CI126" s="382"/>
      <c r="CJ126" s="382"/>
      <c r="CK126" s="382"/>
      <c r="CL126" s="382"/>
      <c r="CN126" s="382"/>
      <c r="CO126" s="382"/>
      <c r="CP126" s="382"/>
      <c r="CQ126" s="382"/>
      <c r="CS126" s="382"/>
      <c r="CT126" s="382"/>
      <c r="CU126" s="382"/>
      <c r="CV126" s="382"/>
      <c r="CX126" s="382"/>
      <c r="CY126" s="382"/>
      <c r="CZ126" s="382"/>
      <c r="DA126" s="382"/>
    </row>
    <row r="127" spans="2:105">
      <c r="B127" t="s">
        <v>189</v>
      </c>
      <c r="C127" s="1"/>
      <c r="D127" s="1"/>
      <c r="E127" s="1"/>
      <c r="F127" s="1"/>
      <c r="G127" s="1"/>
      <c r="H127" s="1"/>
      <c r="I127" s="1"/>
      <c r="J127" s="1"/>
      <c r="K127" s="1"/>
      <c r="L127" s="55"/>
      <c r="M127" s="55"/>
      <c r="N127" s="55"/>
      <c r="O127" s="55"/>
      <c r="Q127" s="55"/>
      <c r="R127" s="55"/>
      <c r="S127" s="55"/>
      <c r="T127" s="55"/>
      <c r="V127" s="55"/>
      <c r="W127" s="55"/>
      <c r="X127" s="55"/>
      <c r="Y127" s="55"/>
      <c r="AA127" s="55"/>
      <c r="AB127" s="55"/>
      <c r="AC127" s="55"/>
      <c r="AD127" s="55"/>
      <c r="AF127" s="55"/>
      <c r="AG127" s="55"/>
      <c r="AH127" s="55"/>
      <c r="AI127" s="55"/>
      <c r="AK127" s="55"/>
      <c r="AL127" s="55"/>
      <c r="AM127" s="55"/>
      <c r="AN127" s="55"/>
      <c r="AP127" s="55"/>
      <c r="AQ127" s="55"/>
      <c r="AR127" s="55"/>
      <c r="AS127" s="55"/>
      <c r="AU127" s="382"/>
      <c r="AV127" s="382"/>
      <c r="AW127" s="382"/>
      <c r="AX127" s="382"/>
      <c r="AZ127" s="55"/>
      <c r="BA127" s="55"/>
      <c r="BB127" s="55"/>
      <c r="BC127" s="55"/>
      <c r="BE127" s="55"/>
      <c r="BF127" s="55"/>
      <c r="BG127" s="55"/>
      <c r="BH127" s="55"/>
      <c r="BJ127" s="382"/>
      <c r="BK127" s="382"/>
      <c r="BL127" s="382"/>
      <c r="BM127" s="382"/>
      <c r="BO127" s="382"/>
      <c r="BP127" s="382"/>
      <c r="BQ127" s="382"/>
      <c r="BR127" s="382"/>
      <c r="BT127" s="382"/>
      <c r="BU127" s="382"/>
      <c r="BV127" s="382"/>
      <c r="BW127" s="382"/>
      <c r="BY127" s="382"/>
      <c r="BZ127" s="382"/>
      <c r="CA127" s="382"/>
      <c r="CB127" s="382"/>
      <c r="CD127" s="382"/>
      <c r="CE127" s="382"/>
      <c r="CF127" s="382"/>
      <c r="CG127" s="382"/>
      <c r="CI127" s="382"/>
      <c r="CJ127" s="382"/>
      <c r="CK127" s="382"/>
      <c r="CL127" s="382"/>
      <c r="CN127" s="382"/>
      <c r="CO127" s="382"/>
      <c r="CP127" s="382"/>
      <c r="CQ127" s="382"/>
      <c r="CS127" s="382"/>
      <c r="CT127" s="382"/>
      <c r="CU127" s="382"/>
      <c r="CV127" s="382"/>
      <c r="CX127" s="382"/>
      <c r="CY127" s="382"/>
      <c r="CZ127" s="382"/>
      <c r="DA127" s="382"/>
    </row>
    <row r="128" spans="2:105">
      <c r="B128" t="s">
        <v>185</v>
      </c>
      <c r="C128" s="1">
        <v>1132</v>
      </c>
      <c r="D128" s="1">
        <v>1338</v>
      </c>
      <c r="E128" s="1">
        <v>1544</v>
      </c>
      <c r="F128" s="1">
        <v>1804</v>
      </c>
      <c r="G128" s="1">
        <v>1954</v>
      </c>
      <c r="H128" s="1">
        <v>2251</v>
      </c>
      <c r="I128" s="1">
        <v>2708</v>
      </c>
      <c r="J128" s="1">
        <v>2964</v>
      </c>
      <c r="K128" s="1">
        <v>3201</v>
      </c>
      <c r="L128" s="55">
        <v>820</v>
      </c>
      <c r="M128" s="55">
        <v>1010</v>
      </c>
      <c r="N128" s="55">
        <v>1057</v>
      </c>
      <c r="O128" s="55">
        <v>1266</v>
      </c>
      <c r="P128">
        <v>4152</v>
      </c>
      <c r="Q128" s="55">
        <v>1170</v>
      </c>
      <c r="R128" s="55">
        <v>1371</v>
      </c>
      <c r="S128" s="55">
        <v>1457</v>
      </c>
      <c r="T128" s="55">
        <v>1541</v>
      </c>
      <c r="U128">
        <v>5539</v>
      </c>
      <c r="V128" s="55">
        <v>1442</v>
      </c>
      <c r="W128" s="55">
        <v>1590</v>
      </c>
      <c r="X128" s="55">
        <v>1669</v>
      </c>
      <c r="Y128" s="55">
        <v>1768</v>
      </c>
      <c r="Z128">
        <v>6469</v>
      </c>
      <c r="AA128" s="55">
        <v>1658</v>
      </c>
      <c r="AB128" s="55">
        <v>1914</v>
      </c>
      <c r="AC128" s="55">
        <v>1860</v>
      </c>
      <c r="AD128" s="55">
        <v>1974</v>
      </c>
      <c r="AE128">
        <v>7406</v>
      </c>
      <c r="AF128" s="55">
        <v>1938</v>
      </c>
      <c r="AG128" s="55">
        <v>2173</v>
      </c>
      <c r="AH128" s="55">
        <v>2194</v>
      </c>
      <c r="AI128" s="55">
        <v>2345</v>
      </c>
      <c r="AJ128">
        <v>8650</v>
      </c>
      <c r="AK128" s="55">
        <v>2191</v>
      </c>
      <c r="AL128" s="55">
        <v>2102</v>
      </c>
      <c r="AM128" s="55">
        <v>2032</v>
      </c>
      <c r="AN128" s="55">
        <v>2066</v>
      </c>
      <c r="AO128">
        <v>8391</v>
      </c>
      <c r="AP128" s="55">
        <v>1884</v>
      </c>
      <c r="AQ128" s="55">
        <v>2054</v>
      </c>
      <c r="AR128" s="55">
        <v>2091</v>
      </c>
      <c r="AS128" s="55">
        <v>2042</v>
      </c>
      <c r="AT128">
        <v>8054</v>
      </c>
      <c r="AU128" s="382">
        <v>2502</v>
      </c>
      <c r="AV128" s="382">
        <v>2833</v>
      </c>
      <c r="AW128" s="382">
        <v>2918</v>
      </c>
      <c r="AX128" s="382">
        <v>2882</v>
      </c>
      <c r="AY128">
        <v>11135</v>
      </c>
      <c r="AZ128" s="55">
        <v>2677</v>
      </c>
      <c r="BA128" s="55">
        <v>2787</v>
      </c>
      <c r="BB128" s="55">
        <v>2921</v>
      </c>
      <c r="BC128" s="55">
        <v>2869</v>
      </c>
      <c r="BD128">
        <v>11254</v>
      </c>
      <c r="BE128" s="55">
        <v>2778</v>
      </c>
      <c r="BF128" s="55">
        <v>2975</v>
      </c>
      <c r="BG128" s="55">
        <v>2965</v>
      </c>
      <c r="BH128" s="55">
        <v>3007</v>
      </c>
      <c r="BI128">
        <v>11725</v>
      </c>
      <c r="BJ128" s="382">
        <v>2997</v>
      </c>
      <c r="BK128" s="382">
        <v>3255</v>
      </c>
      <c r="BL128" s="382">
        <v>3248</v>
      </c>
      <c r="BM128" s="382">
        <v>3315</v>
      </c>
      <c r="BN128">
        <v>12815</v>
      </c>
      <c r="BO128" s="382">
        <v>3172</v>
      </c>
      <c r="BP128" s="382">
        <v>3561</v>
      </c>
      <c r="BQ128" s="382">
        <v>3625</v>
      </c>
      <c r="BR128" s="382">
        <f>BS128-BO128-BP128-BQ128</f>
        <v>3687</v>
      </c>
      <c r="BS128">
        <v>14045</v>
      </c>
      <c r="BT128" s="382"/>
      <c r="BU128" s="382"/>
      <c r="BV128" s="382"/>
      <c r="BW128" s="382"/>
      <c r="BY128" s="382"/>
      <c r="BZ128" s="382"/>
      <c r="CA128" s="382"/>
      <c r="CB128" s="382"/>
      <c r="CD128" s="382"/>
      <c r="CE128" s="382"/>
      <c r="CF128" s="382"/>
      <c r="CG128" s="382"/>
      <c r="CI128" s="382"/>
      <c r="CJ128" s="382"/>
      <c r="CK128" s="382"/>
      <c r="CL128" s="382"/>
      <c r="CN128" s="382"/>
      <c r="CO128" s="382"/>
      <c r="CP128" s="382"/>
      <c r="CQ128" s="382"/>
      <c r="CS128" s="382"/>
      <c r="CT128" s="382"/>
      <c r="CU128" s="382"/>
      <c r="CV128" s="382"/>
      <c r="CX128" s="382"/>
      <c r="CY128" s="382"/>
      <c r="CZ128" s="382"/>
      <c r="DA128" s="382"/>
    </row>
    <row r="129" spans="2:166">
      <c r="B129" t="s">
        <v>186</v>
      </c>
      <c r="C129" s="1">
        <v>174</v>
      </c>
      <c r="D129" s="1">
        <v>212</v>
      </c>
      <c r="E129" s="1">
        <v>274</v>
      </c>
      <c r="F129" s="1">
        <v>285</v>
      </c>
      <c r="G129" s="1">
        <v>266</v>
      </c>
      <c r="H129" s="1">
        <v>263</v>
      </c>
      <c r="I129" s="1">
        <v>335</v>
      </c>
      <c r="J129" s="1">
        <v>238</v>
      </c>
      <c r="K129" s="1">
        <v>310</v>
      </c>
      <c r="L129" s="55">
        <v>89</v>
      </c>
      <c r="M129" s="55">
        <v>106</v>
      </c>
      <c r="N129" s="55">
        <v>131</v>
      </c>
      <c r="O129" s="55">
        <v>152</v>
      </c>
      <c r="P129">
        <v>477</v>
      </c>
      <c r="Q129" s="55">
        <v>192</v>
      </c>
      <c r="R129" s="55">
        <v>241</v>
      </c>
      <c r="S129" s="55">
        <v>279</v>
      </c>
      <c r="T129" s="55">
        <v>317</v>
      </c>
      <c r="U129">
        <v>1030</v>
      </c>
      <c r="V129" s="55">
        <v>368</v>
      </c>
      <c r="W129" s="55">
        <v>401</v>
      </c>
      <c r="X129" s="55">
        <v>395</v>
      </c>
      <c r="Y129" s="55">
        <v>443</v>
      </c>
      <c r="Z129">
        <v>1607</v>
      </c>
      <c r="AA129" s="55">
        <v>476</v>
      </c>
      <c r="AB129" s="55">
        <v>510</v>
      </c>
      <c r="AC129" s="55">
        <v>510</v>
      </c>
      <c r="AD129" s="55">
        <v>507</v>
      </c>
      <c r="AE129">
        <v>2003</v>
      </c>
      <c r="AF129" s="55">
        <v>521</v>
      </c>
      <c r="AG129" s="55">
        <v>584</v>
      </c>
      <c r="AH129" s="55">
        <v>595</v>
      </c>
      <c r="AI129" s="55">
        <v>590</v>
      </c>
      <c r="AJ129">
        <v>2290</v>
      </c>
      <c r="AK129" s="55">
        <v>644</v>
      </c>
      <c r="AL129" s="55">
        <v>679</v>
      </c>
      <c r="AM129" s="55">
        <v>671</v>
      </c>
      <c r="AN129" s="55">
        <v>696</v>
      </c>
      <c r="AO129">
        <v>2690</v>
      </c>
      <c r="AP129" s="55">
        <v>702</v>
      </c>
      <c r="AQ129" s="55">
        <v>797</v>
      </c>
      <c r="AR129" s="55">
        <v>800</v>
      </c>
      <c r="AS129" s="55">
        <v>719</v>
      </c>
      <c r="AT129">
        <v>3018</v>
      </c>
      <c r="AU129" s="382">
        <v>736</v>
      </c>
      <c r="AV129" s="382">
        <v>801</v>
      </c>
      <c r="AW129" s="382">
        <v>818</v>
      </c>
      <c r="AX129" s="382">
        <v>861</v>
      </c>
      <c r="AY129">
        <v>3216</v>
      </c>
      <c r="AZ129" s="55">
        <v>851</v>
      </c>
      <c r="BA129" s="55">
        <v>826</v>
      </c>
      <c r="BB129" s="55">
        <v>838</v>
      </c>
      <c r="BC129" s="55">
        <v>891</v>
      </c>
      <c r="BD129">
        <v>3406</v>
      </c>
      <c r="BE129" s="55">
        <v>840</v>
      </c>
      <c r="BF129" s="55">
        <v>918</v>
      </c>
      <c r="BG129" s="55">
        <v>912</v>
      </c>
      <c r="BH129" s="55">
        <v>900</v>
      </c>
      <c r="BI129">
        <v>3570</v>
      </c>
      <c r="BJ129" s="382">
        <v>904</v>
      </c>
      <c r="BK129" s="382">
        <v>945</v>
      </c>
      <c r="BL129" s="382">
        <v>953</v>
      </c>
      <c r="BM129" s="382">
        <v>1022</v>
      </c>
      <c r="BN129">
        <v>3824</v>
      </c>
      <c r="BO129" s="382">
        <v>979</v>
      </c>
      <c r="BP129" s="382">
        <v>1034</v>
      </c>
      <c r="BQ129" s="382">
        <v>1022</v>
      </c>
      <c r="BR129" s="382">
        <f>BS129-BO129-BP129-BQ129</f>
        <v>1112</v>
      </c>
      <c r="BS129">
        <v>4147</v>
      </c>
      <c r="BT129" s="382"/>
      <c r="BU129" s="382"/>
      <c r="BV129" s="382"/>
      <c r="BW129" s="382"/>
      <c r="BY129" s="382"/>
      <c r="BZ129" s="382"/>
      <c r="CA129" s="382"/>
      <c r="CB129" s="382"/>
      <c r="CD129" s="382"/>
      <c r="CE129" s="382"/>
      <c r="CF129" s="382"/>
      <c r="CG129" s="382"/>
      <c r="CI129" s="382"/>
      <c r="CJ129" s="382"/>
      <c r="CK129" s="382"/>
      <c r="CL129" s="382"/>
      <c r="CN129" s="382"/>
      <c r="CO129" s="382"/>
      <c r="CP129" s="382"/>
      <c r="CQ129" s="382"/>
      <c r="CS129" s="382"/>
      <c r="CT129" s="382"/>
      <c r="CU129" s="382"/>
      <c r="CV129" s="382"/>
      <c r="CX129" s="382"/>
      <c r="CY129" s="382"/>
      <c r="CZ129" s="382"/>
      <c r="DA129" s="382"/>
    </row>
    <row r="130" spans="2:166">
      <c r="B130" t="s">
        <v>109</v>
      </c>
      <c r="C130" s="1">
        <v>1306</v>
      </c>
      <c r="D130" s="1">
        <v>1550</v>
      </c>
      <c r="E130" s="1">
        <v>1819</v>
      </c>
      <c r="F130" s="1">
        <v>2088</v>
      </c>
      <c r="G130" s="1">
        <v>2220</v>
      </c>
      <c r="H130" s="1">
        <v>2514</v>
      </c>
      <c r="I130" s="1">
        <v>3043</v>
      </c>
      <c r="J130" s="1">
        <v>3202</v>
      </c>
      <c r="K130" s="1">
        <v>3511</v>
      </c>
      <c r="L130" s="55">
        <v>909</v>
      </c>
      <c r="M130" s="55">
        <v>1115</v>
      </c>
      <c r="N130" s="55">
        <v>1188</v>
      </c>
      <c r="O130" s="55">
        <v>1418</v>
      </c>
      <c r="P130">
        <v>4629</v>
      </c>
      <c r="Q130" s="55">
        <v>1362</v>
      </c>
      <c r="R130" s="55">
        <v>1613</v>
      </c>
      <c r="S130" s="55">
        <v>1736</v>
      </c>
      <c r="T130" s="55">
        <v>1858</v>
      </c>
      <c r="U130">
        <v>6568</v>
      </c>
      <c r="V130" s="55">
        <v>1811</v>
      </c>
      <c r="W130" s="55">
        <v>1991</v>
      </c>
      <c r="X130" s="55">
        <v>2064</v>
      </c>
      <c r="Y130" s="55">
        <v>2211</v>
      </c>
      <c r="Z130">
        <v>8077</v>
      </c>
      <c r="AA130" s="55">
        <v>2134</v>
      </c>
      <c r="AB130" s="55">
        <v>2424</v>
      </c>
      <c r="AC130" s="55">
        <v>2370</v>
      </c>
      <c r="AD130" s="55">
        <v>2481</v>
      </c>
      <c r="AE130">
        <v>9409</v>
      </c>
      <c r="AF130" s="55">
        <v>2459</v>
      </c>
      <c r="AG130" s="55">
        <v>2757</v>
      </c>
      <c r="AH130" s="55">
        <v>2789</v>
      </c>
      <c r="AI130" s="55">
        <v>2935</v>
      </c>
      <c r="AJ130">
        <v>10940</v>
      </c>
      <c r="AK130" s="55">
        <v>2835</v>
      </c>
      <c r="AL130" s="55">
        <v>2781</v>
      </c>
      <c r="AM130" s="55">
        <v>2703</v>
      </c>
      <c r="AN130" s="55">
        <v>2762</v>
      </c>
      <c r="AO130">
        <v>11081</v>
      </c>
      <c r="AP130" s="55">
        <v>2586</v>
      </c>
      <c r="AQ130" s="55">
        <v>2851</v>
      </c>
      <c r="AR130" s="55">
        <v>2891</v>
      </c>
      <c r="AS130" s="55">
        <v>2761</v>
      </c>
      <c r="AT130">
        <v>11072</v>
      </c>
      <c r="AU130" s="382">
        <v>3238</v>
      </c>
      <c r="AV130" s="382">
        <v>3634</v>
      </c>
      <c r="AW130" s="382">
        <v>3736</v>
      </c>
      <c r="AX130" s="382">
        <v>3743</v>
      </c>
      <c r="AY130">
        <v>14351</v>
      </c>
      <c r="AZ130" s="55">
        <v>3528</v>
      </c>
      <c r="BA130" s="55">
        <v>3613</v>
      </c>
      <c r="BB130" s="55">
        <v>3759</v>
      </c>
      <c r="BC130" s="55">
        <v>3760</v>
      </c>
      <c r="BD130">
        <v>14660</v>
      </c>
      <c r="BE130" s="55">
        <v>3618</v>
      </c>
      <c r="BF130" s="55">
        <v>3893</v>
      </c>
      <c r="BG130" s="55">
        <v>3877</v>
      </c>
      <c r="BH130" s="55">
        <v>3907</v>
      </c>
      <c r="BI130">
        <v>15295</v>
      </c>
      <c r="BJ130" s="382">
        <v>3901</v>
      </c>
      <c r="BK130" s="382">
        <v>4200</v>
      </c>
      <c r="BL130" s="382">
        <v>4201</v>
      </c>
      <c r="BM130" s="382">
        <v>4337</v>
      </c>
      <c r="BN130">
        <v>16639</v>
      </c>
      <c r="BO130" s="382">
        <v>4151</v>
      </c>
      <c r="BP130" s="382">
        <v>4595</v>
      </c>
      <c r="BQ130" s="382">
        <v>4647</v>
      </c>
      <c r="BR130" s="382">
        <f>BS130-BO130-BP130-BQ130</f>
        <v>4799</v>
      </c>
      <c r="BS130">
        <v>18192</v>
      </c>
      <c r="BT130" s="382"/>
      <c r="BU130" s="382"/>
      <c r="BV130" s="382"/>
      <c r="BW130" s="382"/>
      <c r="BY130" s="382"/>
      <c r="BZ130" s="382"/>
      <c r="CA130" s="382"/>
      <c r="CB130" s="382"/>
      <c r="CD130" s="382"/>
      <c r="CE130" s="382"/>
      <c r="CF130" s="382"/>
      <c r="CG130" s="382"/>
      <c r="CI130" s="382"/>
      <c r="CJ130" s="382"/>
      <c r="CK130" s="382"/>
      <c r="CL130" s="382"/>
      <c r="CN130" s="382"/>
      <c r="CO130" s="382"/>
      <c r="CP130" s="382"/>
      <c r="CQ130" s="382"/>
      <c r="CS130" s="382"/>
      <c r="CT130" s="382"/>
      <c r="CU130" s="382"/>
      <c r="CV130" s="382"/>
      <c r="CX130" s="382"/>
      <c r="CY130" s="382"/>
      <c r="CZ130" s="382"/>
      <c r="DA130" s="382"/>
    </row>
    <row r="131" spans="2:166">
      <c r="B131" t="s">
        <v>188</v>
      </c>
      <c r="C131" s="1">
        <f t="shared" ref="C131:AH131" si="165">C130-C3</f>
        <v>-0.32199999999988904</v>
      </c>
      <c r="D131" s="1">
        <f t="shared" si="165"/>
        <v>0.40000000000009095</v>
      </c>
      <c r="E131" s="1">
        <f t="shared" si="165"/>
        <v>0.40000000000009095</v>
      </c>
      <c r="F131" s="1">
        <f t="shared" si="165"/>
        <v>-0.1999999999998181</v>
      </c>
      <c r="G131" s="1">
        <f t="shared" si="165"/>
        <v>0.1999999999998181</v>
      </c>
      <c r="H131" s="1">
        <f t="shared" si="165"/>
        <v>-0.3999999999996362</v>
      </c>
      <c r="I131" s="1">
        <f t="shared" si="165"/>
        <v>0.20000000000027285</v>
      </c>
      <c r="J131" s="1">
        <f t="shared" si="165"/>
        <v>-0.1999999999998181</v>
      </c>
      <c r="K131" s="1">
        <f t="shared" si="165"/>
        <v>0</v>
      </c>
      <c r="L131" s="55">
        <f t="shared" si="165"/>
        <v>0.39999999999997726</v>
      </c>
      <c r="M131" s="55">
        <f t="shared" si="165"/>
        <v>-0.1999999999998181</v>
      </c>
      <c r="N131" s="55">
        <f t="shared" si="165"/>
        <v>-157.80000000000018</v>
      </c>
      <c r="O131" s="55">
        <f t="shared" si="165"/>
        <v>-203.59999999999991</v>
      </c>
      <c r="P131">
        <f t="shared" si="165"/>
        <v>-362.19999999999982</v>
      </c>
      <c r="Q131" s="55">
        <f t="shared" si="165"/>
        <v>-273.90000000000009</v>
      </c>
      <c r="R131" s="55">
        <f t="shared" si="165"/>
        <v>-303.5</v>
      </c>
      <c r="S131" s="55">
        <f t="shared" si="165"/>
        <v>-342</v>
      </c>
      <c r="T131" s="55">
        <f t="shared" si="165"/>
        <v>-380</v>
      </c>
      <c r="U131">
        <f t="shared" si="165"/>
        <v>-1300.3999999999996</v>
      </c>
      <c r="V131" s="55">
        <f t="shared" si="165"/>
        <v>-396.80000000000018</v>
      </c>
      <c r="W131" s="55">
        <f t="shared" si="165"/>
        <v>-440</v>
      </c>
      <c r="X131" s="55">
        <f t="shared" si="165"/>
        <v>-496</v>
      </c>
      <c r="Y131" s="55">
        <f t="shared" si="165"/>
        <v>-567</v>
      </c>
      <c r="Z131">
        <f t="shared" si="165"/>
        <v>-1899.7999999999993</v>
      </c>
      <c r="AA131" s="55">
        <f t="shared" si="165"/>
        <v>-601</v>
      </c>
      <c r="AB131" s="55">
        <f t="shared" si="165"/>
        <v>-648</v>
      </c>
      <c r="AC131" s="55">
        <f t="shared" si="165"/>
        <v>-677</v>
      </c>
      <c r="AD131" s="55">
        <f t="shared" si="165"/>
        <v>-687</v>
      </c>
      <c r="AE131">
        <f t="shared" si="165"/>
        <v>-2613</v>
      </c>
      <c r="AF131" s="55">
        <f t="shared" si="165"/>
        <v>-668</v>
      </c>
      <c r="AG131" s="55">
        <f t="shared" si="165"/>
        <v>-734</v>
      </c>
      <c r="AH131" s="55">
        <f t="shared" si="165"/>
        <v>-714</v>
      </c>
      <c r="AI131" s="55">
        <f t="shared" ref="AI131:BN131" si="166">AI130-AI3</f>
        <v>-802</v>
      </c>
      <c r="AJ131">
        <f t="shared" si="166"/>
        <v>-2918</v>
      </c>
      <c r="AK131" s="55">
        <f t="shared" si="166"/>
        <v>-730</v>
      </c>
      <c r="AL131" s="55">
        <f t="shared" si="166"/>
        <v>-823</v>
      </c>
      <c r="AM131" s="55">
        <f t="shared" si="166"/>
        <v>-821</v>
      </c>
      <c r="AN131" s="55">
        <f t="shared" si="166"/>
        <v>-856</v>
      </c>
      <c r="AO131">
        <f t="shared" si="166"/>
        <v>-3230</v>
      </c>
      <c r="AP131" s="55">
        <f t="shared" si="166"/>
        <v>-951</v>
      </c>
      <c r="AQ131" s="55">
        <f t="shared" si="166"/>
        <v>-841</v>
      </c>
      <c r="AR131" s="55">
        <f t="shared" si="166"/>
        <v>-893</v>
      </c>
      <c r="AS131" s="55">
        <f t="shared" si="166"/>
        <v>-913</v>
      </c>
      <c r="AT131">
        <f t="shared" si="166"/>
        <v>-3615</v>
      </c>
      <c r="AU131" s="382">
        <f t="shared" si="166"/>
        <v>0</v>
      </c>
      <c r="AV131" s="382">
        <f t="shared" si="166"/>
        <v>0</v>
      </c>
      <c r="AW131" s="382">
        <f t="shared" si="166"/>
        <v>0</v>
      </c>
      <c r="AX131" s="382">
        <f t="shared" si="166"/>
        <v>0</v>
      </c>
      <c r="AY131">
        <f t="shared" si="166"/>
        <v>0</v>
      </c>
      <c r="AZ131" s="55">
        <f t="shared" si="166"/>
        <v>0</v>
      </c>
      <c r="BA131" s="55">
        <f t="shared" si="166"/>
        <v>0</v>
      </c>
      <c r="BB131" s="55">
        <f t="shared" si="166"/>
        <v>0</v>
      </c>
      <c r="BC131" s="55">
        <f t="shared" si="166"/>
        <v>0</v>
      </c>
      <c r="BD131">
        <f t="shared" si="166"/>
        <v>0</v>
      </c>
      <c r="BE131" s="55">
        <f t="shared" si="166"/>
        <v>0</v>
      </c>
      <c r="BF131" s="55">
        <f t="shared" si="166"/>
        <v>0</v>
      </c>
      <c r="BG131" s="55">
        <f t="shared" si="166"/>
        <v>0</v>
      </c>
      <c r="BH131" s="55">
        <f t="shared" si="166"/>
        <v>0</v>
      </c>
      <c r="BI131">
        <f t="shared" si="166"/>
        <v>0</v>
      </c>
      <c r="BJ131" s="382">
        <f t="shared" si="166"/>
        <v>0</v>
      </c>
      <c r="BK131" s="382">
        <f t="shared" si="166"/>
        <v>0</v>
      </c>
      <c r="BL131" s="382">
        <f t="shared" si="166"/>
        <v>0</v>
      </c>
      <c r="BM131" s="382">
        <f t="shared" si="166"/>
        <v>0</v>
      </c>
      <c r="BN131">
        <f t="shared" si="166"/>
        <v>0</v>
      </c>
      <c r="BO131" s="382">
        <f t="shared" ref="BO131:BS131" si="167">BO130-BO3</f>
        <v>0</v>
      </c>
      <c r="BP131" s="382">
        <f t="shared" si="167"/>
        <v>0</v>
      </c>
      <c r="BQ131" s="382">
        <f t="shared" si="167"/>
        <v>0</v>
      </c>
      <c r="BR131" s="382">
        <f t="shared" si="167"/>
        <v>0</v>
      </c>
      <c r="BS131" s="72">
        <f t="shared" si="167"/>
        <v>0</v>
      </c>
      <c r="BT131" s="382"/>
      <c r="BU131" s="382"/>
      <c r="BV131" s="382"/>
      <c r="BW131" s="382"/>
      <c r="BY131" s="382"/>
      <c r="BZ131" s="382"/>
      <c r="CA131" s="382"/>
      <c r="CB131" s="382"/>
      <c r="CD131" s="382"/>
      <c r="CE131" s="382"/>
      <c r="CF131" s="382"/>
      <c r="CG131" s="382"/>
      <c r="CI131" s="382"/>
      <c r="CJ131" s="382"/>
      <c r="CK131" s="382"/>
      <c r="CL131" s="382"/>
      <c r="CN131" s="382"/>
      <c r="CO131" s="382"/>
      <c r="CP131" s="382"/>
      <c r="CQ131" s="382"/>
      <c r="CS131" s="382"/>
      <c r="CT131" s="382"/>
      <c r="CU131" s="382"/>
      <c r="CV131" s="382"/>
      <c r="CX131" s="382"/>
      <c r="CY131" s="382"/>
      <c r="CZ131" s="382"/>
      <c r="DA131" s="382"/>
    </row>
    <row r="132" spans="2:166">
      <c r="L132" s="55"/>
      <c r="M132" s="55"/>
      <c r="N132" s="55"/>
      <c r="O132" s="55"/>
      <c r="Q132" s="55"/>
      <c r="R132" s="55"/>
      <c r="S132" s="55"/>
      <c r="T132" s="55"/>
      <c r="V132" s="55"/>
      <c r="W132" s="55"/>
      <c r="X132" s="55"/>
      <c r="Y132" s="55"/>
      <c r="AA132" s="55"/>
      <c r="AB132" s="55"/>
      <c r="AC132" s="55"/>
      <c r="AD132" s="55"/>
      <c r="AF132" s="55"/>
      <c r="AG132" s="55"/>
      <c r="AH132" s="55"/>
      <c r="AI132" s="55"/>
      <c r="AK132" s="55"/>
      <c r="AL132" s="55"/>
      <c r="AM132" s="55"/>
      <c r="AN132" s="55"/>
      <c r="AP132" s="55"/>
      <c r="AQ132" s="55"/>
      <c r="AR132" s="55"/>
      <c r="AS132" s="55"/>
      <c r="AU132" s="382"/>
      <c r="AV132" s="382"/>
      <c r="AW132" s="382"/>
      <c r="AX132" s="382"/>
      <c r="AZ132" s="55"/>
      <c r="BA132" s="55"/>
      <c r="BB132" s="55"/>
      <c r="BC132" s="55"/>
      <c r="BE132" s="55"/>
      <c r="BF132" s="55"/>
      <c r="BG132" s="55"/>
      <c r="BH132" s="55"/>
      <c r="BJ132" s="382"/>
      <c r="BK132" s="382"/>
      <c r="BL132" s="382"/>
      <c r="BM132" s="382"/>
      <c r="BO132" s="382"/>
      <c r="BP132" s="382"/>
      <c r="BQ132" s="382"/>
      <c r="BR132" s="382"/>
      <c r="BT132" s="382"/>
      <c r="BU132" s="382"/>
      <c r="BV132" s="382"/>
      <c r="BW132" s="382"/>
      <c r="BY132" s="382"/>
      <c r="BZ132" s="382"/>
      <c r="CA132" s="382"/>
      <c r="CB132" s="382"/>
      <c r="CD132" s="382"/>
      <c r="CE132" s="382"/>
      <c r="CF132" s="382"/>
      <c r="CG132" s="382"/>
      <c r="CI132" s="382"/>
      <c r="CJ132" s="382"/>
      <c r="CK132" s="382"/>
      <c r="CL132" s="382"/>
      <c r="CN132" s="382"/>
      <c r="CO132" s="382"/>
      <c r="CP132" s="382"/>
      <c r="CQ132" s="382"/>
      <c r="CS132" s="382"/>
      <c r="CT132" s="382"/>
      <c r="CU132" s="382"/>
      <c r="CV132" s="382"/>
      <c r="CX132" s="382"/>
      <c r="CY132" s="382"/>
      <c r="CZ132" s="382"/>
      <c r="DA132" s="382"/>
    </row>
    <row r="133" spans="2:166">
      <c r="L133" s="429"/>
      <c r="M133" s="429"/>
      <c r="N133" s="429"/>
      <c r="O133" s="429"/>
      <c r="Q133" s="429"/>
      <c r="R133" s="429"/>
      <c r="S133" s="429"/>
      <c r="T133" s="429"/>
      <c r="V133" s="429"/>
      <c r="W133" s="429"/>
      <c r="X133" s="429"/>
      <c r="Y133" s="429"/>
      <c r="AA133" s="429"/>
      <c r="AB133" s="429"/>
      <c r="AC133" s="429"/>
      <c r="AD133" s="429"/>
      <c r="AF133" s="429"/>
      <c r="AG133" s="429"/>
      <c r="AH133" s="429"/>
      <c r="AI133" s="429"/>
      <c r="AK133" s="429"/>
      <c r="AL133" s="429"/>
      <c r="AM133" s="429"/>
      <c r="AN133" s="429"/>
      <c r="AP133" s="429"/>
      <c r="AQ133" s="429"/>
      <c r="AR133" s="429"/>
      <c r="AS133" s="429"/>
      <c r="AU133" s="382"/>
      <c r="AV133" s="382"/>
      <c r="AW133" s="382"/>
      <c r="AX133" s="382"/>
      <c r="AZ133" s="429"/>
      <c r="BA133" s="429"/>
      <c r="BB133" s="429"/>
      <c r="BC133" s="429"/>
      <c r="BE133" s="429"/>
      <c r="BF133" s="429"/>
      <c r="BG133" s="429"/>
      <c r="BH133" s="429"/>
      <c r="BJ133" s="382"/>
      <c r="BK133" s="382"/>
      <c r="BL133" s="382"/>
      <c r="BM133" s="382"/>
      <c r="BO133" s="382"/>
      <c r="BP133" s="382"/>
      <c r="BQ133" s="382"/>
      <c r="BR133" s="382"/>
      <c r="BT133" s="382"/>
      <c r="BU133" s="382"/>
      <c r="BV133" s="382"/>
      <c r="BW133" s="382"/>
      <c r="BY133" s="382"/>
      <c r="BZ133" s="382"/>
      <c r="CA133" s="382"/>
      <c r="CB133" s="382"/>
      <c r="CD133" s="586"/>
      <c r="CE133" s="382"/>
      <c r="CF133" s="382"/>
      <c r="CG133" s="382"/>
      <c r="CI133" s="382"/>
      <c r="CJ133" s="382"/>
      <c r="CK133" s="382"/>
      <c r="CL133" s="382"/>
      <c r="CN133" s="382"/>
      <c r="CO133" s="382"/>
      <c r="CP133" s="382"/>
      <c r="CQ133" s="382"/>
      <c r="CS133" s="382"/>
      <c r="CT133" s="382"/>
      <c r="CU133" s="382"/>
      <c r="CV133" s="382"/>
      <c r="CX133" s="382"/>
      <c r="CY133" s="382"/>
      <c r="CZ133" s="382"/>
      <c r="DA133" s="382"/>
    </row>
    <row r="134" spans="2:166" s="579" customFormat="1">
      <c r="B134" s="578" t="s">
        <v>524</v>
      </c>
      <c r="L134" s="580"/>
      <c r="M134" s="580"/>
      <c r="N134" s="580"/>
      <c r="O134" s="580"/>
      <c r="Q134" s="581"/>
      <c r="R134" s="581"/>
      <c r="S134" s="581"/>
      <c r="T134" s="581"/>
      <c r="V134" s="581"/>
      <c r="W134" s="581"/>
      <c r="X134" s="581"/>
      <c r="Y134" s="581"/>
      <c r="Z134" s="582"/>
      <c r="AA134" s="581"/>
      <c r="AB134" s="581"/>
      <c r="AC134" s="581"/>
      <c r="AD134" s="581"/>
      <c r="AE134" s="582"/>
      <c r="AF134" s="581"/>
      <c r="AG134" s="581"/>
      <c r="AH134" s="581"/>
      <c r="AI134" s="581"/>
      <c r="AJ134" s="582"/>
      <c r="AK134" s="581"/>
      <c r="AL134" s="581"/>
      <c r="AM134" s="581"/>
      <c r="AN134" s="581"/>
      <c r="AO134" s="582"/>
      <c r="AP134" s="581"/>
      <c r="AQ134" s="581"/>
      <c r="AR134" s="581"/>
      <c r="AS134" s="581"/>
      <c r="AT134" s="583"/>
      <c r="AU134" s="601"/>
      <c r="AV134" s="601"/>
      <c r="AW134" s="601"/>
      <c r="AX134" s="601"/>
      <c r="AY134" s="583"/>
      <c r="AZ134" s="581"/>
      <c r="BA134" s="581"/>
      <c r="BB134" s="581"/>
      <c r="BC134" s="581"/>
      <c r="BD134" s="583"/>
      <c r="BE134" s="584"/>
      <c r="BF134" s="585"/>
      <c r="BG134" s="585">
        <v>0.28000000000000003</v>
      </c>
      <c r="BH134" s="585">
        <v>0.28000000000000003</v>
      </c>
      <c r="BI134" s="583">
        <f>SUM(BF134:BH134)</f>
        <v>0.56000000000000005</v>
      </c>
      <c r="BJ134" s="586">
        <v>0.36</v>
      </c>
      <c r="BK134" s="586">
        <v>0.36</v>
      </c>
      <c r="BL134" s="586">
        <v>0.36</v>
      </c>
      <c r="BM134" s="586">
        <v>0.36</v>
      </c>
      <c r="BN134" s="583">
        <f>SUM(BJ134:BM134)</f>
        <v>1.44</v>
      </c>
      <c r="BO134" s="586">
        <v>0.47</v>
      </c>
      <c r="BP134" s="586">
        <f>BO134</f>
        <v>0.47</v>
      </c>
      <c r="BQ134" s="586">
        <f>BP134</f>
        <v>0.47</v>
      </c>
      <c r="BR134" s="586">
        <f>BQ134</f>
        <v>0.47</v>
      </c>
      <c r="BS134" s="583">
        <f>SUM(BO134:BR134)</f>
        <v>1.88</v>
      </c>
      <c r="BT134" s="642">
        <v>0.61</v>
      </c>
      <c r="BU134" s="642">
        <v>0.61</v>
      </c>
      <c r="BV134" s="642">
        <v>0.61</v>
      </c>
      <c r="BW134" s="642">
        <v>0.61</v>
      </c>
      <c r="BX134" s="583">
        <f>SUM(BT134:BW134)</f>
        <v>2.44</v>
      </c>
      <c r="BY134" s="642">
        <v>0.79</v>
      </c>
      <c r="BZ134" s="586">
        <f>BY134</f>
        <v>0.79</v>
      </c>
      <c r="CA134" s="586">
        <f>BZ134</f>
        <v>0.79</v>
      </c>
      <c r="CB134" s="586">
        <f>CA134</f>
        <v>0.79</v>
      </c>
      <c r="CC134" s="583">
        <f>CC135*CC37/CC88</f>
        <v>3.429106683293714</v>
      </c>
      <c r="CD134" s="586">
        <f>CH134/4</f>
        <v>1.0198282023755931</v>
      </c>
      <c r="CE134" s="586">
        <f>CD134</f>
        <v>1.0198282023755931</v>
      </c>
      <c r="CF134" s="586">
        <f>CE134</f>
        <v>1.0198282023755931</v>
      </c>
      <c r="CG134" s="586">
        <f>CF134</f>
        <v>1.0198282023755931</v>
      </c>
      <c r="CH134" s="583">
        <f>CH135*CH37/CH88</f>
        <v>4.0793128095023725</v>
      </c>
      <c r="CI134" s="586">
        <f>CM134/4</f>
        <v>1.1325196871812309</v>
      </c>
      <c r="CJ134" s="586">
        <f>CI134</f>
        <v>1.1325196871812309</v>
      </c>
      <c r="CK134" s="586">
        <f>CJ134</f>
        <v>1.1325196871812309</v>
      </c>
      <c r="CL134" s="586">
        <f>CK134</f>
        <v>1.1325196871812309</v>
      </c>
      <c r="CM134" s="583">
        <f>CM135*CM37/CM88</f>
        <v>4.5300787487249234</v>
      </c>
      <c r="CN134" s="586">
        <f>CR134/4</f>
        <v>1.2908723906000419</v>
      </c>
      <c r="CO134" s="586">
        <f>CN134</f>
        <v>1.2908723906000419</v>
      </c>
      <c r="CP134" s="586">
        <f>CO134</f>
        <v>1.2908723906000419</v>
      </c>
      <c r="CQ134" s="586">
        <f>CP134</f>
        <v>1.2908723906000419</v>
      </c>
      <c r="CR134" s="583">
        <f>CR135*CR37/CR88</f>
        <v>5.1634895624001675</v>
      </c>
      <c r="CS134" s="586"/>
      <c r="CT134" s="586"/>
      <c r="CU134" s="586"/>
      <c r="CV134" s="586"/>
      <c r="CW134" s="583">
        <f>CW135*CW37/CW88</f>
        <v>5.5160054516534505</v>
      </c>
      <c r="CX134" s="586"/>
      <c r="CY134" s="586"/>
      <c r="CZ134" s="586"/>
      <c r="DA134" s="586"/>
      <c r="DB134" s="583">
        <f>DB135*DB37/DB88</f>
        <v>5.8956669386786755</v>
      </c>
      <c r="DG134" s="583">
        <f>DG135*DG37/DG88</f>
        <v>6.2545237356048879</v>
      </c>
      <c r="DL134" s="583">
        <f>DL135*DL37/DL88</f>
        <v>7.0660795228172706</v>
      </c>
      <c r="DQ134" s="583">
        <f>DQ135*DQ37/DQ88</f>
        <v>7.9559473412415116</v>
      </c>
      <c r="DV134" s="583">
        <f>DV135*DV37/DV88</f>
        <v>8.8024060904140118</v>
      </c>
      <c r="EA134" s="583">
        <f>EA135*EA37/EA88</f>
        <v>9.4730522319528863</v>
      </c>
      <c r="EF134" s="583">
        <f>EF135*EF37/EF88</f>
        <v>9.852174145728041</v>
      </c>
      <c r="EK134" s="583">
        <f>EK135*EK37/EK88</f>
        <v>10.029973073787874</v>
      </c>
      <c r="EP134" s="583">
        <f>EP135*EP37/EP88</f>
        <v>9.1229351946684893</v>
      </c>
      <c r="EU134" s="583">
        <f>EU135*EU37/EU88</f>
        <v>8.8380909545386288</v>
      </c>
      <c r="EZ134" s="583">
        <f>EZ135*EZ37/EZ88</f>
        <v>8.7004415677049103</v>
      </c>
      <c r="FE134"/>
      <c r="FF134"/>
      <c r="FG134"/>
      <c r="FH134"/>
      <c r="FI134"/>
      <c r="FJ134"/>
    </row>
    <row r="135" spans="2:166">
      <c r="B135" s="349" t="s">
        <v>341</v>
      </c>
      <c r="L135" s="429"/>
      <c r="M135" s="429"/>
      <c r="N135" s="429"/>
      <c r="O135" s="429"/>
      <c r="Q135" s="429"/>
      <c r="R135" s="429"/>
      <c r="S135" s="429"/>
      <c r="T135" s="429"/>
      <c r="V135" s="429"/>
      <c r="W135" s="429"/>
      <c r="X135" s="429"/>
      <c r="Y135" s="429"/>
      <c r="AA135" s="429"/>
      <c r="AB135" s="429"/>
      <c r="AC135" s="429"/>
      <c r="AD135" s="429"/>
      <c r="AF135" s="429"/>
      <c r="AG135" s="429"/>
      <c r="AH135" s="429"/>
      <c r="AI135" s="429"/>
      <c r="AK135" s="429"/>
      <c r="AL135" s="429"/>
      <c r="AM135" s="429"/>
      <c r="AN135" s="429"/>
      <c r="AP135" s="429"/>
      <c r="AQ135" s="429"/>
      <c r="AR135" s="429"/>
      <c r="AS135" s="429"/>
      <c r="AU135" s="382"/>
      <c r="AV135" s="382"/>
      <c r="AW135" s="382"/>
      <c r="AX135" s="382"/>
      <c r="AZ135" s="429"/>
      <c r="BA135" s="429"/>
      <c r="BB135" s="429"/>
      <c r="BC135" s="429"/>
      <c r="BE135" s="429"/>
      <c r="BF135" s="429"/>
      <c r="BG135" s="437">
        <f>BG134*BG88/BG37</f>
        <v>0.19993750000000002</v>
      </c>
      <c r="BH135" s="437">
        <f>BH134*BH88/BH37</f>
        <v>0.23176130895091435</v>
      </c>
      <c r="BI135" s="79">
        <f>BI134*BI88/(BG37+BH37)</f>
        <v>0.22023285899094439</v>
      </c>
      <c r="BJ135" s="397">
        <f t="shared" ref="BJ135:CB135" si="168">BJ134*BJ88/BJ37</f>
        <v>0.22349650349650349</v>
      </c>
      <c r="BK135" s="397">
        <f t="shared" si="168"/>
        <v>0.19695743196092116</v>
      </c>
      <c r="BL135" s="397">
        <f t="shared" si="168"/>
        <v>0.21501144164759725</v>
      </c>
      <c r="BM135" s="397">
        <f t="shared" si="168"/>
        <v>0.25742647058823526</v>
      </c>
      <c r="BN135" s="79">
        <f t="shared" si="168"/>
        <v>0.22110568470404374</v>
      </c>
      <c r="BO135" s="397">
        <f t="shared" si="168"/>
        <v>0.23970627503337782</v>
      </c>
      <c r="BP135" s="397">
        <f t="shared" si="168"/>
        <v>0.24834487534626035</v>
      </c>
      <c r="BQ135" s="397">
        <f t="shared" si="168"/>
        <v>0.2427751519243754</v>
      </c>
      <c r="BR135" s="397">
        <f t="shared" si="168"/>
        <v>0.25882099209202014</v>
      </c>
      <c r="BS135" s="79">
        <f t="shared" si="168"/>
        <v>0.24736842105263154</v>
      </c>
      <c r="BT135" s="397">
        <f t="shared" si="168"/>
        <v>0.32578581363004172</v>
      </c>
      <c r="BU135" s="397">
        <f t="shared" si="168"/>
        <v>0.25698299506308286</v>
      </c>
      <c r="BV135" s="397">
        <f t="shared" si="168"/>
        <v>0.26551724137931032</v>
      </c>
      <c r="BW135" s="397">
        <f t="shared" si="168"/>
        <v>0.28198802395209582</v>
      </c>
      <c r="BX135" s="79">
        <f t="shared" si="168"/>
        <v>0.2802358208955224</v>
      </c>
      <c r="BY135" s="397">
        <f t="shared" si="168"/>
        <v>0.31831501831501835</v>
      </c>
      <c r="BZ135" s="397">
        <f t="shared" si="168"/>
        <v>0.30688922610015174</v>
      </c>
      <c r="CA135" s="397">
        <f t="shared" si="168"/>
        <v>0.2900336376741951</v>
      </c>
      <c r="CB135" s="397">
        <f t="shared" si="168"/>
        <v>0.30286649874055416</v>
      </c>
      <c r="CC135" s="347">
        <f>BX135+5%</f>
        <v>0.33023582089552239</v>
      </c>
      <c r="CD135" s="397">
        <f>CD134*CD88/CD37</f>
        <v>0.35182452737424003</v>
      </c>
      <c r="CE135" s="397">
        <f>CE134*CE88/CE37</f>
        <v>0.35926846271945406</v>
      </c>
      <c r="CF135" s="397">
        <f>CF134*CF88/CF37</f>
        <v>0.33740361880000952</v>
      </c>
      <c r="CG135" s="397">
        <f>CG134*CG88/CG37</f>
        <v>0.35316272934117759</v>
      </c>
      <c r="CH135" s="347">
        <f>CC135+2%</f>
        <v>0.35023582089552241</v>
      </c>
      <c r="CI135" s="397">
        <f>CI134*CI88/CI37</f>
        <v>0.3597072816979392</v>
      </c>
      <c r="CJ135" s="397">
        <f>CJ134*CJ88/CJ37</f>
        <v>0.3468047838754143</v>
      </c>
      <c r="CK135" s="397">
        <f>CK134*CK88/CK37</f>
        <v>0.34603456886362743</v>
      </c>
      <c r="CL135" s="397">
        <f>CL134*CL88/CL37</f>
        <v>0.39239869389501775</v>
      </c>
      <c r="CM135" s="79">
        <f>CH135+1%</f>
        <v>0.36023582089552242</v>
      </c>
      <c r="CN135" s="397">
        <f t="shared" ref="CN135:CQ135" si="169">CN134*CN88/CN37</f>
        <v>0.37218583524599752</v>
      </c>
      <c r="CO135" s="397">
        <f t="shared" si="169"/>
        <v>0.35991976056464331</v>
      </c>
      <c r="CP135" s="397">
        <f t="shared" si="169"/>
        <v>0.36081064928070949</v>
      </c>
      <c r="CQ135" s="397">
        <f t="shared" si="169"/>
        <v>0.38994550747915108</v>
      </c>
      <c r="CR135" s="79">
        <f>CM135+1%</f>
        <v>0.37023582089552243</v>
      </c>
      <c r="CS135" s="397"/>
      <c r="CT135" s="397"/>
      <c r="CU135" s="397"/>
      <c r="CV135" s="397"/>
      <c r="CW135" s="79">
        <f>CR135+1%</f>
        <v>0.38023582089552244</v>
      </c>
      <c r="CX135" s="397"/>
      <c r="CY135" s="397"/>
      <c r="CZ135" s="397"/>
      <c r="DA135" s="397"/>
      <c r="DB135" s="79">
        <f>CW135+1%</f>
        <v>0.39023582089552245</v>
      </c>
      <c r="DG135" s="79">
        <f>DB135+1%</f>
        <v>0.40023582089552245</v>
      </c>
      <c r="DL135" s="79">
        <f>DG135+1%</f>
        <v>0.41023582089552246</v>
      </c>
      <c r="DQ135" s="79">
        <f>DL135+1%</f>
        <v>0.42023582089552247</v>
      </c>
      <c r="DV135" s="79">
        <f>DQ135+1%</f>
        <v>0.43023582089552248</v>
      </c>
      <c r="EA135" s="79">
        <f>DV135+1%</f>
        <v>0.44023582089552249</v>
      </c>
      <c r="EF135" s="79">
        <f>EA135+1%</f>
        <v>0.4502358208955225</v>
      </c>
      <c r="EK135" s="79">
        <f>EF135</f>
        <v>0.4502358208955225</v>
      </c>
      <c r="EP135" s="79">
        <f>EK135</f>
        <v>0.4502358208955225</v>
      </c>
      <c r="EU135" s="79">
        <f>EP135</f>
        <v>0.4502358208955225</v>
      </c>
      <c r="EZ135" s="79">
        <f>EU135</f>
        <v>0.4502358208955225</v>
      </c>
    </row>
    <row r="136" spans="2:166">
      <c r="DQ136" s="79"/>
    </row>
    <row r="146" spans="2:160">
      <c r="CW146" s="809"/>
    </row>
    <row r="147" spans="2:160">
      <c r="CW147" s="809"/>
    </row>
    <row r="151" spans="2:160">
      <c r="DE151" s="76"/>
      <c r="DF151" s="76"/>
      <c r="DG151" s="76"/>
      <c r="DH151" s="76"/>
      <c r="DI151" s="76"/>
      <c r="DJ151" s="76"/>
      <c r="DK151" s="76"/>
      <c r="DL151" s="76"/>
      <c r="DM151" s="76"/>
      <c r="DN151" s="76"/>
      <c r="DO151" s="76"/>
      <c r="DP151" s="76"/>
      <c r="DQ151" s="76"/>
      <c r="DR151" s="76"/>
      <c r="DS151" s="76"/>
      <c r="DT151" s="76"/>
      <c r="DU151" s="76"/>
      <c r="DV151" s="76"/>
      <c r="DW151" s="76"/>
      <c r="DX151" s="76"/>
      <c r="DY151" s="76"/>
      <c r="DZ151" s="76"/>
      <c r="EA151" s="76"/>
      <c r="EB151" s="76"/>
      <c r="EC151" s="76"/>
      <c r="ED151" s="76"/>
      <c r="EE151" s="76"/>
      <c r="EF151" s="76"/>
      <c r="EG151" s="76"/>
      <c r="EH151" s="76"/>
      <c r="EI151" s="76"/>
      <c r="EJ151" s="76"/>
      <c r="EK151" s="76"/>
      <c r="EL151" s="76"/>
      <c r="EM151" s="76"/>
      <c r="EN151" s="76"/>
      <c r="EO151" s="76"/>
      <c r="EP151" s="76"/>
      <c r="EQ151" s="76"/>
      <c r="ER151" s="76"/>
      <c r="ES151" s="76"/>
      <c r="ET151" s="76"/>
      <c r="EU151" s="76"/>
      <c r="EV151" s="76"/>
      <c r="EW151" s="76"/>
      <c r="EX151" s="76"/>
      <c r="EY151" s="76"/>
      <c r="EZ151" s="76"/>
      <c r="FA151" s="76"/>
      <c r="FB151" s="76"/>
      <c r="FC151" s="76"/>
      <c r="FD151" s="76"/>
    </row>
    <row r="152" spans="2:160">
      <c r="B152" s="349"/>
      <c r="AO152" s="1"/>
      <c r="AT152" s="1"/>
      <c r="AY152" s="1"/>
      <c r="BD152" s="1"/>
      <c r="BI152" s="1"/>
      <c r="BN152" s="1"/>
      <c r="BS152" s="1"/>
    </row>
    <row r="153" spans="2:160">
      <c r="B153" s="348"/>
      <c r="AO153" s="599"/>
      <c r="AP153" s="35"/>
      <c r="AQ153" s="35"/>
      <c r="AR153" s="35"/>
      <c r="AS153" s="35"/>
      <c r="AT153" s="599"/>
      <c r="AU153" s="35"/>
      <c r="AV153" s="35"/>
      <c r="AW153" s="35"/>
      <c r="AX153" s="35"/>
      <c r="AY153" s="599"/>
      <c r="AZ153" s="35"/>
      <c r="BA153" s="35"/>
      <c r="BB153" s="35"/>
      <c r="BC153" s="35"/>
      <c r="BD153" s="599"/>
      <c r="BI153" s="59"/>
      <c r="BN153" s="59"/>
      <c r="BS153" s="59"/>
    </row>
    <row r="155" spans="2:160">
      <c r="BS155" s="1"/>
    </row>
    <row r="156" spans="2:160">
      <c r="BS156" s="70"/>
      <c r="BT156" s="363"/>
      <c r="DB156" s="349"/>
    </row>
    <row r="157" spans="2:160">
      <c r="FD157" s="76"/>
    </row>
    <row r="158" spans="2:160">
      <c r="BS158" s="70"/>
    </row>
    <row r="160" spans="2:160">
      <c r="BS160" s="363"/>
    </row>
    <row r="162" spans="71:160">
      <c r="BS162" s="1"/>
    </row>
    <row r="164" spans="71:160">
      <c r="FD164" s="75"/>
    </row>
    <row r="177" spans="109:159">
      <c r="DE177" s="59"/>
      <c r="DF177" s="59"/>
      <c r="DG177" s="59"/>
      <c r="DH177" s="59"/>
      <c r="DI177" s="59"/>
      <c r="DJ177" s="59"/>
      <c r="DK177" s="59"/>
      <c r="DL177" s="59"/>
      <c r="DM177" s="59"/>
      <c r="DN177" s="59"/>
      <c r="DO177" s="59"/>
      <c r="DP177" s="59"/>
      <c r="DQ177" s="59"/>
      <c r="DR177" s="59"/>
      <c r="DS177" s="59"/>
      <c r="DT177" s="59"/>
      <c r="DU177" s="59"/>
      <c r="DV177" s="59"/>
      <c r="DW177" s="59"/>
      <c r="DX177" s="59"/>
      <c r="DY177" s="59"/>
      <c r="DZ177" s="59"/>
      <c r="EA177" s="59"/>
      <c r="EB177" s="59"/>
      <c r="EC177" s="59"/>
      <c r="ED177" s="59"/>
      <c r="EE177" s="59"/>
      <c r="EF177" s="59"/>
      <c r="EG177" s="59"/>
      <c r="EH177" s="59"/>
      <c r="EI177" s="59"/>
      <c r="EJ177" s="59"/>
      <c r="EK177" s="59"/>
      <c r="EL177" s="59"/>
      <c r="EM177" s="59"/>
      <c r="EN177" s="59"/>
      <c r="EO177" s="59"/>
      <c r="EP177" s="59"/>
      <c r="EQ177" s="59"/>
      <c r="ER177" s="59"/>
      <c r="ES177" s="59"/>
      <c r="ET177" s="59"/>
      <c r="EU177" s="59"/>
      <c r="EV177" s="59"/>
      <c r="EW177" s="59"/>
      <c r="EX177" s="59"/>
      <c r="EY177" s="59"/>
      <c r="EZ177" s="59"/>
      <c r="FA177" s="59"/>
      <c r="FB177" s="59"/>
      <c r="FC177" s="59"/>
    </row>
  </sheetData>
  <mergeCells count="29">
    <mergeCell ref="DC1:DG1"/>
    <mergeCell ref="CX1:DB1"/>
    <mergeCell ref="BT1:BX1"/>
    <mergeCell ref="BY1:CC1"/>
    <mergeCell ref="CD1:CH1"/>
    <mergeCell ref="CI1:CM1"/>
    <mergeCell ref="CN1:CR1"/>
    <mergeCell ref="CS1:CW1"/>
    <mergeCell ref="L1:P1"/>
    <mergeCell ref="AP1:AT1"/>
    <mergeCell ref="AK1:AO1"/>
    <mergeCell ref="AF1:AJ1"/>
    <mergeCell ref="AA1:AE1"/>
    <mergeCell ref="V1:Z1"/>
    <mergeCell ref="Q1:U1"/>
    <mergeCell ref="AU1:AY1"/>
    <mergeCell ref="AZ1:BD1"/>
    <mergeCell ref="BE1:BI1"/>
    <mergeCell ref="BO1:BS1"/>
    <mergeCell ref="BJ1:BN1"/>
    <mergeCell ref="EG1:EK1"/>
    <mergeCell ref="EL1:EP1"/>
    <mergeCell ref="EQ1:EU1"/>
    <mergeCell ref="EV1:EZ1"/>
    <mergeCell ref="DH1:DL1"/>
    <mergeCell ref="DM1:DQ1"/>
    <mergeCell ref="DR1:DV1"/>
    <mergeCell ref="DW1:EA1"/>
    <mergeCell ref="EB1:EF1"/>
  </mergeCells>
  <phoneticPr fontId="24" type="noConversion"/>
  <pageMargins left="0" right="0" top="0" bottom="0" header="0" footer="0"/>
  <pageSetup paperSize="5" scale="38" orientation="landscape" r:id="rId1"/>
  <headerFooter alignWithMargins="0"/>
  <ignoredErrors>
    <ignoredError sqref="CC33 CH34 CG88:CH88 CM34" formula="1"/>
    <ignoredError sqref="CC86" formulaRange="1"/>
    <ignoredError sqref="DL39 DG39 CS7:CV7 CX7:DA7" evalError="1"/>
  </ignoredErrors>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FD151"/>
  <sheetViews>
    <sheetView showGridLines="0" zoomScaleNormal="100" workbookViewId="0">
      <pane xSplit="2" ySplit="4" topLeftCell="BS5" activePane="bottomRight" state="frozen"/>
      <selection pane="topRight" activeCell="C1" sqref="C1"/>
      <selection pane="bottomLeft" activeCell="A5" sqref="A5"/>
      <selection pane="bottomRight" activeCell="B3" sqref="B3:EA84"/>
    </sheetView>
  </sheetViews>
  <sheetFormatPr defaultRowHeight="12.75" outlineLevelRow="1" outlineLevelCol="1"/>
  <cols>
    <col min="1" max="1" width="3.5703125" style="359" customWidth="1"/>
    <col min="2" max="2" width="30.85546875" style="359" customWidth="1"/>
    <col min="3" max="11" width="0" style="359" hidden="1" customWidth="1"/>
    <col min="12" max="15" width="9.140625" style="359" hidden="1" customWidth="1" outlineLevel="1"/>
    <col min="16" max="16" width="0" style="359" hidden="1" customWidth="1" collapsed="1"/>
    <col min="17" max="20" width="9.140625" style="359" hidden="1" customWidth="1" outlineLevel="1"/>
    <col min="21" max="21" width="0" style="359" hidden="1" customWidth="1" collapsed="1"/>
    <col min="22" max="25" width="9.140625" style="359" hidden="1" customWidth="1" outlineLevel="1"/>
    <col min="26" max="26" width="0" style="359" hidden="1" customWidth="1" collapsed="1"/>
    <col min="27" max="30" width="9.140625" style="359" hidden="1" customWidth="1" outlineLevel="1"/>
    <col min="31" max="31" width="0" style="359" hidden="1" customWidth="1" collapsed="1"/>
    <col min="32" max="35" width="9.140625" style="359" hidden="1" customWidth="1" outlineLevel="1"/>
    <col min="36" max="36" width="0" style="359" hidden="1" customWidth="1" collapsed="1"/>
    <col min="37" max="40" width="9.140625" style="359" hidden="1" customWidth="1" outlineLevel="1"/>
    <col min="41" max="41" width="0" style="359" hidden="1" customWidth="1" collapsed="1"/>
    <col min="42" max="45" width="9.140625" style="359" hidden="1" customWidth="1" outlineLevel="1"/>
    <col min="46" max="46" width="9.140625" style="359" hidden="1" customWidth="1" collapsed="1"/>
    <col min="47" max="50" width="9.140625" style="359" hidden="1" customWidth="1" outlineLevel="1"/>
    <col min="51" max="51" width="9.140625" style="359" customWidth="1" collapsed="1"/>
    <col min="52" max="55" width="9.140625" style="359" hidden="1" customWidth="1" outlineLevel="1"/>
    <col min="56" max="56" width="9.140625" style="359" customWidth="1" collapsed="1"/>
    <col min="57" max="60" width="9.140625" style="359" hidden="1" customWidth="1" outlineLevel="1"/>
    <col min="61" max="61" width="9.140625" style="359" customWidth="1" collapsed="1"/>
    <col min="62" max="65" width="9.140625" style="359" hidden="1" customWidth="1" outlineLevel="1"/>
    <col min="66" max="66" width="9.140625" style="359" customWidth="1" collapsed="1"/>
    <col min="67" max="70" width="9.140625" style="359" hidden="1" customWidth="1" outlineLevel="1"/>
    <col min="71" max="71" width="9.140625" style="359" customWidth="1" collapsed="1"/>
    <col min="72" max="75" width="9.140625" style="359" hidden="1" customWidth="1" outlineLevel="1"/>
    <col min="76" max="76" width="9.140625" style="359" customWidth="1" collapsed="1"/>
    <col min="77" max="80" width="9.140625" style="359" hidden="1" customWidth="1" outlineLevel="1"/>
    <col min="81" max="81" width="9.140625" style="359" customWidth="1" collapsed="1"/>
    <col min="82" max="85" width="9.140625" style="359" hidden="1" customWidth="1" outlineLevel="1"/>
    <col min="86" max="86" width="9.140625" style="359" customWidth="1" collapsed="1"/>
    <col min="87" max="90" width="9.140625" style="359" hidden="1" customWidth="1" outlineLevel="1"/>
    <col min="91" max="91" width="9.140625" style="359" customWidth="1" collapsed="1"/>
    <col min="92" max="95" width="9.140625" style="359" customWidth="1" outlineLevel="1"/>
    <col min="96" max="96" width="9.140625" style="359" customWidth="1"/>
    <col min="97" max="100" width="9.140625" style="359" hidden="1" customWidth="1" outlineLevel="1"/>
    <col min="101" max="101" width="9.140625" style="359" customWidth="1" collapsed="1"/>
    <col min="102" max="105" width="9.140625" style="359" hidden="1" customWidth="1" outlineLevel="1"/>
    <col min="106" max="106" width="9.140625" style="359" customWidth="1" collapsed="1"/>
    <col min="107" max="110" width="9.140625" style="359" hidden="1" customWidth="1" outlineLevel="1"/>
    <col min="111" max="111" width="9.140625" style="359" collapsed="1"/>
    <col min="112" max="115" width="9.140625" style="359" hidden="1" customWidth="1" outlineLevel="1"/>
    <col min="116" max="116" width="9.140625" style="359" collapsed="1"/>
    <col min="117" max="120" width="9.140625" style="359" hidden="1" customWidth="1" outlineLevel="1"/>
    <col min="121" max="121" width="9.140625" style="359" collapsed="1"/>
    <col min="122" max="125" width="9.140625" style="359" hidden="1" customWidth="1" outlineLevel="1"/>
    <col min="126" max="126" width="9.140625" style="359" collapsed="1"/>
    <col min="127" max="130" width="9.140625" style="359" hidden="1" customWidth="1" outlineLevel="1"/>
    <col min="131" max="131" width="9.140625" style="359" collapsed="1"/>
    <col min="132" max="135" width="9.140625" style="359" hidden="1" customWidth="1" outlineLevel="1"/>
    <col min="136" max="136" width="9.140625" style="359" collapsed="1"/>
    <col min="137" max="140" width="9.140625" style="359" hidden="1" customWidth="1" outlineLevel="1"/>
    <col min="141" max="141" width="9.140625" style="359" collapsed="1"/>
    <col min="142" max="145" width="9.140625" style="359" hidden="1" customWidth="1" outlineLevel="1"/>
    <col min="146" max="146" width="9.140625" style="359" collapsed="1"/>
    <col min="147" max="150" width="9.140625" style="359" hidden="1" customWidth="1" outlineLevel="1"/>
    <col min="151" max="151" width="9.140625" style="359" collapsed="1"/>
    <col min="152" max="155" width="9.140625" style="359" hidden="1" customWidth="1" outlineLevel="1"/>
    <col min="156" max="156" width="9.140625" style="359" collapsed="1"/>
    <col min="157" max="16384" width="9.140625" style="359"/>
  </cols>
  <sheetData>
    <row r="1" spans="2:160">
      <c r="BO1" s="457">
        <f>BO15+BO11</f>
        <v>1338</v>
      </c>
      <c r="BT1" s="477"/>
      <c r="BU1" s="477"/>
      <c r="BV1" s="638"/>
      <c r="BW1" s="638"/>
    </row>
    <row r="2" spans="2:160">
      <c r="B2" s="445"/>
      <c r="C2" s="6"/>
      <c r="D2" s="6"/>
      <c r="E2" s="6"/>
      <c r="F2" s="6"/>
      <c r="G2" s="6"/>
      <c r="H2" s="6"/>
      <c r="I2" s="6"/>
      <c r="J2" s="6"/>
      <c r="K2" s="6"/>
      <c r="L2" s="446"/>
      <c r="M2" s="446"/>
      <c r="N2" s="446"/>
      <c r="O2" s="446"/>
      <c r="P2" s="446"/>
      <c r="Q2" s="446"/>
      <c r="R2" s="446"/>
      <c r="S2" s="446"/>
      <c r="T2" s="446"/>
      <c r="U2" s="446"/>
      <c r="V2" s="446"/>
      <c r="W2" s="446"/>
      <c r="X2" s="446"/>
      <c r="Y2" s="446"/>
      <c r="Z2" s="446"/>
      <c r="AA2" s="446"/>
      <c r="AB2" s="446"/>
      <c r="AC2" s="446"/>
      <c r="AD2" s="446"/>
      <c r="AE2" s="446"/>
      <c r="AF2" s="446"/>
      <c r="AG2" s="446"/>
      <c r="AH2" s="446"/>
      <c r="AI2" s="446"/>
      <c r="AJ2" s="446"/>
      <c r="AK2" s="446"/>
      <c r="AL2" s="446"/>
      <c r="AM2" s="446"/>
      <c r="AN2" s="446"/>
      <c r="AO2" s="446"/>
      <c r="AP2" s="446"/>
      <c r="AQ2" s="446"/>
      <c r="AR2" s="446"/>
      <c r="AS2" s="446"/>
      <c r="AT2" s="446"/>
      <c r="AU2" s="446"/>
      <c r="AV2" s="446"/>
      <c r="AW2" s="446"/>
      <c r="AX2" s="446"/>
      <c r="AY2" s="446"/>
      <c r="AZ2" s="446"/>
      <c r="BA2" s="446"/>
      <c r="BB2" s="446"/>
      <c r="BC2" s="446"/>
      <c r="BD2" s="446"/>
      <c r="BE2" s="446"/>
      <c r="BF2" s="446"/>
      <c r="BG2" s="446"/>
      <c r="BH2" s="446"/>
      <c r="BI2" s="7"/>
      <c r="BJ2" s="7"/>
      <c r="BK2" s="7"/>
      <c r="BL2" s="7"/>
      <c r="BM2" s="7"/>
      <c r="BN2" s="7"/>
      <c r="BO2" s="7"/>
      <c r="BP2" s="7"/>
      <c r="BQ2" s="7"/>
      <c r="BR2" s="7"/>
      <c r="BS2" s="7"/>
      <c r="BT2" s="7"/>
      <c r="BU2" s="628"/>
      <c r="BV2" s="7"/>
      <c r="BW2" s="7"/>
      <c r="BX2" s="7"/>
      <c r="BY2" s="7"/>
      <c r="BZ2" s="7"/>
      <c r="CA2" s="7"/>
      <c r="CB2" s="7"/>
      <c r="CC2" s="692"/>
      <c r="CD2" s="692"/>
      <c r="CE2" s="692"/>
      <c r="CF2" s="692"/>
      <c r="CG2" s="7"/>
      <c r="CH2" s="692"/>
      <c r="CM2" s="477"/>
      <c r="CN2" s="477"/>
      <c r="CO2" s="477"/>
      <c r="CP2" s="477"/>
      <c r="CQ2" s="477"/>
      <c r="CR2" s="477"/>
      <c r="CS2" s="477"/>
      <c r="CT2" s="477"/>
      <c r="CU2" s="477"/>
      <c r="CV2" s="477"/>
      <c r="CW2" s="477"/>
      <c r="CX2" s="477"/>
      <c r="CY2" s="477"/>
      <c r="CZ2" s="477"/>
      <c r="DA2" s="477"/>
      <c r="DB2" s="477"/>
      <c r="DC2" s="477"/>
      <c r="DD2" s="477"/>
      <c r="DE2" s="477"/>
      <c r="DF2" s="477"/>
      <c r="DG2" s="477"/>
      <c r="DH2" s="477"/>
      <c r="DI2" s="477"/>
      <c r="DJ2" s="477"/>
      <c r="DK2" s="477"/>
      <c r="DL2" s="477"/>
      <c r="DM2" s="477"/>
      <c r="DN2" s="477"/>
      <c r="DO2" s="477"/>
      <c r="DP2" s="477"/>
      <c r="DQ2" s="477"/>
      <c r="DR2" s="477"/>
      <c r="DS2" s="477"/>
      <c r="DT2" s="477"/>
      <c r="DU2" s="477"/>
      <c r="DV2" s="477"/>
      <c r="DW2" s="477"/>
      <c r="DX2" s="477"/>
      <c r="DY2" s="477"/>
      <c r="DZ2" s="477"/>
      <c r="EA2" s="458"/>
      <c r="EB2" s="477"/>
      <c r="EC2" s="477"/>
      <c r="ED2" s="477"/>
      <c r="EE2" s="477"/>
      <c r="EF2" s="477"/>
      <c r="EG2" s="477"/>
      <c r="EH2" s="477"/>
      <c r="EI2" s="477"/>
      <c r="EJ2" s="477"/>
      <c r="EK2" s="477"/>
      <c r="EL2" s="477"/>
      <c r="EM2" s="477"/>
      <c r="EN2" s="477"/>
      <c r="EO2" s="477"/>
      <c r="EP2" s="477"/>
      <c r="EQ2" s="477"/>
      <c r="ER2" s="477"/>
      <c r="ES2" s="477"/>
      <c r="ET2" s="477"/>
      <c r="EU2" s="477"/>
      <c r="EV2" s="477"/>
      <c r="EW2" s="477"/>
      <c r="EX2" s="477"/>
      <c r="EY2" s="477"/>
      <c r="EZ2" s="477"/>
    </row>
    <row r="3" spans="2:160" s="4" customFormat="1" ht="13.5" thickBot="1">
      <c r="B3" s="15" t="s">
        <v>918</v>
      </c>
      <c r="C3" s="16" t="s">
        <v>58</v>
      </c>
      <c r="D3" s="16" t="s">
        <v>57</v>
      </c>
      <c r="E3" s="16" t="s">
        <v>56</v>
      </c>
      <c r="F3" s="16" t="s">
        <v>55</v>
      </c>
      <c r="G3" s="16" t="s">
        <v>54</v>
      </c>
      <c r="H3" s="16" t="s">
        <v>53</v>
      </c>
      <c r="I3" s="16" t="s">
        <v>52</v>
      </c>
      <c r="J3" s="16" t="s">
        <v>51</v>
      </c>
      <c r="K3" s="16" t="s">
        <v>50</v>
      </c>
      <c r="L3" s="854" t="s">
        <v>98</v>
      </c>
      <c r="M3" s="854"/>
      <c r="N3" s="854"/>
      <c r="O3" s="854"/>
      <c r="P3" s="854"/>
      <c r="Q3" s="853" t="s">
        <v>99</v>
      </c>
      <c r="R3" s="854"/>
      <c r="S3" s="854"/>
      <c r="T3" s="854"/>
      <c r="U3" s="854"/>
      <c r="V3" s="853" t="s">
        <v>100</v>
      </c>
      <c r="W3" s="854"/>
      <c r="X3" s="854"/>
      <c r="Y3" s="854"/>
      <c r="Z3" s="854"/>
      <c r="AA3" s="853" t="s">
        <v>101</v>
      </c>
      <c r="AB3" s="854"/>
      <c r="AC3" s="854"/>
      <c r="AD3" s="854"/>
      <c r="AE3" s="854"/>
      <c r="AF3" s="853" t="s">
        <v>102</v>
      </c>
      <c r="AG3" s="854"/>
      <c r="AH3" s="854"/>
      <c r="AI3" s="854"/>
      <c r="AJ3" s="854"/>
      <c r="AK3" s="853" t="s">
        <v>103</v>
      </c>
      <c r="AL3" s="854"/>
      <c r="AM3" s="854"/>
      <c r="AN3" s="854"/>
      <c r="AO3" s="854"/>
      <c r="AP3" s="853" t="s">
        <v>104</v>
      </c>
      <c r="AQ3" s="854"/>
      <c r="AR3" s="854"/>
      <c r="AS3" s="854"/>
      <c r="AT3" s="854"/>
      <c r="AU3" s="853" t="s">
        <v>49</v>
      </c>
      <c r="AV3" s="854"/>
      <c r="AW3" s="854"/>
      <c r="AX3" s="854"/>
      <c r="AY3" s="854"/>
      <c r="AZ3" s="853" t="s">
        <v>48</v>
      </c>
      <c r="BA3" s="854"/>
      <c r="BB3" s="854"/>
      <c r="BC3" s="854"/>
      <c r="BD3" s="854"/>
      <c r="BE3" s="853" t="s">
        <v>45</v>
      </c>
      <c r="BF3" s="854"/>
      <c r="BG3" s="854"/>
      <c r="BH3" s="854"/>
      <c r="BI3" s="854"/>
      <c r="BJ3" s="853" t="s">
        <v>105</v>
      </c>
      <c r="BK3" s="853"/>
      <c r="BL3" s="853"/>
      <c r="BM3" s="853"/>
      <c r="BN3" s="853"/>
      <c r="BO3" s="853" t="s">
        <v>28</v>
      </c>
      <c r="BP3" s="853"/>
      <c r="BQ3" s="853"/>
      <c r="BR3" s="853"/>
      <c r="BS3" s="853"/>
      <c r="BT3" s="853" t="s">
        <v>726</v>
      </c>
      <c r="BU3" s="853"/>
      <c r="BV3" s="853"/>
      <c r="BW3" s="853"/>
      <c r="BX3" s="853"/>
      <c r="BY3" s="853" t="s">
        <v>731</v>
      </c>
      <c r="BZ3" s="853"/>
      <c r="CA3" s="853"/>
      <c r="CB3" s="853"/>
      <c r="CC3" s="853"/>
      <c r="CD3" s="853" t="s">
        <v>922</v>
      </c>
      <c r="CE3" s="853"/>
      <c r="CF3" s="853"/>
      <c r="CG3" s="853"/>
      <c r="CH3" s="853"/>
      <c r="CI3" s="853" t="s">
        <v>942</v>
      </c>
      <c r="CJ3" s="853"/>
      <c r="CK3" s="853"/>
      <c r="CL3" s="853"/>
      <c r="CM3" s="853"/>
      <c r="CN3" s="853" t="s">
        <v>114</v>
      </c>
      <c r="CO3" s="853"/>
      <c r="CP3" s="853"/>
      <c r="CQ3" s="853"/>
      <c r="CR3" s="853"/>
      <c r="CS3" s="853" t="s">
        <v>113</v>
      </c>
      <c r="CT3" s="853"/>
      <c r="CU3" s="853"/>
      <c r="CV3" s="853"/>
      <c r="CW3" s="853"/>
      <c r="CX3" s="853" t="s">
        <v>67</v>
      </c>
      <c r="CY3" s="853"/>
      <c r="CZ3" s="853"/>
      <c r="DA3" s="853"/>
      <c r="DB3" s="853"/>
      <c r="DC3" s="853" t="s">
        <v>787</v>
      </c>
      <c r="DD3" s="853"/>
      <c r="DE3" s="853"/>
      <c r="DF3" s="853"/>
      <c r="DG3" s="853"/>
      <c r="DH3" s="853" t="s">
        <v>788</v>
      </c>
      <c r="DI3" s="853"/>
      <c r="DJ3" s="853"/>
      <c r="DK3" s="853"/>
      <c r="DL3" s="853"/>
      <c r="DM3" s="853" t="s">
        <v>789</v>
      </c>
      <c r="DN3" s="853"/>
      <c r="DO3" s="853"/>
      <c r="DP3" s="853"/>
      <c r="DQ3" s="853"/>
      <c r="DR3" s="853" t="s">
        <v>790</v>
      </c>
      <c r="DS3" s="853"/>
      <c r="DT3" s="853"/>
      <c r="DU3" s="853"/>
      <c r="DV3" s="853"/>
      <c r="DW3" s="853" t="s">
        <v>791</v>
      </c>
      <c r="DX3" s="853"/>
      <c r="DY3" s="853"/>
      <c r="DZ3" s="853"/>
      <c r="EA3" s="853"/>
      <c r="EB3" s="853" t="s">
        <v>792</v>
      </c>
      <c r="EC3" s="853"/>
      <c r="ED3" s="853"/>
      <c r="EE3" s="853"/>
      <c r="EF3" s="853"/>
      <c r="EG3" s="853" t="s">
        <v>793</v>
      </c>
      <c r="EH3" s="853"/>
      <c r="EI3" s="853"/>
      <c r="EJ3" s="853"/>
      <c r="EK3" s="853"/>
      <c r="EL3" s="853" t="s">
        <v>794</v>
      </c>
      <c r="EM3" s="853"/>
      <c r="EN3" s="853"/>
      <c r="EO3" s="853"/>
      <c r="EP3" s="853"/>
      <c r="EQ3" s="853" t="s">
        <v>795</v>
      </c>
      <c r="ER3" s="853"/>
      <c r="ES3" s="853"/>
      <c r="ET3" s="853"/>
      <c r="EU3" s="853"/>
      <c r="EV3" s="853" t="s">
        <v>796</v>
      </c>
      <c r="EW3" s="853"/>
      <c r="EX3" s="853"/>
      <c r="EY3" s="853"/>
      <c r="EZ3" s="853"/>
      <c r="FA3" s="684"/>
      <c r="FB3" s="684"/>
      <c r="FC3" s="684"/>
      <c r="FD3" s="684"/>
    </row>
    <row r="4" spans="2:160">
      <c r="B4" s="13"/>
      <c r="C4" s="41"/>
      <c r="D4" s="42"/>
      <c r="E4" s="42"/>
      <c r="F4" s="42"/>
      <c r="G4" s="42"/>
      <c r="H4" s="42"/>
      <c r="I4" s="42"/>
      <c r="J4" s="42"/>
      <c r="K4" s="42"/>
      <c r="L4" s="47" t="s">
        <v>132</v>
      </c>
      <c r="M4" s="47" t="s">
        <v>133</v>
      </c>
      <c r="N4" s="47" t="s">
        <v>134</v>
      </c>
      <c r="O4" s="47" t="s">
        <v>135</v>
      </c>
      <c r="P4" s="42"/>
      <c r="Q4" s="47" t="s">
        <v>136</v>
      </c>
      <c r="R4" s="47" t="s">
        <v>137</v>
      </c>
      <c r="S4" s="47" t="s">
        <v>138</v>
      </c>
      <c r="T4" s="47" t="s">
        <v>139</v>
      </c>
      <c r="U4" s="42"/>
      <c r="V4" s="47" t="s">
        <v>140</v>
      </c>
      <c r="W4" s="47" t="s">
        <v>141</v>
      </c>
      <c r="X4" s="47" t="s">
        <v>142</v>
      </c>
      <c r="Y4" s="47" t="s">
        <v>143</v>
      </c>
      <c r="Z4" s="42"/>
      <c r="AA4" s="47" t="s">
        <v>144</v>
      </c>
      <c r="AB4" s="47" t="s">
        <v>145</v>
      </c>
      <c r="AC4" s="47" t="s">
        <v>146</v>
      </c>
      <c r="AD4" s="47" t="s">
        <v>147</v>
      </c>
      <c r="AE4" s="42"/>
      <c r="AF4" s="47" t="s">
        <v>148</v>
      </c>
      <c r="AG4" s="47" t="s">
        <v>149</v>
      </c>
      <c r="AH4" s="47" t="s">
        <v>150</v>
      </c>
      <c r="AI4" s="47" t="s">
        <v>151</v>
      </c>
      <c r="AJ4" s="42"/>
      <c r="AK4" s="47" t="s">
        <v>152</v>
      </c>
      <c r="AL4" s="47" t="s">
        <v>153</v>
      </c>
      <c r="AM4" s="47" t="s">
        <v>154</v>
      </c>
      <c r="AN4" s="47" t="s">
        <v>155</v>
      </c>
      <c r="AO4" s="42"/>
      <c r="AP4" s="47" t="s">
        <v>156</v>
      </c>
      <c r="AQ4" s="47" t="s">
        <v>157</v>
      </c>
      <c r="AR4" s="47" t="s">
        <v>158</v>
      </c>
      <c r="AS4" s="47" t="s">
        <v>159</v>
      </c>
      <c r="AT4" s="42"/>
      <c r="AU4" s="47" t="s">
        <v>191</v>
      </c>
      <c r="AV4" s="47" t="s">
        <v>192</v>
      </c>
      <c r="AW4" s="47" t="s">
        <v>193</v>
      </c>
      <c r="AX4" s="47" t="s">
        <v>194</v>
      </c>
      <c r="AY4" s="42"/>
      <c r="AZ4" s="47" t="s">
        <v>195</v>
      </c>
      <c r="BA4" s="47" t="s">
        <v>196</v>
      </c>
      <c r="BB4" s="47" t="s">
        <v>197</v>
      </c>
      <c r="BC4" s="47" t="s">
        <v>198</v>
      </c>
      <c r="BD4" s="42"/>
      <c r="BE4" s="47" t="s">
        <v>199</v>
      </c>
      <c r="BF4" s="47" t="s">
        <v>200</v>
      </c>
      <c r="BG4" s="47" t="s">
        <v>201</v>
      </c>
      <c r="BH4" s="47" t="s">
        <v>202</v>
      </c>
      <c r="BI4" s="42"/>
      <c r="BJ4" s="47" t="s">
        <v>160</v>
      </c>
      <c r="BK4" s="47" t="s">
        <v>161</v>
      </c>
      <c r="BL4" s="47" t="s">
        <v>162</v>
      </c>
      <c r="BM4" s="47" t="s">
        <v>163</v>
      </c>
      <c r="BN4" s="42"/>
      <c r="BO4" s="425" t="s">
        <v>164</v>
      </c>
      <c r="BP4" s="425" t="s">
        <v>165</v>
      </c>
      <c r="BQ4" s="425" t="s">
        <v>166</v>
      </c>
      <c r="BR4" s="425" t="s">
        <v>27</v>
      </c>
      <c r="BS4" s="43"/>
      <c r="BT4" s="637" t="s">
        <v>536</v>
      </c>
      <c r="BU4" s="637" t="s">
        <v>711</v>
      </c>
      <c r="BV4" s="637" t="s">
        <v>712</v>
      </c>
      <c r="BW4" s="637" t="s">
        <v>716</v>
      </c>
      <c r="BX4" s="14" t="s">
        <v>720</v>
      </c>
      <c r="BY4" s="637" t="s">
        <v>535</v>
      </c>
      <c r="BZ4" s="637" t="s">
        <v>727</v>
      </c>
      <c r="CA4" s="637" t="s">
        <v>728</v>
      </c>
      <c r="CB4" s="637" t="s">
        <v>730</v>
      </c>
      <c r="CC4" s="14" t="s">
        <v>719</v>
      </c>
      <c r="CD4" s="637" t="s">
        <v>736</v>
      </c>
      <c r="CE4" s="637" t="s">
        <v>798</v>
      </c>
      <c r="CF4" s="637" t="s">
        <v>919</v>
      </c>
      <c r="CG4" s="637" t="s">
        <v>921</v>
      </c>
      <c r="CH4" s="14" t="s">
        <v>718</v>
      </c>
      <c r="CI4" s="462" t="s">
        <v>926</v>
      </c>
      <c r="CJ4" s="462" t="s">
        <v>937</v>
      </c>
      <c r="CK4" s="462" t="s">
        <v>938</v>
      </c>
      <c r="CL4" s="462" t="s">
        <v>941</v>
      </c>
      <c r="CM4" s="14" t="s">
        <v>721</v>
      </c>
      <c r="CN4" s="462" t="s">
        <v>220</v>
      </c>
      <c r="CO4" s="462" t="s">
        <v>221</v>
      </c>
      <c r="CP4" s="462" t="s">
        <v>222</v>
      </c>
      <c r="CQ4" s="462" t="s">
        <v>223</v>
      </c>
      <c r="CR4" s="14" t="s">
        <v>722</v>
      </c>
      <c r="CS4" s="462" t="s">
        <v>224</v>
      </c>
      <c r="CT4" s="462" t="s">
        <v>225</v>
      </c>
      <c r="CU4" s="462" t="s">
        <v>226</v>
      </c>
      <c r="CV4" s="462" t="s">
        <v>227</v>
      </c>
      <c r="CW4" s="14" t="s">
        <v>723</v>
      </c>
      <c r="CX4" s="462" t="s">
        <v>228</v>
      </c>
      <c r="CY4" s="462" t="s">
        <v>229</v>
      </c>
      <c r="CZ4" s="462" t="s">
        <v>230</v>
      </c>
      <c r="DA4" s="462" t="s">
        <v>231</v>
      </c>
      <c r="DB4" s="14" t="s">
        <v>724</v>
      </c>
      <c r="DC4" s="462" t="s">
        <v>747</v>
      </c>
      <c r="DD4" s="462" t="s">
        <v>748</v>
      </c>
      <c r="DE4" s="462" t="s">
        <v>749</v>
      </c>
      <c r="DF4" s="462" t="s">
        <v>750</v>
      </c>
      <c r="DG4" s="14" t="s">
        <v>737</v>
      </c>
      <c r="DH4" s="462" t="s">
        <v>751</v>
      </c>
      <c r="DI4" s="462" t="s">
        <v>752</v>
      </c>
      <c r="DJ4" s="462" t="s">
        <v>753</v>
      </c>
      <c r="DK4" s="462" t="s">
        <v>754</v>
      </c>
      <c r="DL4" s="14" t="s">
        <v>738</v>
      </c>
      <c r="DM4" s="462" t="s">
        <v>755</v>
      </c>
      <c r="DN4" s="462" t="s">
        <v>756</v>
      </c>
      <c r="DO4" s="462" t="s">
        <v>757</v>
      </c>
      <c r="DP4" s="462" t="s">
        <v>758</v>
      </c>
      <c r="DQ4" s="14" t="s">
        <v>739</v>
      </c>
      <c r="DR4" s="462" t="s">
        <v>759</v>
      </c>
      <c r="DS4" s="462" t="s">
        <v>760</v>
      </c>
      <c r="DT4" s="462" t="s">
        <v>761</v>
      </c>
      <c r="DU4" s="462" t="s">
        <v>762</v>
      </c>
      <c r="DV4" s="14" t="s">
        <v>740</v>
      </c>
      <c r="DW4" s="462" t="s">
        <v>763</v>
      </c>
      <c r="DX4" s="462" t="s">
        <v>764</v>
      </c>
      <c r="DY4" s="462" t="s">
        <v>765</v>
      </c>
      <c r="DZ4" s="462" t="s">
        <v>766</v>
      </c>
      <c r="EA4" s="14" t="s">
        <v>741</v>
      </c>
      <c r="EB4" s="462" t="s">
        <v>767</v>
      </c>
      <c r="EC4" s="462" t="s">
        <v>768</v>
      </c>
      <c r="ED4" s="462" t="s">
        <v>769</v>
      </c>
      <c r="EE4" s="462" t="s">
        <v>770</v>
      </c>
      <c r="EF4" s="14" t="s">
        <v>742</v>
      </c>
      <c r="EG4" s="462" t="s">
        <v>771</v>
      </c>
      <c r="EH4" s="462" t="s">
        <v>772</v>
      </c>
      <c r="EI4" s="462" t="s">
        <v>773</v>
      </c>
      <c r="EJ4" s="462" t="s">
        <v>774</v>
      </c>
      <c r="EK4" s="14" t="s">
        <v>743</v>
      </c>
      <c r="EL4" s="462" t="s">
        <v>775</v>
      </c>
      <c r="EM4" s="462" t="s">
        <v>776</v>
      </c>
      <c r="EN4" s="462" t="s">
        <v>777</v>
      </c>
      <c r="EO4" s="462" t="s">
        <v>778</v>
      </c>
      <c r="EP4" s="14" t="s">
        <v>744</v>
      </c>
      <c r="EQ4" s="462" t="s">
        <v>779</v>
      </c>
      <c r="ER4" s="462" t="s">
        <v>780</v>
      </c>
      <c r="ES4" s="462" t="s">
        <v>781</v>
      </c>
      <c r="ET4" s="462" t="s">
        <v>782</v>
      </c>
      <c r="EU4" s="14" t="s">
        <v>745</v>
      </c>
      <c r="EV4" s="462" t="s">
        <v>783</v>
      </c>
      <c r="EW4" s="462" t="s">
        <v>784</v>
      </c>
      <c r="EX4" s="462" t="s">
        <v>785</v>
      </c>
      <c r="EY4" s="462" t="s">
        <v>786</v>
      </c>
      <c r="EZ4" s="14" t="s">
        <v>746</v>
      </c>
    </row>
    <row r="5" spans="2:160" s="4" customFormat="1">
      <c r="B5" s="17" t="s">
        <v>897</v>
      </c>
      <c r="C5" s="19">
        <v>586.9</v>
      </c>
      <c r="D5" s="19">
        <v>720.6</v>
      </c>
      <c r="E5" s="19">
        <v>882.6</v>
      </c>
      <c r="F5" s="19">
        <v>1071.9000000000001</v>
      </c>
      <c r="G5" s="19">
        <v>1160.7</v>
      </c>
      <c r="H5" s="19">
        <v>1382</v>
      </c>
      <c r="I5" s="19">
        <v>1759.1</v>
      </c>
      <c r="J5" s="19">
        <v>1962.9</v>
      </c>
      <c r="K5" s="20">
        <v>2108.5</v>
      </c>
      <c r="L5" s="21">
        <v>512.20000000000005</v>
      </c>
      <c r="M5" s="22">
        <v>570.29999999999995</v>
      </c>
      <c r="N5" s="22">
        <v>558.4</v>
      </c>
      <c r="O5" s="21">
        <v>619.70000000000005</v>
      </c>
      <c r="P5" s="20">
        <f>O5+N5+M5+L5</f>
        <v>2260.6</v>
      </c>
      <c r="Q5" s="21">
        <v>547.1</v>
      </c>
      <c r="R5" s="21">
        <v>611.1</v>
      </c>
      <c r="S5" s="21">
        <v>626</v>
      </c>
      <c r="T5" s="21">
        <v>651</v>
      </c>
      <c r="U5" s="20">
        <f>T5+S5+R5+Q5</f>
        <v>2435.1999999999998</v>
      </c>
      <c r="V5" s="22">
        <v>590</v>
      </c>
      <c r="W5" s="21">
        <v>632.6</v>
      </c>
      <c r="X5" s="21">
        <v>681</v>
      </c>
      <c r="Y5" s="21">
        <v>697</v>
      </c>
      <c r="Z5" s="20">
        <f>Y5+X5+W5+V5</f>
        <v>2600.6</v>
      </c>
      <c r="AA5" s="22">
        <v>583</v>
      </c>
      <c r="AB5" s="21">
        <v>647</v>
      </c>
      <c r="AC5" s="22">
        <v>599</v>
      </c>
      <c r="AD5" s="22">
        <v>626</v>
      </c>
      <c r="AE5" s="20">
        <f>AD5+AC5+AB5+AA5</f>
        <v>2455</v>
      </c>
      <c r="AF5" s="22">
        <v>604</v>
      </c>
      <c r="AG5" s="21">
        <v>613</v>
      </c>
      <c r="AH5" s="22">
        <v>633</v>
      </c>
      <c r="AI5" s="22">
        <v>661</v>
      </c>
      <c r="AJ5" s="20">
        <f>AI5+AH5+AG5+AF5</f>
        <v>2511</v>
      </c>
      <c r="AK5" s="22">
        <v>625</v>
      </c>
      <c r="AL5" s="22">
        <v>624</v>
      </c>
      <c r="AM5" s="22">
        <v>602</v>
      </c>
      <c r="AN5" s="22">
        <v>638</v>
      </c>
      <c r="AO5" s="20">
        <f>AN5+AM5+AL5+AK5</f>
        <v>2489</v>
      </c>
      <c r="AP5" s="22">
        <v>554</v>
      </c>
      <c r="AQ5" s="22">
        <v>622</v>
      </c>
      <c r="AR5" s="22">
        <v>634</v>
      </c>
      <c r="AS5" s="22">
        <v>646</v>
      </c>
      <c r="AT5" s="20">
        <f>AS5+AR5+AQ5+AP5</f>
        <v>2456</v>
      </c>
      <c r="AU5" s="24">
        <v>565</v>
      </c>
      <c r="AV5" s="24">
        <v>638</v>
      </c>
      <c r="AW5" s="24">
        <v>663</v>
      </c>
      <c r="AX5" s="24">
        <v>703</v>
      </c>
      <c r="AY5" s="20">
        <f>AX5+AW5+AV5+AU5</f>
        <v>2569</v>
      </c>
      <c r="AZ5" s="24">
        <v>623</v>
      </c>
      <c r="BA5" s="24">
        <v>657</v>
      </c>
      <c r="BB5" s="24">
        <v>653</v>
      </c>
      <c r="BC5" s="24">
        <v>591</v>
      </c>
      <c r="BD5" s="20">
        <f>BC5+BB5+BA5+AZ5</f>
        <v>2524</v>
      </c>
      <c r="BE5" s="24">
        <v>535</v>
      </c>
      <c r="BF5" s="24">
        <v>543</v>
      </c>
      <c r="BG5" s="24">
        <v>476</v>
      </c>
      <c r="BH5" s="24">
        <v>486</v>
      </c>
      <c r="BI5" s="20">
        <f>BH5+BG5+BF5+BE5</f>
        <v>2040</v>
      </c>
      <c r="BJ5" s="24">
        <v>446</v>
      </c>
      <c r="BK5" s="24">
        <v>525</v>
      </c>
      <c r="BL5" s="24">
        <v>491</v>
      </c>
      <c r="BM5" s="24">
        <v>479</v>
      </c>
      <c r="BN5" s="20">
        <f>BM5+BL5+BK5+BJ5</f>
        <v>1941</v>
      </c>
      <c r="BO5" s="463">
        <v>435</v>
      </c>
      <c r="BP5" s="463">
        <v>502</v>
      </c>
      <c r="BQ5" s="463">
        <v>491</v>
      </c>
      <c r="BR5" s="472">
        <v>525</v>
      </c>
      <c r="BS5" s="20">
        <f>SUM(BO5:BR5)</f>
        <v>1953</v>
      </c>
      <c r="BT5" s="472">
        <v>462</v>
      </c>
      <c r="BU5" s="472">
        <v>512</v>
      </c>
      <c r="BV5" s="472">
        <v>518</v>
      </c>
      <c r="BW5" s="472">
        <v>539</v>
      </c>
      <c r="BX5" s="20">
        <f>SUM(BT5:BW5)</f>
        <v>2031</v>
      </c>
      <c r="BY5" s="472">
        <v>534</v>
      </c>
      <c r="BZ5" s="472">
        <v>491</v>
      </c>
      <c r="CA5" s="472">
        <v>489</v>
      </c>
      <c r="CB5" s="472">
        <v>342</v>
      </c>
      <c r="CC5" s="20">
        <f>SUM(BY5:CB5)</f>
        <v>1856</v>
      </c>
      <c r="CD5" s="472">
        <v>300</v>
      </c>
      <c r="CE5" s="472">
        <v>331</v>
      </c>
      <c r="CF5" s="472">
        <v>335</v>
      </c>
      <c r="CG5" s="472">
        <v>316</v>
      </c>
      <c r="CH5" s="20">
        <f>CD5+CE5+CF5+CG5</f>
        <v>1282</v>
      </c>
      <c r="CI5" s="472">
        <v>270</v>
      </c>
      <c r="CJ5" s="472">
        <v>292</v>
      </c>
      <c r="CK5" s="472">
        <v>264</v>
      </c>
      <c r="CL5" s="472">
        <v>270</v>
      </c>
      <c r="CM5" s="20">
        <f>CI5+CJ5+CK5+CL5</f>
        <v>1096</v>
      </c>
      <c r="CN5" s="472">
        <v>244</v>
      </c>
      <c r="CO5" s="463">
        <f>'IMS Model Summary'!J11</f>
        <v>239.62516396435669</v>
      </c>
      <c r="CP5" s="463">
        <f>'IMS Model Summary'!K11</f>
        <v>241.34171344888384</v>
      </c>
      <c r="CQ5" s="463">
        <f>'IMS Model Summary'!L11</f>
        <v>265.19268126436998</v>
      </c>
      <c r="CR5" s="20">
        <f>CN5+CO5+CP5+CQ5</f>
        <v>990.15955867761056</v>
      </c>
      <c r="CS5" s="463">
        <f>'IMS Model Summary'!N11</f>
        <v>251.31041344527634</v>
      </c>
      <c r="CT5" s="463">
        <f>'IMS Model Summary'!O11</f>
        <v>237.26208314561669</v>
      </c>
      <c r="CU5" s="463">
        <f>'IMS Model Summary'!P11</f>
        <v>230.0099301385203</v>
      </c>
      <c r="CV5" s="463">
        <f>'IMS Model Summary'!Q11</f>
        <v>244.38811264935634</v>
      </c>
      <c r="CW5" s="20">
        <f>CS5+CT5+CU5+CV5</f>
        <v>962.97053937876967</v>
      </c>
      <c r="CX5" s="463">
        <f>'IMS Model Summary'!S11</f>
        <v>231.29593393896175</v>
      </c>
      <c r="CY5" s="463">
        <f>'IMS Model Summary'!T11</f>
        <v>221.3074519175502</v>
      </c>
      <c r="CZ5" s="463">
        <f>'IMS Model Summary'!U11</f>
        <v>217.91045897750485</v>
      </c>
      <c r="DA5" s="463">
        <f>'IMS Model Summary'!V11</f>
        <v>234.9040255090529</v>
      </c>
      <c r="DB5" s="20">
        <f>CX5+CY5+CZ5+DA5</f>
        <v>905.41787034306969</v>
      </c>
      <c r="DC5" s="463">
        <f>'IMS Model Summary'!X11</f>
        <v>199.98806905322544</v>
      </c>
      <c r="DD5" s="463">
        <f>'IMS Model Summary'!Y11</f>
        <v>198.92705843287686</v>
      </c>
      <c r="DE5" s="463">
        <f>'IMS Model Summary'!Z11</f>
        <v>202.270195061198</v>
      </c>
      <c r="DF5" s="463">
        <f>'IMS Model Summary'!AA11</f>
        <v>225.8217040253885</v>
      </c>
      <c r="DG5" s="20">
        <f>DC5+DD5+DE5+DF5</f>
        <v>827.0070265726888</v>
      </c>
      <c r="DH5" s="463">
        <f>'IMS Model Summary'!AC11</f>
        <v>195.1474103954489</v>
      </c>
      <c r="DI5" s="463">
        <f>'IMS Model Summary'!AD11</f>
        <v>191.26439824327332</v>
      </c>
      <c r="DJ5" s="463">
        <f>'IMS Model Summary'!AE11</f>
        <v>195.23292658426217</v>
      </c>
      <c r="DK5" s="463">
        <f>'IMS Model Summary'!AF11</f>
        <v>217.43201263809274</v>
      </c>
      <c r="DL5" s="20">
        <f>DH5+DI5+DJ5+DK5</f>
        <v>799.07674786107714</v>
      </c>
      <c r="DM5" s="463">
        <f>'IMS Model Summary'!AH11</f>
        <v>187.69428214390641</v>
      </c>
      <c r="DN5" s="463">
        <f>'IMS Model Summary'!AI11</f>
        <v>184.01959219940954</v>
      </c>
      <c r="DO5" s="463">
        <f>'IMS Model Summary'!AJ11</f>
        <v>187.587171936072</v>
      </c>
      <c r="DP5" s="463">
        <f>'IMS Model Summary'!AK11</f>
        <v>208.81797606940279</v>
      </c>
      <c r="DQ5" s="20">
        <f>DM5+DN5+DO5+DP5</f>
        <v>768.11902234879074</v>
      </c>
      <c r="DR5" s="463">
        <f>'IMS Model Summary'!AM11</f>
        <v>180.16648663580233</v>
      </c>
      <c r="DS5" s="463">
        <f>'IMS Model Summary'!AN11</f>
        <v>177.14248470145475</v>
      </c>
      <c r="DT5" s="463">
        <f>'IMS Model Summary'!AO11</f>
        <v>181.11325024447527</v>
      </c>
      <c r="DU5" s="463">
        <f>'IMS Model Summary'!AP11</f>
        <v>202.20873835884024</v>
      </c>
      <c r="DV5" s="20">
        <f>DR5+DS5+DT5+DU5</f>
        <v>740.63095994057255</v>
      </c>
      <c r="DW5" s="463">
        <f>'IMS Model Summary'!AR11</f>
        <v>175.13466356048124</v>
      </c>
      <c r="DX5" s="463">
        <f>'IMS Model Summary'!AS11</f>
        <v>172.02819193181912</v>
      </c>
      <c r="DY5" s="463">
        <f>'IMS Model Summary'!AT11</f>
        <v>175.93338233404995</v>
      </c>
      <c r="DZ5" s="463">
        <f>'IMS Model Summary'!AU11</f>
        <v>196.36646770449832</v>
      </c>
      <c r="EA5" s="20">
        <f>DW5+DX5+DY5+DZ5</f>
        <v>719.46270553084855</v>
      </c>
      <c r="EB5" s="463">
        <f>'IMS Model Summary'!AW11</f>
        <v>170.07863621515105</v>
      </c>
      <c r="EC5" s="463">
        <f>'IMS Model Summary'!AX11</f>
        <v>170.48106177840035</v>
      </c>
      <c r="ED5" s="463">
        <f>'IMS Model Summary'!AY11</f>
        <v>174.34057221913372</v>
      </c>
      <c r="EE5" s="463">
        <f>'IMS Model Summary'!AZ11</f>
        <v>194.5885831161238</v>
      </c>
      <c r="EF5" s="20">
        <f>EB5+EC5+ED5+EE5</f>
        <v>709.48885332880889</v>
      </c>
      <c r="EG5" s="463">
        <f>'IMS Model Summary'!BB11</f>
        <v>168.70008192718976</v>
      </c>
      <c r="EH5" s="463">
        <f>'IMS Model Summary'!BC11</f>
        <v>169.28344038260281</v>
      </c>
      <c r="EI5" s="463">
        <f>'IMS Model Summary'!BD11</f>
        <v>173.31784193143588</v>
      </c>
      <c r="EJ5" s="463">
        <f>'IMS Model Summary'!BE11</f>
        <v>193.66363344431119</v>
      </c>
      <c r="EK5" s="20">
        <f>EG5+EH5+EI5+EJ5</f>
        <v>704.96499768553963</v>
      </c>
      <c r="EL5" s="463">
        <f>'IMS Model Summary'!BG11</f>
        <v>167.99661058388813</v>
      </c>
      <c r="EM5" s="463">
        <f>'IMS Model Summary'!BH11</f>
        <v>168.47217577178</v>
      </c>
      <c r="EN5" s="463">
        <f>'IMS Model Summary'!BI11</f>
        <v>172.54080254794167</v>
      </c>
      <c r="EO5" s="463">
        <f>'IMS Model Summary'!BJ11</f>
        <v>192.76357395482063</v>
      </c>
      <c r="EP5" s="20">
        <f>EL5+EM5+EN5+EO5</f>
        <v>701.7731628584304</v>
      </c>
      <c r="EQ5" s="463">
        <f>'IMS Model Summary'!BL11</f>
        <v>167.22146641743993</v>
      </c>
      <c r="ER5" s="463">
        <f>'IMS Model Summary'!BM11</f>
        <v>167.69782633864688</v>
      </c>
      <c r="ES5" s="463">
        <f>'IMS Model Summary'!BN11</f>
        <v>171.74480040237972</v>
      </c>
      <c r="ET5" s="463">
        <f>'IMS Model Summary'!BO11</f>
        <v>191.87440036219016</v>
      </c>
      <c r="EU5" s="20">
        <f>EQ5+ER5+ES5+ET5</f>
        <v>698.53849352065663</v>
      </c>
      <c r="EV5" s="463">
        <f>'IMS Model Summary'!BQ11</f>
        <v>166.44862707256075</v>
      </c>
      <c r="EW5" s="463">
        <f>'IMS Model Summary'!BR11</f>
        <v>166.92228980426631</v>
      </c>
      <c r="EX5" s="463">
        <f>'IMS Model Summary'!BS11</f>
        <v>170.94940805256883</v>
      </c>
      <c r="EY5" s="463">
        <f>'IMS Model Summary'!BT11</f>
        <v>190.98487670591243</v>
      </c>
      <c r="EZ5" s="20">
        <f>EV5+EW5+EX5+EY5</f>
        <v>695.30520163530832</v>
      </c>
    </row>
    <row r="6" spans="2:160">
      <c r="B6" s="447"/>
      <c r="C6" s="355"/>
      <c r="D6" s="355"/>
      <c r="E6" s="355"/>
      <c r="F6" s="355"/>
      <c r="G6" s="355"/>
      <c r="H6" s="355"/>
      <c r="I6" s="355"/>
      <c r="J6" s="355"/>
      <c r="K6" s="356"/>
      <c r="L6" s="357"/>
      <c r="M6" s="448"/>
      <c r="N6" s="448"/>
      <c r="O6" s="357"/>
      <c r="P6" s="356"/>
      <c r="Q6" s="357"/>
      <c r="R6" s="357"/>
      <c r="S6" s="357"/>
      <c r="T6" s="357"/>
      <c r="U6" s="356"/>
      <c r="V6" s="448"/>
      <c r="W6" s="357"/>
      <c r="X6" s="357"/>
      <c r="Y6" s="357"/>
      <c r="Z6" s="356"/>
      <c r="AA6" s="448"/>
      <c r="AB6" s="357"/>
      <c r="AC6" s="448"/>
      <c r="AD6" s="448"/>
      <c r="AE6" s="356"/>
      <c r="AF6" s="448"/>
      <c r="AG6" s="357"/>
      <c r="AH6" s="448"/>
      <c r="AI6" s="448"/>
      <c r="AJ6" s="356"/>
      <c r="AK6" s="448"/>
      <c r="AL6" s="448"/>
      <c r="AM6" s="448"/>
      <c r="AN6" s="448"/>
      <c r="AO6" s="356"/>
      <c r="AP6" s="448"/>
      <c r="AQ6" s="448"/>
      <c r="AR6" s="448"/>
      <c r="AS6" s="448"/>
      <c r="AT6" s="356"/>
      <c r="AU6" s="358"/>
      <c r="AV6" s="358"/>
      <c r="AW6" s="358"/>
      <c r="AX6" s="358"/>
      <c r="AY6" s="356"/>
      <c r="AZ6" s="358"/>
      <c r="BA6" s="358"/>
      <c r="BB6" s="358"/>
      <c r="BC6" s="358"/>
      <c r="BD6" s="356"/>
      <c r="BE6" s="358"/>
      <c r="BF6" s="358"/>
      <c r="BG6" s="358"/>
      <c r="BH6" s="358"/>
      <c r="BI6" s="356"/>
      <c r="BJ6" s="358"/>
      <c r="BK6" s="358"/>
      <c r="BL6" s="358"/>
      <c r="BM6" s="358"/>
      <c r="BN6" s="356"/>
      <c r="BO6" s="467"/>
      <c r="BP6" s="467"/>
      <c r="BQ6" s="467"/>
      <c r="BR6" s="467"/>
      <c r="BS6" s="356"/>
      <c r="BT6" s="464"/>
      <c r="BU6" s="464"/>
      <c r="BV6" s="464"/>
      <c r="BW6" s="464"/>
      <c r="BX6" s="449"/>
      <c r="BY6" s="464"/>
      <c r="BZ6" s="464"/>
      <c r="CA6" s="464"/>
      <c r="CB6" s="464"/>
      <c r="CC6" s="449"/>
      <c r="CD6" s="464"/>
      <c r="CE6" s="464"/>
      <c r="CF6" s="464"/>
      <c r="CG6" s="464"/>
      <c r="CH6" s="669"/>
      <c r="CI6" s="468"/>
      <c r="CJ6" s="468"/>
      <c r="CK6" s="468"/>
      <c r="CL6" s="468"/>
      <c r="CM6" s="477"/>
      <c r="CN6" s="468"/>
      <c r="CO6" s="468"/>
      <c r="CP6" s="468"/>
      <c r="CQ6" s="468"/>
      <c r="CR6" s="477"/>
      <c r="CS6" s="468"/>
      <c r="CT6" s="468"/>
      <c r="CU6" s="468"/>
      <c r="CV6" s="468"/>
      <c r="CW6" s="477"/>
      <c r="CX6" s="468"/>
      <c r="CY6" s="468"/>
      <c r="CZ6" s="468"/>
      <c r="DA6" s="468"/>
      <c r="DB6" s="477"/>
      <c r="DC6" s="463"/>
      <c r="DD6" s="463"/>
      <c r="DE6" s="463"/>
      <c r="DF6" s="463"/>
      <c r="DG6" s="477"/>
      <c r="DH6" s="463"/>
      <c r="DI6" s="463"/>
      <c r="DJ6" s="463"/>
      <c r="DK6" s="463"/>
      <c r="DL6" s="477"/>
      <c r="DM6" s="463"/>
      <c r="DN6" s="463"/>
      <c r="DO6" s="463"/>
      <c r="DP6" s="463"/>
      <c r="DQ6" s="477"/>
      <c r="DR6" s="463"/>
      <c r="DS6" s="463"/>
      <c r="DT6" s="463"/>
      <c r="DU6" s="463"/>
      <c r="DV6" s="477"/>
      <c r="DW6" s="463"/>
      <c r="DX6" s="463"/>
      <c r="DY6" s="463"/>
      <c r="DZ6" s="463"/>
      <c r="EA6" s="477"/>
      <c r="EB6" s="463"/>
      <c r="EC6" s="463"/>
      <c r="ED6" s="463"/>
      <c r="EE6" s="463"/>
      <c r="EF6" s="477"/>
      <c r="EG6" s="463"/>
      <c r="EH6" s="463"/>
      <c r="EI6" s="463"/>
      <c r="EJ6" s="463"/>
      <c r="EK6" s="477"/>
      <c r="EL6" s="463"/>
      <c r="EM6" s="463"/>
      <c r="EN6" s="463"/>
      <c r="EO6" s="463"/>
      <c r="EP6" s="477"/>
      <c r="EQ6" s="463"/>
      <c r="ER6" s="463"/>
      <c r="ES6" s="463"/>
      <c r="ET6" s="463"/>
      <c r="EU6" s="477"/>
      <c r="EV6" s="463"/>
      <c r="EW6" s="463"/>
      <c r="EX6" s="463"/>
      <c r="EY6" s="463"/>
      <c r="EZ6" s="477"/>
    </row>
    <row r="7" spans="2:160" s="4" customFormat="1">
      <c r="B7" s="18" t="s">
        <v>123</v>
      </c>
      <c r="C7" s="23"/>
      <c r="D7" s="23"/>
      <c r="E7" s="23"/>
      <c r="F7" s="23"/>
      <c r="G7" s="23"/>
      <c r="H7" s="23"/>
      <c r="I7" s="23"/>
      <c r="J7" s="23"/>
      <c r="K7" s="20">
        <f t="shared" ref="K7:AP7" si="0">K8+K9</f>
        <v>41.5</v>
      </c>
      <c r="L7" s="22">
        <f t="shared" si="0"/>
        <v>39.200000000000003</v>
      </c>
      <c r="M7" s="22">
        <f t="shared" si="0"/>
        <v>55.7</v>
      </c>
      <c r="N7" s="22">
        <f t="shared" si="0"/>
        <v>113.69999999999999</v>
      </c>
      <c r="O7" s="22">
        <f t="shared" si="0"/>
        <v>207</v>
      </c>
      <c r="P7" s="20">
        <f t="shared" si="0"/>
        <v>415.6</v>
      </c>
      <c r="Q7" s="22">
        <f t="shared" si="0"/>
        <v>254.8</v>
      </c>
      <c r="R7" s="22">
        <f t="shared" si="0"/>
        <v>347.7</v>
      </c>
      <c r="S7" s="22">
        <f t="shared" si="0"/>
        <v>438</v>
      </c>
      <c r="T7" s="22">
        <f t="shared" si="0"/>
        <v>503</v>
      </c>
      <c r="U7" s="20">
        <f t="shared" si="0"/>
        <v>1543.5</v>
      </c>
      <c r="V7" s="22">
        <f t="shared" si="0"/>
        <v>542.6</v>
      </c>
      <c r="W7" s="22">
        <f t="shared" si="0"/>
        <v>617.29999999999995</v>
      </c>
      <c r="X7" s="22">
        <f t="shared" si="0"/>
        <v>608</v>
      </c>
      <c r="Y7" s="22">
        <f t="shared" si="0"/>
        <v>705</v>
      </c>
      <c r="Z7" s="20">
        <f t="shared" si="0"/>
        <v>2472.9</v>
      </c>
      <c r="AA7" s="22">
        <f t="shared" si="0"/>
        <v>723</v>
      </c>
      <c r="AB7" s="22">
        <f t="shared" si="0"/>
        <v>837</v>
      </c>
      <c r="AC7" s="22">
        <f t="shared" si="0"/>
        <v>840</v>
      </c>
      <c r="AD7" s="22">
        <f t="shared" si="0"/>
        <v>873</v>
      </c>
      <c r="AE7" s="20">
        <f t="shared" si="0"/>
        <v>3273</v>
      </c>
      <c r="AF7" s="22">
        <f t="shared" si="0"/>
        <v>893</v>
      </c>
      <c r="AG7" s="22">
        <f t="shared" si="0"/>
        <v>1055</v>
      </c>
      <c r="AH7" s="22">
        <f t="shared" si="0"/>
        <v>1067</v>
      </c>
      <c r="AI7" s="22">
        <f t="shared" si="0"/>
        <v>1106</v>
      </c>
      <c r="AJ7" s="20">
        <f t="shared" si="0"/>
        <v>4121</v>
      </c>
      <c r="AK7" s="22">
        <f t="shared" si="0"/>
        <v>1020</v>
      </c>
      <c r="AL7" s="22">
        <f t="shared" si="0"/>
        <v>949</v>
      </c>
      <c r="AM7" s="22">
        <f t="shared" si="0"/>
        <v>818</v>
      </c>
      <c r="AN7" s="22">
        <f t="shared" si="0"/>
        <v>827</v>
      </c>
      <c r="AO7" s="20">
        <f t="shared" si="0"/>
        <v>3614</v>
      </c>
      <c r="AP7" s="22">
        <f t="shared" si="0"/>
        <v>761</v>
      </c>
      <c r="AQ7" s="22">
        <f t="shared" ref="AQ7:DC7" si="1">AQ8+AQ9</f>
        <v>825</v>
      </c>
      <c r="AR7" s="22">
        <f t="shared" si="1"/>
        <v>845</v>
      </c>
      <c r="AS7" s="22">
        <f t="shared" si="1"/>
        <v>706</v>
      </c>
      <c r="AT7" s="20">
        <f t="shared" si="1"/>
        <v>3137</v>
      </c>
      <c r="AU7" s="22">
        <f t="shared" si="1"/>
        <v>626</v>
      </c>
      <c r="AV7" s="22">
        <f t="shared" si="1"/>
        <v>693</v>
      </c>
      <c r="AW7" s="22">
        <f t="shared" si="1"/>
        <v>685</v>
      </c>
      <c r="AX7" s="22">
        <f t="shared" si="1"/>
        <v>648</v>
      </c>
      <c r="AY7" s="20">
        <f t="shared" si="1"/>
        <v>2652</v>
      </c>
      <c r="AZ7" s="22">
        <f t="shared" si="1"/>
        <v>627</v>
      </c>
      <c r="BA7" s="22">
        <f t="shared" si="1"/>
        <v>603</v>
      </c>
      <c r="BB7" s="22">
        <f t="shared" si="1"/>
        <v>623</v>
      </c>
      <c r="BC7" s="22">
        <f t="shared" si="1"/>
        <v>633</v>
      </c>
      <c r="BD7" s="20">
        <f t="shared" si="1"/>
        <v>2486</v>
      </c>
      <c r="BE7" s="22">
        <f t="shared" si="1"/>
        <v>580</v>
      </c>
      <c r="BF7" s="22">
        <f t="shared" si="1"/>
        <v>585</v>
      </c>
      <c r="BG7" s="22">
        <f t="shared" si="1"/>
        <v>600</v>
      </c>
      <c r="BH7" s="22">
        <f t="shared" si="1"/>
        <v>538</v>
      </c>
      <c r="BI7" s="20">
        <f t="shared" si="1"/>
        <v>2303</v>
      </c>
      <c r="BJ7" s="22">
        <f t="shared" si="1"/>
        <v>518</v>
      </c>
      <c r="BK7" s="22">
        <f t="shared" si="1"/>
        <v>536</v>
      </c>
      <c r="BL7" s="22">
        <f t="shared" si="1"/>
        <v>497</v>
      </c>
      <c r="BM7" s="22">
        <f t="shared" si="1"/>
        <v>489</v>
      </c>
      <c r="BN7" s="20">
        <f t="shared" si="1"/>
        <v>2040</v>
      </c>
      <c r="BO7" s="465">
        <f t="shared" si="1"/>
        <v>468</v>
      </c>
      <c r="BP7" s="465">
        <f t="shared" si="1"/>
        <v>524</v>
      </c>
      <c r="BQ7" s="465">
        <f t="shared" si="1"/>
        <v>449</v>
      </c>
      <c r="BR7" s="465">
        <f t="shared" si="1"/>
        <v>470</v>
      </c>
      <c r="BS7" s="20">
        <f t="shared" si="1"/>
        <v>1911</v>
      </c>
      <c r="BT7" s="465">
        <f t="shared" si="1"/>
        <v>460</v>
      </c>
      <c r="BU7" s="465">
        <f t="shared" si="1"/>
        <v>517</v>
      </c>
      <c r="BV7" s="465">
        <f t="shared" si="1"/>
        <v>474</v>
      </c>
      <c r="BW7" s="465">
        <f t="shared" si="1"/>
        <v>479</v>
      </c>
      <c r="BX7" s="20">
        <f t="shared" si="1"/>
        <v>1930</v>
      </c>
      <c r="BY7" s="465">
        <f t="shared" si="1"/>
        <v>480</v>
      </c>
      <c r="BZ7" s="465">
        <f t="shared" si="1"/>
        <v>479</v>
      </c>
      <c r="CA7" s="465">
        <f t="shared" si="1"/>
        <v>493</v>
      </c>
      <c r="CB7" s="465">
        <f t="shared" si="1"/>
        <v>499</v>
      </c>
      <c r="CC7" s="20">
        <f t="shared" si="1"/>
        <v>1951</v>
      </c>
      <c r="CD7" s="465">
        <f t="shared" si="1"/>
        <v>532</v>
      </c>
      <c r="CE7" s="465">
        <f t="shared" si="1"/>
        <v>504</v>
      </c>
      <c r="CF7" s="465">
        <f t="shared" si="1"/>
        <v>531</v>
      </c>
      <c r="CG7" s="465">
        <f t="shared" si="1"/>
        <v>526</v>
      </c>
      <c r="CH7" s="20">
        <f t="shared" si="1"/>
        <v>2093</v>
      </c>
      <c r="CI7" s="465">
        <f t="shared" si="1"/>
        <v>511</v>
      </c>
      <c r="CJ7" s="465">
        <f t="shared" si="1"/>
        <v>535</v>
      </c>
      <c r="CK7" s="465">
        <f t="shared" si="1"/>
        <v>516</v>
      </c>
      <c r="CL7" s="465">
        <f t="shared" si="1"/>
        <v>491</v>
      </c>
      <c r="CM7" s="20">
        <f t="shared" si="1"/>
        <v>2053</v>
      </c>
      <c r="CN7" s="465">
        <f t="shared" si="1"/>
        <v>454</v>
      </c>
      <c r="CO7" s="465">
        <f t="shared" si="1"/>
        <v>404.141539931539</v>
      </c>
      <c r="CP7" s="465">
        <f t="shared" si="1"/>
        <v>406.30651646887441</v>
      </c>
      <c r="CQ7" s="465">
        <f t="shared" si="1"/>
        <v>445.28636109701119</v>
      </c>
      <c r="CR7" s="20">
        <f t="shared" si="1"/>
        <v>1709.7344174974246</v>
      </c>
      <c r="CS7" s="465">
        <f t="shared" si="1"/>
        <v>404.51574734487042</v>
      </c>
      <c r="CT7" s="465">
        <f t="shared" si="1"/>
        <v>374.81530115157733</v>
      </c>
      <c r="CU7" s="465">
        <f t="shared" si="1"/>
        <v>352.63583490165217</v>
      </c>
      <c r="CV7" s="465">
        <f t="shared" si="1"/>
        <v>359.15638288711955</v>
      </c>
      <c r="CW7" s="20">
        <f t="shared" si="1"/>
        <v>1491.1232662852194</v>
      </c>
      <c r="CX7" s="465">
        <f t="shared" si="1"/>
        <v>348.92622631261582</v>
      </c>
      <c r="CY7" s="465">
        <f t="shared" si="1"/>
        <v>345.97239659347025</v>
      </c>
      <c r="CZ7" s="465">
        <f t="shared" si="1"/>
        <v>350.63396072813441</v>
      </c>
      <c r="DA7" s="465">
        <f t="shared" si="1"/>
        <v>387.44352381164185</v>
      </c>
      <c r="DB7" s="20">
        <f t="shared" si="1"/>
        <v>1432.9761074458625</v>
      </c>
      <c r="DC7" s="465">
        <f t="shared" si="1"/>
        <v>322.97436015641034</v>
      </c>
      <c r="DD7" s="465">
        <f t="shared" ref="DD7:EZ7" si="2">DD8+DD9</f>
        <v>319.54838541927154</v>
      </c>
      <c r="DE7" s="465">
        <f t="shared" si="2"/>
        <v>323.13696866774364</v>
      </c>
      <c r="DF7" s="465">
        <f t="shared" si="2"/>
        <v>356.25686233665579</v>
      </c>
      <c r="DG7" s="20">
        <f t="shared" si="2"/>
        <v>1321.9165765800813</v>
      </c>
      <c r="DH7" s="465">
        <f t="shared" si="2"/>
        <v>306.52040113315809</v>
      </c>
      <c r="DI7" s="465">
        <f t="shared" si="2"/>
        <v>305.04269325820843</v>
      </c>
      <c r="DJ7" s="465">
        <f t="shared" si="2"/>
        <v>310.31045853920779</v>
      </c>
      <c r="DK7" s="465">
        <f t="shared" si="2"/>
        <v>344.18354405467096</v>
      </c>
      <c r="DL7" s="20">
        <f t="shared" si="2"/>
        <v>1266.0570969852452</v>
      </c>
      <c r="DM7" s="465">
        <f t="shared" si="2"/>
        <v>296.62769568644188</v>
      </c>
      <c r="DN7" s="465">
        <f t="shared" si="2"/>
        <v>295.11685820423395</v>
      </c>
      <c r="DO7" s="465">
        <f t="shared" si="2"/>
        <v>300.1297668165526</v>
      </c>
      <c r="DP7" s="465">
        <f t="shared" si="2"/>
        <v>332.79842224624792</v>
      </c>
      <c r="DQ7" s="20">
        <f t="shared" si="2"/>
        <v>1224.6727429534762</v>
      </c>
      <c r="DR7" s="465">
        <f t="shared" si="2"/>
        <v>286.73499023972579</v>
      </c>
      <c r="DS7" s="465">
        <f t="shared" si="2"/>
        <v>284.41822389377086</v>
      </c>
      <c r="DT7" s="465">
        <f t="shared" si="2"/>
        <v>279.52300531363295</v>
      </c>
      <c r="DU7" s="465">
        <f t="shared" si="2"/>
        <v>305.55306550058572</v>
      </c>
      <c r="DV7" s="20">
        <f t="shared" si="2"/>
        <v>1156.2292849477153</v>
      </c>
      <c r="DW7" s="465">
        <f t="shared" si="2"/>
        <v>253.45546613786939</v>
      </c>
      <c r="DX7" s="465">
        <f t="shared" si="2"/>
        <v>234.23488741737415</v>
      </c>
      <c r="DY7" s="465">
        <f t="shared" si="2"/>
        <v>220.11479410639993</v>
      </c>
      <c r="DZ7" s="465">
        <f t="shared" si="2"/>
        <v>228.86838705731577</v>
      </c>
      <c r="EA7" s="20">
        <f t="shared" si="2"/>
        <v>936.67353471895922</v>
      </c>
      <c r="EB7" s="465">
        <f t="shared" si="2"/>
        <v>183.74149941206588</v>
      </c>
      <c r="EC7" s="465">
        <f t="shared" si="2"/>
        <v>165.17103647533202</v>
      </c>
      <c r="ED7" s="465">
        <f t="shared" si="2"/>
        <v>150.18873080688729</v>
      </c>
      <c r="EE7" s="465">
        <f t="shared" si="2"/>
        <v>150.12278411314219</v>
      </c>
      <c r="EF7" s="20">
        <f t="shared" si="2"/>
        <v>649.22405080742737</v>
      </c>
      <c r="EG7" s="465">
        <f t="shared" si="2"/>
        <v>126.39269739949441</v>
      </c>
      <c r="EH7" s="465">
        <f t="shared" si="2"/>
        <v>125.27790510473713</v>
      </c>
      <c r="EI7" s="465">
        <f t="shared" si="2"/>
        <v>126.9265152309751</v>
      </c>
      <c r="EJ7" s="465">
        <f t="shared" si="2"/>
        <v>143.05139693303292</v>
      </c>
      <c r="EK7" s="20">
        <f t="shared" si="2"/>
        <v>521.64851466823961</v>
      </c>
      <c r="EL7" s="465">
        <f t="shared" si="2"/>
        <v>125.25219616850686</v>
      </c>
      <c r="EM7" s="465">
        <f t="shared" si="2"/>
        <v>124.11694010706495</v>
      </c>
      <c r="EN7" s="465">
        <f t="shared" si="2"/>
        <v>125.71988325114384</v>
      </c>
      <c r="EO7" s="465">
        <f t="shared" si="2"/>
        <v>141.65810553769319</v>
      </c>
      <c r="EP7" s="20">
        <f t="shared" si="2"/>
        <v>516.74712506440881</v>
      </c>
      <c r="EQ7" s="465">
        <f t="shared" si="2"/>
        <v>124.00381866265957</v>
      </c>
      <c r="ER7" s="465">
        <f t="shared" si="2"/>
        <v>122.85146773753941</v>
      </c>
      <c r="ES7" s="465">
        <f t="shared" si="2"/>
        <v>124.40977543999063</v>
      </c>
      <c r="ET7" s="465">
        <f t="shared" si="2"/>
        <v>140.15083534224982</v>
      </c>
      <c r="EU7" s="20">
        <f t="shared" si="2"/>
        <v>511.41589718243938</v>
      </c>
      <c r="EV7" s="465">
        <f t="shared" si="2"/>
        <v>122.65789717133173</v>
      </c>
      <c r="EW7" s="465">
        <f t="shared" si="2"/>
        <v>121.49158555888198</v>
      </c>
      <c r="EX7" s="465">
        <f t="shared" si="2"/>
        <v>123.00627927536159</v>
      </c>
      <c r="EY7" s="465">
        <f t="shared" si="2"/>
        <v>138.54079837150562</v>
      </c>
      <c r="EZ7" s="20">
        <f t="shared" si="2"/>
        <v>505.69656037708091</v>
      </c>
    </row>
    <row r="8" spans="2:160">
      <c r="B8" s="351" t="s">
        <v>898</v>
      </c>
      <c r="C8" s="450"/>
      <c r="D8" s="450"/>
      <c r="E8" s="450"/>
      <c r="F8" s="450"/>
      <c r="G8" s="450"/>
      <c r="H8" s="450"/>
      <c r="I8" s="450"/>
      <c r="J8" s="450"/>
      <c r="K8" s="356">
        <v>27</v>
      </c>
      <c r="L8" s="448">
        <v>24.5</v>
      </c>
      <c r="M8" s="448">
        <v>33</v>
      </c>
      <c r="N8" s="357">
        <v>76.8</v>
      </c>
      <c r="O8" s="357">
        <v>150.4</v>
      </c>
      <c r="P8" s="356">
        <f>O8+N8+M8+L8</f>
        <v>284.7</v>
      </c>
      <c r="Q8" s="357">
        <v>157.9</v>
      </c>
      <c r="R8" s="357">
        <v>216.6</v>
      </c>
      <c r="S8" s="357">
        <v>284</v>
      </c>
      <c r="T8" s="357">
        <v>321</v>
      </c>
      <c r="U8" s="356">
        <f>T8+S8+R8+Q8</f>
        <v>979.5</v>
      </c>
      <c r="V8" s="357">
        <v>329.6</v>
      </c>
      <c r="W8" s="357">
        <v>380.7</v>
      </c>
      <c r="X8" s="357">
        <v>374</v>
      </c>
      <c r="Y8" s="357">
        <v>449</v>
      </c>
      <c r="Z8" s="356">
        <f>Y8+X8+W8+V8</f>
        <v>1533.3000000000002</v>
      </c>
      <c r="AA8" s="448">
        <v>447</v>
      </c>
      <c r="AB8" s="448">
        <v>536</v>
      </c>
      <c r="AC8" s="448">
        <v>542</v>
      </c>
      <c r="AD8" s="448">
        <v>579</v>
      </c>
      <c r="AE8" s="356">
        <f>AD8+AC8+AB8+AA8</f>
        <v>2104</v>
      </c>
      <c r="AF8" s="448">
        <v>596</v>
      </c>
      <c r="AG8" s="448">
        <v>713</v>
      </c>
      <c r="AH8" s="448">
        <v>720</v>
      </c>
      <c r="AI8" s="448">
        <v>761</v>
      </c>
      <c r="AJ8" s="356">
        <f>AI8+AH8+AG8+AF8</f>
        <v>2790</v>
      </c>
      <c r="AK8" s="448">
        <v>654</v>
      </c>
      <c r="AL8" s="448">
        <v>578</v>
      </c>
      <c r="AM8" s="448">
        <v>460</v>
      </c>
      <c r="AN8" s="448">
        <v>462</v>
      </c>
      <c r="AO8" s="356">
        <f>AN8+AM8+AL8+AK8</f>
        <v>2154</v>
      </c>
      <c r="AP8" s="448">
        <v>405</v>
      </c>
      <c r="AQ8" s="448">
        <v>427</v>
      </c>
      <c r="AR8" s="448">
        <v>458</v>
      </c>
      <c r="AS8" s="448">
        <v>361</v>
      </c>
      <c r="AT8" s="356">
        <f>AS8+AR8+AQ8+AP8</f>
        <v>1651</v>
      </c>
      <c r="AU8" s="358">
        <v>292</v>
      </c>
      <c r="AV8" s="358">
        <v>338</v>
      </c>
      <c r="AW8" s="358">
        <v>333</v>
      </c>
      <c r="AX8" s="358">
        <v>288</v>
      </c>
      <c r="AY8" s="356">
        <f>AX8+AW8+AV8+AU8</f>
        <v>1251</v>
      </c>
      <c r="AZ8" s="358">
        <v>268</v>
      </c>
      <c r="BA8" s="358">
        <v>267</v>
      </c>
      <c r="BB8" s="358">
        <v>283</v>
      </c>
      <c r="BC8" s="358">
        <v>285</v>
      </c>
      <c r="BD8" s="356">
        <f>BC8+BB8+BA8+AZ8</f>
        <v>1103</v>
      </c>
      <c r="BE8" s="358">
        <v>250</v>
      </c>
      <c r="BF8" s="358">
        <v>241</v>
      </c>
      <c r="BG8" s="358">
        <v>272</v>
      </c>
      <c r="BH8" s="358">
        <v>223</v>
      </c>
      <c r="BI8" s="356">
        <f>BH8+BG8+BF8+BE8</f>
        <v>986</v>
      </c>
      <c r="BJ8" s="358">
        <v>202</v>
      </c>
      <c r="BK8" s="358">
        <v>215</v>
      </c>
      <c r="BL8" s="358">
        <v>178</v>
      </c>
      <c r="BM8" s="358">
        <v>187</v>
      </c>
      <c r="BN8" s="356">
        <f>BM8+BL8+BK8+BJ8</f>
        <v>782</v>
      </c>
      <c r="BO8" s="466">
        <v>168</v>
      </c>
      <c r="BP8" s="466">
        <v>228</v>
      </c>
      <c r="BQ8" s="466">
        <v>171</v>
      </c>
      <c r="BR8" s="473">
        <v>180</v>
      </c>
      <c r="BS8" s="451">
        <f>SUM(BO8:BR8)</f>
        <v>747</v>
      </c>
      <c r="BT8" s="473">
        <v>177</v>
      </c>
      <c r="BU8" s="473">
        <v>223</v>
      </c>
      <c r="BV8" s="473">
        <v>188</v>
      </c>
      <c r="BW8" s="473">
        <v>206</v>
      </c>
      <c r="BX8" s="451">
        <f>SUM(BT8:BW8)</f>
        <v>794</v>
      </c>
      <c r="BY8" s="473">
        <v>189</v>
      </c>
      <c r="BZ8" s="473">
        <v>223</v>
      </c>
      <c r="CA8" s="473">
        <v>239</v>
      </c>
      <c r="CB8" s="473">
        <v>249</v>
      </c>
      <c r="CC8" s="451">
        <f>SUM(BY8:CB8)</f>
        <v>900</v>
      </c>
      <c r="CD8" s="473">
        <v>261</v>
      </c>
      <c r="CE8" s="473">
        <v>260</v>
      </c>
      <c r="CF8" s="473">
        <v>275</v>
      </c>
      <c r="CG8" s="473">
        <v>286</v>
      </c>
      <c r="CH8" s="356">
        <f>CD8+CE8+CF8+CG8</f>
        <v>1082</v>
      </c>
      <c r="CI8" s="474">
        <v>278</v>
      </c>
      <c r="CJ8" s="474">
        <v>288</v>
      </c>
      <c r="CK8" s="474">
        <v>285</v>
      </c>
      <c r="CL8" s="474">
        <v>263</v>
      </c>
      <c r="CM8" s="356">
        <f>CI8+CJ8+CK8+CL8</f>
        <v>1114</v>
      </c>
      <c r="CN8" s="474">
        <v>225</v>
      </c>
      <c r="CO8" s="467">
        <f>'IMS Model Summary'!J6</f>
        <v>213.83150260927988</v>
      </c>
      <c r="CP8" s="467">
        <f>'IMS Model Summary'!K6</f>
        <v>214.97699284067428</v>
      </c>
      <c r="CQ8" s="467">
        <f>'IMS Model Summary'!L6</f>
        <v>235.60124925767789</v>
      </c>
      <c r="CR8" s="356">
        <f>CN8+CO8+CP8+CQ8</f>
        <v>889.40974470763206</v>
      </c>
      <c r="CS8" s="467">
        <f>'IMS Model Summary'!N6</f>
        <v>226.88531766936484</v>
      </c>
      <c r="CT8" s="467">
        <f>'IMS Model Summary'!O6</f>
        <v>210.22689283988055</v>
      </c>
      <c r="CU8" s="467">
        <f>'IMS Model Summary'!P6</f>
        <v>197.78684500767338</v>
      </c>
      <c r="CV8" s="467">
        <f>'IMS Model Summary'!Q6</f>
        <v>201.44409842925603</v>
      </c>
      <c r="CW8" s="356">
        <f>CS8+CT8+CU8+CV8</f>
        <v>836.34315394617488</v>
      </c>
      <c r="CX8" s="467">
        <f>'IMS Model Summary'!S6</f>
        <v>195.70619492500808</v>
      </c>
      <c r="CY8" s="467">
        <f>'IMS Model Summary'!T6</f>
        <v>194.04944707633115</v>
      </c>
      <c r="CZ8" s="467">
        <f>'IMS Model Summary'!U6</f>
        <v>196.66403122162453</v>
      </c>
      <c r="DA8" s="467">
        <f>'IMS Model Summary'!V6</f>
        <v>217.30982676429343</v>
      </c>
      <c r="DB8" s="356">
        <f>CX8+CY8+CZ8+DA8</f>
        <v>803.72949998725721</v>
      </c>
      <c r="DC8" s="467">
        <f>'IMS Model Summary'!X6</f>
        <v>186.3770485864722</v>
      </c>
      <c r="DD8" s="467">
        <f>'IMS Model Summary'!Y6</f>
        <v>184.40004007183182</v>
      </c>
      <c r="DE8" s="467">
        <f>'IMS Model Summary'!Z6</f>
        <v>186.47088419126345</v>
      </c>
      <c r="DF8" s="467">
        <f>'IMS Model Summary'!AA6</f>
        <v>205.58320019220008</v>
      </c>
      <c r="DG8" s="356">
        <f>DC8+DD8+DE8+DF8</f>
        <v>762.83117304176767</v>
      </c>
      <c r="DH8" s="467">
        <f>'IMS Model Summary'!AC6</f>
        <v>176.88205239286913</v>
      </c>
      <c r="DI8" s="467">
        <f>'IMS Model Summary'!AD6</f>
        <v>176.02931958685713</v>
      </c>
      <c r="DJ8" s="467">
        <f>'IMS Model Summary'!AE6</f>
        <v>179.06916010312437</v>
      </c>
      <c r="DK8" s="467">
        <f>'IMS Model Summary'!AF6</f>
        <v>198.61611640588433</v>
      </c>
      <c r="DL8" s="356">
        <f>DH8+DI8+DJ8+DK8</f>
        <v>730.59664848873501</v>
      </c>
      <c r="DM8" s="467">
        <f>'IMS Model Summary'!AH6</f>
        <v>171.17332293582683</v>
      </c>
      <c r="DN8" s="467">
        <f>'IMS Model Summary'!AI6</f>
        <v>170.30147220844597</v>
      </c>
      <c r="DO8" s="467">
        <f>'IMS Model Summary'!AJ6</f>
        <v>173.19424398000456</v>
      </c>
      <c r="DP8" s="467">
        <f>'IMS Model Summary'!AK6</f>
        <v>192.04616639677599</v>
      </c>
      <c r="DQ8" s="356">
        <f>DM8+DN8+DO8+DP8</f>
        <v>706.71520552105335</v>
      </c>
      <c r="DR8" s="467">
        <f>'IMS Model Summary'!AM6</f>
        <v>165.46459347878462</v>
      </c>
      <c r="DS8" s="467">
        <f>'IMS Model Summary'!AN6</f>
        <v>164.12766978733606</v>
      </c>
      <c r="DT8" s="467">
        <f>'IMS Model Summary'!AO6</f>
        <v>161.30281275933567</v>
      </c>
      <c r="DU8" s="467">
        <f>'IMS Model Summary'!AP6</f>
        <v>176.32383730699033</v>
      </c>
      <c r="DV8" s="356">
        <f>DR8+DS8+DT8+DU8</f>
        <v>667.21891333244662</v>
      </c>
      <c r="DW8" s="467">
        <f>'IMS Model Summary'!AR6</f>
        <v>146.26016041647406</v>
      </c>
      <c r="DX8" s="467">
        <f>'IMS Model Summary'!AS6</f>
        <v>135.16864611696425</v>
      </c>
      <c r="DY8" s="467">
        <f>'IMS Model Summary'!AT6</f>
        <v>127.02044105266596</v>
      </c>
      <c r="DZ8" s="467">
        <f>'IMS Model Summary'!AU6</f>
        <v>132.07182908832598</v>
      </c>
      <c r="EA8" s="356">
        <f>DW8+DX8+DY8+DZ8</f>
        <v>540.52107667443022</v>
      </c>
      <c r="EB8" s="467">
        <f>'IMS Model Summary'!AW6</f>
        <v>106.03070270559421</v>
      </c>
      <c r="EC8" s="467">
        <f>'IMS Model Summary'!AX6</f>
        <v>95.314347167783779</v>
      </c>
      <c r="ED8" s="467">
        <f>'IMS Model Summary'!AY6</f>
        <v>86.668589931349231</v>
      </c>
      <c r="EE8" s="467">
        <f>'IMS Model Summary'!AZ6</f>
        <v>86.630534433264827</v>
      </c>
      <c r="EF8" s="356">
        <f>EB8+EC8+ED8+EE8</f>
        <v>374.64417423799205</v>
      </c>
      <c r="EG8" s="467">
        <f>'IMS Model Summary'!BB6</f>
        <v>72.936743005831133</v>
      </c>
      <c r="EH8" s="467">
        <f>'IMS Model Summary'!BC6</f>
        <v>72.293435909926743</v>
      </c>
      <c r="EI8" s="467">
        <f>'IMS Model Summary'!BD6</f>
        <v>73.244790343910921</v>
      </c>
      <c r="EJ8" s="467">
        <f>'IMS Model Summary'!BE6</f>
        <v>82.549887686561064</v>
      </c>
      <c r="EK8" s="356">
        <f>EG8+EH8+EI8+EJ8</f>
        <v>301.02485694622987</v>
      </c>
      <c r="EL8" s="467">
        <f>'IMS Model Summary'!BG6</f>
        <v>72.278600194625454</v>
      </c>
      <c r="EM8" s="467">
        <f>'IMS Model Summary'!BH6</f>
        <v>71.623484184738544</v>
      </c>
      <c r="EN8" s="467">
        <f>'IMS Model Summary'!BI6</f>
        <v>72.548485822951136</v>
      </c>
      <c r="EO8" s="467">
        <f>'IMS Model Summary'!BJ6</f>
        <v>81.745868637003724</v>
      </c>
      <c r="EP8" s="356">
        <f>EL8+EM8+EN8+EO8</f>
        <v>298.19643883931883</v>
      </c>
      <c r="EQ8" s="467">
        <f>'IMS Model Summary'!BL6</f>
        <v>71.558205811155247</v>
      </c>
      <c r="ER8" s="467">
        <f>'IMS Model Summary'!BM6</f>
        <v>70.893224961728762</v>
      </c>
      <c r="ES8" s="467">
        <f>'IMS Model Summary'!BN6</f>
        <v>71.792469069625668</v>
      </c>
      <c r="ET8" s="467">
        <f>'IMS Model Summary'!BO6</f>
        <v>80.876076464296744</v>
      </c>
      <c r="EU8" s="356">
        <f>EQ8+ER8+ES8+ET8</f>
        <v>295.11997630680639</v>
      </c>
      <c r="EV8" s="467">
        <f>'IMS Model Summary'!BQ6</f>
        <v>70.781522253174657</v>
      </c>
      <c r="EW8" s="467">
        <f>'IMS Model Summary'!BR6</f>
        <v>70.108485186222211</v>
      </c>
      <c r="EX8" s="467">
        <f>'IMS Model Summary'!BS6</f>
        <v>70.982561209635435</v>
      </c>
      <c r="EY8" s="467">
        <f>'IMS Model Summary'!BT6</f>
        <v>79.946981230306378</v>
      </c>
      <c r="EZ8" s="356">
        <f>EV8+EW8+EX8+EY8</f>
        <v>291.81954987933869</v>
      </c>
    </row>
    <row r="9" spans="2:160">
      <c r="B9" s="351" t="s">
        <v>899</v>
      </c>
      <c r="C9" s="450"/>
      <c r="D9" s="450"/>
      <c r="E9" s="450"/>
      <c r="F9" s="450"/>
      <c r="G9" s="450"/>
      <c r="H9" s="450"/>
      <c r="I9" s="450"/>
      <c r="J9" s="450"/>
      <c r="K9" s="356">
        <v>14.5</v>
      </c>
      <c r="L9" s="448">
        <v>14.7</v>
      </c>
      <c r="M9" s="448">
        <v>22.7</v>
      </c>
      <c r="N9" s="357">
        <v>36.9</v>
      </c>
      <c r="O9" s="357">
        <v>56.6</v>
      </c>
      <c r="P9" s="356">
        <f>O9+N9+M9+L9</f>
        <v>130.9</v>
      </c>
      <c r="Q9" s="357">
        <v>96.9</v>
      </c>
      <c r="R9" s="357">
        <v>131.1</v>
      </c>
      <c r="S9" s="357">
        <v>154</v>
      </c>
      <c r="T9" s="357">
        <v>182</v>
      </c>
      <c r="U9" s="356">
        <f>T9+S9+R9+Q9</f>
        <v>564</v>
      </c>
      <c r="V9" s="357">
        <v>213</v>
      </c>
      <c r="W9" s="357">
        <v>236.6</v>
      </c>
      <c r="X9" s="357">
        <v>234</v>
      </c>
      <c r="Y9" s="357">
        <v>256</v>
      </c>
      <c r="Z9" s="356">
        <f>Y9+X9+W9+V9</f>
        <v>939.6</v>
      </c>
      <c r="AA9" s="448">
        <v>276</v>
      </c>
      <c r="AB9" s="448">
        <v>301</v>
      </c>
      <c r="AC9" s="448">
        <v>298</v>
      </c>
      <c r="AD9" s="448">
        <v>294</v>
      </c>
      <c r="AE9" s="356">
        <f>AD9+AC9+AB9+AA9</f>
        <v>1169</v>
      </c>
      <c r="AF9" s="448">
        <v>297</v>
      </c>
      <c r="AG9" s="448">
        <v>342</v>
      </c>
      <c r="AH9" s="448">
        <v>347</v>
      </c>
      <c r="AI9" s="448">
        <v>345</v>
      </c>
      <c r="AJ9" s="356">
        <f>AI9+AH9+AG9+AF9</f>
        <v>1331</v>
      </c>
      <c r="AK9" s="448">
        <v>366</v>
      </c>
      <c r="AL9" s="448">
        <v>371</v>
      </c>
      <c r="AM9" s="448">
        <v>358</v>
      </c>
      <c r="AN9" s="448">
        <v>365</v>
      </c>
      <c r="AO9" s="356">
        <f>AN9+AM9+AL9+AK9</f>
        <v>1460</v>
      </c>
      <c r="AP9" s="448">
        <v>356</v>
      </c>
      <c r="AQ9" s="448">
        <v>398</v>
      </c>
      <c r="AR9" s="448">
        <v>387</v>
      </c>
      <c r="AS9" s="448">
        <v>345</v>
      </c>
      <c r="AT9" s="356">
        <f>AS9+AR9+AQ9+AP9</f>
        <v>1486</v>
      </c>
      <c r="AU9" s="358">
        <v>334</v>
      </c>
      <c r="AV9" s="358">
        <v>355</v>
      </c>
      <c r="AW9" s="358">
        <v>352</v>
      </c>
      <c r="AX9" s="358">
        <v>360</v>
      </c>
      <c r="AY9" s="356">
        <f>AX9+AW9+AV9+AU9</f>
        <v>1401</v>
      </c>
      <c r="AZ9" s="358">
        <v>359</v>
      </c>
      <c r="BA9" s="358">
        <v>336</v>
      </c>
      <c r="BB9" s="358">
        <v>340</v>
      </c>
      <c r="BC9" s="358">
        <v>348</v>
      </c>
      <c r="BD9" s="356">
        <f>BC9+BB9+BA9+AZ9</f>
        <v>1383</v>
      </c>
      <c r="BE9" s="358">
        <v>330</v>
      </c>
      <c r="BF9" s="358">
        <v>344</v>
      </c>
      <c r="BG9" s="358">
        <v>328</v>
      </c>
      <c r="BH9" s="358">
        <v>315</v>
      </c>
      <c r="BI9" s="356">
        <f>BH9+BG9+BF9+BE9</f>
        <v>1317</v>
      </c>
      <c r="BJ9" s="358">
        <v>316</v>
      </c>
      <c r="BK9" s="358">
        <v>321</v>
      </c>
      <c r="BL9" s="358">
        <v>319</v>
      </c>
      <c r="BM9" s="358">
        <v>302</v>
      </c>
      <c r="BN9" s="356">
        <f>BM9+BL9+BK9+BJ9</f>
        <v>1258</v>
      </c>
      <c r="BO9" s="467">
        <v>300</v>
      </c>
      <c r="BP9" s="467">
        <v>296</v>
      </c>
      <c r="BQ9" s="467">
        <v>278</v>
      </c>
      <c r="BR9" s="474">
        <v>290</v>
      </c>
      <c r="BS9" s="356">
        <f>SUM(BO9:BR9)</f>
        <v>1164</v>
      </c>
      <c r="BT9" s="473">
        <v>283</v>
      </c>
      <c r="BU9" s="473">
        <v>294</v>
      </c>
      <c r="BV9" s="473">
        <v>286</v>
      </c>
      <c r="BW9" s="473">
        <v>273</v>
      </c>
      <c r="BX9" s="356">
        <f>SUM(BT9:BW9)</f>
        <v>1136</v>
      </c>
      <c r="BY9" s="474">
        <v>291</v>
      </c>
      <c r="BZ9" s="474">
        <v>256</v>
      </c>
      <c r="CA9" s="474">
        <v>254</v>
      </c>
      <c r="CB9" s="474">
        <v>250</v>
      </c>
      <c r="CC9" s="356">
        <f>SUM(BY9:CB9)</f>
        <v>1051</v>
      </c>
      <c r="CD9" s="474">
        <v>271</v>
      </c>
      <c r="CE9" s="474">
        <v>244</v>
      </c>
      <c r="CF9" s="474">
        <v>256</v>
      </c>
      <c r="CG9" s="474">
        <v>240</v>
      </c>
      <c r="CH9" s="356">
        <f>CD9+CE9+CF9+CG9</f>
        <v>1011</v>
      </c>
      <c r="CI9" s="474">
        <v>233</v>
      </c>
      <c r="CJ9" s="474">
        <v>247</v>
      </c>
      <c r="CK9" s="474">
        <v>231</v>
      </c>
      <c r="CL9" s="474">
        <v>228</v>
      </c>
      <c r="CM9" s="356">
        <f>CI9+CJ9+CK9+CL9</f>
        <v>939</v>
      </c>
      <c r="CN9" s="474">
        <v>229</v>
      </c>
      <c r="CO9" s="467">
        <f>CO10*CO8</f>
        <v>190.31003732225909</v>
      </c>
      <c r="CP9" s="467">
        <f>CP10*CP8</f>
        <v>191.32952362820012</v>
      </c>
      <c r="CQ9" s="467">
        <f>CQ10*CQ8</f>
        <v>209.68511183933333</v>
      </c>
      <c r="CR9" s="356">
        <f>CN9+CO9+CP9+CQ9</f>
        <v>820.32467278979254</v>
      </c>
      <c r="CS9" s="467">
        <f>CS10*CS8</f>
        <v>177.63042967550558</v>
      </c>
      <c r="CT9" s="467">
        <f>CT10*CT8</f>
        <v>164.58840831169678</v>
      </c>
      <c r="CU9" s="467">
        <f>CU10*CU8</f>
        <v>154.84898989397882</v>
      </c>
      <c r="CV9" s="467">
        <f>CV10*CV8</f>
        <v>157.71228445786349</v>
      </c>
      <c r="CW9" s="356">
        <f>CS9+CT9+CU9+CV9</f>
        <v>654.78011233904465</v>
      </c>
      <c r="CX9" s="467">
        <f>CX10*CX8</f>
        <v>153.22003138760775</v>
      </c>
      <c r="CY9" s="467">
        <f>CY10*CY8</f>
        <v>151.9229495171391</v>
      </c>
      <c r="CZ9" s="467">
        <f>CZ10*CZ8</f>
        <v>153.96992950650991</v>
      </c>
      <c r="DA9" s="467">
        <f>DA10*DA8</f>
        <v>170.13369704734842</v>
      </c>
      <c r="DB9" s="356">
        <f>CX9+CY9+CZ9+DA9</f>
        <v>629.24660745860524</v>
      </c>
      <c r="DC9" s="467">
        <f>DC10*DC8</f>
        <v>136.59731156993814</v>
      </c>
      <c r="DD9" s="467">
        <f>DD10*DD8</f>
        <v>135.14834534743969</v>
      </c>
      <c r="DE9" s="467">
        <f>DE10*DE8</f>
        <v>136.66608447648019</v>
      </c>
      <c r="DF9" s="467">
        <f>DF10*DF8</f>
        <v>150.6736621444557</v>
      </c>
      <c r="DG9" s="356">
        <f>DC9+DD9+DE9+DF9</f>
        <v>559.0854035383137</v>
      </c>
      <c r="DH9" s="467">
        <f>DH10*DH8</f>
        <v>129.63834874028896</v>
      </c>
      <c r="DI9" s="467">
        <f>DI10*DI8</f>
        <v>129.0133736713513</v>
      </c>
      <c r="DJ9" s="467">
        <f>DJ10*DJ8</f>
        <v>131.24129843608341</v>
      </c>
      <c r="DK9" s="467">
        <f>DK10*DK8</f>
        <v>145.56742764878663</v>
      </c>
      <c r="DL9" s="356">
        <f>DH9+DI9+DJ9+DK9</f>
        <v>535.46044849651025</v>
      </c>
      <c r="DM9" s="467">
        <f>DM10*DM8</f>
        <v>125.45437275061505</v>
      </c>
      <c r="DN9" s="467">
        <f>DN10*DN8</f>
        <v>124.81538599578796</v>
      </c>
      <c r="DO9" s="467">
        <f>DO10*DO8</f>
        <v>126.93552283654803</v>
      </c>
      <c r="DP9" s="467">
        <f>DP10*DP8</f>
        <v>140.75225584947191</v>
      </c>
      <c r="DQ9" s="356">
        <f>DM9+DN9+DO9+DP9</f>
        <v>517.9575374324229</v>
      </c>
      <c r="DR9" s="467">
        <f>DR10*DR8</f>
        <v>121.27039676094118</v>
      </c>
      <c r="DS9" s="467">
        <f>DS10*DS8</f>
        <v>120.29055410643481</v>
      </c>
      <c r="DT9" s="467">
        <f>DT10*DT8</f>
        <v>118.2201925542973</v>
      </c>
      <c r="DU9" s="467">
        <f>DU10*DU8</f>
        <v>129.22922819359542</v>
      </c>
      <c r="DV9" s="356">
        <f>DR9+DS9+DT9+DU9</f>
        <v>489.0103716152687</v>
      </c>
      <c r="DW9" s="467">
        <f>DW10*DW8</f>
        <v>107.19530572139533</v>
      </c>
      <c r="DX9" s="467">
        <f>DX10*DX8</f>
        <v>99.066241300409899</v>
      </c>
      <c r="DY9" s="467">
        <f>DY10*DY8</f>
        <v>93.094353053733968</v>
      </c>
      <c r="DZ9" s="467">
        <f>DZ10*DZ8</f>
        <v>96.796557968989788</v>
      </c>
      <c r="EA9" s="356">
        <f>DW9+DX9+DY9+DZ9</f>
        <v>396.152458044529</v>
      </c>
      <c r="EB9" s="467">
        <f>EB10*EB8</f>
        <v>77.710796706471669</v>
      </c>
      <c r="EC9" s="467">
        <f>EC10*EC8</f>
        <v>69.856689307548237</v>
      </c>
      <c r="ED9" s="467">
        <f>ED10*ED8</f>
        <v>63.520140875538047</v>
      </c>
      <c r="EE9" s="467">
        <f>EE10*EE8</f>
        <v>63.492249679877375</v>
      </c>
      <c r="EF9" s="356">
        <f>EB9+EC9+ED9+EE9</f>
        <v>274.57987656943533</v>
      </c>
      <c r="EG9" s="467">
        <f>EG10*EG8</f>
        <v>53.455954393663269</v>
      </c>
      <c r="EH9" s="467">
        <f>EH10*EH8</f>
        <v>52.984469194810394</v>
      </c>
      <c r="EI9" s="467">
        <f>EI10*EI8</f>
        <v>53.681724887064185</v>
      </c>
      <c r="EJ9" s="467">
        <f>EJ10*EJ8</f>
        <v>60.501509246471848</v>
      </c>
      <c r="EK9" s="356">
        <f>EG9+EH9+EI9+EJ9</f>
        <v>220.62365772200968</v>
      </c>
      <c r="EL9" s="467">
        <f>EL10*EL8</f>
        <v>52.973595973881409</v>
      </c>
      <c r="EM9" s="467">
        <f>EM10*EM8</f>
        <v>52.493455922326412</v>
      </c>
      <c r="EN9" s="467">
        <f>EN10*EN8</f>
        <v>53.171397428192712</v>
      </c>
      <c r="EO9" s="467">
        <f>EO10*EO8</f>
        <v>59.912236900689457</v>
      </c>
      <c r="EP9" s="356">
        <f>EL9+EM9+EN9+EO9</f>
        <v>218.55068622509</v>
      </c>
      <c r="EQ9" s="467">
        <f>EQ10*EQ8</f>
        <v>52.445612851504315</v>
      </c>
      <c r="ER9" s="467">
        <f>ER10*ER8</f>
        <v>51.958242775810646</v>
      </c>
      <c r="ES9" s="467">
        <f>ES10*ES8</f>
        <v>52.617306370364965</v>
      </c>
      <c r="ET9" s="467">
        <f>ET10*ET8</f>
        <v>59.274758877953062</v>
      </c>
      <c r="EU9" s="356">
        <f>EQ9+ER9+ES9+ET9</f>
        <v>216.29592087563299</v>
      </c>
      <c r="EV9" s="467">
        <f>EV10*EV8</f>
        <v>51.876374918157069</v>
      </c>
      <c r="EW9" s="467">
        <f>EW10*EW8</f>
        <v>51.383100372659769</v>
      </c>
      <c r="EX9" s="467">
        <f>EX10*EX8</f>
        <v>52.023718065726158</v>
      </c>
      <c r="EY9" s="467">
        <f>EY10*EY8</f>
        <v>58.593817141199224</v>
      </c>
      <c r="EZ9" s="356">
        <f>EV9+EW9+EX9+EY9</f>
        <v>213.87701049774222</v>
      </c>
    </row>
    <row r="10" spans="2:160">
      <c r="B10" s="351"/>
      <c r="C10" s="450"/>
      <c r="D10" s="450"/>
      <c r="E10" s="450"/>
      <c r="F10" s="450"/>
      <c r="G10" s="450"/>
      <c r="H10" s="450"/>
      <c r="I10" s="450"/>
      <c r="J10" s="450"/>
      <c r="K10" s="356"/>
      <c r="L10" s="448"/>
      <c r="M10" s="448"/>
      <c r="N10" s="357"/>
      <c r="O10" s="357"/>
      <c r="P10" s="356"/>
      <c r="Q10" s="357"/>
      <c r="R10" s="357"/>
      <c r="S10" s="357"/>
      <c r="T10" s="357"/>
      <c r="U10" s="356"/>
      <c r="V10" s="357"/>
      <c r="W10" s="357"/>
      <c r="X10" s="357"/>
      <c r="Y10" s="357"/>
      <c r="Z10" s="356"/>
      <c r="AA10" s="448"/>
      <c r="AB10" s="448"/>
      <c r="AC10" s="448"/>
      <c r="AD10" s="448"/>
      <c r="AE10" s="356"/>
      <c r="AF10" s="448"/>
      <c r="AG10" s="448"/>
      <c r="AH10" s="448"/>
      <c r="AI10" s="448"/>
      <c r="AJ10" s="356"/>
      <c r="AK10" s="448"/>
      <c r="AL10" s="448"/>
      <c r="AM10" s="448"/>
      <c r="AN10" s="448"/>
      <c r="AO10" s="356"/>
      <c r="AP10" s="83"/>
      <c r="AQ10" s="83"/>
      <c r="AR10" s="83"/>
      <c r="AS10" s="83"/>
      <c r="AT10" s="452"/>
      <c r="AU10" s="83"/>
      <c r="AV10" s="83"/>
      <c r="AW10" s="83"/>
      <c r="AX10" s="83"/>
      <c r="AY10" s="452"/>
      <c r="AZ10" s="83"/>
      <c r="BA10" s="83"/>
      <c r="BB10" s="83"/>
      <c r="BC10" s="83"/>
      <c r="BD10" s="452"/>
      <c r="BE10" s="83"/>
      <c r="BF10" s="83"/>
      <c r="BG10" s="83"/>
      <c r="BH10" s="83"/>
      <c r="BI10" s="452"/>
      <c r="BJ10" s="83"/>
      <c r="BK10" s="83"/>
      <c r="BL10" s="83"/>
      <c r="BM10" s="83"/>
      <c r="BN10" s="452"/>
      <c r="BO10" s="468"/>
      <c r="BP10" s="468"/>
      <c r="BQ10" s="468"/>
      <c r="BR10" s="468"/>
      <c r="BS10" s="452"/>
      <c r="BT10" s="464"/>
      <c r="BU10" s="464"/>
      <c r="BV10" s="464"/>
      <c r="BW10" s="464"/>
      <c r="BX10" s="449"/>
      <c r="BY10" s="468">
        <f t="shared" ref="BY10:CN10" si="3">BY9/BY8</f>
        <v>1.5396825396825398</v>
      </c>
      <c r="BZ10" s="468">
        <f t="shared" si="3"/>
        <v>1.147982062780269</v>
      </c>
      <c r="CA10" s="468">
        <f t="shared" si="3"/>
        <v>1.0627615062761506</v>
      </c>
      <c r="CB10" s="468">
        <f t="shared" si="3"/>
        <v>1.0040160642570282</v>
      </c>
      <c r="CC10" s="705">
        <f t="shared" si="3"/>
        <v>1.1677777777777778</v>
      </c>
      <c r="CD10" s="468">
        <f t="shared" si="3"/>
        <v>1.0383141762452108</v>
      </c>
      <c r="CE10" s="468">
        <f t="shared" si="3"/>
        <v>0.93846153846153846</v>
      </c>
      <c r="CF10" s="468">
        <f t="shared" si="3"/>
        <v>0.93090909090909091</v>
      </c>
      <c r="CG10" s="468">
        <f t="shared" si="3"/>
        <v>0.83916083916083917</v>
      </c>
      <c r="CH10" s="705">
        <f>CH9/CH8</f>
        <v>0.93438077634011085</v>
      </c>
      <c r="CI10" s="468">
        <f t="shared" si="3"/>
        <v>0.83812949640287771</v>
      </c>
      <c r="CJ10" s="468">
        <f t="shared" si="3"/>
        <v>0.85763888888888884</v>
      </c>
      <c r="CK10" s="468">
        <f t="shared" si="3"/>
        <v>0.81052631578947365</v>
      </c>
      <c r="CL10" s="468">
        <f t="shared" si="3"/>
        <v>0.86692015209125473</v>
      </c>
      <c r="CM10" s="705">
        <f>CM9/CM8</f>
        <v>0.84290843806104132</v>
      </c>
      <c r="CN10" s="468">
        <f t="shared" si="3"/>
        <v>1.0177777777777777</v>
      </c>
      <c r="CO10" s="468">
        <v>0.89</v>
      </c>
      <c r="CP10" s="468">
        <f>CO10</f>
        <v>0.89</v>
      </c>
      <c r="CQ10" s="468">
        <f>CP10</f>
        <v>0.89</v>
      </c>
      <c r="CR10" s="705">
        <f>CM10-0.05</f>
        <v>0.79290843806104128</v>
      </c>
      <c r="CS10" s="468">
        <f>CW10</f>
        <v>0.78290843806104127</v>
      </c>
      <c r="CT10" s="468">
        <f>CS10</f>
        <v>0.78290843806104127</v>
      </c>
      <c r="CU10" s="468">
        <f>CT10</f>
        <v>0.78290843806104127</v>
      </c>
      <c r="CV10" s="468">
        <f>CU10</f>
        <v>0.78290843806104127</v>
      </c>
      <c r="CW10" s="708">
        <f>CR10-0.01</f>
        <v>0.78290843806104127</v>
      </c>
      <c r="CX10" s="468">
        <f>DB10</f>
        <v>0.78290843806104127</v>
      </c>
      <c r="CY10" s="468">
        <f>CX10</f>
        <v>0.78290843806104127</v>
      </c>
      <c r="CZ10" s="468">
        <f>CY10</f>
        <v>0.78290843806104127</v>
      </c>
      <c r="DA10" s="468">
        <f>CZ10</f>
        <v>0.78290843806104127</v>
      </c>
      <c r="DB10" s="708">
        <f>CW10</f>
        <v>0.78290843806104127</v>
      </c>
      <c r="DC10" s="468">
        <f>DG10</f>
        <v>0.73290843806104122</v>
      </c>
      <c r="DD10" s="468">
        <f>DC10</f>
        <v>0.73290843806104122</v>
      </c>
      <c r="DE10" s="468">
        <f>DD10</f>
        <v>0.73290843806104122</v>
      </c>
      <c r="DF10" s="468">
        <f>DE10</f>
        <v>0.73290843806104122</v>
      </c>
      <c r="DG10" s="708">
        <f>DB10-0.05</f>
        <v>0.73290843806104122</v>
      </c>
      <c r="DH10" s="468">
        <f>DL10</f>
        <v>0.73290843806104122</v>
      </c>
      <c r="DI10" s="468">
        <f>DH10</f>
        <v>0.73290843806104122</v>
      </c>
      <c r="DJ10" s="468">
        <f>DI10</f>
        <v>0.73290843806104122</v>
      </c>
      <c r="DK10" s="468">
        <f>DJ10</f>
        <v>0.73290843806104122</v>
      </c>
      <c r="DL10" s="708">
        <f>DG10</f>
        <v>0.73290843806104122</v>
      </c>
      <c r="DM10" s="468">
        <f>DQ10</f>
        <v>0.73290843806104122</v>
      </c>
      <c r="DN10" s="468">
        <f>DM10</f>
        <v>0.73290843806104122</v>
      </c>
      <c r="DO10" s="468">
        <f>DN10</f>
        <v>0.73290843806104122</v>
      </c>
      <c r="DP10" s="468">
        <f>DO10</f>
        <v>0.73290843806104122</v>
      </c>
      <c r="DQ10" s="708">
        <f>DL10</f>
        <v>0.73290843806104122</v>
      </c>
      <c r="DR10" s="468">
        <f>DV10</f>
        <v>0.73290843806104122</v>
      </c>
      <c r="DS10" s="468">
        <f>DR10</f>
        <v>0.73290843806104122</v>
      </c>
      <c r="DT10" s="468">
        <f>DS10</f>
        <v>0.73290843806104122</v>
      </c>
      <c r="DU10" s="468">
        <f>DT10</f>
        <v>0.73290843806104122</v>
      </c>
      <c r="DV10" s="708">
        <f>DQ10</f>
        <v>0.73290843806104122</v>
      </c>
      <c r="DW10" s="468">
        <f>EA10</f>
        <v>0.73290843806104122</v>
      </c>
      <c r="DX10" s="468">
        <f>DW10</f>
        <v>0.73290843806104122</v>
      </c>
      <c r="DY10" s="468">
        <f>DX10</f>
        <v>0.73290843806104122</v>
      </c>
      <c r="DZ10" s="468">
        <f>DY10</f>
        <v>0.73290843806104122</v>
      </c>
      <c r="EA10" s="708">
        <f>DV10</f>
        <v>0.73290843806104122</v>
      </c>
      <c r="EB10" s="468">
        <f>EF10</f>
        <v>0.73290843806104122</v>
      </c>
      <c r="EC10" s="468">
        <f>EB10</f>
        <v>0.73290843806104122</v>
      </c>
      <c r="ED10" s="468">
        <f>EC10</f>
        <v>0.73290843806104122</v>
      </c>
      <c r="EE10" s="468">
        <f>ED10</f>
        <v>0.73290843806104122</v>
      </c>
      <c r="EF10" s="708">
        <f>EA10</f>
        <v>0.73290843806104122</v>
      </c>
      <c r="EG10" s="468">
        <f>EK10</f>
        <v>0.73290843806104122</v>
      </c>
      <c r="EH10" s="468">
        <f>EG10</f>
        <v>0.73290843806104122</v>
      </c>
      <c r="EI10" s="468">
        <f>EH10</f>
        <v>0.73290843806104122</v>
      </c>
      <c r="EJ10" s="468">
        <f>EI10</f>
        <v>0.73290843806104122</v>
      </c>
      <c r="EK10" s="708">
        <f>EF10</f>
        <v>0.73290843806104122</v>
      </c>
      <c r="EL10" s="468">
        <f>EP10</f>
        <v>0.73290843806104122</v>
      </c>
      <c r="EM10" s="468">
        <f>EL10</f>
        <v>0.73290843806104122</v>
      </c>
      <c r="EN10" s="468">
        <f>EM10</f>
        <v>0.73290843806104122</v>
      </c>
      <c r="EO10" s="468">
        <f>EN10</f>
        <v>0.73290843806104122</v>
      </c>
      <c r="EP10" s="708">
        <f>EK10</f>
        <v>0.73290843806104122</v>
      </c>
      <c r="EQ10" s="468">
        <f>EU10</f>
        <v>0.73290843806104122</v>
      </c>
      <c r="ER10" s="468">
        <f>EQ10</f>
        <v>0.73290843806104122</v>
      </c>
      <c r="ES10" s="468">
        <f>ER10</f>
        <v>0.73290843806104122</v>
      </c>
      <c r="ET10" s="468">
        <f>ES10</f>
        <v>0.73290843806104122</v>
      </c>
      <c r="EU10" s="708">
        <f>EP10</f>
        <v>0.73290843806104122</v>
      </c>
      <c r="EV10" s="468">
        <f>EZ10</f>
        <v>0.73290843806104122</v>
      </c>
      <c r="EW10" s="468">
        <f>EV10</f>
        <v>0.73290843806104122</v>
      </c>
      <c r="EX10" s="468">
        <f>EW10</f>
        <v>0.73290843806104122</v>
      </c>
      <c r="EY10" s="468">
        <f>EX10</f>
        <v>0.73290843806104122</v>
      </c>
      <c r="EZ10" s="708">
        <f>EU10</f>
        <v>0.73290843806104122</v>
      </c>
    </row>
    <row r="11" spans="2:160" s="4" customFormat="1">
      <c r="B11" s="18" t="s">
        <v>121</v>
      </c>
      <c r="C11" s="23">
        <f>C12+C13</f>
        <v>719.4</v>
      </c>
      <c r="D11" s="23">
        <f t="shared" ref="D11:BO11" si="4">D12+D13</f>
        <v>829</v>
      </c>
      <c r="E11" s="23">
        <f t="shared" si="4"/>
        <v>936</v>
      </c>
      <c r="F11" s="23">
        <f t="shared" si="4"/>
        <v>1016.3</v>
      </c>
      <c r="G11" s="23">
        <f t="shared" si="4"/>
        <v>1055.7</v>
      </c>
      <c r="H11" s="23">
        <f t="shared" si="4"/>
        <v>1116.5999999999999</v>
      </c>
      <c r="I11" s="23">
        <f t="shared" si="4"/>
        <v>1256.5999999999999</v>
      </c>
      <c r="J11" s="23">
        <f t="shared" si="4"/>
        <v>1223.7</v>
      </c>
      <c r="K11" s="20">
        <f t="shared" si="4"/>
        <v>1346.3999999999999</v>
      </c>
      <c r="L11" s="22">
        <f t="shared" si="4"/>
        <v>355</v>
      </c>
      <c r="M11" s="22">
        <f t="shared" si="4"/>
        <v>363.4</v>
      </c>
      <c r="N11" s="22">
        <f t="shared" si="4"/>
        <v>332.2</v>
      </c>
      <c r="O11" s="22">
        <f t="shared" si="4"/>
        <v>329</v>
      </c>
      <c r="P11" s="20">
        <f t="shared" si="4"/>
        <v>1379.6000000000001</v>
      </c>
      <c r="Q11" s="22">
        <f t="shared" si="4"/>
        <v>284</v>
      </c>
      <c r="R11" s="22">
        <f t="shared" si="4"/>
        <v>330.8</v>
      </c>
      <c r="S11" s="22">
        <f t="shared" si="4"/>
        <v>330</v>
      </c>
      <c r="T11" s="22">
        <f t="shared" si="4"/>
        <v>322</v>
      </c>
      <c r="U11" s="20">
        <f t="shared" si="4"/>
        <v>1266.8</v>
      </c>
      <c r="V11" s="22">
        <f t="shared" si="4"/>
        <v>269</v>
      </c>
      <c r="W11" s="22">
        <f t="shared" si="4"/>
        <v>295.2</v>
      </c>
      <c r="X11" s="22">
        <f t="shared" si="4"/>
        <v>302</v>
      </c>
      <c r="Y11" s="22">
        <f t="shared" si="4"/>
        <v>309</v>
      </c>
      <c r="Z11" s="20">
        <f t="shared" si="4"/>
        <v>1175.1999999999998</v>
      </c>
      <c r="AA11" s="22">
        <f t="shared" si="4"/>
        <v>294</v>
      </c>
      <c r="AB11" s="22">
        <f t="shared" si="4"/>
        <v>312</v>
      </c>
      <c r="AC11" s="22">
        <f t="shared" si="4"/>
        <v>305</v>
      </c>
      <c r="AD11" s="22">
        <f t="shared" si="4"/>
        <v>305</v>
      </c>
      <c r="AE11" s="20">
        <f t="shared" si="4"/>
        <v>1216</v>
      </c>
      <c r="AF11" s="22">
        <f t="shared" si="4"/>
        <v>288</v>
      </c>
      <c r="AG11" s="22">
        <f t="shared" si="4"/>
        <v>304</v>
      </c>
      <c r="AH11" s="22">
        <f t="shared" si="4"/>
        <v>308</v>
      </c>
      <c r="AI11" s="22">
        <f t="shared" si="4"/>
        <v>313</v>
      </c>
      <c r="AJ11" s="20">
        <f t="shared" si="4"/>
        <v>1213</v>
      </c>
      <c r="AK11" s="22">
        <f t="shared" si="4"/>
        <v>299</v>
      </c>
      <c r="AL11" s="22">
        <f t="shared" si="4"/>
        <v>307</v>
      </c>
      <c r="AM11" s="22">
        <f t="shared" si="4"/>
        <v>337</v>
      </c>
      <c r="AN11" s="22">
        <f t="shared" si="4"/>
        <v>334</v>
      </c>
      <c r="AO11" s="20">
        <f t="shared" si="4"/>
        <v>1277</v>
      </c>
      <c r="AP11" s="22">
        <f t="shared" si="4"/>
        <v>330</v>
      </c>
      <c r="AQ11" s="22">
        <f t="shared" si="4"/>
        <v>339</v>
      </c>
      <c r="AR11" s="22">
        <f t="shared" si="4"/>
        <v>340</v>
      </c>
      <c r="AS11" s="22">
        <f t="shared" si="4"/>
        <v>332</v>
      </c>
      <c r="AT11" s="20">
        <f t="shared" si="4"/>
        <v>1341</v>
      </c>
      <c r="AU11" s="22">
        <f t="shared" si="4"/>
        <v>296</v>
      </c>
      <c r="AV11" s="22">
        <f t="shared" si="4"/>
        <v>327</v>
      </c>
      <c r="AW11" s="22">
        <f t="shared" si="4"/>
        <v>339</v>
      </c>
      <c r="AX11" s="22">
        <f t="shared" si="4"/>
        <v>326</v>
      </c>
      <c r="AY11" s="20">
        <f t="shared" si="4"/>
        <v>1288</v>
      </c>
      <c r="AZ11" s="22">
        <f t="shared" si="4"/>
        <v>316</v>
      </c>
      <c r="BA11" s="22">
        <f t="shared" si="4"/>
        <v>313</v>
      </c>
      <c r="BB11" s="22">
        <f t="shared" si="4"/>
        <v>338</v>
      </c>
      <c r="BC11" s="22">
        <f t="shared" si="4"/>
        <v>319</v>
      </c>
      <c r="BD11" s="20">
        <f t="shared" si="4"/>
        <v>1286</v>
      </c>
      <c r="BE11" s="22">
        <f t="shared" si="4"/>
        <v>296</v>
      </c>
      <c r="BF11" s="22">
        <f t="shared" si="4"/>
        <v>311</v>
      </c>
      <c r="BG11" s="22">
        <f t="shared" si="4"/>
        <v>332</v>
      </c>
      <c r="BH11" s="22">
        <f t="shared" si="4"/>
        <v>321</v>
      </c>
      <c r="BI11" s="20">
        <f t="shared" si="4"/>
        <v>1260</v>
      </c>
      <c r="BJ11" s="22">
        <f t="shared" si="4"/>
        <v>305</v>
      </c>
      <c r="BK11" s="22">
        <f t="shared" si="4"/>
        <v>332</v>
      </c>
      <c r="BL11" s="22">
        <f t="shared" si="4"/>
        <v>311</v>
      </c>
      <c r="BM11" s="22">
        <f t="shared" si="4"/>
        <v>312</v>
      </c>
      <c r="BN11" s="20">
        <f t="shared" ref="BN11:BS11" si="5">BN12+BN13</f>
        <v>1260</v>
      </c>
      <c r="BO11" s="465">
        <f t="shared" si="4"/>
        <v>299</v>
      </c>
      <c r="BP11" s="465">
        <f t="shared" si="5"/>
        <v>324</v>
      </c>
      <c r="BQ11" s="465">
        <f t="shared" si="5"/>
        <v>466</v>
      </c>
      <c r="BR11" s="465">
        <f t="shared" si="5"/>
        <v>309</v>
      </c>
      <c r="BS11" s="20">
        <f t="shared" si="5"/>
        <v>1398</v>
      </c>
      <c r="BT11" s="465">
        <f t="shared" ref="BT11:EE11" si="6">BT12+BT13</f>
        <v>289</v>
      </c>
      <c r="BU11" s="465">
        <f t="shared" si="6"/>
        <v>296</v>
      </c>
      <c r="BV11" s="465">
        <f t="shared" si="6"/>
        <v>300</v>
      </c>
      <c r="BW11" s="465">
        <f t="shared" si="6"/>
        <v>274</v>
      </c>
      <c r="BX11" s="20">
        <f t="shared" si="6"/>
        <v>1159</v>
      </c>
      <c r="BY11" s="465">
        <f t="shared" si="6"/>
        <v>246</v>
      </c>
      <c r="BZ11" s="465">
        <f t="shared" si="6"/>
        <v>256</v>
      </c>
      <c r="CA11" s="465">
        <f t="shared" si="6"/>
        <v>284</v>
      </c>
      <c r="CB11" s="465">
        <f t="shared" si="6"/>
        <v>263</v>
      </c>
      <c r="CC11" s="20">
        <f t="shared" si="6"/>
        <v>1049</v>
      </c>
      <c r="CD11" s="465">
        <f t="shared" si="6"/>
        <v>213</v>
      </c>
      <c r="CE11" s="465">
        <f t="shared" si="6"/>
        <v>196</v>
      </c>
      <c r="CF11" s="465">
        <f t="shared" si="6"/>
        <v>183</v>
      </c>
      <c r="CG11" s="465">
        <f t="shared" si="6"/>
        <v>173</v>
      </c>
      <c r="CH11" s="20">
        <f t="shared" si="6"/>
        <v>765</v>
      </c>
      <c r="CI11" s="465">
        <f t="shared" si="6"/>
        <v>148</v>
      </c>
      <c r="CJ11" s="465">
        <f t="shared" si="6"/>
        <v>137</v>
      </c>
      <c r="CK11" s="465">
        <f t="shared" si="6"/>
        <v>138</v>
      </c>
      <c r="CL11" s="465">
        <f t="shared" si="6"/>
        <v>126</v>
      </c>
      <c r="CM11" s="20">
        <f t="shared" si="6"/>
        <v>549</v>
      </c>
      <c r="CN11" s="465">
        <f t="shared" si="6"/>
        <v>103</v>
      </c>
      <c r="CO11" s="465">
        <f t="shared" si="6"/>
        <v>98.776494074542782</v>
      </c>
      <c r="CP11" s="465">
        <f t="shared" si="6"/>
        <v>89.737922166873602</v>
      </c>
      <c r="CQ11" s="465">
        <f t="shared" si="6"/>
        <v>78.417640881471968</v>
      </c>
      <c r="CR11" s="20">
        <f t="shared" si="6"/>
        <v>369.93205712288835</v>
      </c>
      <c r="CS11" s="465">
        <f t="shared" si="6"/>
        <v>74.36874565370637</v>
      </c>
      <c r="CT11" s="465">
        <f t="shared" si="6"/>
        <v>70.613762862921064</v>
      </c>
      <c r="CU11" s="465">
        <f t="shared" si="6"/>
        <v>64.075712462157725</v>
      </c>
      <c r="CV11" s="465">
        <f t="shared" si="6"/>
        <v>56.730024424232511</v>
      </c>
      <c r="CW11" s="20">
        <f t="shared" si="6"/>
        <v>265.78824540301764</v>
      </c>
      <c r="CX11" s="465">
        <f t="shared" si="6"/>
        <v>62.194564287537048</v>
      </c>
      <c r="CY11" s="465">
        <f t="shared" si="6"/>
        <v>60.195314548692309</v>
      </c>
      <c r="CZ11" s="465">
        <f t="shared" si="6"/>
        <v>55.734373700154549</v>
      </c>
      <c r="DA11" s="465">
        <f t="shared" si="6"/>
        <v>50.420097093717374</v>
      </c>
      <c r="DB11" s="20">
        <f t="shared" si="6"/>
        <v>228.54434963010129</v>
      </c>
      <c r="DC11" s="465">
        <f t="shared" si="6"/>
        <v>55.780670974159605</v>
      </c>
      <c r="DD11" s="465">
        <f t="shared" si="6"/>
        <v>53.766245837590148</v>
      </c>
      <c r="DE11" s="465">
        <f t="shared" si="6"/>
        <v>49.570030450026856</v>
      </c>
      <c r="DF11" s="465">
        <f t="shared" si="6"/>
        <v>44.642993113483627</v>
      </c>
      <c r="DG11" s="20">
        <f t="shared" si="6"/>
        <v>203.75994037526021</v>
      </c>
      <c r="DH11" s="465">
        <f t="shared" si="6"/>
        <v>49.50889678166098</v>
      </c>
      <c r="DI11" s="465">
        <f t="shared" si="6"/>
        <v>47.975617838108704</v>
      </c>
      <c r="DJ11" s="465">
        <f t="shared" si="6"/>
        <v>43.335500436844654</v>
      </c>
      <c r="DK11" s="465">
        <f t="shared" si="6"/>
        <v>39.254821520325827</v>
      </c>
      <c r="DL11" s="20">
        <f t="shared" si="6"/>
        <v>180.07483657694013</v>
      </c>
      <c r="DM11" s="465">
        <f t="shared" si="6"/>
        <v>43.58897715131409</v>
      </c>
      <c r="DN11" s="465">
        <f t="shared" si="6"/>
        <v>42.206296244298727</v>
      </c>
      <c r="DO11" s="465">
        <f t="shared" si="6"/>
        <v>38.093701670732614</v>
      </c>
      <c r="DP11" s="465">
        <f t="shared" si="6"/>
        <v>34.477786360803812</v>
      </c>
      <c r="DQ11" s="20">
        <f t="shared" si="6"/>
        <v>158.36676142714924</v>
      </c>
      <c r="DR11" s="465">
        <f t="shared" si="6"/>
        <v>38.551961892532205</v>
      </c>
      <c r="DS11" s="465">
        <f t="shared" si="6"/>
        <v>37.439135035505466</v>
      </c>
      <c r="DT11" s="465">
        <f t="shared" si="6"/>
        <v>33.893595103631945</v>
      </c>
      <c r="DU11" s="465">
        <f t="shared" si="6"/>
        <v>30.773439426444895</v>
      </c>
      <c r="DV11" s="20">
        <f t="shared" si="6"/>
        <v>140.6581314581145</v>
      </c>
      <c r="DW11" s="465">
        <f t="shared" si="6"/>
        <v>34.524385558791231</v>
      </c>
      <c r="DX11" s="465">
        <f t="shared" si="6"/>
        <v>33.634827467424543</v>
      </c>
      <c r="DY11" s="465">
        <f t="shared" si="6"/>
        <v>30.548953382206115</v>
      </c>
      <c r="DZ11" s="465">
        <f t="shared" si="6"/>
        <v>27.830509952035975</v>
      </c>
      <c r="EA11" s="20">
        <f t="shared" si="6"/>
        <v>126.53867636045786</v>
      </c>
      <c r="EB11" s="465">
        <f t="shared" si="6"/>
        <v>31.825900315270914</v>
      </c>
      <c r="EC11" s="465">
        <f t="shared" si="6"/>
        <v>31.131081126695094</v>
      </c>
      <c r="ED11" s="465">
        <f t="shared" si="6"/>
        <v>28.390842923727568</v>
      </c>
      <c r="EE11" s="465">
        <f t="shared" si="6"/>
        <v>25.973505056233755</v>
      </c>
      <c r="EF11" s="20">
        <f t="shared" ref="EF11:EZ11" si="7">EF12+EF13</f>
        <v>117.32132942192735</v>
      </c>
      <c r="EG11" s="465">
        <f t="shared" si="7"/>
        <v>29.739944467426184</v>
      </c>
      <c r="EH11" s="465">
        <f t="shared" si="7"/>
        <v>29.088717440261469</v>
      </c>
      <c r="EI11" s="465">
        <f t="shared" si="7"/>
        <v>25.828392234973307</v>
      </c>
      <c r="EJ11" s="465">
        <f t="shared" si="7"/>
        <v>23.627595268264557</v>
      </c>
      <c r="EK11" s="20">
        <f t="shared" si="7"/>
        <v>108.28464941092551</v>
      </c>
      <c r="EL11" s="465">
        <f t="shared" si="7"/>
        <v>27.051887362694142</v>
      </c>
      <c r="EM11" s="465">
        <f t="shared" si="7"/>
        <v>26.457689724400396</v>
      </c>
      <c r="EN11" s="465">
        <f t="shared" si="7"/>
        <v>23.490610658086204</v>
      </c>
      <c r="EO11" s="465">
        <f t="shared" si="7"/>
        <v>21.487470982549439</v>
      </c>
      <c r="EP11" s="20">
        <f t="shared" si="7"/>
        <v>98.487658727730178</v>
      </c>
      <c r="EQ11" s="465">
        <f t="shared" si="7"/>
        <v>24.599751636042633</v>
      </c>
      <c r="ER11" s="465">
        <f t="shared" si="7"/>
        <v>24.057692130317022</v>
      </c>
      <c r="ES11" s="465">
        <f t="shared" si="7"/>
        <v>21.358211611410447</v>
      </c>
      <c r="ET11" s="465">
        <f t="shared" si="7"/>
        <v>19.53546011630759</v>
      </c>
      <c r="EU11" s="20">
        <f t="shared" si="7"/>
        <v>89.551115494077692</v>
      </c>
      <c r="EV11" s="465">
        <f t="shared" si="7"/>
        <v>22.363269401973689</v>
      </c>
      <c r="EW11" s="465">
        <f t="shared" si="7"/>
        <v>21.868869670646404</v>
      </c>
      <c r="EX11" s="465">
        <f t="shared" si="7"/>
        <v>19.413537736784324</v>
      </c>
      <c r="EY11" s="465">
        <f t="shared" si="7"/>
        <v>17.755383855725182</v>
      </c>
      <c r="EZ11" s="20">
        <f t="shared" si="7"/>
        <v>81.401060665129606</v>
      </c>
    </row>
    <row r="12" spans="2:160">
      <c r="B12" s="351" t="s">
        <v>900</v>
      </c>
      <c r="C12" s="355">
        <v>545.5</v>
      </c>
      <c r="D12" s="355">
        <v>617.20000000000005</v>
      </c>
      <c r="E12" s="355">
        <v>661.8</v>
      </c>
      <c r="F12" s="355">
        <v>731.6</v>
      </c>
      <c r="G12" s="355">
        <v>790</v>
      </c>
      <c r="H12" s="355">
        <v>853.2</v>
      </c>
      <c r="I12" s="355">
        <v>921.45600000000013</v>
      </c>
      <c r="J12" s="355">
        <v>985.95792000000017</v>
      </c>
      <c r="K12" s="356">
        <v>1050.5999999999999</v>
      </c>
      <c r="L12" s="448">
        <v>280.7</v>
      </c>
      <c r="M12" s="448">
        <v>280.5</v>
      </c>
      <c r="N12" s="448">
        <v>241.1</v>
      </c>
      <c r="O12" s="448">
        <v>239.4</v>
      </c>
      <c r="P12" s="356">
        <f>O12+N12+M12+L12</f>
        <v>1041.7</v>
      </c>
      <c r="Q12" s="448">
        <v>194</v>
      </c>
      <c r="R12" s="448">
        <v>233.3</v>
      </c>
      <c r="S12" s="448">
        <v>228</v>
      </c>
      <c r="T12" s="357">
        <v>226</v>
      </c>
      <c r="U12" s="356">
        <f>T12+S12+R12+Q12</f>
        <v>881.3</v>
      </c>
      <c r="V12" s="448">
        <v>172.3</v>
      </c>
      <c r="W12" s="448">
        <v>194.5</v>
      </c>
      <c r="X12" s="448">
        <v>207</v>
      </c>
      <c r="Y12" s="448">
        <v>204</v>
      </c>
      <c r="Z12" s="356">
        <f>Y12+X12+W12+V12</f>
        <v>777.8</v>
      </c>
      <c r="AA12" s="448">
        <v>182</v>
      </c>
      <c r="AB12" s="448">
        <v>208</v>
      </c>
      <c r="AC12" s="448">
        <v>205</v>
      </c>
      <c r="AD12" s="448">
        <v>210</v>
      </c>
      <c r="AE12" s="356">
        <f>AD12+AC12+AB12+AA12</f>
        <v>805</v>
      </c>
      <c r="AF12" s="448">
        <v>191</v>
      </c>
      <c r="AG12" s="448">
        <v>206</v>
      </c>
      <c r="AH12" s="448">
        <v>212</v>
      </c>
      <c r="AI12" s="448">
        <v>221</v>
      </c>
      <c r="AJ12" s="356">
        <f>AI12+AH12+AG12+AF12</f>
        <v>830</v>
      </c>
      <c r="AK12" s="448">
        <v>204</v>
      </c>
      <c r="AL12" s="448">
        <v>200</v>
      </c>
      <c r="AM12" s="448">
        <v>232</v>
      </c>
      <c r="AN12" s="448">
        <v>225</v>
      </c>
      <c r="AO12" s="356">
        <f>AN12+AM12+AL12+AK12</f>
        <v>861</v>
      </c>
      <c r="AP12" s="448">
        <v>223</v>
      </c>
      <c r="AQ12" s="448">
        <v>221</v>
      </c>
      <c r="AR12" s="448">
        <v>223</v>
      </c>
      <c r="AS12" s="448">
        <v>229</v>
      </c>
      <c r="AT12" s="356">
        <f>AS12+AR12+AQ12+AP12</f>
        <v>896</v>
      </c>
      <c r="AU12" s="358">
        <v>202</v>
      </c>
      <c r="AV12" s="358">
        <v>230</v>
      </c>
      <c r="AW12" s="358">
        <v>240</v>
      </c>
      <c r="AX12" s="358">
        <v>229</v>
      </c>
      <c r="AY12" s="356">
        <f>AX12+AW12+AV12+AU12</f>
        <v>901</v>
      </c>
      <c r="AZ12" s="358">
        <v>225</v>
      </c>
      <c r="BA12" s="358">
        <v>225</v>
      </c>
      <c r="BB12" s="358">
        <v>250</v>
      </c>
      <c r="BC12" s="358">
        <v>232</v>
      </c>
      <c r="BD12" s="356">
        <f>BC12+BB12+BA12+AZ12</f>
        <v>932</v>
      </c>
      <c r="BE12" s="358">
        <v>220</v>
      </c>
      <c r="BF12" s="358">
        <v>230</v>
      </c>
      <c r="BG12" s="358">
        <v>258</v>
      </c>
      <c r="BH12" s="358">
        <v>251</v>
      </c>
      <c r="BI12" s="356">
        <f>BH12+BG12+BF12+BE12</f>
        <v>959</v>
      </c>
      <c r="BJ12" s="358">
        <v>239</v>
      </c>
      <c r="BK12" s="358">
        <v>268</v>
      </c>
      <c r="BL12" s="358">
        <v>249</v>
      </c>
      <c r="BM12" s="358">
        <v>251</v>
      </c>
      <c r="BN12" s="356">
        <f>BM12+BL12+BK12+BJ12</f>
        <v>1007</v>
      </c>
      <c r="BO12" s="467">
        <v>242</v>
      </c>
      <c r="BP12" s="467">
        <v>267</v>
      </c>
      <c r="BQ12" s="467">
        <v>409</v>
      </c>
      <c r="BR12" s="474">
        <v>251</v>
      </c>
      <c r="BS12" s="356">
        <f>BR12+BQ12+BP12+BO12</f>
        <v>1169</v>
      </c>
      <c r="BT12" s="474">
        <v>214</v>
      </c>
      <c r="BU12" s="474">
        <v>214</v>
      </c>
      <c r="BV12" s="474">
        <v>214</v>
      </c>
      <c r="BW12" s="474">
        <v>197</v>
      </c>
      <c r="BX12" s="356">
        <f>BW12+BV12+BU12+BT12</f>
        <v>839</v>
      </c>
      <c r="BY12" s="473">
        <v>181</v>
      </c>
      <c r="BZ12" s="473">
        <v>191</v>
      </c>
      <c r="CA12" s="473">
        <v>218</v>
      </c>
      <c r="CB12" s="473">
        <v>203</v>
      </c>
      <c r="CC12" s="356">
        <f>SUM(BY12:CB12)</f>
        <v>793</v>
      </c>
      <c r="CD12" s="473">
        <v>150</v>
      </c>
      <c r="CE12" s="473">
        <v>141</v>
      </c>
      <c r="CF12" s="473">
        <v>127</v>
      </c>
      <c r="CG12" s="473">
        <v>116</v>
      </c>
      <c r="CH12" s="356">
        <f>CD12+CE12+CF12+CG12</f>
        <v>534</v>
      </c>
      <c r="CI12" s="473">
        <v>101</v>
      </c>
      <c r="CJ12" s="473">
        <v>90</v>
      </c>
      <c r="CK12" s="473">
        <v>96</v>
      </c>
      <c r="CL12" s="473">
        <v>82</v>
      </c>
      <c r="CM12" s="356">
        <f>CI12+CJ12+CK12+CL12</f>
        <v>369</v>
      </c>
      <c r="CN12" s="473">
        <v>65</v>
      </c>
      <c r="CO12" s="466">
        <f>'IMS Model Summary'!J16</f>
        <v>62.334680726653211</v>
      </c>
      <c r="CP12" s="466">
        <f>'IMS Model Summary'!K16</f>
        <v>56.630727581036744</v>
      </c>
      <c r="CQ12" s="466">
        <f>'IMS Model Summary'!L16</f>
        <v>49.486860750443476</v>
      </c>
      <c r="CR12" s="356">
        <f>CN12+CO12+CP12+CQ12</f>
        <v>233.45226905813342</v>
      </c>
      <c r="CS12" s="466">
        <f>'IMS Model Summary'!N16</f>
        <v>53.12053260979026</v>
      </c>
      <c r="CT12" s="466">
        <f>'IMS Model Summary'!O16</f>
        <v>50.438402044943615</v>
      </c>
      <c r="CU12" s="466">
        <f>'IMS Model Summary'!P16</f>
        <v>45.768366044398377</v>
      </c>
      <c r="CV12" s="466">
        <f>'IMS Model Summary'!Q16</f>
        <v>40.521446017308932</v>
      </c>
      <c r="CW12" s="356">
        <f>CS12+CT12+CU12+CV12</f>
        <v>189.84874671644118</v>
      </c>
      <c r="CX12" s="466">
        <f>'IMS Model Summary'!S16</f>
        <v>44.424688776812175</v>
      </c>
      <c r="CY12" s="466">
        <f>'IMS Model Summary'!T16</f>
        <v>42.996653249065936</v>
      </c>
      <c r="CZ12" s="466">
        <f>'IMS Model Summary'!U16</f>
        <v>39.81026692868182</v>
      </c>
      <c r="DA12" s="466">
        <f>'IMS Model Summary'!V16</f>
        <v>36.014355066940979</v>
      </c>
      <c r="DB12" s="356">
        <f>CX12+CY12+CZ12+DA12</f>
        <v>163.24596402150092</v>
      </c>
      <c r="DC12" s="466">
        <f>'IMS Model Summary'!X16</f>
        <v>39.843336410114006</v>
      </c>
      <c r="DD12" s="466">
        <f>'IMS Model Summary'!Y16</f>
        <v>38.404461312564393</v>
      </c>
      <c r="DE12" s="466">
        <f>'IMS Model Summary'!Z16</f>
        <v>35.407164607162038</v>
      </c>
      <c r="DF12" s="466">
        <f>'IMS Model Summary'!AA16</f>
        <v>31.887852223916877</v>
      </c>
      <c r="DG12" s="356">
        <f>DC12+DD12+DE12+DF12</f>
        <v>145.5428145537573</v>
      </c>
      <c r="DH12" s="466">
        <f>'IMS Model Summary'!AC16</f>
        <v>35.363497701186411</v>
      </c>
      <c r="DI12" s="466">
        <f>'IMS Model Summary'!AD16</f>
        <v>34.268298455791928</v>
      </c>
      <c r="DJ12" s="466">
        <f>'IMS Model Summary'!AE16</f>
        <v>30.953928883460467</v>
      </c>
      <c r="DK12" s="466">
        <f>'IMS Model Summary'!AF16</f>
        <v>28.039158228804162</v>
      </c>
      <c r="DL12" s="356">
        <f>DH12+DI12+DJ12+DK12</f>
        <v>128.62488326924296</v>
      </c>
      <c r="DM12" s="466">
        <f>'IMS Model Summary'!AH16</f>
        <v>31.134983679510064</v>
      </c>
      <c r="DN12" s="466">
        <f>'IMS Model Summary'!AI16</f>
        <v>30.147354460213375</v>
      </c>
      <c r="DO12" s="466">
        <f>'IMS Model Summary'!AJ16</f>
        <v>27.209786907666153</v>
      </c>
      <c r="DP12" s="466">
        <f>'IMS Model Summary'!AK16</f>
        <v>24.626990257717008</v>
      </c>
      <c r="DQ12" s="356">
        <f>DM12+DN12+DO12+DP12</f>
        <v>113.1191153051066</v>
      </c>
      <c r="DR12" s="466">
        <f>'IMS Model Summary'!AM16</f>
        <v>27.537115637523005</v>
      </c>
      <c r="DS12" s="466">
        <f>'IMS Model Summary'!AN16</f>
        <v>26.74223931107533</v>
      </c>
      <c r="DT12" s="466">
        <f>'IMS Model Summary'!AO16</f>
        <v>24.209710788308531</v>
      </c>
      <c r="DU12" s="466">
        <f>'IMS Model Summary'!AP16</f>
        <v>21.981028161746355</v>
      </c>
      <c r="DV12" s="356">
        <f>DR12+DS12+DT12+DU12</f>
        <v>100.47009389865322</v>
      </c>
      <c r="DW12" s="466">
        <f>'IMS Model Summary'!AR16</f>
        <v>24.660275399136594</v>
      </c>
      <c r="DX12" s="466">
        <f>'IMS Model Summary'!AS16</f>
        <v>24.024876762446102</v>
      </c>
      <c r="DY12" s="466">
        <f>'IMS Model Summary'!AT16</f>
        <v>21.820680987290082</v>
      </c>
      <c r="DZ12" s="466">
        <f>'IMS Model Summary'!AU16</f>
        <v>19.878935680025695</v>
      </c>
      <c r="EA12" s="356">
        <f>DW12+DX12+DY12+DZ12</f>
        <v>90.384768828898459</v>
      </c>
      <c r="EB12" s="466">
        <f>'IMS Model Summary'!AW16</f>
        <v>22.732785939479225</v>
      </c>
      <c r="EC12" s="466">
        <f>'IMS Model Summary'!AX16</f>
        <v>22.236486519067924</v>
      </c>
      <c r="ED12" s="466">
        <f>'IMS Model Summary'!AY16</f>
        <v>20.279173516948262</v>
      </c>
      <c r="EE12" s="466">
        <f>'IMS Model Summary'!AZ16</f>
        <v>18.55250361159554</v>
      </c>
      <c r="EF12" s="356">
        <f>EB12+EC12+ED12+EE12</f>
        <v>83.800949587090955</v>
      </c>
      <c r="EG12" s="466">
        <f>'IMS Model Summary'!BB16</f>
        <v>21.242817476732988</v>
      </c>
      <c r="EH12" s="466">
        <f>'IMS Model Summary'!BC16</f>
        <v>20.777655314472476</v>
      </c>
      <c r="EI12" s="466">
        <f>'IMS Model Summary'!BD16</f>
        <v>18.448851596409504</v>
      </c>
      <c r="EJ12" s="466">
        <f>'IMS Model Summary'!BE16</f>
        <v>16.87685376304611</v>
      </c>
      <c r="EK12" s="356">
        <f>EG12+EH12+EI12+EJ12</f>
        <v>77.346178150661075</v>
      </c>
      <c r="EL12" s="466">
        <f>'IMS Model Summary'!BG16</f>
        <v>19.322776687638672</v>
      </c>
      <c r="EM12" s="466">
        <f>'IMS Model Summary'!BH16</f>
        <v>18.898349803143141</v>
      </c>
      <c r="EN12" s="466">
        <f>'IMS Model Summary'!BI16</f>
        <v>16.779007612918718</v>
      </c>
      <c r="EO12" s="466">
        <f>'IMS Model Summary'!BJ16</f>
        <v>15.348193558963883</v>
      </c>
      <c r="EP12" s="356">
        <f>EL12+EM12+EN12+EO12</f>
        <v>70.348327662664417</v>
      </c>
      <c r="EQ12" s="466">
        <f>'IMS Model Summary'!BL16</f>
        <v>17.571251168601879</v>
      </c>
      <c r="ER12" s="466">
        <f>'IMS Model Summary'!BM16</f>
        <v>17.184065807369301</v>
      </c>
      <c r="ES12" s="466">
        <f>'IMS Model Summary'!BN16</f>
        <v>15.255865436721749</v>
      </c>
      <c r="ET12" s="466">
        <f>'IMS Model Summary'!BO16</f>
        <v>13.953900083076849</v>
      </c>
      <c r="EU12" s="356">
        <f>EQ12+ER12+ES12+ET12</f>
        <v>63.965082495769778</v>
      </c>
      <c r="EV12" s="466">
        <f>'IMS Model Summary'!BQ16</f>
        <v>15.973763858552635</v>
      </c>
      <c r="EW12" s="466">
        <f>'IMS Model Summary'!BR16</f>
        <v>15.620621193318861</v>
      </c>
      <c r="EX12" s="466">
        <f>'IMS Model Summary'!BS16</f>
        <v>13.86681266913166</v>
      </c>
      <c r="EY12" s="466">
        <f>'IMS Model Summary'!BT16</f>
        <v>12.682417039803701</v>
      </c>
      <c r="EZ12" s="356">
        <f>EV12+EW12+EX12+EY12</f>
        <v>58.143614760806862</v>
      </c>
    </row>
    <row r="13" spans="2:160">
      <c r="B13" s="351" t="s">
        <v>901</v>
      </c>
      <c r="C13" s="355">
        <v>173.9</v>
      </c>
      <c r="D13" s="355">
        <v>211.8</v>
      </c>
      <c r="E13" s="355">
        <v>274.2</v>
      </c>
      <c r="F13" s="355">
        <v>284.7</v>
      </c>
      <c r="G13" s="355">
        <v>265.7</v>
      </c>
      <c r="H13" s="355">
        <v>263.39999999999998</v>
      </c>
      <c r="I13" s="355">
        <v>335.14399999999978</v>
      </c>
      <c r="J13" s="355">
        <v>237.74207999999987</v>
      </c>
      <c r="K13" s="356">
        <v>295.8</v>
      </c>
      <c r="L13" s="448">
        <v>74.3</v>
      </c>
      <c r="M13" s="448">
        <v>82.9</v>
      </c>
      <c r="N13" s="448">
        <v>91.1</v>
      </c>
      <c r="O13" s="448">
        <v>89.6</v>
      </c>
      <c r="P13" s="356">
        <f>O13+N13+M13+L13</f>
        <v>337.90000000000003</v>
      </c>
      <c r="Q13" s="448">
        <v>90</v>
      </c>
      <c r="R13" s="448">
        <v>97.5</v>
      </c>
      <c r="S13" s="448">
        <v>102</v>
      </c>
      <c r="T13" s="357">
        <v>96</v>
      </c>
      <c r="U13" s="356">
        <f>T13+S13+R13+Q13</f>
        <v>385.5</v>
      </c>
      <c r="V13" s="448">
        <v>96.7</v>
      </c>
      <c r="W13" s="448">
        <v>100.7</v>
      </c>
      <c r="X13" s="448">
        <v>95</v>
      </c>
      <c r="Y13" s="448">
        <v>105</v>
      </c>
      <c r="Z13" s="356">
        <f>Y13+X13+W13+V13</f>
        <v>397.4</v>
      </c>
      <c r="AA13" s="448">
        <v>112</v>
      </c>
      <c r="AB13" s="448">
        <v>104</v>
      </c>
      <c r="AC13" s="448">
        <v>100</v>
      </c>
      <c r="AD13" s="448">
        <v>95</v>
      </c>
      <c r="AE13" s="356">
        <f>AD13+AC13+AB13+AA13</f>
        <v>411</v>
      </c>
      <c r="AF13" s="448">
        <v>97</v>
      </c>
      <c r="AG13" s="448">
        <v>98</v>
      </c>
      <c r="AH13" s="448">
        <v>96</v>
      </c>
      <c r="AI13" s="448">
        <v>92</v>
      </c>
      <c r="AJ13" s="356">
        <f>AI13+AH13+AG13+AF13</f>
        <v>383</v>
      </c>
      <c r="AK13" s="448">
        <v>95</v>
      </c>
      <c r="AL13" s="448">
        <v>107</v>
      </c>
      <c r="AM13" s="448">
        <v>105</v>
      </c>
      <c r="AN13" s="448">
        <v>109</v>
      </c>
      <c r="AO13" s="356">
        <f>AN13+AM13+AL13+AK13</f>
        <v>416</v>
      </c>
      <c r="AP13" s="448">
        <v>107</v>
      </c>
      <c r="AQ13" s="448">
        <v>118</v>
      </c>
      <c r="AR13" s="448">
        <v>117</v>
      </c>
      <c r="AS13" s="448">
        <v>103</v>
      </c>
      <c r="AT13" s="356">
        <f>AS13+AR13+AQ13+AP13</f>
        <v>445</v>
      </c>
      <c r="AU13" s="358">
        <v>94</v>
      </c>
      <c r="AV13" s="358">
        <v>97</v>
      </c>
      <c r="AW13" s="358">
        <v>99</v>
      </c>
      <c r="AX13" s="358">
        <v>97</v>
      </c>
      <c r="AY13" s="356">
        <f>AX13+AW13+AV13+AU13</f>
        <v>387</v>
      </c>
      <c r="AZ13" s="358">
        <v>91</v>
      </c>
      <c r="BA13" s="358">
        <v>88</v>
      </c>
      <c r="BB13" s="358">
        <v>88</v>
      </c>
      <c r="BC13" s="358">
        <v>87</v>
      </c>
      <c r="BD13" s="356">
        <f>BC13+BB13+BA13+AZ13</f>
        <v>354</v>
      </c>
      <c r="BE13" s="358">
        <v>76</v>
      </c>
      <c r="BF13" s="358">
        <v>81</v>
      </c>
      <c r="BG13" s="358">
        <v>74</v>
      </c>
      <c r="BH13" s="358">
        <v>70</v>
      </c>
      <c r="BI13" s="356">
        <f>BH13+BG13+BF13+BE13</f>
        <v>301</v>
      </c>
      <c r="BJ13" s="358">
        <v>66</v>
      </c>
      <c r="BK13" s="358">
        <v>64</v>
      </c>
      <c r="BL13" s="358">
        <v>62</v>
      </c>
      <c r="BM13" s="358">
        <v>61</v>
      </c>
      <c r="BN13" s="356">
        <f>BM13+BL13+BK13+BJ13</f>
        <v>253</v>
      </c>
      <c r="BO13" s="467">
        <v>57</v>
      </c>
      <c r="BP13" s="467">
        <v>57</v>
      </c>
      <c r="BQ13" s="467">
        <v>57</v>
      </c>
      <c r="BR13" s="474">
        <v>58</v>
      </c>
      <c r="BS13" s="356">
        <f>BR13+BQ13+BP13+BO13</f>
        <v>229</v>
      </c>
      <c r="BT13" s="474">
        <v>75</v>
      </c>
      <c r="BU13" s="474">
        <v>82</v>
      </c>
      <c r="BV13" s="474">
        <v>86</v>
      </c>
      <c r="BW13" s="474">
        <v>77</v>
      </c>
      <c r="BX13" s="356">
        <f>BW13+BV13+BU13+BT13</f>
        <v>320</v>
      </c>
      <c r="BY13" s="473">
        <v>65</v>
      </c>
      <c r="BZ13" s="473">
        <v>65</v>
      </c>
      <c r="CA13" s="473">
        <v>66</v>
      </c>
      <c r="CB13" s="473">
        <v>60</v>
      </c>
      <c r="CC13" s="356">
        <f>SUM(BY13:CB13)</f>
        <v>256</v>
      </c>
      <c r="CD13" s="473">
        <v>63</v>
      </c>
      <c r="CE13" s="473">
        <v>55</v>
      </c>
      <c r="CF13" s="473">
        <v>56</v>
      </c>
      <c r="CG13" s="473">
        <v>57</v>
      </c>
      <c r="CH13" s="356">
        <f>CD13+CE13+CF13+CG13</f>
        <v>231</v>
      </c>
      <c r="CI13" s="473">
        <v>47</v>
      </c>
      <c r="CJ13" s="473">
        <v>47</v>
      </c>
      <c r="CK13" s="473">
        <v>42</v>
      </c>
      <c r="CL13" s="473">
        <v>44</v>
      </c>
      <c r="CM13" s="356">
        <f>CI13+CJ13+CK13+CL13</f>
        <v>180</v>
      </c>
      <c r="CN13" s="473">
        <v>38</v>
      </c>
      <c r="CO13" s="466">
        <f>CO14*CO12</f>
        <v>36.441813347889571</v>
      </c>
      <c r="CP13" s="466">
        <f>CP14*CP12</f>
        <v>33.107194585836865</v>
      </c>
      <c r="CQ13" s="466">
        <f>CQ14*CQ12</f>
        <v>28.930780131028495</v>
      </c>
      <c r="CR13" s="356">
        <f>CN13+CO13+CP13+CQ13</f>
        <v>136.47978806475493</v>
      </c>
      <c r="CS13" s="466">
        <f>CS14*CS12</f>
        <v>21.248213043916106</v>
      </c>
      <c r="CT13" s="466">
        <f>CT14*CT12</f>
        <v>20.175360817977449</v>
      </c>
      <c r="CU13" s="466">
        <f>CU14*CU12</f>
        <v>18.307346417759351</v>
      </c>
      <c r="CV13" s="466">
        <f>CV14*CV12</f>
        <v>16.208578406923575</v>
      </c>
      <c r="CW13" s="356">
        <f>CS13+CT13+CU13+CV13</f>
        <v>75.939498686576485</v>
      </c>
      <c r="CX13" s="466">
        <f>CX14*CX12</f>
        <v>17.769875510724869</v>
      </c>
      <c r="CY13" s="466">
        <f>CY14*CY12</f>
        <v>17.198661299626377</v>
      </c>
      <c r="CZ13" s="466">
        <f>CZ14*CZ12</f>
        <v>15.924106771472729</v>
      </c>
      <c r="DA13" s="466">
        <f>DA14*DA12</f>
        <v>14.405742026776393</v>
      </c>
      <c r="DB13" s="356">
        <f>CX13+CY13+CZ13+DA13</f>
        <v>65.29838560860037</v>
      </c>
      <c r="DC13" s="466">
        <f>DC14*DC12</f>
        <v>15.937334564045603</v>
      </c>
      <c r="DD13" s="466">
        <f>DD14*DD12</f>
        <v>15.361784525025758</v>
      </c>
      <c r="DE13" s="466">
        <f>DE14*DE12</f>
        <v>14.162865842864816</v>
      </c>
      <c r="DF13" s="466">
        <f>DF14*DF12</f>
        <v>12.755140889566752</v>
      </c>
      <c r="DG13" s="356">
        <f>DC13+DD13+DE13+DF13</f>
        <v>58.217125821502933</v>
      </c>
      <c r="DH13" s="466">
        <f>DH14*DH12</f>
        <v>14.145399080474565</v>
      </c>
      <c r="DI13" s="466">
        <f>DI14*DI12</f>
        <v>13.707319382316772</v>
      </c>
      <c r="DJ13" s="466">
        <f>DJ14*DJ12</f>
        <v>12.381571553384187</v>
      </c>
      <c r="DK13" s="466">
        <f>DK14*DK12</f>
        <v>11.215663291521665</v>
      </c>
      <c r="DL13" s="356">
        <f>DH13+DI13+DJ13+DK13</f>
        <v>51.449953307697186</v>
      </c>
      <c r="DM13" s="466">
        <f>DM14*DM12</f>
        <v>12.453993471804026</v>
      </c>
      <c r="DN13" s="466">
        <f>DN14*DN12</f>
        <v>12.05894178408535</v>
      </c>
      <c r="DO13" s="466">
        <f>DO14*DO12</f>
        <v>10.883914763066462</v>
      </c>
      <c r="DP13" s="466">
        <f>DP14*DP12</f>
        <v>9.8507961030868039</v>
      </c>
      <c r="DQ13" s="356">
        <f>DM13+DN13+DO13+DP13</f>
        <v>45.247646122042639</v>
      </c>
      <c r="DR13" s="466">
        <f>DR14*DR12</f>
        <v>11.014846255009203</v>
      </c>
      <c r="DS13" s="466">
        <f>DS14*DS12</f>
        <v>10.696895724430133</v>
      </c>
      <c r="DT13" s="466">
        <f>DT14*DT12</f>
        <v>9.6838843153234127</v>
      </c>
      <c r="DU13" s="466">
        <f>DU14*DU12</f>
        <v>8.7924112646985417</v>
      </c>
      <c r="DV13" s="356">
        <f>DR13+DS13+DT13+DU13</f>
        <v>40.188037559461293</v>
      </c>
      <c r="DW13" s="466">
        <f>DW14*DW12</f>
        <v>9.8641101596546381</v>
      </c>
      <c r="DX13" s="466">
        <f>DX14*DX12</f>
        <v>9.6099507049784414</v>
      </c>
      <c r="DY13" s="466">
        <f>DY14*DY12</f>
        <v>8.7282723949160328</v>
      </c>
      <c r="DZ13" s="466">
        <f>DZ14*DZ12</f>
        <v>7.9515742720102782</v>
      </c>
      <c r="EA13" s="356">
        <f>DW13+DX13+DY13+DZ13</f>
        <v>36.153907531559391</v>
      </c>
      <c r="EB13" s="466">
        <f>EB14*EB12</f>
        <v>9.093114375791691</v>
      </c>
      <c r="EC13" s="466">
        <f>EC14*EC12</f>
        <v>8.8945946076271696</v>
      </c>
      <c r="ED13" s="466">
        <f>ED14*ED12</f>
        <v>8.1116694067793045</v>
      </c>
      <c r="EE13" s="466">
        <f>EE14*EE12</f>
        <v>7.4210014446382164</v>
      </c>
      <c r="EF13" s="356">
        <f>EB13+EC13+ED13+EE13</f>
        <v>33.520379834836383</v>
      </c>
      <c r="EG13" s="466">
        <f>EG14*EG12</f>
        <v>8.4971269906931948</v>
      </c>
      <c r="EH13" s="466">
        <f>EH14*EH12</f>
        <v>8.3110621257889914</v>
      </c>
      <c r="EI13" s="466">
        <f>EI14*EI12</f>
        <v>7.3795406385638023</v>
      </c>
      <c r="EJ13" s="466">
        <f>EJ14*EJ12</f>
        <v>6.7507415052184445</v>
      </c>
      <c r="EK13" s="356">
        <f>EG13+EH13+EI13+EJ13</f>
        <v>30.938471260264436</v>
      </c>
      <c r="EL13" s="466">
        <f>EL14*EL12</f>
        <v>7.7291106750554697</v>
      </c>
      <c r="EM13" s="466">
        <f>EM14*EM12</f>
        <v>7.5593399212572567</v>
      </c>
      <c r="EN13" s="466">
        <f>EN14*EN12</f>
        <v>6.7116030451674877</v>
      </c>
      <c r="EO13" s="466">
        <f>EO14*EO12</f>
        <v>6.1392774235855541</v>
      </c>
      <c r="EP13" s="356">
        <f>EL13+EM13+EN13+EO13</f>
        <v>28.139331065065768</v>
      </c>
      <c r="EQ13" s="466">
        <f>EQ14*EQ12</f>
        <v>7.0285004674407521</v>
      </c>
      <c r="ER13" s="466">
        <f>ER14*ER12</f>
        <v>6.8736263229477208</v>
      </c>
      <c r="ES13" s="466">
        <f>ES14*ES12</f>
        <v>6.1023461746886998</v>
      </c>
      <c r="ET13" s="466">
        <f>ET14*ET12</f>
        <v>5.5815600332307405</v>
      </c>
      <c r="EU13" s="356">
        <f>EQ13+ER13+ES13+ET13</f>
        <v>25.58603299830791</v>
      </c>
      <c r="EV13" s="466">
        <f>EV14*EV12</f>
        <v>6.3895055434210546</v>
      </c>
      <c r="EW13" s="466">
        <f>EW14*EW12</f>
        <v>6.2482484773275448</v>
      </c>
      <c r="EX13" s="466">
        <f>EX14*EX12</f>
        <v>5.5467250676526643</v>
      </c>
      <c r="EY13" s="466">
        <f>EY14*EY12</f>
        <v>5.0729668159214807</v>
      </c>
      <c r="EZ13" s="356">
        <f>EV13+EW13+EX13+EY13</f>
        <v>23.257445904322744</v>
      </c>
    </row>
    <row r="14" spans="2:160">
      <c r="B14" s="453"/>
      <c r="C14" s="355"/>
      <c r="D14" s="355"/>
      <c r="E14" s="355"/>
      <c r="F14" s="355"/>
      <c r="G14" s="355"/>
      <c r="H14" s="355"/>
      <c r="I14" s="355"/>
      <c r="J14" s="355"/>
      <c r="K14" s="356"/>
      <c r="L14" s="448"/>
      <c r="M14" s="448"/>
      <c r="N14" s="448"/>
      <c r="O14" s="448"/>
      <c r="P14" s="356"/>
      <c r="Q14" s="448"/>
      <c r="R14" s="448"/>
      <c r="S14" s="448"/>
      <c r="T14" s="357"/>
      <c r="U14" s="356"/>
      <c r="V14" s="448"/>
      <c r="W14" s="448"/>
      <c r="X14" s="448"/>
      <c r="Y14" s="448"/>
      <c r="Z14" s="356"/>
      <c r="AA14" s="448"/>
      <c r="AB14" s="448"/>
      <c r="AC14" s="448"/>
      <c r="AD14" s="448"/>
      <c r="AE14" s="356"/>
      <c r="AF14" s="448"/>
      <c r="AG14" s="448"/>
      <c r="AH14" s="448"/>
      <c r="AI14" s="448"/>
      <c r="AJ14" s="356"/>
      <c r="AK14" s="448"/>
      <c r="AL14" s="448"/>
      <c r="AM14" s="448"/>
      <c r="AN14" s="448"/>
      <c r="AO14" s="356"/>
      <c r="AP14" s="448"/>
      <c r="AQ14" s="448"/>
      <c r="AR14" s="448"/>
      <c r="AS14" s="448"/>
      <c r="AT14" s="356"/>
      <c r="AU14" s="358"/>
      <c r="AV14" s="358"/>
      <c r="AW14" s="358"/>
      <c r="AX14" s="358"/>
      <c r="AY14" s="356"/>
      <c r="AZ14" s="358"/>
      <c r="BA14" s="358"/>
      <c r="BB14" s="358"/>
      <c r="BC14" s="358"/>
      <c r="BD14" s="356"/>
      <c r="BE14" s="358"/>
      <c r="BF14" s="358"/>
      <c r="BG14" s="358"/>
      <c r="BH14" s="358"/>
      <c r="BI14" s="356"/>
      <c r="BJ14" s="358"/>
      <c r="BK14" s="358"/>
      <c r="BL14" s="358"/>
      <c r="BM14" s="358"/>
      <c r="BN14" s="356"/>
      <c r="BO14" s="467"/>
      <c r="BP14" s="467"/>
      <c r="BQ14" s="467"/>
      <c r="BR14" s="467"/>
      <c r="BS14" s="356"/>
      <c r="BT14" s="464"/>
      <c r="BU14" s="464"/>
      <c r="BV14" s="464"/>
      <c r="BW14" s="464"/>
      <c r="BX14" s="449"/>
      <c r="BY14" s="468">
        <f t="shared" ref="BY14:CN14" si="8">BY13/BY12</f>
        <v>0.35911602209944754</v>
      </c>
      <c r="BZ14" s="468">
        <f t="shared" si="8"/>
        <v>0.34031413612565448</v>
      </c>
      <c r="CA14" s="468">
        <f t="shared" si="8"/>
        <v>0.30275229357798167</v>
      </c>
      <c r="CB14" s="468">
        <f t="shared" si="8"/>
        <v>0.29556650246305421</v>
      </c>
      <c r="CC14" s="705">
        <f t="shared" si="8"/>
        <v>0.32282471626733922</v>
      </c>
      <c r="CD14" s="468">
        <f t="shared" si="8"/>
        <v>0.42</v>
      </c>
      <c r="CE14" s="468">
        <f t="shared" si="8"/>
        <v>0.39007092198581561</v>
      </c>
      <c r="CF14" s="468">
        <f t="shared" si="8"/>
        <v>0.44094488188976377</v>
      </c>
      <c r="CG14" s="468">
        <f t="shared" si="8"/>
        <v>0.49137931034482757</v>
      </c>
      <c r="CH14" s="706">
        <f>CH13/CH12</f>
        <v>0.43258426966292135</v>
      </c>
      <c r="CI14" s="468">
        <f t="shared" si="8"/>
        <v>0.46534653465346537</v>
      </c>
      <c r="CJ14" s="468">
        <f t="shared" si="8"/>
        <v>0.52222222222222225</v>
      </c>
      <c r="CK14" s="468">
        <f t="shared" si="8"/>
        <v>0.4375</v>
      </c>
      <c r="CL14" s="704">
        <f t="shared" si="8"/>
        <v>0.53658536585365857</v>
      </c>
      <c r="CM14" s="705">
        <f t="shared" si="8"/>
        <v>0.48780487804878048</v>
      </c>
      <c r="CN14" s="468">
        <f t="shared" si="8"/>
        <v>0.58461538461538465</v>
      </c>
      <c r="CO14" s="704">
        <f>CN14</f>
        <v>0.58461538461538465</v>
      </c>
      <c r="CP14" s="704">
        <f>CO14</f>
        <v>0.58461538461538465</v>
      </c>
      <c r="CQ14" s="704">
        <f>CP14</f>
        <v>0.58461538461538465</v>
      </c>
      <c r="CR14" s="703">
        <v>0.4</v>
      </c>
      <c r="CS14" s="704">
        <f>CW14</f>
        <v>0.4</v>
      </c>
      <c r="CT14" s="704">
        <f>CS14</f>
        <v>0.4</v>
      </c>
      <c r="CU14" s="704">
        <f>CT14</f>
        <v>0.4</v>
      </c>
      <c r="CV14" s="704">
        <f>CU14</f>
        <v>0.4</v>
      </c>
      <c r="CW14" s="703">
        <f>CR14</f>
        <v>0.4</v>
      </c>
      <c r="CX14" s="704">
        <f>DB14</f>
        <v>0.4</v>
      </c>
      <c r="CY14" s="704">
        <f>CX14</f>
        <v>0.4</v>
      </c>
      <c r="CZ14" s="704">
        <f>CY14</f>
        <v>0.4</v>
      </c>
      <c r="DA14" s="704">
        <f>CZ14</f>
        <v>0.4</v>
      </c>
      <c r="DB14" s="703">
        <f>CW14</f>
        <v>0.4</v>
      </c>
      <c r="DC14" s="704">
        <f>DG14</f>
        <v>0.4</v>
      </c>
      <c r="DD14" s="704">
        <f>DC14</f>
        <v>0.4</v>
      </c>
      <c r="DE14" s="704">
        <f>DD14</f>
        <v>0.4</v>
      </c>
      <c r="DF14" s="704">
        <f>DE14</f>
        <v>0.4</v>
      </c>
      <c r="DG14" s="703">
        <f>DB14</f>
        <v>0.4</v>
      </c>
      <c r="DH14" s="704">
        <f>DL14</f>
        <v>0.4</v>
      </c>
      <c r="DI14" s="704">
        <f>DH14</f>
        <v>0.4</v>
      </c>
      <c r="DJ14" s="704">
        <f>DI14</f>
        <v>0.4</v>
      </c>
      <c r="DK14" s="704">
        <f>DJ14</f>
        <v>0.4</v>
      </c>
      <c r="DL14" s="703">
        <f>DG14</f>
        <v>0.4</v>
      </c>
      <c r="DM14" s="704">
        <f>DQ14</f>
        <v>0.4</v>
      </c>
      <c r="DN14" s="704">
        <f>DM14</f>
        <v>0.4</v>
      </c>
      <c r="DO14" s="704">
        <f>DN14</f>
        <v>0.4</v>
      </c>
      <c r="DP14" s="704">
        <f>DO14</f>
        <v>0.4</v>
      </c>
      <c r="DQ14" s="703">
        <f>DL14</f>
        <v>0.4</v>
      </c>
      <c r="DR14" s="704">
        <f>DV14</f>
        <v>0.4</v>
      </c>
      <c r="DS14" s="704">
        <f>DR14</f>
        <v>0.4</v>
      </c>
      <c r="DT14" s="704">
        <f>DS14</f>
        <v>0.4</v>
      </c>
      <c r="DU14" s="704">
        <f>DT14</f>
        <v>0.4</v>
      </c>
      <c r="DV14" s="703">
        <f>DQ14</f>
        <v>0.4</v>
      </c>
      <c r="DW14" s="704">
        <f>EA14</f>
        <v>0.4</v>
      </c>
      <c r="DX14" s="704">
        <f>DW14</f>
        <v>0.4</v>
      </c>
      <c r="DY14" s="704">
        <f>DX14</f>
        <v>0.4</v>
      </c>
      <c r="DZ14" s="704">
        <f>DY14</f>
        <v>0.4</v>
      </c>
      <c r="EA14" s="703">
        <f>DV14</f>
        <v>0.4</v>
      </c>
      <c r="EB14" s="704">
        <f>EF14</f>
        <v>0.4</v>
      </c>
      <c r="EC14" s="704">
        <f>EB14</f>
        <v>0.4</v>
      </c>
      <c r="ED14" s="704">
        <f>EC14</f>
        <v>0.4</v>
      </c>
      <c r="EE14" s="704">
        <f>ED14</f>
        <v>0.4</v>
      </c>
      <c r="EF14" s="703">
        <f>EA14</f>
        <v>0.4</v>
      </c>
      <c r="EG14" s="704">
        <f>EK14</f>
        <v>0.4</v>
      </c>
      <c r="EH14" s="704">
        <f>EG14</f>
        <v>0.4</v>
      </c>
      <c r="EI14" s="704">
        <f>EH14</f>
        <v>0.4</v>
      </c>
      <c r="EJ14" s="704">
        <f>EI14</f>
        <v>0.4</v>
      </c>
      <c r="EK14" s="703">
        <f>EF14</f>
        <v>0.4</v>
      </c>
      <c r="EL14" s="704">
        <f>EP14</f>
        <v>0.4</v>
      </c>
      <c r="EM14" s="704">
        <f>EL14</f>
        <v>0.4</v>
      </c>
      <c r="EN14" s="704">
        <f>EM14</f>
        <v>0.4</v>
      </c>
      <c r="EO14" s="704">
        <f>EN14</f>
        <v>0.4</v>
      </c>
      <c r="EP14" s="703">
        <f>EK14</f>
        <v>0.4</v>
      </c>
      <c r="EQ14" s="704">
        <f>EU14</f>
        <v>0.4</v>
      </c>
      <c r="ER14" s="704">
        <f>EQ14</f>
        <v>0.4</v>
      </c>
      <c r="ES14" s="704">
        <f>ER14</f>
        <v>0.4</v>
      </c>
      <c r="ET14" s="704">
        <f>ES14</f>
        <v>0.4</v>
      </c>
      <c r="EU14" s="703">
        <f>EP14</f>
        <v>0.4</v>
      </c>
      <c r="EV14" s="704">
        <f>EZ14</f>
        <v>0.4</v>
      </c>
      <c r="EW14" s="704">
        <f>EV14</f>
        <v>0.4</v>
      </c>
      <c r="EX14" s="704">
        <f>EW14</f>
        <v>0.4</v>
      </c>
      <c r="EY14" s="704">
        <f>EX14</f>
        <v>0.4</v>
      </c>
      <c r="EZ14" s="703">
        <f>EU14</f>
        <v>0.4</v>
      </c>
    </row>
    <row r="15" spans="2:160" s="4" customFormat="1">
      <c r="B15" s="18" t="s">
        <v>122</v>
      </c>
      <c r="C15" s="23"/>
      <c r="D15" s="23"/>
      <c r="E15" s="23"/>
      <c r="F15" s="23"/>
      <c r="G15" s="23"/>
      <c r="H15" s="23"/>
      <c r="I15" s="23"/>
      <c r="J15" s="23"/>
      <c r="K15" s="20"/>
      <c r="L15" s="22"/>
      <c r="M15" s="22">
        <f t="shared" ref="M15:BO15" si="9">M16+M17</f>
        <v>109.8</v>
      </c>
      <c r="N15" s="22">
        <f t="shared" si="9"/>
        <v>141.69999999999999</v>
      </c>
      <c r="O15" s="22">
        <f t="shared" si="9"/>
        <v>212</v>
      </c>
      <c r="P15" s="20">
        <f t="shared" si="9"/>
        <v>463.5</v>
      </c>
      <c r="Q15" s="22">
        <f t="shared" si="9"/>
        <v>257.89999999999998</v>
      </c>
      <c r="R15" s="22">
        <f t="shared" si="9"/>
        <v>303.5</v>
      </c>
      <c r="S15" s="22">
        <f t="shared" si="9"/>
        <v>327</v>
      </c>
      <c r="T15" s="22">
        <f t="shared" si="9"/>
        <v>367</v>
      </c>
      <c r="U15" s="20">
        <f t="shared" si="9"/>
        <v>1255.4000000000001</v>
      </c>
      <c r="V15" s="22">
        <f t="shared" si="9"/>
        <v>394.7</v>
      </c>
      <c r="W15" s="22">
        <f t="shared" si="9"/>
        <v>425.9</v>
      </c>
      <c r="X15" s="22">
        <f t="shared" si="9"/>
        <v>450</v>
      </c>
      <c r="Y15" s="22">
        <f t="shared" si="9"/>
        <v>469</v>
      </c>
      <c r="Z15" s="20">
        <f t="shared" si="9"/>
        <v>1739.6</v>
      </c>
      <c r="AA15" s="22">
        <f t="shared" si="9"/>
        <v>501</v>
      </c>
      <c r="AB15" s="22">
        <f t="shared" si="9"/>
        <v>587</v>
      </c>
      <c r="AC15" s="22">
        <f t="shared" si="9"/>
        <v>577</v>
      </c>
      <c r="AD15" s="22">
        <f t="shared" si="9"/>
        <v>623</v>
      </c>
      <c r="AE15" s="20">
        <f t="shared" si="9"/>
        <v>2288</v>
      </c>
      <c r="AF15" s="22">
        <f t="shared" si="9"/>
        <v>608</v>
      </c>
      <c r="AG15" s="22">
        <f t="shared" si="9"/>
        <v>701</v>
      </c>
      <c r="AH15" s="22">
        <f t="shared" si="9"/>
        <v>690</v>
      </c>
      <c r="AI15" s="22">
        <f t="shared" si="9"/>
        <v>711</v>
      </c>
      <c r="AJ15" s="20">
        <f t="shared" si="9"/>
        <v>2710</v>
      </c>
      <c r="AK15" s="22">
        <f t="shared" si="9"/>
        <v>719</v>
      </c>
      <c r="AL15" s="22">
        <f t="shared" si="9"/>
        <v>734</v>
      </c>
      <c r="AM15" s="22">
        <f t="shared" si="9"/>
        <v>763</v>
      </c>
      <c r="AN15" s="22">
        <f t="shared" si="9"/>
        <v>784</v>
      </c>
      <c r="AO15" s="20">
        <f t="shared" si="9"/>
        <v>3000</v>
      </c>
      <c r="AP15" s="22">
        <f t="shared" si="9"/>
        <v>756</v>
      </c>
      <c r="AQ15" s="22">
        <f t="shared" si="9"/>
        <v>862</v>
      </c>
      <c r="AR15" s="22">
        <f t="shared" si="9"/>
        <v>852</v>
      </c>
      <c r="AS15" s="22">
        <f t="shared" si="9"/>
        <v>848</v>
      </c>
      <c r="AT15" s="20">
        <f t="shared" si="9"/>
        <v>3318</v>
      </c>
      <c r="AU15" s="22">
        <f t="shared" si="9"/>
        <v>777</v>
      </c>
      <c r="AV15" s="22">
        <f t="shared" si="9"/>
        <v>831</v>
      </c>
      <c r="AW15" s="22">
        <f t="shared" si="9"/>
        <v>871</v>
      </c>
      <c r="AX15" s="22">
        <f t="shared" si="9"/>
        <v>876</v>
      </c>
      <c r="AY15" s="20">
        <f t="shared" si="9"/>
        <v>3355</v>
      </c>
      <c r="AZ15" s="22">
        <f t="shared" si="9"/>
        <v>863</v>
      </c>
      <c r="BA15" s="22">
        <f t="shared" si="9"/>
        <v>861</v>
      </c>
      <c r="BB15" s="22">
        <f t="shared" si="9"/>
        <v>916</v>
      </c>
      <c r="BC15" s="22">
        <f t="shared" si="9"/>
        <v>918</v>
      </c>
      <c r="BD15" s="20">
        <f t="shared" si="9"/>
        <v>3558</v>
      </c>
      <c r="BE15" s="22">
        <f t="shared" si="9"/>
        <v>936</v>
      </c>
      <c r="BF15" s="22">
        <f t="shared" si="9"/>
        <v>1015</v>
      </c>
      <c r="BG15" s="22">
        <f t="shared" si="9"/>
        <v>1003</v>
      </c>
      <c r="BH15" s="22">
        <f t="shared" si="9"/>
        <v>998</v>
      </c>
      <c r="BI15" s="20">
        <f t="shared" si="9"/>
        <v>3952</v>
      </c>
      <c r="BJ15" s="22">
        <f t="shared" si="9"/>
        <v>1039</v>
      </c>
      <c r="BK15" s="22">
        <f t="shared" si="9"/>
        <v>1015</v>
      </c>
      <c r="BL15" s="22">
        <f t="shared" si="9"/>
        <v>1044</v>
      </c>
      <c r="BM15" s="22">
        <f t="shared" si="9"/>
        <v>994</v>
      </c>
      <c r="BN15" s="20">
        <f t="shared" ref="BN15:BS15" si="10">BN16+BN17</f>
        <v>4092</v>
      </c>
      <c r="BO15" s="465">
        <f t="shared" si="9"/>
        <v>1039</v>
      </c>
      <c r="BP15" s="465">
        <f t="shared" si="10"/>
        <v>1120</v>
      </c>
      <c r="BQ15" s="465">
        <f t="shared" si="10"/>
        <v>1135</v>
      </c>
      <c r="BR15" s="465">
        <f t="shared" si="10"/>
        <v>1098</v>
      </c>
      <c r="BS15" s="20">
        <f t="shared" si="10"/>
        <v>4392</v>
      </c>
      <c r="BT15" s="465">
        <f t="shared" ref="BT15:EF15" si="11">BT16+BT17</f>
        <v>1090</v>
      </c>
      <c r="BU15" s="465">
        <f t="shared" si="11"/>
        <v>1133</v>
      </c>
      <c r="BV15" s="465">
        <f t="shared" si="11"/>
        <v>1193</v>
      </c>
      <c r="BW15" s="465">
        <f t="shared" si="11"/>
        <v>1180</v>
      </c>
      <c r="BX15" s="20">
        <f t="shared" si="11"/>
        <v>4596</v>
      </c>
      <c r="BY15" s="465">
        <f t="shared" si="11"/>
        <v>1134</v>
      </c>
      <c r="BZ15" s="465">
        <f t="shared" si="11"/>
        <v>1158</v>
      </c>
      <c r="CA15" s="465">
        <f t="shared" si="11"/>
        <v>1267</v>
      </c>
      <c r="CB15" s="465">
        <f t="shared" si="11"/>
        <v>1156</v>
      </c>
      <c r="CC15" s="20">
        <f t="shared" si="11"/>
        <v>4715</v>
      </c>
      <c r="CD15" s="465">
        <f t="shared" si="11"/>
        <v>1183</v>
      </c>
      <c r="CE15" s="465">
        <f t="shared" si="11"/>
        <v>1149</v>
      </c>
      <c r="CF15" s="465">
        <f t="shared" si="11"/>
        <v>1200</v>
      </c>
      <c r="CG15" s="465">
        <f t="shared" si="11"/>
        <v>1116</v>
      </c>
      <c r="CH15" s="20">
        <f t="shared" si="11"/>
        <v>4648</v>
      </c>
      <c r="CI15" s="465">
        <f t="shared" si="11"/>
        <v>1210</v>
      </c>
      <c r="CJ15" s="465">
        <f t="shared" si="11"/>
        <v>1087</v>
      </c>
      <c r="CK15" s="465">
        <f t="shared" si="11"/>
        <v>1123</v>
      </c>
      <c r="CL15" s="465">
        <f t="shared" si="11"/>
        <v>1114</v>
      </c>
      <c r="CM15" s="20">
        <f t="shared" si="11"/>
        <v>4534</v>
      </c>
      <c r="CN15" s="465">
        <f t="shared" si="11"/>
        <v>1155</v>
      </c>
      <c r="CO15" s="465">
        <f t="shared" si="11"/>
        <v>1086.2201892416138</v>
      </c>
      <c r="CP15" s="465">
        <f t="shared" si="11"/>
        <v>1043.0888135344185</v>
      </c>
      <c r="CQ15" s="465">
        <f t="shared" si="11"/>
        <v>949.25915286445797</v>
      </c>
      <c r="CR15" s="20">
        <f t="shared" si="11"/>
        <v>4233.5681556404907</v>
      </c>
      <c r="CS15" s="465"/>
      <c r="CT15" s="465"/>
      <c r="CU15" s="465"/>
      <c r="CV15" s="465"/>
      <c r="CW15" s="20">
        <f t="shared" si="11"/>
        <v>3784.6443442477839</v>
      </c>
      <c r="CX15" s="465"/>
      <c r="CY15" s="465"/>
      <c r="CZ15" s="465"/>
      <c r="DA15" s="465"/>
      <c r="DB15" s="20">
        <f t="shared" si="11"/>
        <v>3334.0344328033216</v>
      </c>
      <c r="DC15" s="465"/>
      <c r="DD15" s="465"/>
      <c r="DE15" s="465"/>
      <c r="DF15" s="465"/>
      <c r="DG15" s="20">
        <f t="shared" si="11"/>
        <v>2847.2823953050029</v>
      </c>
      <c r="DH15" s="465"/>
      <c r="DI15" s="465"/>
      <c r="DJ15" s="465"/>
      <c r="DK15" s="465"/>
      <c r="DL15" s="20">
        <f t="shared" si="11"/>
        <v>2370.5731503638881</v>
      </c>
      <c r="DM15" s="465"/>
      <c r="DN15" s="465"/>
      <c r="DO15" s="465"/>
      <c r="DP15" s="465"/>
      <c r="DQ15" s="20">
        <f t="shared" si="11"/>
        <v>2060.9475977345655</v>
      </c>
      <c r="DR15" s="465"/>
      <c r="DS15" s="465"/>
      <c r="DT15" s="465"/>
      <c r="DU15" s="465"/>
      <c r="DV15" s="20">
        <f t="shared" si="11"/>
        <v>1907.4175496665521</v>
      </c>
      <c r="DW15" s="465"/>
      <c r="DX15" s="465"/>
      <c r="DY15" s="465"/>
      <c r="DZ15" s="465"/>
      <c r="EA15" s="20">
        <f t="shared" si="11"/>
        <v>1779.0018658618424</v>
      </c>
      <c r="EB15" s="465"/>
      <c r="EC15" s="465"/>
      <c r="ED15" s="465"/>
      <c r="EE15" s="465"/>
      <c r="EF15" s="20">
        <f t="shared" si="11"/>
        <v>1689.5727138728498</v>
      </c>
      <c r="EG15" s="465"/>
      <c r="EH15" s="465"/>
      <c r="EI15" s="465"/>
      <c r="EJ15" s="465"/>
      <c r="EK15" s="20">
        <f t="shared" ref="EK15" si="12">EK16+EK17</f>
        <v>1605.272832557278</v>
      </c>
      <c r="EL15" s="465"/>
      <c r="EM15" s="465"/>
      <c r="EN15" s="465"/>
      <c r="EO15" s="465"/>
      <c r="EP15" s="20">
        <f t="shared" ref="EP15" si="13">EP16+EP17</f>
        <v>1525.8882293710365</v>
      </c>
      <c r="EQ15" s="465"/>
      <c r="ER15" s="465"/>
      <c r="ES15" s="465"/>
      <c r="ET15" s="465"/>
      <c r="EU15" s="20">
        <f t="shared" ref="EU15" si="14">EU16+EU17</f>
        <v>1451.2122981527643</v>
      </c>
      <c r="EV15" s="465"/>
      <c r="EW15" s="465"/>
      <c r="EX15" s="465"/>
      <c r="EY15" s="465"/>
      <c r="EZ15" s="20">
        <f t="shared" ref="EZ15" si="15">EZ16+EZ17</f>
        <v>1381.0455919646179</v>
      </c>
    </row>
    <row r="16" spans="2:160">
      <c r="B16" s="351" t="s">
        <v>902</v>
      </c>
      <c r="C16" s="355"/>
      <c r="D16" s="355"/>
      <c r="E16" s="355"/>
      <c r="F16" s="355"/>
      <c r="G16" s="355"/>
      <c r="H16" s="355"/>
      <c r="I16" s="355"/>
      <c r="J16" s="355"/>
      <c r="K16" s="356"/>
      <c r="L16" s="357"/>
      <c r="M16" s="357">
        <v>109.8</v>
      </c>
      <c r="N16" s="357">
        <v>141.69999999999999</v>
      </c>
      <c r="O16" s="357">
        <v>212</v>
      </c>
      <c r="P16" s="356">
        <f>O16+N16+M16+L16</f>
        <v>463.5</v>
      </c>
      <c r="Q16" s="357">
        <v>252.4</v>
      </c>
      <c r="R16" s="357">
        <v>291</v>
      </c>
      <c r="S16" s="357">
        <v>304</v>
      </c>
      <c r="T16" s="357">
        <v>328</v>
      </c>
      <c r="U16" s="356">
        <f>T16+S16+R16+Q16</f>
        <v>1175.4000000000001</v>
      </c>
      <c r="V16" s="357">
        <v>336.3</v>
      </c>
      <c r="W16" s="357">
        <v>362.2</v>
      </c>
      <c r="X16" s="357">
        <v>384</v>
      </c>
      <c r="Y16" s="357">
        <v>394</v>
      </c>
      <c r="Z16" s="356">
        <f>Y16+X16+W16+V16</f>
        <v>1476.5</v>
      </c>
      <c r="AA16" s="448">
        <v>416</v>
      </c>
      <c r="AB16" s="448">
        <v>490</v>
      </c>
      <c r="AC16" s="448">
        <v>475</v>
      </c>
      <c r="AD16" s="448">
        <v>519</v>
      </c>
      <c r="AE16" s="356">
        <f>AD16+AC16+AB16+AA16</f>
        <v>1900</v>
      </c>
      <c r="AF16" s="448">
        <v>497</v>
      </c>
      <c r="AG16" s="448">
        <v>579</v>
      </c>
      <c r="AH16" s="448">
        <v>560</v>
      </c>
      <c r="AI16" s="448">
        <v>581</v>
      </c>
      <c r="AJ16" s="356">
        <f>AI16+AH16+AG16+AF16</f>
        <v>2217</v>
      </c>
      <c r="AK16" s="448">
        <v>573</v>
      </c>
      <c r="AL16" s="448">
        <v>573</v>
      </c>
      <c r="AM16" s="448">
        <v>598</v>
      </c>
      <c r="AN16" s="448">
        <v>607</v>
      </c>
      <c r="AO16" s="356">
        <f>AN16+AM16+AL16+AK16</f>
        <v>2351</v>
      </c>
      <c r="AP16" s="448">
        <v>569</v>
      </c>
      <c r="AQ16" s="448">
        <v>648</v>
      </c>
      <c r="AR16" s="448">
        <v>633</v>
      </c>
      <c r="AS16" s="448">
        <v>655</v>
      </c>
      <c r="AT16" s="356">
        <f>AS16+AR16+AQ16+AP16</f>
        <v>2505</v>
      </c>
      <c r="AU16" s="358">
        <v>594</v>
      </c>
      <c r="AV16" s="358">
        <v>625</v>
      </c>
      <c r="AW16" s="358">
        <v>657</v>
      </c>
      <c r="AX16" s="358">
        <v>651</v>
      </c>
      <c r="AY16" s="356">
        <f>AX16+AW16+AV16+AU16</f>
        <v>2527</v>
      </c>
      <c r="AZ16" s="358">
        <v>637</v>
      </c>
      <c r="BA16" s="358">
        <v>643</v>
      </c>
      <c r="BB16" s="358">
        <v>692</v>
      </c>
      <c r="BC16" s="358">
        <v>682</v>
      </c>
      <c r="BD16" s="356">
        <f>BC16+BB16+BA16+AZ16</f>
        <v>2654</v>
      </c>
      <c r="BE16" s="358">
        <v>710</v>
      </c>
      <c r="BF16" s="358">
        <v>769</v>
      </c>
      <c r="BG16" s="358">
        <v>757</v>
      </c>
      <c r="BH16" s="358">
        <v>770</v>
      </c>
      <c r="BI16" s="356">
        <f>BH16+BG16+BF16+BE16</f>
        <v>3006</v>
      </c>
      <c r="BJ16" s="358">
        <v>814</v>
      </c>
      <c r="BK16" s="358">
        <v>794</v>
      </c>
      <c r="BL16" s="358">
        <v>824</v>
      </c>
      <c r="BM16" s="358">
        <v>775</v>
      </c>
      <c r="BN16" s="356">
        <f>BM16+BL16+BK16+BJ16</f>
        <v>3207</v>
      </c>
      <c r="BO16" s="467">
        <v>827</v>
      </c>
      <c r="BP16" s="467">
        <v>897</v>
      </c>
      <c r="BQ16" s="467">
        <v>905</v>
      </c>
      <c r="BR16" s="474">
        <v>870</v>
      </c>
      <c r="BS16" s="356">
        <f>BR16+BQ16+BP16+BO16</f>
        <v>3499</v>
      </c>
      <c r="BT16" s="474">
        <v>852</v>
      </c>
      <c r="BU16" s="474">
        <v>895</v>
      </c>
      <c r="BV16" s="474">
        <v>956</v>
      </c>
      <c r="BW16" s="474">
        <v>946</v>
      </c>
      <c r="BX16" s="356">
        <f>BW16+BV16+BU16+BT16</f>
        <v>3649</v>
      </c>
      <c r="BY16" s="473">
        <v>922</v>
      </c>
      <c r="BZ16" s="473">
        <v>953</v>
      </c>
      <c r="CA16" s="473">
        <v>1056</v>
      </c>
      <c r="CB16" s="473">
        <v>960</v>
      </c>
      <c r="CC16" s="356">
        <f>SUM(BY16:CB16)</f>
        <v>3891</v>
      </c>
      <c r="CD16" s="473">
        <v>996</v>
      </c>
      <c r="CE16" s="473">
        <v>962</v>
      </c>
      <c r="CF16" s="474">
        <v>1024</v>
      </c>
      <c r="CG16" s="473">
        <v>943</v>
      </c>
      <c r="CH16" s="356">
        <f>CD16+CE16+CF16+CG16</f>
        <v>3925</v>
      </c>
      <c r="CI16" s="474">
        <v>1048</v>
      </c>
      <c r="CJ16" s="474">
        <v>937</v>
      </c>
      <c r="CK16" s="474">
        <v>977</v>
      </c>
      <c r="CL16" s="474">
        <v>969</v>
      </c>
      <c r="CM16" s="356">
        <f>CI16+CJ16+CK16+CL16</f>
        <v>3931</v>
      </c>
      <c r="CN16" s="474">
        <v>1009</v>
      </c>
      <c r="CO16" s="467">
        <f>'IMS Model Summary'!J21</f>
        <v>948.91443371843138</v>
      </c>
      <c r="CP16" s="467">
        <f>'IMS Model Summary'!K21</f>
        <v>911.23516264608509</v>
      </c>
      <c r="CQ16" s="467">
        <f>'IMS Model Summary'!L21</f>
        <v>829.26622098721907</v>
      </c>
      <c r="CR16" s="356">
        <f>CN16+CO16+CP16+CQ16</f>
        <v>3698.4158173517358</v>
      </c>
      <c r="CS16" s="466">
        <f>'IMS Model Summary'!N21</f>
        <v>902.30821803573951</v>
      </c>
      <c r="CT16" s="466">
        <f>'IMS Model Summary'!O21</f>
        <v>876.65497150668023</v>
      </c>
      <c r="CU16" s="466">
        <f>'IMS Model Summary'!P21</f>
        <v>823.04202196767403</v>
      </c>
      <c r="CV16" s="466">
        <f>'IMS Model Summary'!Q21</f>
        <v>747.23757101006902</v>
      </c>
      <c r="CW16" s="356">
        <f>CS16+CT16+CU16+CV16</f>
        <v>3349.242782520163</v>
      </c>
      <c r="CX16" s="466">
        <f>'IMS Model Summary'!S21</f>
        <v>808.99260064023213</v>
      </c>
      <c r="CY16" s="466">
        <f>'IMS Model Summary'!T21</f>
        <v>776.6999531511949</v>
      </c>
      <c r="CZ16" s="466">
        <f>'IMS Model Summary'!U21</f>
        <v>720.00450746049262</v>
      </c>
      <c r="DA16" s="466">
        <f>'IMS Model Summary'!V21</f>
        <v>644.7758881315508</v>
      </c>
      <c r="DB16" s="356">
        <f>CX16+CY16+CZ16+DA16</f>
        <v>2950.4729493834707</v>
      </c>
      <c r="DC16" s="466">
        <f>'IMS Model Summary'!X21</f>
        <v>696.05610883232532</v>
      </c>
      <c r="DD16" s="466">
        <f>'IMS Model Summary'!Y21</f>
        <v>664.89183317274205</v>
      </c>
      <c r="DE16" s="466">
        <f>'IMS Model Summary'!Z21</f>
        <v>613.02426837277767</v>
      </c>
      <c r="DF16" s="466">
        <f>'IMS Model Summary'!AA21</f>
        <v>545.74672352038726</v>
      </c>
      <c r="DG16" s="356">
        <f>DC16+DD16+DE16+DF16</f>
        <v>2519.7189338982325</v>
      </c>
      <c r="DH16" s="466">
        <f>'IMS Model Summary'!AC21</f>
        <v>585.28523595190325</v>
      </c>
      <c r="DI16" s="466">
        <f>'IMS Model Summary'!AD21</f>
        <v>555.34145512260147</v>
      </c>
      <c r="DJ16" s="466">
        <f>'IMS Model Summary'!AE21</f>
        <v>508.31112606587459</v>
      </c>
      <c r="DK16" s="466">
        <f>'IMS Model Summary'!AF21</f>
        <v>448.9145283143888</v>
      </c>
      <c r="DL16" s="356">
        <f>DH16+DI16+DJ16+DK16</f>
        <v>2097.8523454547681</v>
      </c>
      <c r="DM16" s="466">
        <f>'IMS Model Summary'!AH21</f>
        <v>489.15753094651177</v>
      </c>
      <c r="DN16" s="466">
        <f>'IMS Model Summary'!AI21</f>
        <v>476.62351744382607</v>
      </c>
      <c r="DO16" s="466">
        <f>'IMS Model Summary'!AJ21</f>
        <v>448.94474652510689</v>
      </c>
      <c r="DP16" s="466">
        <f>'IMS Model Summary'!AK21</f>
        <v>409.1216367080645</v>
      </c>
      <c r="DQ16" s="356">
        <f>DM16+DN16+DO16+DP16</f>
        <v>1823.8474316235092</v>
      </c>
      <c r="DR16" s="466">
        <f>'IMS Model Summary'!AM21</f>
        <v>452.68027503345951</v>
      </c>
      <c r="DS16" s="466">
        <f>'IMS Model Summary'!AN21</f>
        <v>441.10550417198829</v>
      </c>
      <c r="DT16" s="466">
        <f>'IMS Model Summary'!AO21</f>
        <v>415.51396057477228</v>
      </c>
      <c r="DU16" s="466">
        <f>'IMS Model Summary'!AP21</f>
        <v>378.68039266805619</v>
      </c>
      <c r="DV16" s="356">
        <f>DR16+DS16+DT16+DU16</f>
        <v>1687.9801324482762</v>
      </c>
      <c r="DW16" s="466">
        <f>'IMS Model Summary'!AR21</f>
        <v>421.15433144300533</v>
      </c>
      <c r="DX16" s="466">
        <f>'IMS Model Summary'!AS21</f>
        <v>410.41427812069048</v>
      </c>
      <c r="DY16" s="466">
        <f>'IMS Model Summary'!AT21</f>
        <v>388.59438694155671</v>
      </c>
      <c r="DZ16" s="466">
        <f>'IMS Model Summary'!AU21</f>
        <v>354.17493788575854</v>
      </c>
      <c r="EA16" s="356">
        <f>DW16+DX16+DY16+DZ16</f>
        <v>1574.337934391011</v>
      </c>
      <c r="EB16" s="466">
        <f>'IMS Model Summary'!AW21</f>
        <v>399.93301187922248</v>
      </c>
      <c r="EC16" s="466">
        <f>'IMS Model Summary'!AX21</f>
        <v>389.76722407872285</v>
      </c>
      <c r="ED16" s="466">
        <f>'IMS Model Summary'!AY21</f>
        <v>369.07791921392896</v>
      </c>
      <c r="EE16" s="466">
        <f>'IMS Model Summary'!AZ21</f>
        <v>336.41893675100158</v>
      </c>
      <c r="EF16" s="356">
        <f>EB16+EC16+ED16+EE16</f>
        <v>1495.1970919228759</v>
      </c>
      <c r="EG16" s="466">
        <f>'IMS Model Summary'!BB21</f>
        <v>379.92198916430573</v>
      </c>
      <c r="EH16" s="466">
        <f>'IMS Model Summary'!BC21</f>
        <v>370.30233655306574</v>
      </c>
      <c r="EI16" s="466">
        <f>'IMS Model Summary'!BD21</f>
        <v>350.68332654628455</v>
      </c>
      <c r="EJ16" s="466">
        <f>'IMS Model Summary'!BE21</f>
        <v>319.68777477818304</v>
      </c>
      <c r="EK16" s="356">
        <f>EG16+EH16+EI16+EJ16</f>
        <v>1420.595427041839</v>
      </c>
      <c r="EL16" s="466">
        <f>'IMS Model Summary'!BG21</f>
        <v>361.0709011922558</v>
      </c>
      <c r="EM16" s="466">
        <f>'IMS Model Summary'!BH21</f>
        <v>351.97033521195891</v>
      </c>
      <c r="EN16" s="466">
        <f>'IMS Model Summary'!BI21</f>
        <v>333.36375679015987</v>
      </c>
      <c r="EO16" s="466">
        <f>'IMS Model Summary'!BJ21</f>
        <v>303.93857262070202</v>
      </c>
      <c r="EP16" s="356">
        <f>EL16+EM16+EN16+EO16</f>
        <v>1350.3435658150765</v>
      </c>
      <c r="EQ16" s="466">
        <f>'IMS Model Summary'!BL21</f>
        <v>343.33112184254617</v>
      </c>
      <c r="ER16" s="466">
        <f>'IMS Model Summary'!BM21</f>
        <v>334.72364002131582</v>
      </c>
      <c r="ES16" s="466">
        <f>'IMS Model Summary'!BN21</f>
        <v>317.07397585058305</v>
      </c>
      <c r="ET16" s="466">
        <f>'IMS Model Summary'!BO21</f>
        <v>289.12993321720484</v>
      </c>
      <c r="EU16" s="356">
        <f>EQ16+ER16+ES16+ET16</f>
        <v>1284.2586709316499</v>
      </c>
      <c r="EV16" s="466">
        <f>'IMS Model Summary'!BQ21</f>
        <v>326.65570763561857</v>
      </c>
      <c r="EW16" s="466">
        <f>'IMS Model Summary'!BR21</f>
        <v>318.51631896728372</v>
      </c>
      <c r="EX16" s="466">
        <f>'IMS Model Summary'!BS21</f>
        <v>301.7703179089911</v>
      </c>
      <c r="EY16" s="466">
        <f>'IMS Model Summary'!BT21</f>
        <v>275.22189616475958</v>
      </c>
      <c r="EZ16" s="356">
        <f>EV16+EW16+EX16+EY16</f>
        <v>1222.164240676653</v>
      </c>
    </row>
    <row r="17" spans="2:156">
      <c r="B17" s="351" t="s">
        <v>903</v>
      </c>
      <c r="C17" s="355"/>
      <c r="D17" s="355"/>
      <c r="E17" s="355"/>
      <c r="F17" s="355"/>
      <c r="G17" s="355"/>
      <c r="H17" s="355"/>
      <c r="I17" s="355"/>
      <c r="J17" s="355"/>
      <c r="K17" s="356"/>
      <c r="L17" s="357"/>
      <c r="M17" s="357"/>
      <c r="N17" s="357"/>
      <c r="O17" s="357"/>
      <c r="P17" s="356">
        <f>O17+N17+M17+L17</f>
        <v>0</v>
      </c>
      <c r="Q17" s="357">
        <v>5.5</v>
      </c>
      <c r="R17" s="357">
        <v>12.5</v>
      </c>
      <c r="S17" s="357">
        <v>23</v>
      </c>
      <c r="T17" s="357">
        <v>39</v>
      </c>
      <c r="U17" s="356">
        <f>T17+S17+R17+Q17</f>
        <v>80</v>
      </c>
      <c r="V17" s="357">
        <v>58.4</v>
      </c>
      <c r="W17" s="357">
        <v>63.7</v>
      </c>
      <c r="X17" s="357">
        <v>66</v>
      </c>
      <c r="Y17" s="357">
        <v>75</v>
      </c>
      <c r="Z17" s="356">
        <f>Y17+X17+W17+V17</f>
        <v>263.09999999999997</v>
      </c>
      <c r="AA17" s="448">
        <v>85</v>
      </c>
      <c r="AB17" s="448">
        <v>97</v>
      </c>
      <c r="AC17" s="448">
        <v>102</v>
      </c>
      <c r="AD17" s="448">
        <v>104</v>
      </c>
      <c r="AE17" s="356">
        <f>AD17+AC17+AB17+AA17</f>
        <v>388</v>
      </c>
      <c r="AF17" s="448">
        <v>111</v>
      </c>
      <c r="AG17" s="448">
        <v>122</v>
      </c>
      <c r="AH17" s="448">
        <v>130</v>
      </c>
      <c r="AI17" s="448">
        <v>130</v>
      </c>
      <c r="AJ17" s="356">
        <f>AI17+AH17+AG17+AF17</f>
        <v>493</v>
      </c>
      <c r="AK17" s="448">
        <v>146</v>
      </c>
      <c r="AL17" s="448">
        <v>161</v>
      </c>
      <c r="AM17" s="448">
        <v>165</v>
      </c>
      <c r="AN17" s="448">
        <v>177</v>
      </c>
      <c r="AO17" s="356">
        <f>AN17+AM17+AL17+AK17</f>
        <v>649</v>
      </c>
      <c r="AP17" s="448">
        <v>187</v>
      </c>
      <c r="AQ17" s="448">
        <v>214</v>
      </c>
      <c r="AR17" s="448">
        <v>219</v>
      </c>
      <c r="AS17" s="448">
        <v>193</v>
      </c>
      <c r="AT17" s="356">
        <f>AS17+AR17+AQ17+AP17</f>
        <v>813</v>
      </c>
      <c r="AU17" s="358">
        <v>183</v>
      </c>
      <c r="AV17" s="358">
        <v>206</v>
      </c>
      <c r="AW17" s="358">
        <v>214</v>
      </c>
      <c r="AX17" s="358">
        <v>225</v>
      </c>
      <c r="AY17" s="356">
        <f>AX17+AW17+AV17+AU17</f>
        <v>828</v>
      </c>
      <c r="AZ17" s="358">
        <v>226</v>
      </c>
      <c r="BA17" s="358">
        <v>218</v>
      </c>
      <c r="BB17" s="358">
        <v>224</v>
      </c>
      <c r="BC17" s="358">
        <v>236</v>
      </c>
      <c r="BD17" s="356">
        <f>BC17+BB17+BA17+AZ17</f>
        <v>904</v>
      </c>
      <c r="BE17" s="358">
        <v>226</v>
      </c>
      <c r="BF17" s="358">
        <v>246</v>
      </c>
      <c r="BG17" s="358">
        <v>246</v>
      </c>
      <c r="BH17" s="358">
        <v>228</v>
      </c>
      <c r="BI17" s="356">
        <f>BH17+BG17+BF17+BE17</f>
        <v>946</v>
      </c>
      <c r="BJ17" s="358">
        <v>225</v>
      </c>
      <c r="BK17" s="358">
        <v>221</v>
      </c>
      <c r="BL17" s="358">
        <v>220</v>
      </c>
      <c r="BM17" s="358">
        <v>219</v>
      </c>
      <c r="BN17" s="356">
        <f>BM17+BL17+BK17+BJ17</f>
        <v>885</v>
      </c>
      <c r="BO17" s="467">
        <v>212</v>
      </c>
      <c r="BP17" s="467">
        <v>223</v>
      </c>
      <c r="BQ17" s="467">
        <v>230</v>
      </c>
      <c r="BR17" s="474">
        <v>228</v>
      </c>
      <c r="BS17" s="356">
        <f>BR17+BQ17+BP17+BO17</f>
        <v>893</v>
      </c>
      <c r="BT17" s="474">
        <v>238</v>
      </c>
      <c r="BU17" s="474">
        <v>238</v>
      </c>
      <c r="BV17" s="474">
        <v>237</v>
      </c>
      <c r="BW17" s="474">
        <v>234</v>
      </c>
      <c r="BX17" s="356">
        <f>BW17+BV17+BU17+BT17</f>
        <v>947</v>
      </c>
      <c r="BY17" s="473">
        <v>212</v>
      </c>
      <c r="BZ17" s="473">
        <v>205</v>
      </c>
      <c r="CA17" s="473">
        <v>211</v>
      </c>
      <c r="CB17" s="473">
        <v>196</v>
      </c>
      <c r="CC17" s="356">
        <f>SUM(BY17:CB17)</f>
        <v>824</v>
      </c>
      <c r="CD17" s="473">
        <v>187</v>
      </c>
      <c r="CE17" s="473">
        <v>187</v>
      </c>
      <c r="CF17" s="473">
        <v>176</v>
      </c>
      <c r="CG17" s="473">
        <v>173</v>
      </c>
      <c r="CH17" s="356">
        <f>CD17+CE17+CF17+CG17</f>
        <v>723</v>
      </c>
      <c r="CI17" s="474">
        <v>162</v>
      </c>
      <c r="CJ17" s="474">
        <v>150</v>
      </c>
      <c r="CK17" s="474">
        <v>146</v>
      </c>
      <c r="CL17" s="474">
        <v>145</v>
      </c>
      <c r="CM17" s="356">
        <f>CI17+CJ17+CK17+CL17</f>
        <v>603</v>
      </c>
      <c r="CN17" s="474">
        <v>146</v>
      </c>
      <c r="CO17" s="466">
        <f>CO18*CO16</f>
        <v>137.30575552318234</v>
      </c>
      <c r="CP17" s="466">
        <f>CP18*CP16</f>
        <v>131.85365088833342</v>
      </c>
      <c r="CQ17" s="466">
        <f>CQ18*CQ16</f>
        <v>119.99293187723885</v>
      </c>
      <c r="CR17" s="356">
        <f>CN17+CO17+CP17+CQ17</f>
        <v>535.15233828875466</v>
      </c>
      <c r="CS17" s="466">
        <f>CS18*CS16</f>
        <v>117.30006834464614</v>
      </c>
      <c r="CT17" s="466">
        <f>CT18*CT16</f>
        <v>113.96514629586844</v>
      </c>
      <c r="CU17" s="466">
        <f>CU18*CU16</f>
        <v>106.99546285579763</v>
      </c>
      <c r="CV17" s="466">
        <f>CV18*CV16</f>
        <v>97.140884231308974</v>
      </c>
      <c r="CW17" s="356">
        <f>CS17+CT17+CU17+CV17</f>
        <v>435.40156172762113</v>
      </c>
      <c r="CX17" s="466">
        <f>CX18*CX16</f>
        <v>105.16903808323018</v>
      </c>
      <c r="CY17" s="466">
        <f>CY18*CY16</f>
        <v>100.97099390965533</v>
      </c>
      <c r="CZ17" s="466">
        <f>CZ18*CZ16</f>
        <v>93.600585969864042</v>
      </c>
      <c r="DA17" s="466">
        <f>DA18*DA16</f>
        <v>83.820865457101604</v>
      </c>
      <c r="DB17" s="356">
        <f>CX17+CY17+CZ17+DA17</f>
        <v>383.56148341985113</v>
      </c>
      <c r="DC17" s="466">
        <f>DC18*DC16</f>
        <v>90.487294148202295</v>
      </c>
      <c r="DD17" s="466">
        <f>DD18*DD16</f>
        <v>86.435938312456472</v>
      </c>
      <c r="DE17" s="466">
        <f>DE18*DE16</f>
        <v>79.693154888461095</v>
      </c>
      <c r="DF17" s="466">
        <f>DF18*DF16</f>
        <v>70.94707405765034</v>
      </c>
      <c r="DG17" s="356">
        <f>DC17+DD17+DE17+DF17</f>
        <v>327.56346140677022</v>
      </c>
      <c r="DH17" s="466">
        <f>DH18*DH16</f>
        <v>76.087080673747423</v>
      </c>
      <c r="DI17" s="466">
        <f>DI18*DI16</f>
        <v>72.19438916593819</v>
      </c>
      <c r="DJ17" s="466">
        <f>DJ18*DJ16</f>
        <v>66.080446388563701</v>
      </c>
      <c r="DK17" s="466">
        <f>DK18*DK16</f>
        <v>58.35888868087055</v>
      </c>
      <c r="DL17" s="356">
        <f>DH17+DI17+DJ17+DK17</f>
        <v>272.72080490911986</v>
      </c>
      <c r="DM17" s="466">
        <f>DM18*DM16</f>
        <v>63.590479023046534</v>
      </c>
      <c r="DN17" s="466">
        <f>DN18*DN16</f>
        <v>61.961057267697392</v>
      </c>
      <c r="DO17" s="466">
        <f>DO18*DO16</f>
        <v>58.362817048263899</v>
      </c>
      <c r="DP17" s="466">
        <f>DP18*DP16</f>
        <v>53.185812772048386</v>
      </c>
      <c r="DQ17" s="356">
        <f>DM17+DN17+DO17+DP17</f>
        <v>237.10016611105621</v>
      </c>
      <c r="DR17" s="466">
        <f>DR18*DR16</f>
        <v>58.848435754349737</v>
      </c>
      <c r="DS17" s="466">
        <f>DS18*DS16</f>
        <v>57.343715542358481</v>
      </c>
      <c r="DT17" s="466">
        <f>DT18*DT16</f>
        <v>54.016814874720396</v>
      </c>
      <c r="DU17" s="466">
        <f>DU18*DU16</f>
        <v>49.228451046847304</v>
      </c>
      <c r="DV17" s="356">
        <f>DR17+DS17+DT17+DU17</f>
        <v>219.43741721827593</v>
      </c>
      <c r="DW17" s="466">
        <f>DW18*DW16</f>
        <v>54.750063087590696</v>
      </c>
      <c r="DX17" s="466">
        <f>DX18*DX16</f>
        <v>53.353856155689762</v>
      </c>
      <c r="DY17" s="466">
        <f>DY18*DY16</f>
        <v>50.517270302402373</v>
      </c>
      <c r="DZ17" s="466">
        <f>DZ18*DZ16</f>
        <v>46.042741925148611</v>
      </c>
      <c r="EA17" s="356">
        <f>DW17+DX17+DY17+DZ17</f>
        <v>204.66393147083144</v>
      </c>
      <c r="EB17" s="466">
        <f>EB18*EB16</f>
        <v>51.991291544298925</v>
      </c>
      <c r="EC17" s="466">
        <f>EC18*EC16</f>
        <v>50.669739130233971</v>
      </c>
      <c r="ED17" s="466">
        <f>ED18*ED16</f>
        <v>47.980129497810765</v>
      </c>
      <c r="EE17" s="466">
        <f>EE18*EE16</f>
        <v>43.734461777630209</v>
      </c>
      <c r="EF17" s="356">
        <f>EB17+EC17+ED17+EE17</f>
        <v>194.37562194997386</v>
      </c>
      <c r="EG17" s="466">
        <f>EG18*EG16</f>
        <v>49.389858591359747</v>
      </c>
      <c r="EH17" s="466">
        <f>EH18*EH16</f>
        <v>48.139303751898545</v>
      </c>
      <c r="EI17" s="466">
        <f>EI18*EI16</f>
        <v>45.588832451016991</v>
      </c>
      <c r="EJ17" s="466">
        <f>EJ18*EJ16</f>
        <v>41.559410721163793</v>
      </c>
      <c r="EK17" s="356">
        <f>EG17+EH17+EI17+EJ17</f>
        <v>184.67740551543909</v>
      </c>
      <c r="EL17" s="466">
        <f>EL18*EL16</f>
        <v>46.939217154993258</v>
      </c>
      <c r="EM17" s="466">
        <f>EM18*EM16</f>
        <v>45.75614357755466</v>
      </c>
      <c r="EN17" s="466">
        <f>EN18*EN16</f>
        <v>43.337288382720786</v>
      </c>
      <c r="EO17" s="466">
        <f>EO18*EO16</f>
        <v>39.512014440691267</v>
      </c>
      <c r="EP17" s="356">
        <f>EL17+EM17+EN17+EO17</f>
        <v>175.54466355596</v>
      </c>
      <c r="EQ17" s="466">
        <f>EQ18*EQ16</f>
        <v>44.633045839531</v>
      </c>
      <c r="ER17" s="466">
        <f>ER18*ER16</f>
        <v>43.514073202771058</v>
      </c>
      <c r="ES17" s="466">
        <f>ES18*ES16</f>
        <v>41.219616860575798</v>
      </c>
      <c r="ET17" s="466">
        <f>ET18*ET16</f>
        <v>37.586891318236631</v>
      </c>
      <c r="EU17" s="356">
        <f>EQ17+ER17+ES17+ET17</f>
        <v>166.95362722111449</v>
      </c>
      <c r="EV17" s="466">
        <f>EV18*EV16</f>
        <v>42.465241992630418</v>
      </c>
      <c r="EW17" s="466">
        <f>EW18*EW16</f>
        <v>41.407121465746883</v>
      </c>
      <c r="EX17" s="466">
        <f>EX18*EX16</f>
        <v>39.230141328168848</v>
      </c>
      <c r="EY17" s="466">
        <f>EY18*EY16</f>
        <v>35.778846501418748</v>
      </c>
      <c r="EZ17" s="356">
        <f>EV17+EW17+EX17+EY17</f>
        <v>158.88135128796489</v>
      </c>
    </row>
    <row r="18" spans="2:156">
      <c r="B18" s="453"/>
      <c r="C18" s="355"/>
      <c r="D18" s="355"/>
      <c r="E18" s="355"/>
      <c r="F18" s="355"/>
      <c r="G18" s="355"/>
      <c r="H18" s="355"/>
      <c r="I18" s="355"/>
      <c r="J18" s="355"/>
      <c r="K18" s="356"/>
      <c r="L18" s="357"/>
      <c r="M18" s="357"/>
      <c r="N18" s="357"/>
      <c r="O18" s="357"/>
      <c r="P18" s="356"/>
      <c r="Q18" s="357"/>
      <c r="R18" s="357"/>
      <c r="S18" s="357"/>
      <c r="T18" s="357"/>
      <c r="U18" s="356"/>
      <c r="V18" s="357"/>
      <c r="W18" s="357"/>
      <c r="X18" s="357"/>
      <c r="Y18" s="357"/>
      <c r="Z18" s="356"/>
      <c r="AA18" s="448"/>
      <c r="AB18" s="448"/>
      <c r="AC18" s="448"/>
      <c r="AD18" s="448"/>
      <c r="AE18" s="356"/>
      <c r="AF18" s="448"/>
      <c r="AG18" s="448"/>
      <c r="AH18" s="448"/>
      <c r="AI18" s="448"/>
      <c r="AJ18" s="356"/>
      <c r="AK18" s="448"/>
      <c r="AL18" s="448"/>
      <c r="AM18" s="448"/>
      <c r="AN18" s="448"/>
      <c r="AO18" s="356"/>
      <c r="AP18" s="448"/>
      <c r="AQ18" s="448"/>
      <c r="AR18" s="448"/>
      <c r="AS18" s="448"/>
      <c r="AT18" s="356"/>
      <c r="AU18" s="358"/>
      <c r="AV18" s="358"/>
      <c r="AW18" s="358"/>
      <c r="AX18" s="358"/>
      <c r="AY18" s="356"/>
      <c r="AZ18" s="358"/>
      <c r="BA18" s="358"/>
      <c r="BB18" s="358"/>
      <c r="BC18" s="358"/>
      <c r="BD18" s="356"/>
      <c r="BE18" s="358"/>
      <c r="BF18" s="358"/>
      <c r="BG18" s="358"/>
      <c r="BH18" s="358"/>
      <c r="BI18" s="356"/>
      <c r="BJ18" s="358"/>
      <c r="BK18" s="358"/>
      <c r="BL18" s="358"/>
      <c r="BM18" s="358"/>
      <c r="BN18" s="356"/>
      <c r="BO18" s="605"/>
      <c r="BP18" s="467"/>
      <c r="BQ18" s="467"/>
      <c r="BR18" s="467"/>
      <c r="BS18" s="356"/>
      <c r="BT18" s="605"/>
      <c r="BU18" s="464"/>
      <c r="BV18" s="464"/>
      <c r="BW18" s="464"/>
      <c r="BX18" s="449"/>
      <c r="BY18" s="468">
        <f t="shared" ref="BY18:CL18" si="16">BY17/BY16</f>
        <v>0.2299349240780911</v>
      </c>
      <c r="BZ18" s="468">
        <f t="shared" si="16"/>
        <v>0.21511017838405036</v>
      </c>
      <c r="CA18" s="468">
        <f t="shared" si="16"/>
        <v>0.19981060606060605</v>
      </c>
      <c r="CB18" s="468">
        <f t="shared" si="16"/>
        <v>0.20416666666666666</v>
      </c>
      <c r="CC18" s="702">
        <f t="shared" si="16"/>
        <v>0.21177075301978926</v>
      </c>
      <c r="CD18" s="468">
        <f t="shared" si="16"/>
        <v>0.18775100401606426</v>
      </c>
      <c r="CE18" s="468">
        <f t="shared" si="16"/>
        <v>0.1943866943866944</v>
      </c>
      <c r="CF18" s="468">
        <f t="shared" si="16"/>
        <v>0.171875</v>
      </c>
      <c r="CG18" s="468">
        <f t="shared" si="16"/>
        <v>0.18345705196182396</v>
      </c>
      <c r="CH18" s="702">
        <f>CH17/CH16</f>
        <v>0.18420382165605095</v>
      </c>
      <c r="CI18" s="468">
        <f t="shared" si="16"/>
        <v>0.15458015267175573</v>
      </c>
      <c r="CJ18" s="468">
        <f t="shared" si="16"/>
        <v>0.16008537886872998</v>
      </c>
      <c r="CK18" s="468">
        <f t="shared" si="16"/>
        <v>0.14943705220061412</v>
      </c>
      <c r="CL18" s="468">
        <f t="shared" si="16"/>
        <v>0.14963880288957687</v>
      </c>
      <c r="CM18" s="702">
        <f>CM17/CM16</f>
        <v>0.15339608242177563</v>
      </c>
      <c r="CN18" s="468">
        <f t="shared" ref="CN18" si="17">CN17/CN16</f>
        <v>0.14469772051536176</v>
      </c>
      <c r="CO18" s="468">
        <f>CN18</f>
        <v>0.14469772051536176</v>
      </c>
      <c r="CP18" s="468">
        <f>CO18</f>
        <v>0.14469772051536176</v>
      </c>
      <c r="CQ18" s="468">
        <f>CP18</f>
        <v>0.14469772051536176</v>
      </c>
      <c r="CR18" s="703">
        <v>0.13</v>
      </c>
      <c r="CS18" s="468">
        <f>CW18</f>
        <v>0.13</v>
      </c>
      <c r="CT18" s="468">
        <f>CS18</f>
        <v>0.13</v>
      </c>
      <c r="CU18" s="468">
        <f>CT18</f>
        <v>0.13</v>
      </c>
      <c r="CV18" s="468">
        <f>CU18</f>
        <v>0.13</v>
      </c>
      <c r="CW18" s="703">
        <f>CR18</f>
        <v>0.13</v>
      </c>
      <c r="CX18" s="468">
        <f>DB18</f>
        <v>0.13</v>
      </c>
      <c r="CY18" s="468">
        <f>CX18</f>
        <v>0.13</v>
      </c>
      <c r="CZ18" s="468">
        <f>CY18</f>
        <v>0.13</v>
      </c>
      <c r="DA18" s="468">
        <f>CZ18</f>
        <v>0.13</v>
      </c>
      <c r="DB18" s="703">
        <f>CW18</f>
        <v>0.13</v>
      </c>
      <c r="DC18" s="468">
        <f>DG18</f>
        <v>0.13</v>
      </c>
      <c r="DD18" s="468">
        <f>DC18</f>
        <v>0.13</v>
      </c>
      <c r="DE18" s="468">
        <f>DD18</f>
        <v>0.13</v>
      </c>
      <c r="DF18" s="468">
        <f>DE18</f>
        <v>0.13</v>
      </c>
      <c r="DG18" s="703">
        <f>DB18</f>
        <v>0.13</v>
      </c>
      <c r="DH18" s="468">
        <f>DL18</f>
        <v>0.13</v>
      </c>
      <c r="DI18" s="468">
        <f>DH18</f>
        <v>0.13</v>
      </c>
      <c r="DJ18" s="468">
        <f>DI18</f>
        <v>0.13</v>
      </c>
      <c r="DK18" s="468">
        <f>DJ18</f>
        <v>0.13</v>
      </c>
      <c r="DL18" s="703">
        <f>DG18</f>
        <v>0.13</v>
      </c>
      <c r="DM18" s="468">
        <f>DQ18</f>
        <v>0.13</v>
      </c>
      <c r="DN18" s="468">
        <f>DM18</f>
        <v>0.13</v>
      </c>
      <c r="DO18" s="468">
        <f>DN18</f>
        <v>0.13</v>
      </c>
      <c r="DP18" s="468">
        <f>DO18</f>
        <v>0.13</v>
      </c>
      <c r="DQ18" s="703">
        <f>DL18</f>
        <v>0.13</v>
      </c>
      <c r="DR18" s="468">
        <f>DV18</f>
        <v>0.13</v>
      </c>
      <c r="DS18" s="468">
        <f>DR18</f>
        <v>0.13</v>
      </c>
      <c r="DT18" s="468">
        <f>DS18</f>
        <v>0.13</v>
      </c>
      <c r="DU18" s="468">
        <f>DT18</f>
        <v>0.13</v>
      </c>
      <c r="DV18" s="703">
        <f>DQ18</f>
        <v>0.13</v>
      </c>
      <c r="DW18" s="468">
        <f>EA18</f>
        <v>0.13</v>
      </c>
      <c r="DX18" s="468">
        <f>DW18</f>
        <v>0.13</v>
      </c>
      <c r="DY18" s="468">
        <f>DX18</f>
        <v>0.13</v>
      </c>
      <c r="DZ18" s="468">
        <f>DY18</f>
        <v>0.13</v>
      </c>
      <c r="EA18" s="703">
        <f>DV18</f>
        <v>0.13</v>
      </c>
      <c r="EB18" s="468">
        <f>EF18</f>
        <v>0.13</v>
      </c>
      <c r="EC18" s="468">
        <f>EB18</f>
        <v>0.13</v>
      </c>
      <c r="ED18" s="468">
        <f>EC18</f>
        <v>0.13</v>
      </c>
      <c r="EE18" s="468">
        <f>ED18</f>
        <v>0.13</v>
      </c>
      <c r="EF18" s="703">
        <f>EA18</f>
        <v>0.13</v>
      </c>
      <c r="EG18" s="468">
        <f>EK18</f>
        <v>0.13</v>
      </c>
      <c r="EH18" s="468">
        <f>EG18</f>
        <v>0.13</v>
      </c>
      <c r="EI18" s="468">
        <f>EH18</f>
        <v>0.13</v>
      </c>
      <c r="EJ18" s="468">
        <f>EI18</f>
        <v>0.13</v>
      </c>
      <c r="EK18" s="703">
        <f>EF18</f>
        <v>0.13</v>
      </c>
      <c r="EL18" s="468">
        <f>EP18</f>
        <v>0.13</v>
      </c>
      <c r="EM18" s="468">
        <f>EL18</f>
        <v>0.13</v>
      </c>
      <c r="EN18" s="468">
        <f>EM18</f>
        <v>0.13</v>
      </c>
      <c r="EO18" s="468">
        <f>EN18</f>
        <v>0.13</v>
      </c>
      <c r="EP18" s="703">
        <f>EK18</f>
        <v>0.13</v>
      </c>
      <c r="EQ18" s="468">
        <f>EU18</f>
        <v>0.13</v>
      </c>
      <c r="ER18" s="468">
        <f>EQ18</f>
        <v>0.13</v>
      </c>
      <c r="ES18" s="468">
        <f>ER18</f>
        <v>0.13</v>
      </c>
      <c r="ET18" s="468">
        <f>ES18</f>
        <v>0.13</v>
      </c>
      <c r="EU18" s="703">
        <f>EP18</f>
        <v>0.13</v>
      </c>
      <c r="EV18" s="468">
        <f>EZ18</f>
        <v>0.13</v>
      </c>
      <c r="EW18" s="468">
        <f>EV18</f>
        <v>0.13</v>
      </c>
      <c r="EX18" s="468">
        <f>EW18</f>
        <v>0.13</v>
      </c>
      <c r="EY18" s="468">
        <f>EX18</f>
        <v>0.13</v>
      </c>
      <c r="EZ18" s="703">
        <f>EU18</f>
        <v>0.13</v>
      </c>
    </row>
    <row r="19" spans="2:156" s="4" customFormat="1">
      <c r="B19" s="18" t="s">
        <v>117</v>
      </c>
      <c r="C19" s="23"/>
      <c r="D19" s="23"/>
      <c r="E19" s="23"/>
      <c r="F19" s="23"/>
      <c r="G19" s="23"/>
      <c r="H19" s="23"/>
      <c r="I19" s="23"/>
      <c r="J19" s="23"/>
      <c r="K19" s="20"/>
      <c r="L19" s="22"/>
      <c r="M19" s="22"/>
      <c r="N19" s="21">
        <v>158.1</v>
      </c>
      <c r="O19" s="21">
        <v>204</v>
      </c>
      <c r="P19" s="20">
        <f>O19+N19+M19+L19</f>
        <v>362.1</v>
      </c>
      <c r="Q19" s="21">
        <v>274</v>
      </c>
      <c r="R19" s="21">
        <v>304</v>
      </c>
      <c r="S19" s="21">
        <v>342</v>
      </c>
      <c r="T19" s="21">
        <v>380</v>
      </c>
      <c r="U19" s="20">
        <f>T19+S19+R19+Q19</f>
        <v>1300</v>
      </c>
      <c r="V19" s="21">
        <v>397.3</v>
      </c>
      <c r="W19" s="21">
        <v>440</v>
      </c>
      <c r="X19" s="21">
        <v>496</v>
      </c>
      <c r="Y19" s="21">
        <v>567</v>
      </c>
      <c r="Z19" s="20">
        <f>Y19+X19+W19+V19</f>
        <v>1900.3</v>
      </c>
      <c r="AA19" s="22">
        <v>592</v>
      </c>
      <c r="AB19" s="22">
        <v>639</v>
      </c>
      <c r="AC19" s="22">
        <v>668</v>
      </c>
      <c r="AD19" s="22">
        <v>674</v>
      </c>
      <c r="AE19" s="20">
        <f>AD19+AC19+AB19+AA19</f>
        <v>2573</v>
      </c>
      <c r="AF19" s="22">
        <v>658</v>
      </c>
      <c r="AG19" s="22">
        <v>724</v>
      </c>
      <c r="AH19" s="22">
        <v>705</v>
      </c>
      <c r="AI19" s="22">
        <v>792</v>
      </c>
      <c r="AJ19" s="20">
        <f>AI19+AH19+AG19+AF19</f>
        <v>2879</v>
      </c>
      <c r="AK19" s="22">
        <v>730</v>
      </c>
      <c r="AL19" s="22">
        <v>823</v>
      </c>
      <c r="AM19" s="22">
        <v>821</v>
      </c>
      <c r="AN19" s="22">
        <v>856</v>
      </c>
      <c r="AO19" s="20">
        <f>AN19+AM19+AL19+AK19</f>
        <v>3230</v>
      </c>
      <c r="AP19" s="22">
        <v>951</v>
      </c>
      <c r="AQ19" s="22">
        <v>841</v>
      </c>
      <c r="AR19" s="22">
        <v>893</v>
      </c>
      <c r="AS19" s="22">
        <v>913</v>
      </c>
      <c r="AT19" s="20">
        <f>AS19+AR19+AQ19+AP19</f>
        <v>3598</v>
      </c>
      <c r="AU19" s="24">
        <f>AU20+AU21</f>
        <v>758</v>
      </c>
      <c r="AV19" s="24">
        <f t="shared" ref="AV19:BS19" si="18">AV20+AV21</f>
        <v>899</v>
      </c>
      <c r="AW19" s="24">
        <f t="shared" si="18"/>
        <v>924</v>
      </c>
      <c r="AX19" s="24">
        <f t="shared" si="18"/>
        <v>912</v>
      </c>
      <c r="AY19" s="20">
        <f t="shared" si="18"/>
        <v>3493</v>
      </c>
      <c r="AZ19" s="24">
        <f t="shared" si="18"/>
        <v>804</v>
      </c>
      <c r="BA19" s="24">
        <f t="shared" si="18"/>
        <v>877</v>
      </c>
      <c r="BB19" s="24">
        <f t="shared" si="18"/>
        <v>914</v>
      </c>
      <c r="BC19" s="24">
        <f t="shared" si="18"/>
        <v>939</v>
      </c>
      <c r="BD19" s="20">
        <f t="shared" si="18"/>
        <v>3534</v>
      </c>
      <c r="BE19" s="24">
        <f t="shared" si="18"/>
        <v>875</v>
      </c>
      <c r="BF19" s="24">
        <f t="shared" si="18"/>
        <v>956</v>
      </c>
      <c r="BG19" s="24">
        <f t="shared" si="18"/>
        <v>925</v>
      </c>
      <c r="BH19" s="24">
        <f t="shared" si="18"/>
        <v>945</v>
      </c>
      <c r="BI19" s="20">
        <f t="shared" si="18"/>
        <v>3701</v>
      </c>
      <c r="BJ19" s="24">
        <f t="shared" si="18"/>
        <v>938</v>
      </c>
      <c r="BK19" s="24">
        <f t="shared" si="18"/>
        <v>1058</v>
      </c>
      <c r="BL19" s="24">
        <f t="shared" si="18"/>
        <v>1079</v>
      </c>
      <c r="BM19" s="24">
        <f t="shared" si="18"/>
        <v>1161</v>
      </c>
      <c r="BN19" s="20">
        <f t="shared" si="18"/>
        <v>4236</v>
      </c>
      <c r="BO19" s="463">
        <f t="shared" si="18"/>
        <v>1039</v>
      </c>
      <c r="BP19" s="463">
        <f t="shared" si="18"/>
        <v>1157</v>
      </c>
      <c r="BQ19" s="463">
        <f t="shared" si="18"/>
        <v>1155</v>
      </c>
      <c r="BR19" s="463">
        <f t="shared" si="18"/>
        <v>1200</v>
      </c>
      <c r="BS19" s="20">
        <f t="shared" si="18"/>
        <v>4551</v>
      </c>
      <c r="BT19" s="463">
        <f>BT20+BT21</f>
        <v>988</v>
      </c>
      <c r="BU19" s="463">
        <f>BU20+BU21</f>
        <v>1243</v>
      </c>
      <c r="BV19" s="463">
        <f>BV20+BV21</f>
        <v>1120</v>
      </c>
      <c r="BW19" s="463">
        <f>BW20+BW21</f>
        <v>1337</v>
      </c>
      <c r="BX19" s="20">
        <f>BX20+BX21</f>
        <v>4688</v>
      </c>
      <c r="BY19" s="463">
        <f t="shared" ref="BY19:EK19" si="19">BY20+BY21</f>
        <v>1116</v>
      </c>
      <c r="BZ19" s="463">
        <f t="shared" si="19"/>
        <v>1348</v>
      </c>
      <c r="CA19" s="463">
        <f t="shared" si="19"/>
        <v>1459</v>
      </c>
      <c r="CB19" s="463">
        <f t="shared" si="19"/>
        <v>1441</v>
      </c>
      <c r="CC19" s="20">
        <f t="shared" si="19"/>
        <v>5364</v>
      </c>
      <c r="CD19" s="463">
        <f t="shared" si="19"/>
        <v>1385</v>
      </c>
      <c r="CE19" s="463">
        <f t="shared" si="19"/>
        <v>1484</v>
      </c>
      <c r="CF19" s="463">
        <f t="shared" si="19"/>
        <v>1452</v>
      </c>
      <c r="CG19" s="463">
        <f t="shared" si="19"/>
        <v>1644</v>
      </c>
      <c r="CH19" s="20">
        <f t="shared" si="19"/>
        <v>5965</v>
      </c>
      <c r="CI19" s="463">
        <f t="shared" si="19"/>
        <v>1181</v>
      </c>
      <c r="CJ19" s="463">
        <f t="shared" si="19"/>
        <v>1466</v>
      </c>
      <c r="CK19" s="463">
        <f t="shared" si="19"/>
        <v>1363</v>
      </c>
      <c r="CL19" s="463">
        <f t="shared" si="19"/>
        <v>1423</v>
      </c>
      <c r="CM19" s="20">
        <f t="shared" si="19"/>
        <v>5433</v>
      </c>
      <c r="CN19" s="463">
        <f t="shared" si="19"/>
        <v>1105</v>
      </c>
      <c r="CO19" s="463">
        <f t="shared" si="19"/>
        <v>1306.5060458135242</v>
      </c>
      <c r="CP19" s="463">
        <f t="shared" si="19"/>
        <v>1323.7733571178385</v>
      </c>
      <c r="CQ19" s="463">
        <f t="shared" si="19"/>
        <v>1292.8891315626893</v>
      </c>
      <c r="CR19" s="20">
        <f t="shared" si="19"/>
        <v>5028.1685344940524</v>
      </c>
      <c r="CS19" s="463"/>
      <c r="CT19" s="463"/>
      <c r="CU19" s="463"/>
      <c r="CV19" s="463"/>
      <c r="CW19" s="20">
        <f t="shared" si="19"/>
        <v>4750.4518167287342</v>
      </c>
      <c r="CX19" s="463"/>
      <c r="CY19" s="463"/>
      <c r="CZ19" s="463"/>
      <c r="DA19" s="463"/>
      <c r="DB19" s="20">
        <f t="shared" si="19"/>
        <v>4103.2651360638447</v>
      </c>
      <c r="DC19" s="463"/>
      <c r="DD19" s="463"/>
      <c r="DE19" s="463"/>
      <c r="DF19" s="463"/>
      <c r="DG19" s="20">
        <f t="shared" si="19"/>
        <v>3551.7289868945131</v>
      </c>
      <c r="DH19" s="463"/>
      <c r="DI19" s="463"/>
      <c r="DJ19" s="463"/>
      <c r="DK19" s="463"/>
      <c r="DL19" s="20">
        <f t="shared" si="19"/>
        <v>3226.3677033030544</v>
      </c>
      <c r="DM19" s="463"/>
      <c r="DN19" s="463"/>
      <c r="DO19" s="463"/>
      <c r="DP19" s="463"/>
      <c r="DQ19" s="20">
        <f t="shared" si="19"/>
        <v>2973.9044524833234</v>
      </c>
      <c r="DR19" s="463"/>
      <c r="DS19" s="463"/>
      <c r="DT19" s="463"/>
      <c r="DU19" s="463"/>
      <c r="DV19" s="20">
        <f t="shared" si="19"/>
        <v>2713.0570664533934</v>
      </c>
      <c r="DW19" s="463"/>
      <c r="DX19" s="463"/>
      <c r="DY19" s="463"/>
      <c r="DZ19" s="463"/>
      <c r="EA19" s="20">
        <f t="shared" si="19"/>
        <v>2554.3258437000754</v>
      </c>
      <c r="EB19" s="463"/>
      <c r="EC19" s="463"/>
      <c r="ED19" s="463"/>
      <c r="EE19" s="463"/>
      <c r="EF19" s="20">
        <f t="shared" si="19"/>
        <v>2406.7274288162157</v>
      </c>
      <c r="EG19" s="463"/>
      <c r="EH19" s="463"/>
      <c r="EI19" s="463"/>
      <c r="EJ19" s="463"/>
      <c r="EK19" s="20">
        <f t="shared" si="19"/>
        <v>2250.0910719401172</v>
      </c>
      <c r="EL19" s="463"/>
      <c r="EM19" s="463"/>
      <c r="EN19" s="463"/>
      <c r="EO19" s="463"/>
      <c r="EP19" s="20">
        <f t="shared" ref="EP19" si="20">EP20+EP21</f>
        <v>1936.9457525570376</v>
      </c>
      <c r="EQ19" s="463"/>
      <c r="ER19" s="463"/>
      <c r="ES19" s="463"/>
      <c r="ET19" s="463"/>
      <c r="EU19" s="20">
        <f t="shared" ref="EU19" si="21">EU20+EU21</f>
        <v>1623.1723877225506</v>
      </c>
      <c r="EV19" s="463"/>
      <c r="EW19" s="463"/>
      <c r="EX19" s="463"/>
      <c r="EY19" s="463"/>
      <c r="EZ19" s="20">
        <f t="shared" ref="EZ19" si="22">EZ20+EZ21</f>
        <v>1172.2713137461524</v>
      </c>
    </row>
    <row r="20" spans="2:156">
      <c r="B20" s="351" t="s">
        <v>904</v>
      </c>
      <c r="C20" s="450"/>
      <c r="D20" s="450"/>
      <c r="E20" s="450"/>
      <c r="F20" s="450"/>
      <c r="G20" s="450"/>
      <c r="H20" s="450"/>
      <c r="I20" s="450"/>
      <c r="J20" s="450"/>
      <c r="K20" s="356"/>
      <c r="L20" s="448"/>
      <c r="M20" s="448"/>
      <c r="N20" s="357"/>
      <c r="O20" s="357"/>
      <c r="P20" s="356"/>
      <c r="Q20" s="357"/>
      <c r="R20" s="357"/>
      <c r="S20" s="357"/>
      <c r="T20" s="357"/>
      <c r="U20" s="356"/>
      <c r="V20" s="357"/>
      <c r="W20" s="357"/>
      <c r="X20" s="357"/>
      <c r="Y20" s="357"/>
      <c r="Z20" s="356"/>
      <c r="AA20" s="448"/>
      <c r="AB20" s="448"/>
      <c r="AC20" s="448"/>
      <c r="AD20" s="448"/>
      <c r="AE20" s="356"/>
      <c r="AF20" s="448"/>
      <c r="AG20" s="448"/>
      <c r="AH20" s="448"/>
      <c r="AI20" s="448"/>
      <c r="AJ20" s="356"/>
      <c r="AK20" s="448"/>
      <c r="AL20" s="448"/>
      <c r="AM20" s="448"/>
      <c r="AN20" s="448"/>
      <c r="AO20" s="356"/>
      <c r="AP20" s="448"/>
      <c r="AQ20" s="448"/>
      <c r="AR20" s="448"/>
      <c r="AS20" s="448"/>
      <c r="AT20" s="356"/>
      <c r="AU20" s="358">
        <v>712</v>
      </c>
      <c r="AV20" s="358">
        <v>846</v>
      </c>
      <c r="AW20" s="358">
        <v>872</v>
      </c>
      <c r="AX20" s="358">
        <v>853</v>
      </c>
      <c r="AY20" s="356">
        <f>AX20+AW20+AV20+AU20</f>
        <v>3283</v>
      </c>
      <c r="AZ20" s="358">
        <v>754</v>
      </c>
      <c r="BA20" s="358">
        <v>819</v>
      </c>
      <c r="BB20" s="358">
        <v>856</v>
      </c>
      <c r="BC20" s="358">
        <v>875</v>
      </c>
      <c r="BD20" s="356">
        <f>BC20+BB20+BA20+AZ20</f>
        <v>3304</v>
      </c>
      <c r="BE20" s="358">
        <v>821</v>
      </c>
      <c r="BF20" s="358">
        <v>894</v>
      </c>
      <c r="BG20" s="358">
        <v>863</v>
      </c>
      <c r="BH20" s="358">
        <v>880</v>
      </c>
      <c r="BI20" s="356">
        <f>BH20+BG20+BF20+BE20</f>
        <v>3458</v>
      </c>
      <c r="BJ20" s="358">
        <v>878</v>
      </c>
      <c r="BK20" s="358">
        <v>991</v>
      </c>
      <c r="BL20" s="358">
        <v>1012</v>
      </c>
      <c r="BM20" s="358">
        <v>1086</v>
      </c>
      <c r="BN20" s="356">
        <f>BM20+BL20+BK20+BJ20</f>
        <v>3967</v>
      </c>
      <c r="BO20" s="467">
        <v>974</v>
      </c>
      <c r="BP20" s="467">
        <v>1089</v>
      </c>
      <c r="BQ20" s="467">
        <v>1073</v>
      </c>
      <c r="BR20" s="474">
        <v>1120</v>
      </c>
      <c r="BS20" s="356">
        <v>4256</v>
      </c>
      <c r="BT20" s="474">
        <v>924</v>
      </c>
      <c r="BU20" s="474">
        <v>1171</v>
      </c>
      <c r="BV20" s="474">
        <v>1048</v>
      </c>
      <c r="BW20" s="474">
        <v>1261</v>
      </c>
      <c r="BX20" s="356">
        <f>BW20+BV20+BU20+BT20</f>
        <v>4404</v>
      </c>
      <c r="BY20" s="474">
        <v>1052</v>
      </c>
      <c r="BZ20" s="474">
        <v>1280</v>
      </c>
      <c r="CA20" s="474">
        <v>1392</v>
      </c>
      <c r="CB20" s="474">
        <v>1375</v>
      </c>
      <c r="CC20" s="356">
        <f>SUM(BY20:CB20)</f>
        <v>5099</v>
      </c>
      <c r="CD20" s="474">
        <v>1326</v>
      </c>
      <c r="CE20" s="474">
        <v>1423</v>
      </c>
      <c r="CF20" s="474">
        <v>1388</v>
      </c>
      <c r="CG20" s="474">
        <v>1582</v>
      </c>
      <c r="CH20" s="356">
        <f>CD20+CE20+CF20+CG20</f>
        <v>5719</v>
      </c>
      <c r="CI20" s="474">
        <v>1118</v>
      </c>
      <c r="CJ20" s="474">
        <v>1411</v>
      </c>
      <c r="CK20" s="474">
        <v>1309</v>
      </c>
      <c r="CL20" s="474">
        <v>1368</v>
      </c>
      <c r="CM20" s="356">
        <f>CL20+CK20+CJ20+CI20</f>
        <v>5206</v>
      </c>
      <c r="CN20" s="474">
        <v>1050</v>
      </c>
      <c r="CO20" s="467">
        <f>'IMS Model Summary'!J26</f>
        <v>1250.2450199172481</v>
      </c>
      <c r="CP20" s="467">
        <f>'IMS Model Summary'!K26</f>
        <v>1266.76876279219</v>
      </c>
      <c r="CQ20" s="467">
        <f>'IMS Model Summary'!L26</f>
        <v>1237.2144799642961</v>
      </c>
      <c r="CR20" s="356">
        <f>CQ20+CP20+CO20+CN20</f>
        <v>4804.2282626737342</v>
      </c>
      <c r="CS20" s="467">
        <f>'IMS Model Summary'!N26</f>
        <v>1117.8441769629489</v>
      </c>
      <c r="CT20" s="467">
        <f>'IMS Model Summary'!O26</f>
        <v>1104.5069641591613</v>
      </c>
      <c r="CU20" s="467">
        <f>'IMS Model Summary'!P26</f>
        <v>1154.8938152028418</v>
      </c>
      <c r="CV20" s="467">
        <f>'IMS Model Summary'!Q26</f>
        <v>1136.1480189819042</v>
      </c>
      <c r="CW20" s="356">
        <f>CV20+CU20+CT20+CS20</f>
        <v>4513.3929753068569</v>
      </c>
      <c r="CX20" s="467">
        <f>'IMS Model Summary'!S26</f>
        <v>984.20663103684626</v>
      </c>
      <c r="CY20" s="467">
        <f>'IMS Model Summary'!T26</f>
        <v>961.89569877205315</v>
      </c>
      <c r="CZ20" s="467">
        <f>'IMS Model Summary'!U26</f>
        <v>986.76218271637333</v>
      </c>
      <c r="DA20" s="467">
        <f>'IMS Model Summary'!V26</f>
        <v>965.63793638181403</v>
      </c>
      <c r="DB20" s="356">
        <f>DA20+CZ20+CY20+CX20</f>
        <v>3898.502448907087</v>
      </c>
      <c r="DC20" s="467">
        <f>'IMS Model Summary'!X26</f>
        <v>832.59392286586979</v>
      </c>
      <c r="DD20" s="467">
        <f>'IMS Model Summary'!Y26</f>
        <v>827.34094655499041</v>
      </c>
      <c r="DE20" s="467">
        <f>'IMS Model Summary'!Z26</f>
        <v>859.21292704932068</v>
      </c>
      <c r="DF20" s="467">
        <f>'IMS Model Summary'!AA26</f>
        <v>855.34146857035739</v>
      </c>
      <c r="DG20" s="356">
        <f>DF20+DE20+DD20+DC20</f>
        <v>3374.4892650405382</v>
      </c>
      <c r="DH20" s="467">
        <f>'IMS Model Summary'!AC26</f>
        <v>752.32993676027365</v>
      </c>
      <c r="DI20" s="467">
        <f>'IMS Model Summary'!AD26</f>
        <v>754.21897174145317</v>
      </c>
      <c r="DJ20" s="467">
        <f>'IMS Model Summary'!AE26</f>
        <v>780.1961918676725</v>
      </c>
      <c r="DK20" s="467">
        <f>'IMS Model Summary'!AF26</f>
        <v>778.61918278473388</v>
      </c>
      <c r="DL20" s="356">
        <f>DK20+DJ20+DI20+DH20</f>
        <v>3065.3642831541329</v>
      </c>
      <c r="DM20" s="467">
        <f>'IMS Model Summary'!AH26</f>
        <v>688.74219830071797</v>
      </c>
      <c r="DN20" s="467">
        <f>'IMS Model Summary'!AI26</f>
        <v>695.8412806931799</v>
      </c>
      <c r="DO20" s="467">
        <f>'IMS Model Summary'!AJ26</f>
        <v>718.17351411834238</v>
      </c>
      <c r="DP20" s="467">
        <f>'IMS Model Summary'!AK26</f>
        <v>722.7425557527722</v>
      </c>
      <c r="DQ20" s="356">
        <f>DP20+DO20+DN20+DM20</f>
        <v>2825.4995488650125</v>
      </c>
      <c r="DR20" s="467">
        <f>'IMS Model Summary'!AM26</f>
        <v>631.66966348493236</v>
      </c>
      <c r="DS20" s="467">
        <f>'IMS Model Summary'!AN26</f>
        <v>629.57169175572528</v>
      </c>
      <c r="DT20" s="467">
        <f>'IMS Model Summary'!AO26</f>
        <v>652.13662203027422</v>
      </c>
      <c r="DU20" s="467">
        <f>'IMS Model Summary'!AP26</f>
        <v>664.29109037779881</v>
      </c>
      <c r="DV20" s="356">
        <f>DU20+DT20+DS20+DR20</f>
        <v>2577.6690676487306</v>
      </c>
      <c r="DW20" s="467">
        <f>'IMS Model Summary'!AR26</f>
        <v>585.59632290459672</v>
      </c>
      <c r="DX20" s="467">
        <f>'IMS Model Summary'!AS26</f>
        <v>595.5089723702207</v>
      </c>
      <c r="DY20" s="467">
        <f>'IMS Model Summary'!AT26</f>
        <v>618.68577448070982</v>
      </c>
      <c r="DZ20" s="467">
        <f>'IMS Model Summary'!AU26</f>
        <v>627.06784059114796</v>
      </c>
      <c r="EA20" s="356">
        <f>DZ20+DY20+DX20+DW20</f>
        <v>2426.8589103466757</v>
      </c>
      <c r="EB20" s="467">
        <f>'IMS Model Summary'!AW26</f>
        <v>551.85414265116617</v>
      </c>
      <c r="EC20" s="467">
        <f>'IMS Model Summary'!AX26</f>
        <v>561.18100632915503</v>
      </c>
      <c r="ED20" s="467">
        <f>'IMS Model Summary'!AY26</f>
        <v>582.93260755678034</v>
      </c>
      <c r="EE20" s="467">
        <f>'IMS Model Summary'!AZ26</f>
        <v>590.65825079236595</v>
      </c>
      <c r="EF20" s="356">
        <f>EE20+ED20+EC20+EB20</f>
        <v>2286.6260073294675</v>
      </c>
      <c r="EG20" s="467">
        <f>'IMS Model Summary'!BB26</f>
        <v>516.82271058988943</v>
      </c>
      <c r="EH20" s="467">
        <f>'IMS Model Summary'!BC26</f>
        <v>524.96978983610143</v>
      </c>
      <c r="EI20" s="467">
        <f>'IMS Model Summary'!BD26</f>
        <v>544.71748768948657</v>
      </c>
      <c r="EJ20" s="467">
        <f>'IMS Model Summary'!BE26</f>
        <v>551.29618900064645</v>
      </c>
      <c r="EK20" s="356">
        <f>EJ20+EI20+EH20+EG20</f>
        <v>2137.8061771161238</v>
      </c>
      <c r="EL20" s="467">
        <f>'IMS Model Summary'!BG26</f>
        <v>468.17335457258775</v>
      </c>
      <c r="EM20" s="467">
        <f>'IMS Model Summary'!BH26</f>
        <v>454.9537132516096</v>
      </c>
      <c r="EN20" s="467">
        <f>'IMS Model Summary'!BI26</f>
        <v>461.03052734711446</v>
      </c>
      <c r="EO20" s="467">
        <f>'IMS Model Summary'!BJ26</f>
        <v>456.12995860530089</v>
      </c>
      <c r="EP20" s="356">
        <f>EO20+EN20+EM20+EL20</f>
        <v>1840.2875537766126</v>
      </c>
      <c r="EQ20" s="467">
        <f>'IMS Model Summary'!BL26</f>
        <v>389.09130166443572</v>
      </c>
      <c r="ER20" s="467">
        <f>'IMS Model Summary'!BM26</f>
        <v>384.43844806663395</v>
      </c>
      <c r="ES20" s="467">
        <f>'IMS Model Summary'!BN26</f>
        <v>387.86940590216108</v>
      </c>
      <c r="ET20" s="467">
        <f>'IMS Model Summary'!BO26</f>
        <v>380.7730703138734</v>
      </c>
      <c r="EU20" s="356">
        <f>ET20+ES20+ER20+EQ20</f>
        <v>1542.1722259471044</v>
      </c>
      <c r="EV20" s="467">
        <f>'IMS Model Summary'!BQ26</f>
        <v>311.08445194363424</v>
      </c>
      <c r="EW20" s="467">
        <f>'IMS Model Summary'!BR26</f>
        <v>287.32622505075778</v>
      </c>
      <c r="EX20" s="467">
        <f>'IMS Model Summary'!BS26</f>
        <v>270.2261534708731</v>
      </c>
      <c r="EY20" s="467">
        <f>'IMS Model Summary'!BT26</f>
        <v>245.13535726298977</v>
      </c>
      <c r="EZ20" s="356">
        <f>EY20+EX20+EW20+EV20</f>
        <v>1113.7721877282547</v>
      </c>
    </row>
    <row r="21" spans="2:156">
      <c r="B21" s="351" t="s">
        <v>668</v>
      </c>
      <c r="C21" s="450"/>
      <c r="D21" s="450"/>
      <c r="E21" s="450"/>
      <c r="F21" s="450"/>
      <c r="G21" s="450"/>
      <c r="H21" s="450"/>
      <c r="I21" s="450"/>
      <c r="J21" s="450"/>
      <c r="K21" s="356"/>
      <c r="L21" s="448"/>
      <c r="M21" s="448"/>
      <c r="N21" s="357"/>
      <c r="O21" s="357"/>
      <c r="P21" s="356"/>
      <c r="Q21" s="357"/>
      <c r="R21" s="357"/>
      <c r="S21" s="357"/>
      <c r="T21" s="357"/>
      <c r="U21" s="356"/>
      <c r="V21" s="357"/>
      <c r="W21" s="357"/>
      <c r="X21" s="357"/>
      <c r="Y21" s="357"/>
      <c r="Z21" s="356"/>
      <c r="AA21" s="448"/>
      <c r="AB21" s="448"/>
      <c r="AC21" s="448"/>
      <c r="AD21" s="448"/>
      <c r="AE21" s="356"/>
      <c r="AF21" s="448"/>
      <c r="AG21" s="448"/>
      <c r="AH21" s="448"/>
      <c r="AI21" s="448"/>
      <c r="AJ21" s="356"/>
      <c r="AK21" s="448"/>
      <c r="AL21" s="448"/>
      <c r="AM21" s="448"/>
      <c r="AN21" s="448"/>
      <c r="AO21" s="356"/>
      <c r="AP21" s="448"/>
      <c r="AQ21" s="448"/>
      <c r="AR21" s="448"/>
      <c r="AS21" s="448"/>
      <c r="AT21" s="356"/>
      <c r="AU21" s="358">
        <v>46</v>
      </c>
      <c r="AV21" s="358">
        <v>53</v>
      </c>
      <c r="AW21" s="358">
        <v>52</v>
      </c>
      <c r="AX21" s="358">
        <v>59</v>
      </c>
      <c r="AY21" s="356">
        <f>AX21+AW21+AV21+AU21</f>
        <v>210</v>
      </c>
      <c r="AZ21" s="358">
        <v>50</v>
      </c>
      <c r="BA21" s="358">
        <v>58</v>
      </c>
      <c r="BB21" s="358">
        <v>58</v>
      </c>
      <c r="BC21" s="358">
        <v>64</v>
      </c>
      <c r="BD21" s="356">
        <f>BC21+BB21+BA21+AZ21</f>
        <v>230</v>
      </c>
      <c r="BE21" s="358">
        <v>54</v>
      </c>
      <c r="BF21" s="358">
        <v>62</v>
      </c>
      <c r="BG21" s="358">
        <v>62</v>
      </c>
      <c r="BH21" s="358">
        <v>65</v>
      </c>
      <c r="BI21" s="356">
        <f>BH21+BG21+BF21+BE21</f>
        <v>243</v>
      </c>
      <c r="BJ21" s="358">
        <v>60</v>
      </c>
      <c r="BK21" s="358">
        <v>67</v>
      </c>
      <c r="BL21" s="358">
        <v>67</v>
      </c>
      <c r="BM21" s="358">
        <v>75</v>
      </c>
      <c r="BN21" s="356">
        <f>BM21+BL21+BK21+BJ21</f>
        <v>269</v>
      </c>
      <c r="BO21" s="467">
        <v>65</v>
      </c>
      <c r="BP21" s="467">
        <v>68</v>
      </c>
      <c r="BQ21" s="467">
        <v>82</v>
      </c>
      <c r="BR21" s="474">
        <v>80</v>
      </c>
      <c r="BS21" s="356">
        <f>BR21+BQ21+BP21+BO21</f>
        <v>295</v>
      </c>
      <c r="BT21" s="474">
        <v>64</v>
      </c>
      <c r="BU21" s="474">
        <v>72</v>
      </c>
      <c r="BV21" s="474">
        <v>72</v>
      </c>
      <c r="BW21" s="474">
        <v>76</v>
      </c>
      <c r="BX21" s="356">
        <f>BW21+BV21+BU21+BT21</f>
        <v>284</v>
      </c>
      <c r="BY21" s="474">
        <v>64</v>
      </c>
      <c r="BZ21" s="474">
        <v>68</v>
      </c>
      <c r="CA21" s="474">
        <v>67</v>
      </c>
      <c r="CB21" s="474">
        <v>66</v>
      </c>
      <c r="CC21" s="356">
        <f>SUM(BY21:CB21)</f>
        <v>265</v>
      </c>
      <c r="CD21" s="474">
        <v>59</v>
      </c>
      <c r="CE21" s="474">
        <v>61</v>
      </c>
      <c r="CF21" s="474">
        <v>64</v>
      </c>
      <c r="CG21" s="474">
        <v>62</v>
      </c>
      <c r="CH21" s="356">
        <f>CG21+CF21+CE21+CD21</f>
        <v>246</v>
      </c>
      <c r="CI21" s="474">
        <v>63</v>
      </c>
      <c r="CJ21" s="474">
        <v>55</v>
      </c>
      <c r="CK21" s="474">
        <v>54</v>
      </c>
      <c r="CL21" s="474">
        <v>55</v>
      </c>
      <c r="CM21" s="356">
        <f>CL21+CK21+CJ21+CI21</f>
        <v>227</v>
      </c>
      <c r="CN21" s="474">
        <v>55</v>
      </c>
      <c r="CO21" s="467">
        <f>CO20*CO22</f>
        <v>56.261025896276159</v>
      </c>
      <c r="CP21" s="467">
        <f>CP20*CP22</f>
        <v>57.004594325648547</v>
      </c>
      <c r="CQ21" s="467">
        <f>CQ20*CQ22</f>
        <v>55.674651598393318</v>
      </c>
      <c r="CR21" s="356">
        <f>CQ21+CP21+CO21+CN21</f>
        <v>223.94027182031803</v>
      </c>
      <c r="CS21" s="467">
        <f>CS20*CS22</f>
        <v>58.713000824620657</v>
      </c>
      <c r="CT21" s="467">
        <f>CT20*CT22</f>
        <v>58.01248477552835</v>
      </c>
      <c r="CU21" s="467">
        <f>CU20*CU22</f>
        <v>60.658974588549675</v>
      </c>
      <c r="CV21" s="467">
        <f>CV20*CV22</f>
        <v>59.674381233178501</v>
      </c>
      <c r="CW21" s="356">
        <f>CV21+CU21+CT21+CS21</f>
        <v>237.05884142187719</v>
      </c>
      <c r="CX21" s="467">
        <f>CX20*CX22</f>
        <v>51.693899678093317</v>
      </c>
      <c r="CY21" s="467">
        <f>CY20*CY22</f>
        <v>50.522053179755943</v>
      </c>
      <c r="CZ21" s="467">
        <f>CZ20*CZ22</f>
        <v>51.828125996000239</v>
      </c>
      <c r="DA21" s="467">
        <f>DA20*DA22</f>
        <v>50.718608302908045</v>
      </c>
      <c r="DB21" s="356">
        <f>DA21+CZ21+CY21+CX21</f>
        <v>204.76268715675755</v>
      </c>
      <c r="DC21" s="467">
        <f>DC20*DC22</f>
        <v>43.730681509305057</v>
      </c>
      <c r="DD21" s="467">
        <f>DD20*DD22</f>
        <v>43.45477722064981</v>
      </c>
      <c r="DE21" s="467">
        <f>DE20*DE22</f>
        <v>45.128802684672891</v>
      </c>
      <c r="DF21" s="467">
        <f>DF20*DF22</f>
        <v>44.925460439347241</v>
      </c>
      <c r="DG21" s="356">
        <f>DF21+DE21+DD21+DC21</f>
        <v>177.23972185397503</v>
      </c>
      <c r="DH21" s="467">
        <f>DH20*DH22</f>
        <v>39.514942339639546</v>
      </c>
      <c r="DI21" s="467">
        <f>DI20*DI22</f>
        <v>39.614160920094172</v>
      </c>
      <c r="DJ21" s="467">
        <f>DJ20*DJ22</f>
        <v>40.978573400942672</v>
      </c>
      <c r="DK21" s="467">
        <f>DK20*DK22</f>
        <v>40.895743488245387</v>
      </c>
      <c r="DL21" s="356">
        <f>DK21+DJ21+DI21+DH21</f>
        <v>161.0034201489218</v>
      </c>
      <c r="DM21" s="467">
        <f>DM20*DM22</f>
        <v>36.175096753329889</v>
      </c>
      <c r="DN21" s="467">
        <f>DN20*DN22</f>
        <v>36.547964849753747</v>
      </c>
      <c r="DO21" s="467">
        <f>DO20*DO22</f>
        <v>37.720930157914623</v>
      </c>
      <c r="DP21" s="467">
        <f>DP20*DP22</f>
        <v>37.960911857312873</v>
      </c>
      <c r="DQ21" s="356">
        <f>DP21+DO21+DN21+DM21</f>
        <v>148.40490361831112</v>
      </c>
      <c r="DR21" s="467">
        <f>DR20*DR22</f>
        <v>33.177451953849506</v>
      </c>
      <c r="DS21" s="467">
        <f>DS20*DS22</f>
        <v>33.067259300521364</v>
      </c>
      <c r="DT21" s="467">
        <f>DT20*DT22</f>
        <v>34.252446643373183</v>
      </c>
      <c r="DU21" s="467">
        <f>DU20*DU22</f>
        <v>34.890840906918818</v>
      </c>
      <c r="DV21" s="356">
        <f>DU21+DT21+DS21+DR21</f>
        <v>135.38799880466286</v>
      </c>
      <c r="DW21" s="467">
        <f>DW20*DW22</f>
        <v>30.757522468833336</v>
      </c>
      <c r="DX21" s="467">
        <f>DX20*DX22</f>
        <v>31.27816873442519</v>
      </c>
      <c r="DY21" s="467">
        <f>DY20*DY22</f>
        <v>32.495493679590886</v>
      </c>
      <c r="DZ21" s="467">
        <f>DZ20*DZ22</f>
        <v>32.935748470550443</v>
      </c>
      <c r="EA21" s="356">
        <f>DZ21+DY21+DX21+DW21</f>
        <v>127.46693335339987</v>
      </c>
      <c r="EB21" s="467">
        <f>EB20*EB22</f>
        <v>28.985267714663042</v>
      </c>
      <c r="EC21" s="467">
        <f>EC20*EC22</f>
        <v>29.475146506450169</v>
      </c>
      <c r="ED21" s="467">
        <f>ED20*ED22</f>
        <v>30.617615024991025</v>
      </c>
      <c r="EE21" s="467">
        <f>EE20*EE22</f>
        <v>31.023392240643773</v>
      </c>
      <c r="EF21" s="356">
        <f>EE21+ED21+EC21+EB21</f>
        <v>120.10142148674801</v>
      </c>
      <c r="EG21" s="467">
        <f>EG20*EG22</f>
        <v>27.145297044431107</v>
      </c>
      <c r="EH21" s="467">
        <f>EH20*EH22</f>
        <v>27.573209521285158</v>
      </c>
      <c r="EI21" s="467">
        <f>EI20*EI22</f>
        <v>28.610426178351119</v>
      </c>
      <c r="EJ21" s="467">
        <f>EJ20*EJ22</f>
        <v>28.955962079925946</v>
      </c>
      <c r="EK21" s="356">
        <f>EJ21+EI21+EH21+EG21</f>
        <v>112.28489482399333</v>
      </c>
      <c r="EL21" s="467">
        <f>EL20*EL22</f>
        <v>24.590066414951547</v>
      </c>
      <c r="EM21" s="467">
        <f>EM20*EM22</f>
        <v>23.895725622401613</v>
      </c>
      <c r="EN21" s="467">
        <f>EN20*EN22</f>
        <v>24.214900690227072</v>
      </c>
      <c r="EO21" s="467">
        <f>EO20*EO22</f>
        <v>23.957506052844849</v>
      </c>
      <c r="EP21" s="356">
        <f>EO21+EN21+EM21+EL21</f>
        <v>96.658198780425082</v>
      </c>
      <c r="EQ21" s="467">
        <f>EQ20*EQ22</f>
        <v>20.436406420743854</v>
      </c>
      <c r="ER21" s="467">
        <f>ER20*ER22</f>
        <v>20.192022630270678</v>
      </c>
      <c r="ES21" s="467">
        <f>ES20*ES22</f>
        <v>20.372228274651128</v>
      </c>
      <c r="ET21" s="467">
        <f>ET20*ET22</f>
        <v>19.999504449780563</v>
      </c>
      <c r="EU21" s="356">
        <f>ET21+ES21+ER21+EQ21</f>
        <v>81.00016177544623</v>
      </c>
      <c r="EV21" s="467">
        <f>EV20*EV22</f>
        <v>16.339219776692229</v>
      </c>
      <c r="EW21" s="467">
        <f>EW20*EW22</f>
        <v>15.091356412638389</v>
      </c>
      <c r="EX21" s="467">
        <f>EX20*EX22</f>
        <v>14.193202146183665</v>
      </c>
      <c r="EY21" s="467">
        <f>EY20*EY22</f>
        <v>12.875347682383323</v>
      </c>
      <c r="EZ21" s="356">
        <f>EY21+EX21+EW21+EV21</f>
        <v>58.499126017897609</v>
      </c>
    </row>
    <row r="22" spans="2:156">
      <c r="B22" s="453"/>
      <c r="C22" s="450"/>
      <c r="D22" s="450"/>
      <c r="E22" s="450"/>
      <c r="F22" s="450"/>
      <c r="G22" s="450"/>
      <c r="H22" s="450"/>
      <c r="I22" s="450"/>
      <c r="J22" s="450"/>
      <c r="K22" s="356"/>
      <c r="L22" s="448"/>
      <c r="M22" s="448"/>
      <c r="N22" s="357"/>
      <c r="O22" s="357"/>
      <c r="P22" s="356"/>
      <c r="Q22" s="357"/>
      <c r="R22" s="357"/>
      <c r="S22" s="357"/>
      <c r="T22" s="357"/>
      <c r="U22" s="356"/>
      <c r="V22" s="357"/>
      <c r="W22" s="357"/>
      <c r="X22" s="357"/>
      <c r="Y22" s="357"/>
      <c r="Z22" s="356"/>
      <c r="AA22" s="448"/>
      <c r="AB22" s="448"/>
      <c r="AC22" s="448"/>
      <c r="AD22" s="448"/>
      <c r="AE22" s="356"/>
      <c r="AF22" s="448"/>
      <c r="AG22" s="448"/>
      <c r="AH22" s="448"/>
      <c r="AI22" s="448"/>
      <c r="AJ22" s="356"/>
      <c r="AK22" s="448"/>
      <c r="AL22" s="448"/>
      <c r="AM22" s="448"/>
      <c r="AN22" s="448"/>
      <c r="AO22" s="356"/>
      <c r="AP22" s="448"/>
      <c r="AQ22" s="448"/>
      <c r="AR22" s="448"/>
      <c r="AS22" s="448"/>
      <c r="AT22" s="356"/>
      <c r="AU22" s="358"/>
      <c r="AV22" s="358"/>
      <c r="AW22" s="358"/>
      <c r="AX22" s="358"/>
      <c r="AY22" s="356"/>
      <c r="AZ22" s="358"/>
      <c r="BA22" s="358"/>
      <c r="BB22" s="358"/>
      <c r="BC22" s="358"/>
      <c r="BD22" s="356"/>
      <c r="BE22" s="83">
        <f>BE21/BE20</f>
        <v>6.5773447015834346E-2</v>
      </c>
      <c r="BF22" s="83">
        <f>BF21/BF20</f>
        <v>6.9351230425055935E-2</v>
      </c>
      <c r="BG22" s="83">
        <f>BG21/BG20</f>
        <v>7.1842410196987255E-2</v>
      </c>
      <c r="BH22" s="83">
        <v>7.0000000000000007E-2</v>
      </c>
      <c r="BI22" s="452">
        <f>AVERAGE(BE22:BH22)</f>
        <v>6.9241771909469396E-2</v>
      </c>
      <c r="BJ22" s="83">
        <f>BJ21/BJ20</f>
        <v>6.8337129840546698E-2</v>
      </c>
      <c r="BK22" s="83">
        <f>BK21/BK20</f>
        <v>6.7608476286579219E-2</v>
      </c>
      <c r="BL22" s="83">
        <f>BL21/BL20</f>
        <v>6.6205533596837951E-2</v>
      </c>
      <c r="BM22" s="83">
        <v>7.0000000000000007E-2</v>
      </c>
      <c r="BN22" s="452">
        <f>AVERAGE(BJ22:BM22)</f>
        <v>6.8037784930990969E-2</v>
      </c>
      <c r="BO22" s="468">
        <f>BO21/BO20</f>
        <v>6.6735112936344973E-2</v>
      </c>
      <c r="BP22" s="468">
        <f>BP21/BP20</f>
        <v>6.2442607897153349E-2</v>
      </c>
      <c r="BQ22" s="468">
        <f>BQ21/BQ20</f>
        <v>7.6421248835041936E-2</v>
      </c>
      <c r="BR22" s="468">
        <f>BR21/BR20</f>
        <v>7.1428571428571425E-2</v>
      </c>
      <c r="BS22" s="452">
        <f>AVERAGE(BO22:BR22)</f>
        <v>6.9256885274277924E-2</v>
      </c>
      <c r="BT22" s="468">
        <f>BT21/BT20</f>
        <v>6.9264069264069264E-2</v>
      </c>
      <c r="BU22" s="468">
        <f>BU21/BU20</f>
        <v>6.1485909479077713E-2</v>
      </c>
      <c r="BV22" s="468">
        <f>BV21/BV20</f>
        <v>6.8702290076335881E-2</v>
      </c>
      <c r="BW22" s="468">
        <f>BW21/BW20</f>
        <v>6.0269627279936559E-2</v>
      </c>
      <c r="BX22" s="452">
        <f>AVERAGE(BT22:BW22)</f>
        <v>6.4930474024854856E-2</v>
      </c>
      <c r="BY22" s="468">
        <f>BY21/BY20</f>
        <v>6.0836501901140684E-2</v>
      </c>
      <c r="BZ22" s="468">
        <f>BZ21/BZ20</f>
        <v>5.3124999999999999E-2</v>
      </c>
      <c r="CA22" s="468">
        <f>CA21/CA20</f>
        <v>4.8132183908045974E-2</v>
      </c>
      <c r="CB22" s="468">
        <f>CB21/CB20</f>
        <v>4.8000000000000001E-2</v>
      </c>
      <c r="CC22" s="452">
        <f>AVERAGE(BY22:CB22)</f>
        <v>5.2523421452296659E-2</v>
      </c>
      <c r="CD22" s="468">
        <f t="shared" ref="CD22:CL22" si="23">CD21/CD20</f>
        <v>4.4494720965309202E-2</v>
      </c>
      <c r="CE22" s="468">
        <f t="shared" si="23"/>
        <v>4.286718200983837E-2</v>
      </c>
      <c r="CF22" s="468">
        <f t="shared" si="23"/>
        <v>4.6109510086455328E-2</v>
      </c>
      <c r="CG22" s="468">
        <f t="shared" si="23"/>
        <v>3.9190897597977246E-2</v>
      </c>
      <c r="CH22" s="452">
        <f>CC22</f>
        <v>5.2523421452296659E-2</v>
      </c>
      <c r="CI22" s="468">
        <f t="shared" si="23"/>
        <v>5.635062611806798E-2</v>
      </c>
      <c r="CJ22" s="468">
        <f t="shared" si="23"/>
        <v>3.8979447200566973E-2</v>
      </c>
      <c r="CK22" s="468">
        <f t="shared" si="23"/>
        <v>4.1252864782276549E-2</v>
      </c>
      <c r="CL22" s="468">
        <f t="shared" si="23"/>
        <v>4.0204678362573097E-2</v>
      </c>
      <c r="CM22" s="452">
        <f>CH22</f>
        <v>5.2523421452296659E-2</v>
      </c>
      <c r="CN22" s="468">
        <f t="shared" ref="CN22" si="24">CN21/CN20</f>
        <v>5.2380952380952382E-2</v>
      </c>
      <c r="CO22" s="468">
        <v>4.4999999999999998E-2</v>
      </c>
      <c r="CP22" s="468">
        <f>CO22</f>
        <v>4.4999999999999998E-2</v>
      </c>
      <c r="CQ22" s="468">
        <f>CP22</f>
        <v>4.4999999999999998E-2</v>
      </c>
      <c r="CR22" s="452">
        <f>CM22</f>
        <v>5.2523421452296659E-2</v>
      </c>
      <c r="CS22" s="468">
        <f>CW22</f>
        <v>5.2523421452296659E-2</v>
      </c>
      <c r="CT22" s="468">
        <f>CS22</f>
        <v>5.2523421452296659E-2</v>
      </c>
      <c r="CU22" s="468">
        <f>CT22</f>
        <v>5.2523421452296659E-2</v>
      </c>
      <c r="CV22" s="468">
        <f>CU22</f>
        <v>5.2523421452296659E-2</v>
      </c>
      <c r="CW22" s="452">
        <f>CR22</f>
        <v>5.2523421452296659E-2</v>
      </c>
      <c r="CX22" s="468">
        <f>DB22</f>
        <v>5.2523421452296659E-2</v>
      </c>
      <c r="CY22" s="468">
        <f>CX22</f>
        <v>5.2523421452296659E-2</v>
      </c>
      <c r="CZ22" s="468">
        <f>CY22</f>
        <v>5.2523421452296659E-2</v>
      </c>
      <c r="DA22" s="468">
        <f>CZ22</f>
        <v>5.2523421452296659E-2</v>
      </c>
      <c r="DB22" s="452">
        <f>CW22</f>
        <v>5.2523421452296659E-2</v>
      </c>
      <c r="DC22" s="468">
        <f>DG22</f>
        <v>5.2523421452296659E-2</v>
      </c>
      <c r="DD22" s="468">
        <f>DC22</f>
        <v>5.2523421452296659E-2</v>
      </c>
      <c r="DE22" s="468">
        <f>DD22</f>
        <v>5.2523421452296659E-2</v>
      </c>
      <c r="DF22" s="468">
        <f>DE22</f>
        <v>5.2523421452296659E-2</v>
      </c>
      <c r="DG22" s="452">
        <f>DB22</f>
        <v>5.2523421452296659E-2</v>
      </c>
      <c r="DH22" s="468">
        <f>DL22</f>
        <v>5.2523421452296659E-2</v>
      </c>
      <c r="DI22" s="468">
        <f>DH22</f>
        <v>5.2523421452296659E-2</v>
      </c>
      <c r="DJ22" s="468">
        <f>DI22</f>
        <v>5.2523421452296659E-2</v>
      </c>
      <c r="DK22" s="468">
        <f>DJ22</f>
        <v>5.2523421452296659E-2</v>
      </c>
      <c r="DL22" s="452">
        <f>DG22</f>
        <v>5.2523421452296659E-2</v>
      </c>
      <c r="DM22" s="468">
        <f>DQ22</f>
        <v>5.2523421452296659E-2</v>
      </c>
      <c r="DN22" s="468">
        <f>DM22</f>
        <v>5.2523421452296659E-2</v>
      </c>
      <c r="DO22" s="468">
        <f>DN22</f>
        <v>5.2523421452296659E-2</v>
      </c>
      <c r="DP22" s="468">
        <f>DO22</f>
        <v>5.2523421452296659E-2</v>
      </c>
      <c r="DQ22" s="452">
        <f>DL22</f>
        <v>5.2523421452296659E-2</v>
      </c>
      <c r="DR22" s="468">
        <f>DV22</f>
        <v>5.2523421452296659E-2</v>
      </c>
      <c r="DS22" s="468">
        <f>DR22</f>
        <v>5.2523421452296659E-2</v>
      </c>
      <c r="DT22" s="468">
        <f>DS22</f>
        <v>5.2523421452296659E-2</v>
      </c>
      <c r="DU22" s="468">
        <f>DT22</f>
        <v>5.2523421452296659E-2</v>
      </c>
      <c r="DV22" s="452">
        <f>DQ22</f>
        <v>5.2523421452296659E-2</v>
      </c>
      <c r="DW22" s="468">
        <f>EA22</f>
        <v>5.2523421452296659E-2</v>
      </c>
      <c r="DX22" s="468">
        <f>DW22</f>
        <v>5.2523421452296659E-2</v>
      </c>
      <c r="DY22" s="468">
        <f>DX22</f>
        <v>5.2523421452296659E-2</v>
      </c>
      <c r="DZ22" s="468">
        <f>DY22</f>
        <v>5.2523421452296659E-2</v>
      </c>
      <c r="EA22" s="452">
        <f>DV22</f>
        <v>5.2523421452296659E-2</v>
      </c>
      <c r="EB22" s="468">
        <f>EF22</f>
        <v>5.2523421452296659E-2</v>
      </c>
      <c r="EC22" s="468">
        <f>EB22</f>
        <v>5.2523421452296659E-2</v>
      </c>
      <c r="ED22" s="468">
        <f>EC22</f>
        <v>5.2523421452296659E-2</v>
      </c>
      <c r="EE22" s="468">
        <f>ED22</f>
        <v>5.2523421452296659E-2</v>
      </c>
      <c r="EF22" s="452">
        <f>EA22</f>
        <v>5.2523421452296659E-2</v>
      </c>
      <c r="EG22" s="468">
        <f>EK22</f>
        <v>5.2523421452296659E-2</v>
      </c>
      <c r="EH22" s="468">
        <f>EG22</f>
        <v>5.2523421452296659E-2</v>
      </c>
      <c r="EI22" s="468">
        <f>EH22</f>
        <v>5.2523421452296659E-2</v>
      </c>
      <c r="EJ22" s="468">
        <f>EI22</f>
        <v>5.2523421452296659E-2</v>
      </c>
      <c r="EK22" s="452">
        <f>EF22</f>
        <v>5.2523421452296659E-2</v>
      </c>
      <c r="EL22" s="468">
        <f>EP22</f>
        <v>5.2523421452296659E-2</v>
      </c>
      <c r="EM22" s="468">
        <f>EL22</f>
        <v>5.2523421452296659E-2</v>
      </c>
      <c r="EN22" s="468">
        <f>EM22</f>
        <v>5.2523421452296659E-2</v>
      </c>
      <c r="EO22" s="468">
        <f>EN22</f>
        <v>5.2523421452296659E-2</v>
      </c>
      <c r="EP22" s="452">
        <f>EK22</f>
        <v>5.2523421452296659E-2</v>
      </c>
      <c r="EQ22" s="468">
        <f>EU22</f>
        <v>5.2523421452296659E-2</v>
      </c>
      <c r="ER22" s="468">
        <f>EQ22</f>
        <v>5.2523421452296659E-2</v>
      </c>
      <c r="ES22" s="468">
        <f>ER22</f>
        <v>5.2523421452296659E-2</v>
      </c>
      <c r="ET22" s="468">
        <f>ES22</f>
        <v>5.2523421452296659E-2</v>
      </c>
      <c r="EU22" s="452">
        <f>EP22</f>
        <v>5.2523421452296659E-2</v>
      </c>
      <c r="EV22" s="468">
        <f>EZ22</f>
        <v>5.2523421452296659E-2</v>
      </c>
      <c r="EW22" s="468">
        <f>EV22</f>
        <v>5.2523421452296659E-2</v>
      </c>
      <c r="EX22" s="468">
        <f>EW22</f>
        <v>5.2523421452296659E-2</v>
      </c>
      <c r="EY22" s="468">
        <f>EX22</f>
        <v>5.2523421452296659E-2</v>
      </c>
      <c r="EZ22" s="452">
        <f>EU22</f>
        <v>5.2523421452296659E-2</v>
      </c>
    </row>
    <row r="23" spans="2:156" s="4" customFormat="1">
      <c r="B23" s="18" t="s">
        <v>47</v>
      </c>
      <c r="C23" s="23"/>
      <c r="D23" s="23"/>
      <c r="E23" s="23"/>
      <c r="F23" s="23"/>
      <c r="G23" s="23"/>
      <c r="H23" s="23"/>
      <c r="I23" s="23"/>
      <c r="J23" s="23"/>
      <c r="K23" s="23"/>
      <c r="L23" s="22"/>
      <c r="M23" s="22"/>
      <c r="N23" s="22"/>
      <c r="O23" s="22"/>
      <c r="P23" s="23"/>
      <c r="Q23" s="22"/>
      <c r="R23" s="22"/>
      <c r="S23" s="22"/>
      <c r="T23" s="22"/>
      <c r="U23" s="23"/>
      <c r="V23" s="22"/>
      <c r="W23" s="22">
        <f t="shared" ref="W23:BO23" si="25">W24+W25</f>
        <v>7</v>
      </c>
      <c r="X23" s="22">
        <f t="shared" si="25"/>
        <v>10</v>
      </c>
      <c r="Y23" s="22">
        <f t="shared" si="25"/>
        <v>19</v>
      </c>
      <c r="Z23" s="23">
        <f t="shared" si="25"/>
        <v>36</v>
      </c>
      <c r="AA23" s="22">
        <f t="shared" si="25"/>
        <v>27</v>
      </c>
      <c r="AB23" s="22">
        <f t="shared" si="25"/>
        <v>36</v>
      </c>
      <c r="AC23" s="22">
        <f t="shared" si="25"/>
        <v>43</v>
      </c>
      <c r="AD23" s="22">
        <f t="shared" si="25"/>
        <v>51</v>
      </c>
      <c r="AE23" s="23">
        <f t="shared" si="25"/>
        <v>157</v>
      </c>
      <c r="AF23" s="22">
        <f t="shared" si="25"/>
        <v>61</v>
      </c>
      <c r="AG23" s="22">
        <f t="shared" si="25"/>
        <v>79</v>
      </c>
      <c r="AH23" s="22">
        <f t="shared" si="25"/>
        <v>83</v>
      </c>
      <c r="AI23" s="22">
        <f t="shared" si="25"/>
        <v>98</v>
      </c>
      <c r="AJ23" s="23">
        <f t="shared" si="25"/>
        <v>321</v>
      </c>
      <c r="AK23" s="22">
        <f t="shared" si="25"/>
        <v>105</v>
      </c>
      <c r="AL23" s="22">
        <f t="shared" si="25"/>
        <v>108</v>
      </c>
      <c r="AM23" s="22">
        <f t="shared" si="25"/>
        <v>122</v>
      </c>
      <c r="AN23" s="22">
        <f t="shared" si="25"/>
        <v>128</v>
      </c>
      <c r="AO23" s="23">
        <f t="shared" si="25"/>
        <v>463</v>
      </c>
      <c r="AP23" s="22">
        <f t="shared" si="25"/>
        <v>133</v>
      </c>
      <c r="AQ23" s="22">
        <f t="shared" si="25"/>
        <v>150</v>
      </c>
      <c r="AR23" s="22">
        <f t="shared" si="25"/>
        <v>161</v>
      </c>
      <c r="AS23" s="22">
        <f t="shared" si="25"/>
        <v>153</v>
      </c>
      <c r="AT23" s="23">
        <f t="shared" si="25"/>
        <v>597</v>
      </c>
      <c r="AU23" s="22">
        <f t="shared" si="25"/>
        <v>148</v>
      </c>
      <c r="AV23" s="22">
        <f t="shared" si="25"/>
        <v>167</v>
      </c>
      <c r="AW23" s="22">
        <f t="shared" si="25"/>
        <v>165</v>
      </c>
      <c r="AX23" s="22">
        <f t="shared" si="25"/>
        <v>171</v>
      </c>
      <c r="AY23" s="23">
        <f t="shared" si="25"/>
        <v>651</v>
      </c>
      <c r="AZ23" s="22">
        <f t="shared" si="25"/>
        <v>179</v>
      </c>
      <c r="BA23" s="22">
        <f t="shared" si="25"/>
        <v>172</v>
      </c>
      <c r="BB23" s="22">
        <f t="shared" si="25"/>
        <v>175</v>
      </c>
      <c r="BC23" s="22">
        <f t="shared" si="25"/>
        <v>188</v>
      </c>
      <c r="BD23" s="23">
        <f t="shared" si="25"/>
        <v>714</v>
      </c>
      <c r="BE23" s="22">
        <f t="shared" si="25"/>
        <v>187</v>
      </c>
      <c r="BF23" s="22">
        <f t="shared" si="25"/>
        <v>199</v>
      </c>
      <c r="BG23" s="22">
        <f t="shared" si="25"/>
        <v>206</v>
      </c>
      <c r="BH23" s="22">
        <f t="shared" si="25"/>
        <v>216</v>
      </c>
      <c r="BI23" s="23">
        <f t="shared" si="25"/>
        <v>808</v>
      </c>
      <c r="BJ23" s="22">
        <f t="shared" si="25"/>
        <v>219</v>
      </c>
      <c r="BK23" s="22">
        <f t="shared" si="25"/>
        <v>232</v>
      </c>
      <c r="BL23" s="22">
        <f t="shared" si="25"/>
        <v>243</v>
      </c>
      <c r="BM23" s="22">
        <f t="shared" si="25"/>
        <v>256</v>
      </c>
      <c r="BN23" s="23">
        <f t="shared" si="25"/>
        <v>950</v>
      </c>
      <c r="BO23" s="465">
        <f t="shared" si="25"/>
        <v>264</v>
      </c>
      <c r="BP23" s="465">
        <f t="shared" ref="BP23:EA23" si="26">BP24+BP25</f>
        <v>259</v>
      </c>
      <c r="BQ23" s="465">
        <f t="shared" si="26"/>
        <v>259</v>
      </c>
      <c r="BR23" s="465">
        <f t="shared" si="26"/>
        <v>307</v>
      </c>
      <c r="BS23" s="23">
        <f t="shared" si="26"/>
        <v>1089</v>
      </c>
      <c r="BT23" s="465">
        <f t="shared" si="26"/>
        <v>270</v>
      </c>
      <c r="BU23" s="465">
        <f t="shared" si="26"/>
        <v>298</v>
      </c>
      <c r="BV23" s="465">
        <f t="shared" si="26"/>
        <v>273</v>
      </c>
      <c r="BW23" s="465">
        <f t="shared" si="26"/>
        <v>317</v>
      </c>
      <c r="BX23" s="23">
        <f t="shared" si="26"/>
        <v>1158</v>
      </c>
      <c r="BY23" s="465">
        <f t="shared" si="26"/>
        <v>334</v>
      </c>
      <c r="BZ23" s="465">
        <f t="shared" si="26"/>
        <v>344</v>
      </c>
      <c r="CA23" s="465">
        <f t="shared" si="26"/>
        <v>353</v>
      </c>
      <c r="CB23" s="465">
        <f t="shared" si="26"/>
        <v>384</v>
      </c>
      <c r="CC23" s="23">
        <f t="shared" si="26"/>
        <v>1415</v>
      </c>
      <c r="CD23" s="465">
        <f t="shared" si="26"/>
        <v>367</v>
      </c>
      <c r="CE23" s="465">
        <f t="shared" si="26"/>
        <v>389</v>
      </c>
      <c r="CF23" s="465">
        <f t="shared" si="26"/>
        <v>415</v>
      </c>
      <c r="CG23" s="465">
        <f t="shared" si="26"/>
        <v>411</v>
      </c>
      <c r="CH23" s="23">
        <f t="shared" si="26"/>
        <v>1582</v>
      </c>
      <c r="CI23" s="465">
        <f t="shared" si="26"/>
        <v>421</v>
      </c>
      <c r="CJ23" s="465">
        <f t="shared" si="26"/>
        <v>427</v>
      </c>
      <c r="CK23" s="465">
        <f t="shared" si="26"/>
        <v>457</v>
      </c>
      <c r="CL23" s="465">
        <f t="shared" si="26"/>
        <v>413</v>
      </c>
      <c r="CM23" s="23">
        <f t="shared" si="26"/>
        <v>1718</v>
      </c>
      <c r="CN23" s="465">
        <f t="shared" si="26"/>
        <v>497</v>
      </c>
      <c r="CO23" s="465">
        <f t="shared" si="26"/>
        <v>404.36422706949395</v>
      </c>
      <c r="CP23" s="465">
        <f t="shared" si="26"/>
        <v>374.99252354444451</v>
      </c>
      <c r="CQ23" s="465">
        <f t="shared" si="26"/>
        <v>268.70878399245561</v>
      </c>
      <c r="CR23" s="23">
        <f t="shared" si="26"/>
        <v>1545.0655346063941</v>
      </c>
      <c r="CS23" s="465">
        <f t="shared" si="26"/>
        <v>891.69635977406642</v>
      </c>
      <c r="CT23" s="465">
        <f t="shared" si="26"/>
        <v>714.74319297252464</v>
      </c>
      <c r="CU23" s="465">
        <f t="shared" si="26"/>
        <v>511.58964415899135</v>
      </c>
      <c r="CV23" s="465">
        <f t="shared" si="26"/>
        <v>365.88999399103716</v>
      </c>
      <c r="CW23" s="23">
        <f t="shared" si="26"/>
        <v>626.86733359072684</v>
      </c>
      <c r="CX23" s="465">
        <f t="shared" si="26"/>
        <v>340.75136753442149</v>
      </c>
      <c r="CY23" s="465">
        <f t="shared" si="26"/>
        <v>299.7950135651646</v>
      </c>
      <c r="CZ23" s="465">
        <f t="shared" si="26"/>
        <v>251.97997814992254</v>
      </c>
      <c r="DA23" s="465">
        <f t="shared" si="26"/>
        <v>211.62121903156589</v>
      </c>
      <c r="DB23" s="23">
        <f t="shared" si="26"/>
        <v>259.56829952698422</v>
      </c>
      <c r="DC23" s="465">
        <f t="shared" si="26"/>
        <v>165.88510532784204</v>
      </c>
      <c r="DD23" s="465">
        <f t="shared" si="26"/>
        <v>145.84043973242788</v>
      </c>
      <c r="DE23" s="465">
        <f t="shared" si="26"/>
        <v>120.03878705786612</v>
      </c>
      <c r="DF23" s="465">
        <f t="shared" si="26"/>
        <v>100.7352830362621</v>
      </c>
      <c r="DG23" s="23">
        <f t="shared" si="26"/>
        <v>97.216993595349123</v>
      </c>
      <c r="DH23" s="465">
        <f t="shared" si="26"/>
        <v>78.900665245960312</v>
      </c>
      <c r="DI23" s="465">
        <f t="shared" si="26"/>
        <v>69.310308036936846</v>
      </c>
      <c r="DJ23" s="465">
        <f t="shared" si="26"/>
        <v>57.000507119680435</v>
      </c>
      <c r="DK23" s="465">
        <f t="shared" si="26"/>
        <v>47.793101143227567</v>
      </c>
      <c r="DL23" s="23">
        <f t="shared" si="26"/>
        <v>253.00458154580517</v>
      </c>
      <c r="DM23" s="465">
        <f t="shared" si="26"/>
        <v>36.636784817280585</v>
      </c>
      <c r="DN23" s="465">
        <f t="shared" si="26"/>
        <v>32.15414447054895</v>
      </c>
      <c r="DO23" s="465">
        <f t="shared" si="26"/>
        <v>25.879401652880027</v>
      </c>
      <c r="DP23" s="465">
        <f t="shared" si="26"/>
        <v>21.677991502423744</v>
      </c>
      <c r="DQ23" s="23">
        <f t="shared" si="26"/>
        <v>116.3483224431333</v>
      </c>
      <c r="DR23" s="465">
        <f t="shared" si="26"/>
        <v>16.600750833728029</v>
      </c>
      <c r="DS23" s="465">
        <f t="shared" si="26"/>
        <v>14.554483609901688</v>
      </c>
      <c r="DT23" s="465">
        <f t="shared" si="26"/>
        <v>11.701725568643388</v>
      </c>
      <c r="DU23" s="465">
        <f t="shared" si="26"/>
        <v>9.791177441598327</v>
      </c>
      <c r="DV23" s="23">
        <f t="shared" si="26"/>
        <v>52.648137453871428</v>
      </c>
      <c r="DW23" s="465">
        <f t="shared" si="26"/>
        <v>7.4892437193235359</v>
      </c>
      <c r="DX23" s="465">
        <f t="shared" si="26"/>
        <v>6.5583135854914252</v>
      </c>
      <c r="DY23" s="465">
        <f t="shared" si="26"/>
        <v>5.2663977373470683</v>
      </c>
      <c r="DZ23" s="465">
        <f t="shared" si="26"/>
        <v>4.4009643259799436</v>
      </c>
      <c r="EA23" s="23">
        <f t="shared" si="26"/>
        <v>23.714919368141974</v>
      </c>
      <c r="EB23" s="465">
        <f t="shared" ref="EB23:EZ23" si="27">EB24+EB25</f>
        <v>3.4392254586983753</v>
      </c>
      <c r="EC23" s="465">
        <f t="shared" si="27"/>
        <v>3.0657907019573103</v>
      </c>
      <c r="ED23" s="465">
        <f t="shared" si="27"/>
        <v>2.5067501119959497</v>
      </c>
      <c r="EE23" s="465">
        <f t="shared" si="27"/>
        <v>2.1337255775138351</v>
      </c>
      <c r="EF23" s="23">
        <f t="shared" si="27"/>
        <v>11.14549185016547</v>
      </c>
      <c r="EG23" s="465">
        <f t="shared" si="27"/>
        <v>1.7573221130865782</v>
      </c>
      <c r="EH23" s="465">
        <f t="shared" si="27"/>
        <v>1.5665102097388557</v>
      </c>
      <c r="EI23" s="465">
        <f t="shared" si="27"/>
        <v>1.3342294946124591</v>
      </c>
      <c r="EJ23" s="465">
        <f t="shared" si="27"/>
        <v>1.1356854380116854</v>
      </c>
      <c r="EK23" s="23">
        <f t="shared" si="27"/>
        <v>5.7937472554495786</v>
      </c>
      <c r="EL23" s="465">
        <f t="shared" si="27"/>
        <v>0.94009086376816364</v>
      </c>
      <c r="EM23" s="465">
        <f t="shared" si="27"/>
        <v>0.83801479831631454</v>
      </c>
      <c r="EN23" s="465">
        <f t="shared" si="27"/>
        <v>0.71375472300415499</v>
      </c>
      <c r="EO23" s="465">
        <f t="shared" si="27"/>
        <v>0.60754229201276233</v>
      </c>
      <c r="EP23" s="23">
        <f t="shared" si="27"/>
        <v>3.0994026771013954</v>
      </c>
      <c r="EQ23" s="465">
        <f t="shared" si="27"/>
        <v>0.5029077057410426</v>
      </c>
      <c r="ER23" s="465">
        <f t="shared" si="27"/>
        <v>0.44830145238198255</v>
      </c>
      <c r="ES23" s="465">
        <f t="shared" si="27"/>
        <v>0.38182771904522467</v>
      </c>
      <c r="ET23" s="465">
        <f t="shared" si="27"/>
        <v>0.32500869010906774</v>
      </c>
      <c r="EU23" s="23">
        <f t="shared" si="27"/>
        <v>1.6580455672773176</v>
      </c>
      <c r="EV23" s="465">
        <f t="shared" si="27"/>
        <v>0.27175125196044536</v>
      </c>
      <c r="EW23" s="465">
        <f t="shared" si="27"/>
        <v>0.24224421210841546</v>
      </c>
      <c r="EX23" s="465">
        <f t="shared" si="27"/>
        <v>0.20632445973530222</v>
      </c>
      <c r="EY23" s="465">
        <f t="shared" si="27"/>
        <v>0.17562172427845457</v>
      </c>
      <c r="EZ23" s="23">
        <f t="shared" si="27"/>
        <v>0.89594164808261756</v>
      </c>
    </row>
    <row r="24" spans="2:156">
      <c r="B24" s="351" t="s">
        <v>905</v>
      </c>
      <c r="C24" s="450"/>
      <c r="D24" s="450"/>
      <c r="E24" s="450"/>
      <c r="F24" s="450"/>
      <c r="G24" s="450"/>
      <c r="H24" s="450"/>
      <c r="I24" s="450"/>
      <c r="J24" s="450"/>
      <c r="K24" s="356"/>
      <c r="L24" s="448"/>
      <c r="M24" s="448"/>
      <c r="N24" s="448"/>
      <c r="O24" s="448"/>
      <c r="P24" s="356"/>
      <c r="Q24" s="448"/>
      <c r="R24" s="448"/>
      <c r="S24" s="448"/>
      <c r="T24" s="357"/>
      <c r="U24" s="356"/>
      <c r="V24" s="448"/>
      <c r="W24" s="448">
        <v>7</v>
      </c>
      <c r="X24" s="448">
        <v>10</v>
      </c>
      <c r="Y24" s="448">
        <v>18</v>
      </c>
      <c r="Z24" s="356">
        <f>Y24+X24+W24+V24</f>
        <v>35</v>
      </c>
      <c r="AA24" s="448">
        <v>24</v>
      </c>
      <c r="AB24" s="448">
        <v>28</v>
      </c>
      <c r="AC24" s="448">
        <v>33</v>
      </c>
      <c r="AD24" s="448">
        <v>37</v>
      </c>
      <c r="AE24" s="356">
        <f>AD24+AC24+AB24+AA24</f>
        <v>122</v>
      </c>
      <c r="AF24" s="448">
        <v>45</v>
      </c>
      <c r="AG24" s="448">
        <v>57</v>
      </c>
      <c r="AH24" s="448">
        <v>61</v>
      </c>
      <c r="AI24" s="448">
        <v>75</v>
      </c>
      <c r="AJ24" s="356">
        <f>AI24+AH24+AG24+AF24</f>
        <v>238</v>
      </c>
      <c r="AK24" s="448">
        <v>77</v>
      </c>
      <c r="AL24" s="448">
        <v>76</v>
      </c>
      <c r="AM24" s="448">
        <v>88</v>
      </c>
      <c r="AN24" s="448">
        <v>92</v>
      </c>
      <c r="AO24" s="356">
        <f>AN24+AM24+AL24+AK24</f>
        <v>333</v>
      </c>
      <c r="AP24" s="448">
        <v>93</v>
      </c>
      <c r="AQ24" s="448">
        <v>102</v>
      </c>
      <c r="AR24" s="448">
        <v>111</v>
      </c>
      <c r="AS24" s="448">
        <v>106</v>
      </c>
      <c r="AT24" s="356">
        <f>AS24+AR24+AQ24+AP24</f>
        <v>412</v>
      </c>
      <c r="AU24" s="358">
        <v>99</v>
      </c>
      <c r="AV24" s="358">
        <v>113</v>
      </c>
      <c r="AW24" s="358">
        <v>108</v>
      </c>
      <c r="AX24" s="358">
        <v>109</v>
      </c>
      <c r="AY24" s="356">
        <f>AX24+AW24+AV24+AU24</f>
        <v>429</v>
      </c>
      <c r="AZ24" s="358">
        <v>117</v>
      </c>
      <c r="BA24" s="358">
        <v>112</v>
      </c>
      <c r="BB24" s="358">
        <v>115</v>
      </c>
      <c r="BC24" s="358">
        <v>115</v>
      </c>
      <c r="BD24" s="356">
        <f>BC24+BB24+BA24+AZ24</f>
        <v>459</v>
      </c>
      <c r="BE24" s="358">
        <v>116</v>
      </c>
      <c r="BF24" s="358">
        <v>124</v>
      </c>
      <c r="BG24" s="358">
        <v>135</v>
      </c>
      <c r="BH24" s="358">
        <v>143</v>
      </c>
      <c r="BI24" s="356">
        <f>BH24+BG24+BF24+BE24</f>
        <v>518</v>
      </c>
      <c r="BJ24" s="358">
        <v>140</v>
      </c>
      <c r="BK24" s="358">
        <v>150</v>
      </c>
      <c r="BL24" s="358">
        <v>172</v>
      </c>
      <c r="BM24" s="358">
        <v>177</v>
      </c>
      <c r="BN24" s="356">
        <f>BM24+BL24+BK24+BJ24</f>
        <v>639</v>
      </c>
      <c r="BO24" s="467">
        <v>179</v>
      </c>
      <c r="BP24" s="467">
        <v>178</v>
      </c>
      <c r="BQ24" s="467">
        <v>183</v>
      </c>
      <c r="BR24" s="474">
        <v>217</v>
      </c>
      <c r="BS24" s="356">
        <f>BR24+BQ24+BP24+BO24</f>
        <v>757</v>
      </c>
      <c r="BT24" s="474">
        <v>178</v>
      </c>
      <c r="BU24" s="474">
        <v>204</v>
      </c>
      <c r="BV24" s="474">
        <v>185</v>
      </c>
      <c r="BW24" s="474">
        <v>229</v>
      </c>
      <c r="BX24" s="356">
        <f>BW24+BV24+BU24+BT24</f>
        <v>796</v>
      </c>
      <c r="BY24" s="474">
        <v>241</v>
      </c>
      <c r="BZ24" s="474">
        <v>261</v>
      </c>
      <c r="CA24" s="474">
        <v>268</v>
      </c>
      <c r="CB24" s="474">
        <v>299</v>
      </c>
      <c r="CC24" s="356">
        <f>SUM(BY24:CB24)</f>
        <v>1069</v>
      </c>
      <c r="CD24" s="474">
        <v>278</v>
      </c>
      <c r="CE24" s="474">
        <v>303</v>
      </c>
      <c r="CF24" s="474">
        <v>329</v>
      </c>
      <c r="CG24" s="474">
        <v>330</v>
      </c>
      <c r="CH24" s="356">
        <f>CG24+CF24+CE24+CD24</f>
        <v>1240</v>
      </c>
      <c r="CI24" s="474">
        <v>337</v>
      </c>
      <c r="CJ24" s="474">
        <v>342</v>
      </c>
      <c r="CK24" s="474">
        <v>373</v>
      </c>
      <c r="CL24" s="474">
        <v>322</v>
      </c>
      <c r="CM24" s="356">
        <f>CL24+CK24+CJ24+CI24</f>
        <v>1374</v>
      </c>
      <c r="CN24" s="474">
        <v>409</v>
      </c>
      <c r="CO24" s="467">
        <f>'IMS Model Summary'!J31</f>
        <v>319.36422706949395</v>
      </c>
      <c r="CP24" s="467">
        <f>'IMS Model Summary'!K31</f>
        <v>288.99252354444451</v>
      </c>
      <c r="CQ24" s="467">
        <f>'IMS Model Summary'!L31</f>
        <v>183.70878399245561</v>
      </c>
      <c r="CR24" s="356">
        <f>CQ24+CP24+CO24+CN24</f>
        <v>1201.0655346063941</v>
      </c>
      <c r="CS24" s="467">
        <f>'IMS Model Summary'!N31</f>
        <v>138.59341207725268</v>
      </c>
      <c r="CT24" s="467">
        <f>'IMS Model Summary'!O31</f>
        <v>111.09016739526831</v>
      </c>
      <c r="CU24" s="467">
        <f>'IMS Model Summary'!P31</f>
        <v>79.514684107656549</v>
      </c>
      <c r="CV24" s="467">
        <f>'IMS Model Summary'!Q31</f>
        <v>56.869070010549279</v>
      </c>
      <c r="CW24" s="356">
        <f>CV24+CU24+CT24+CS24</f>
        <v>386.06733359072683</v>
      </c>
      <c r="CX24" s="467">
        <f>'IMS Model Summary'!S31</f>
        <v>42.948777241431451</v>
      </c>
      <c r="CY24" s="467">
        <f>'IMS Model Summary'!T31</f>
        <v>37.786581309615741</v>
      </c>
      <c r="CZ24" s="467">
        <f>'IMS Model Summary'!U31</f>
        <v>31.759907609963047</v>
      </c>
      <c r="DA24" s="467">
        <f>'IMS Model Summary'!V31</f>
        <v>26.673033365974007</v>
      </c>
      <c r="DB24" s="356">
        <f>DA24+CZ24+CY24+CX24</f>
        <v>139.16829952698424</v>
      </c>
      <c r="DC24" s="467">
        <f>'IMS Model Summary'!X31</f>
        <v>20.908389856064726</v>
      </c>
      <c r="DD24" s="467">
        <f>'IMS Model Summary'!Y31</f>
        <v>18.38193226980291</v>
      </c>
      <c r="DE24" s="467">
        <f>'IMS Model Summary'!Z31</f>
        <v>15.129856009041914</v>
      </c>
      <c r="DF24" s="467">
        <f>'IMS Model Summary'!AA31</f>
        <v>12.696815460439574</v>
      </c>
      <c r="DG24" s="356">
        <f>DF24+DE24+DD24+DC24</f>
        <v>67.116993595349129</v>
      </c>
      <c r="DH24" s="467">
        <f>'IMS Model Summary'!AC31</f>
        <v>9.9447498050237115</v>
      </c>
      <c r="DI24" s="467">
        <f>'IMS Model Summary'!AD31</f>
        <v>8.7359678170996382</v>
      </c>
      <c r="DJ24" s="467">
        <f>'IMS Model Summary'!AE31</f>
        <v>7.1844233543229556</v>
      </c>
      <c r="DK24" s="467">
        <f>'IMS Model Summary'!AF31</f>
        <v>6.0239090734399818</v>
      </c>
      <c r="DL24" s="356">
        <f>DK24+DJ24+DI24+DH24</f>
        <v>31.889050049886286</v>
      </c>
      <c r="DM24" s="467">
        <f>'IMS Model Summary'!AH31</f>
        <v>4.6177514160693489</v>
      </c>
      <c r="DN24" s="467">
        <f>'IMS Model Summary'!AI31</f>
        <v>4.0527531796769969</v>
      </c>
      <c r="DO24" s="467">
        <f>'IMS Model Summary'!AJ31</f>
        <v>3.2618758503406404</v>
      </c>
      <c r="DP24" s="467">
        <f>'IMS Model Summary'!AK31</f>
        <v>2.7323242598144248</v>
      </c>
      <c r="DQ24" s="356">
        <f>DP24+DO24+DN24+DM24</f>
        <v>14.664704705901411</v>
      </c>
      <c r="DR24" s="467">
        <f>'IMS Model Summary'!AM31</f>
        <v>2.0923817701957415</v>
      </c>
      <c r="DS24" s="467">
        <f>'IMS Model Summary'!AN31</f>
        <v>1.8344673975889108</v>
      </c>
      <c r="DT24" s="467">
        <f>'IMS Model Summary'!AO31</f>
        <v>1.4749017984124724</v>
      </c>
      <c r="DU24" s="467">
        <f>'IMS Model Summary'!AP31</f>
        <v>1.2340936499045918</v>
      </c>
      <c r="DV24" s="356">
        <f>DU24+DT24+DS24+DR24</f>
        <v>6.6358446161017159</v>
      </c>
      <c r="DW24" s="467">
        <f>'IMS Model Summary'!AR31</f>
        <v>0.94395471553176913</v>
      </c>
      <c r="DX24" s="467">
        <f>'IMS Model Summary'!AS31</f>
        <v>0.82661898410215884</v>
      </c>
      <c r="DY24" s="467">
        <f>'IMS Model Summary'!AT31</f>
        <v>0.66378411016428107</v>
      </c>
      <c r="DZ24" s="467">
        <f>'IMS Model Summary'!AU31</f>
        <v>0.55470367691159861</v>
      </c>
      <c r="EA24" s="356">
        <f>DZ24+DY24+DX24+DW24</f>
        <v>2.9890614867098075</v>
      </c>
      <c r="EB24" s="467">
        <f>'IMS Model Summary'!AW31</f>
        <v>0.4334847697823993</v>
      </c>
      <c r="EC24" s="467">
        <f>'IMS Model Summary'!AX31</f>
        <v>0.38641653261718828</v>
      </c>
      <c r="ED24" s="467">
        <f>'IMS Model Summary'!AY31</f>
        <v>0.31595427756917738</v>
      </c>
      <c r="EE24" s="467">
        <f>'IMS Model Summary'!AZ31</f>
        <v>0.26893774538917775</v>
      </c>
      <c r="EF24" s="356">
        <f>EE24+ED24+EC24+EB24</f>
        <v>1.4047933253579428</v>
      </c>
      <c r="EG24" s="467">
        <f>'IMS Model Summary'!BB31</f>
        <v>0.22149532816995329</v>
      </c>
      <c r="EH24" s="467">
        <f>'IMS Model Summary'!BC31</f>
        <v>0.19744512995301722</v>
      </c>
      <c r="EI24" s="467">
        <f>'IMS Model Summary'!BD31</f>
        <v>0.16816814490779577</v>
      </c>
      <c r="EJ24" s="467">
        <f>'IMS Model Summary'!BE31</f>
        <v>0.14314337531917368</v>
      </c>
      <c r="EK24" s="356">
        <f>EJ24+EI24+EH24+EG24</f>
        <v>0.73025197834994005</v>
      </c>
      <c r="EL24" s="467">
        <f>'IMS Model Summary'!BG31</f>
        <v>0.11849036259731262</v>
      </c>
      <c r="EM24" s="467">
        <f>'IMS Model Summary'!BH31</f>
        <v>0.10562455305267335</v>
      </c>
      <c r="EN24" s="467">
        <f>'IMS Model Summary'!BI31</f>
        <v>8.9962639989195098E-2</v>
      </c>
      <c r="EO24" s="467">
        <f>'IMS Model Summary'!BJ31</f>
        <v>7.6575477167436429E-2</v>
      </c>
      <c r="EP24" s="356">
        <f>EO24+EN24+EM24+EL24</f>
        <v>0.39065303280661745</v>
      </c>
      <c r="EQ24" s="467">
        <f>'IMS Model Summary'!BL31</f>
        <v>6.3387188093058836E-2</v>
      </c>
      <c r="ER24" s="467">
        <f>'IMS Model Summary'!BM31</f>
        <v>5.6504539819400693E-2</v>
      </c>
      <c r="ES24" s="467">
        <f>'IMS Model Summary'!BN31</f>
        <v>4.8126097830614445E-2</v>
      </c>
      <c r="ET24" s="467">
        <f>'IMS Model Summary'!BO31</f>
        <v>4.096454823945414E-2</v>
      </c>
      <c r="EU24" s="356">
        <f>ET24+ES24+ER24+EQ24</f>
        <v>0.20898237398252811</v>
      </c>
      <c r="EV24" s="467">
        <f>'IMS Model Summary'!BQ31</f>
        <v>3.4251906514653319E-2</v>
      </c>
      <c r="EW24" s="467">
        <f>'IMS Model Summary'!BR31</f>
        <v>3.0532798090148305E-2</v>
      </c>
      <c r="EX24" s="467">
        <f>'IMS Model Summary'!BS31</f>
        <v>2.6005422442611455E-2</v>
      </c>
      <c r="EY24" s="467">
        <f>'IMS Model Summary'!BT31</f>
        <v>2.2135606877731747E-2</v>
      </c>
      <c r="EZ24" s="356">
        <f>EY24+EX24+EW24+EV24</f>
        <v>0.11292573392514482</v>
      </c>
    </row>
    <row r="25" spans="2:156">
      <c r="B25" s="351" t="s">
        <v>906</v>
      </c>
      <c r="C25" s="450"/>
      <c r="D25" s="450"/>
      <c r="E25" s="450"/>
      <c r="F25" s="450"/>
      <c r="G25" s="450"/>
      <c r="H25" s="450"/>
      <c r="I25" s="450"/>
      <c r="J25" s="450"/>
      <c r="K25" s="356"/>
      <c r="L25" s="448"/>
      <c r="M25" s="448"/>
      <c r="N25" s="448"/>
      <c r="O25" s="448"/>
      <c r="P25" s="356"/>
      <c r="Q25" s="448"/>
      <c r="R25" s="448"/>
      <c r="S25" s="448"/>
      <c r="T25" s="357"/>
      <c r="U25" s="356"/>
      <c r="V25" s="448"/>
      <c r="W25" s="448"/>
      <c r="X25" s="448"/>
      <c r="Y25" s="448">
        <v>1</v>
      </c>
      <c r="Z25" s="356">
        <f>Y25+X25+W25+V25</f>
        <v>1</v>
      </c>
      <c r="AA25" s="448">
        <v>3</v>
      </c>
      <c r="AB25" s="448">
        <v>8</v>
      </c>
      <c r="AC25" s="448">
        <v>10</v>
      </c>
      <c r="AD25" s="448">
        <v>14</v>
      </c>
      <c r="AE25" s="356">
        <f>AD25+AC25+AB25+AA25</f>
        <v>35</v>
      </c>
      <c r="AF25" s="448">
        <v>16</v>
      </c>
      <c r="AG25" s="448">
        <v>22</v>
      </c>
      <c r="AH25" s="448">
        <v>22</v>
      </c>
      <c r="AI25" s="448">
        <v>23</v>
      </c>
      <c r="AJ25" s="356">
        <f>AI25+AH25+AG25+AF25</f>
        <v>83</v>
      </c>
      <c r="AK25" s="448">
        <v>28</v>
      </c>
      <c r="AL25" s="448">
        <v>32</v>
      </c>
      <c r="AM25" s="448">
        <v>34</v>
      </c>
      <c r="AN25" s="448">
        <v>36</v>
      </c>
      <c r="AO25" s="356">
        <f>AN25+AM25+AL25+AK25</f>
        <v>130</v>
      </c>
      <c r="AP25" s="448">
        <v>40</v>
      </c>
      <c r="AQ25" s="448">
        <v>48</v>
      </c>
      <c r="AR25" s="448">
        <v>50</v>
      </c>
      <c r="AS25" s="448">
        <v>47</v>
      </c>
      <c r="AT25" s="356">
        <f>AS25+AR25+AQ25+AP25</f>
        <v>185</v>
      </c>
      <c r="AU25" s="358">
        <v>49</v>
      </c>
      <c r="AV25" s="358">
        <v>54</v>
      </c>
      <c r="AW25" s="358">
        <v>57</v>
      </c>
      <c r="AX25" s="358">
        <v>62</v>
      </c>
      <c r="AY25" s="356">
        <f>AX25+AW25+AV25+AU25</f>
        <v>222</v>
      </c>
      <c r="AZ25" s="358">
        <v>62</v>
      </c>
      <c r="BA25" s="358">
        <v>60</v>
      </c>
      <c r="BB25" s="358">
        <v>60</v>
      </c>
      <c r="BC25" s="358">
        <v>73</v>
      </c>
      <c r="BD25" s="356">
        <f>BC25+BB25+BA25+AZ25</f>
        <v>255</v>
      </c>
      <c r="BE25" s="358">
        <v>71</v>
      </c>
      <c r="BF25" s="358">
        <v>75</v>
      </c>
      <c r="BG25" s="358">
        <v>71</v>
      </c>
      <c r="BH25" s="358">
        <v>73</v>
      </c>
      <c r="BI25" s="356">
        <f>BH25+BG25+BF25+BE25</f>
        <v>290</v>
      </c>
      <c r="BJ25" s="358">
        <v>79</v>
      </c>
      <c r="BK25" s="358">
        <v>82</v>
      </c>
      <c r="BL25" s="358">
        <v>71</v>
      </c>
      <c r="BM25" s="358">
        <v>79</v>
      </c>
      <c r="BN25" s="356">
        <f>BM25+BL25+BK25+BJ25</f>
        <v>311</v>
      </c>
      <c r="BO25" s="467">
        <v>85</v>
      </c>
      <c r="BP25" s="467">
        <v>81</v>
      </c>
      <c r="BQ25" s="467">
        <v>76</v>
      </c>
      <c r="BR25" s="474">
        <v>90</v>
      </c>
      <c r="BS25" s="356">
        <f>BR25+BQ25+BP25+BO25</f>
        <v>332</v>
      </c>
      <c r="BT25" s="474">
        <v>92</v>
      </c>
      <c r="BU25" s="474">
        <v>94</v>
      </c>
      <c r="BV25" s="474">
        <v>88</v>
      </c>
      <c r="BW25" s="474">
        <v>88</v>
      </c>
      <c r="BX25" s="356">
        <f>BW25+BV25+BU25+BT25</f>
        <v>362</v>
      </c>
      <c r="BY25" s="474">
        <v>93</v>
      </c>
      <c r="BZ25" s="474">
        <v>83</v>
      </c>
      <c r="CA25" s="474">
        <v>85</v>
      </c>
      <c r="CB25" s="474">
        <v>85</v>
      </c>
      <c r="CC25" s="356">
        <f>SUM(BY25:CB25)</f>
        <v>346</v>
      </c>
      <c r="CD25" s="474">
        <v>89</v>
      </c>
      <c r="CE25" s="474">
        <v>86</v>
      </c>
      <c r="CF25" s="474">
        <v>86</v>
      </c>
      <c r="CG25" s="474">
        <v>81</v>
      </c>
      <c r="CH25" s="356">
        <f>CG25+CF25+CE25+CD25</f>
        <v>342</v>
      </c>
      <c r="CI25" s="474">
        <v>84</v>
      </c>
      <c r="CJ25" s="474">
        <v>85</v>
      </c>
      <c r="CK25" s="474">
        <v>84</v>
      </c>
      <c r="CL25" s="474">
        <v>91</v>
      </c>
      <c r="CM25" s="356">
        <f>CL25+CK25+CJ25+CI25</f>
        <v>344</v>
      </c>
      <c r="CN25" s="474">
        <v>88</v>
      </c>
      <c r="CO25" s="467">
        <v>85</v>
      </c>
      <c r="CP25" s="467">
        <v>86</v>
      </c>
      <c r="CQ25" s="467">
        <v>85</v>
      </c>
      <c r="CR25" s="356">
        <f>CQ25+CP25+CO25+CN25</f>
        <v>344</v>
      </c>
      <c r="CS25" s="467">
        <f>CS24*CS26</f>
        <v>753.10294769681377</v>
      </c>
      <c r="CT25" s="467">
        <f>CT24*CT26</f>
        <v>603.65302557725636</v>
      </c>
      <c r="CU25" s="467">
        <f>CU24*CU26</f>
        <v>432.07496005133481</v>
      </c>
      <c r="CV25" s="467">
        <f>CV24*CV26</f>
        <v>309.02092398048791</v>
      </c>
      <c r="CW25" s="356">
        <f>CR25*0.7</f>
        <v>240.79999999999998</v>
      </c>
      <c r="CX25" s="467">
        <f>CX24*CX26</f>
        <v>297.80259029299003</v>
      </c>
      <c r="CY25" s="467">
        <f>CY24*CY26</f>
        <v>262.00843225554888</v>
      </c>
      <c r="CZ25" s="467">
        <f>CZ24*CZ26</f>
        <v>220.22007053995949</v>
      </c>
      <c r="DA25" s="467">
        <f>DA24*DA26</f>
        <v>184.94818566559186</v>
      </c>
      <c r="DB25" s="356">
        <f>CW25*0.5</f>
        <v>120.39999999999999</v>
      </c>
      <c r="DC25" s="467">
        <f>DC26*DC24</f>
        <v>144.97671547177731</v>
      </c>
      <c r="DD25" s="467">
        <f>DD26*DD24</f>
        <v>127.45850746262498</v>
      </c>
      <c r="DE25" s="467">
        <f>DE26*DE24</f>
        <v>104.9089310488242</v>
      </c>
      <c r="DF25" s="467">
        <f>DF26*DF24</f>
        <v>88.038467575822537</v>
      </c>
      <c r="DG25" s="356">
        <f>DB25*0.25</f>
        <v>30.099999999999998</v>
      </c>
      <c r="DH25" s="467">
        <f>DH26*DH24</f>
        <v>68.955915440936593</v>
      </c>
      <c r="DI25" s="467">
        <f>DI26*DI24</f>
        <v>60.574340219837204</v>
      </c>
      <c r="DJ25" s="467">
        <f>DJ26*DJ24</f>
        <v>49.816083765357483</v>
      </c>
      <c r="DK25" s="467">
        <f>DK26*DK24</f>
        <v>41.769192069787586</v>
      </c>
      <c r="DL25" s="356">
        <f>DK25+DJ25+DI25+DH25</f>
        <v>221.11553149591887</v>
      </c>
      <c r="DM25" s="467">
        <f>DM26*DM24</f>
        <v>32.019033401211239</v>
      </c>
      <c r="DN25" s="467">
        <f>DN26*DN24</f>
        <v>28.101391290871952</v>
      </c>
      <c r="DO25" s="467">
        <f>DO26*DO24</f>
        <v>22.617525802539387</v>
      </c>
      <c r="DP25" s="467">
        <f>DP26*DP24</f>
        <v>18.945667242609318</v>
      </c>
      <c r="DQ25" s="356">
        <f>DP25+DO25+DN25+DM25</f>
        <v>101.68361773723188</v>
      </c>
      <c r="DR25" s="467">
        <f>DR26*DR24</f>
        <v>14.508369063532287</v>
      </c>
      <c r="DS25" s="467">
        <f>DS26*DS24</f>
        <v>12.720016212312776</v>
      </c>
      <c r="DT25" s="467">
        <f>DT26*DT24</f>
        <v>10.226823770230915</v>
      </c>
      <c r="DU25" s="467">
        <f>DU26*DU24</f>
        <v>8.557083791693735</v>
      </c>
      <c r="DV25" s="356">
        <f>DU25+DT25+DS25+DR25</f>
        <v>46.012292837769714</v>
      </c>
      <c r="DW25" s="467">
        <f>DW26*DW24</f>
        <v>6.5452890037917673</v>
      </c>
      <c r="DX25" s="467">
        <f>DX26*DX24</f>
        <v>5.7316946013892665</v>
      </c>
      <c r="DY25" s="467">
        <f>DY26*DY24</f>
        <v>4.6026136271827873</v>
      </c>
      <c r="DZ25" s="467">
        <f t="shared" ref="DZ25:EY25" si="28">DZ26*DZ24</f>
        <v>3.8462606490683453</v>
      </c>
      <c r="EA25" s="356">
        <f>DZ25+DY25+DX25+DW25</f>
        <v>20.725857881432166</v>
      </c>
      <c r="EB25" s="467">
        <f t="shared" si="28"/>
        <v>3.0057406889159761</v>
      </c>
      <c r="EC25" s="467">
        <f t="shared" si="28"/>
        <v>2.6793741693401221</v>
      </c>
      <c r="ED25" s="467">
        <f t="shared" si="28"/>
        <v>2.1907958344267722</v>
      </c>
      <c r="EE25" s="467">
        <f t="shared" si="28"/>
        <v>1.8647878321246572</v>
      </c>
      <c r="EF25" s="356">
        <f>EE25+ED25+EC25+EB25</f>
        <v>9.7406985248075273</v>
      </c>
      <c r="EG25" s="467">
        <f t="shared" si="28"/>
        <v>1.5358267849166249</v>
      </c>
      <c r="EH25" s="467">
        <f t="shared" si="28"/>
        <v>1.3690650797858386</v>
      </c>
      <c r="EI25" s="467">
        <f t="shared" si="28"/>
        <v>1.1660613497046632</v>
      </c>
      <c r="EJ25" s="467">
        <f t="shared" si="28"/>
        <v>0.99254206269251177</v>
      </c>
      <c r="EK25" s="356">
        <f>EJ25+EI25+EH25+EG25</f>
        <v>5.0634952770996389</v>
      </c>
      <c r="EL25" s="467">
        <f t="shared" si="28"/>
        <v>0.82160050117085104</v>
      </c>
      <c r="EM25" s="467">
        <f t="shared" si="28"/>
        <v>0.73239024526364116</v>
      </c>
      <c r="EN25" s="467">
        <f t="shared" si="28"/>
        <v>0.62379208301495992</v>
      </c>
      <c r="EO25" s="467">
        <f t="shared" si="28"/>
        <v>0.53096681484532593</v>
      </c>
      <c r="EP25" s="356">
        <f>EO25+EN25+EM25+EL25</f>
        <v>2.708749644294778</v>
      </c>
      <c r="EQ25" s="467">
        <f t="shared" si="28"/>
        <v>0.43952051764798378</v>
      </c>
      <c r="ER25" s="467">
        <f t="shared" si="28"/>
        <v>0.39179691256258187</v>
      </c>
      <c r="ES25" s="467">
        <f t="shared" si="28"/>
        <v>0.33370162121461022</v>
      </c>
      <c r="ET25" s="467">
        <f t="shared" si="28"/>
        <v>0.28404414186961363</v>
      </c>
      <c r="EU25" s="356">
        <f>ET25+ES25+ER25+EQ25</f>
        <v>1.4490631932947895</v>
      </c>
      <c r="EV25" s="467">
        <f t="shared" si="28"/>
        <v>0.23749934544579202</v>
      </c>
      <c r="EW25" s="467">
        <f t="shared" si="28"/>
        <v>0.21171141401826715</v>
      </c>
      <c r="EX25" s="467">
        <f t="shared" si="28"/>
        <v>0.18031903729269078</v>
      </c>
      <c r="EY25" s="467">
        <f t="shared" si="28"/>
        <v>0.15348611740072282</v>
      </c>
      <c r="EZ25" s="356">
        <f>EY25+EX25+EW25+EV25</f>
        <v>0.78301591415747274</v>
      </c>
    </row>
    <row r="26" spans="2:156">
      <c r="B26" s="454"/>
      <c r="C26" s="450"/>
      <c r="D26" s="450"/>
      <c r="E26" s="450"/>
      <c r="F26" s="450"/>
      <c r="G26" s="450"/>
      <c r="H26" s="450"/>
      <c r="I26" s="450"/>
      <c r="J26" s="450"/>
      <c r="K26" s="356"/>
      <c r="L26" s="448"/>
      <c r="M26" s="448"/>
      <c r="N26" s="448"/>
      <c r="O26" s="448"/>
      <c r="P26" s="356"/>
      <c r="Q26" s="448"/>
      <c r="R26" s="448"/>
      <c r="S26" s="448"/>
      <c r="T26" s="357"/>
      <c r="U26" s="356"/>
      <c r="V26" s="448"/>
      <c r="W26" s="448"/>
      <c r="X26" s="448"/>
      <c r="Y26" s="448"/>
      <c r="Z26" s="356"/>
      <c r="AA26" s="448"/>
      <c r="AB26" s="448"/>
      <c r="AC26" s="448"/>
      <c r="AD26" s="448"/>
      <c r="AE26" s="356"/>
      <c r="AF26" s="448"/>
      <c r="AG26" s="448"/>
      <c r="AH26" s="448"/>
      <c r="AI26" s="448"/>
      <c r="AJ26" s="356"/>
      <c r="AK26" s="448"/>
      <c r="AL26" s="448"/>
      <c r="AM26" s="448"/>
      <c r="AN26" s="448"/>
      <c r="AO26" s="356"/>
      <c r="AP26" s="448"/>
      <c r="AQ26" s="448"/>
      <c r="AR26" s="448"/>
      <c r="AS26" s="448"/>
      <c r="AT26" s="356"/>
      <c r="AU26" s="358"/>
      <c r="AV26" s="358"/>
      <c r="AW26" s="358"/>
      <c r="AX26" s="358"/>
      <c r="AY26" s="356"/>
      <c r="AZ26" s="358"/>
      <c r="BA26" s="358"/>
      <c r="BB26" s="358"/>
      <c r="BC26" s="358"/>
      <c r="BD26" s="356"/>
      <c r="BE26" s="83">
        <f>BE25/BE24</f>
        <v>0.61206896551724133</v>
      </c>
      <c r="BF26" s="83">
        <f>BF25/BF24</f>
        <v>0.60483870967741937</v>
      </c>
      <c r="BG26" s="83">
        <f>BG25/BG24</f>
        <v>0.52592592592592591</v>
      </c>
      <c r="BH26" s="83">
        <f>BH25/BH24</f>
        <v>0.51048951048951052</v>
      </c>
      <c r="BI26" s="452">
        <f>AVERAGE(BE26:BH26)</f>
        <v>0.56333077790252428</v>
      </c>
      <c r="BJ26" s="83">
        <f>BJ25/BJ24</f>
        <v>0.56428571428571428</v>
      </c>
      <c r="BK26" s="83">
        <f>BK25/BK24</f>
        <v>0.54666666666666663</v>
      </c>
      <c r="BL26" s="83">
        <f>BL25/BL24</f>
        <v>0.41279069767441862</v>
      </c>
      <c r="BM26" s="83">
        <f>BM25/BM24</f>
        <v>0.4463276836158192</v>
      </c>
      <c r="BN26" s="452">
        <f>AVERAGE(BJ26:BM26)</f>
        <v>0.4925176905606547</v>
      </c>
      <c r="BO26" s="468">
        <f>BO25/BO24</f>
        <v>0.47486033519553073</v>
      </c>
      <c r="BP26" s="468">
        <f>BP25/BP24</f>
        <v>0.4550561797752809</v>
      </c>
      <c r="BQ26" s="468">
        <f>BQ25/BQ24</f>
        <v>0.41530054644808745</v>
      </c>
      <c r="BR26" s="468">
        <f>BR25/BR24</f>
        <v>0.41474654377880182</v>
      </c>
      <c r="BS26" s="452">
        <f>AVERAGE(BO26:BR26)</f>
        <v>0.43999090129942525</v>
      </c>
      <c r="BT26" s="468">
        <f>BT25/BT24</f>
        <v>0.5168539325842697</v>
      </c>
      <c r="BU26" s="468">
        <f>BU25/BU24</f>
        <v>0.46078431372549017</v>
      </c>
      <c r="BV26" s="468">
        <f>BV25/BV24</f>
        <v>0.4756756756756757</v>
      </c>
      <c r="BW26" s="468">
        <f>BW25/BW24</f>
        <v>0.38427947598253276</v>
      </c>
      <c r="BX26" s="452">
        <f>AVERAGE(BT26:BW26)</f>
        <v>0.4593983494919921</v>
      </c>
      <c r="BY26" s="468">
        <f>BY25/BY24</f>
        <v>0.38589211618257263</v>
      </c>
      <c r="BZ26" s="468">
        <f>BZ25/BZ24</f>
        <v>0.31800766283524906</v>
      </c>
      <c r="CA26" s="468">
        <f>CA25/CA24</f>
        <v>0.31716417910447764</v>
      </c>
      <c r="CB26" s="468">
        <f>CB25/CB24</f>
        <v>0.28428093645484948</v>
      </c>
      <c r="CC26" s="452">
        <f>AVERAGE(BY26:CB26)</f>
        <v>0.32633622364428722</v>
      </c>
      <c r="CD26" s="468">
        <f t="shared" ref="CD26:CL26" si="29">CD25/CD24</f>
        <v>0.32014388489208634</v>
      </c>
      <c r="CE26" s="468">
        <f t="shared" si="29"/>
        <v>0.28382838283828382</v>
      </c>
      <c r="CF26" s="468">
        <f t="shared" si="29"/>
        <v>0.26139817629179329</v>
      </c>
      <c r="CG26" s="800">
        <f t="shared" si="29"/>
        <v>0.24545454545454545</v>
      </c>
      <c r="CH26" s="452">
        <f>AVERAGE(CD26:CG26)</f>
        <v>0.27770624736917721</v>
      </c>
      <c r="CI26" s="468">
        <f t="shared" si="29"/>
        <v>0.24925816023738873</v>
      </c>
      <c r="CJ26" s="468">
        <f t="shared" si="29"/>
        <v>0.24853801169590642</v>
      </c>
      <c r="CK26" s="468">
        <f t="shared" si="29"/>
        <v>0.22520107238605899</v>
      </c>
      <c r="CL26" s="468">
        <f t="shared" si="29"/>
        <v>0.28260869565217389</v>
      </c>
      <c r="CM26" s="452">
        <f>AVERAGE(CI26:CL26)</f>
        <v>0.25140148499288201</v>
      </c>
      <c r="CN26" s="468">
        <f t="shared" ref="CN26" si="30">CN25/CN24</f>
        <v>0.21515892420537897</v>
      </c>
      <c r="CO26" s="468">
        <f>CN26</f>
        <v>0.21515892420537897</v>
      </c>
      <c r="CP26" s="468">
        <f>CO26</f>
        <v>0.21515892420537897</v>
      </c>
      <c r="CQ26" s="468">
        <f>CP26</f>
        <v>0.21515892420537897</v>
      </c>
      <c r="CR26" s="452">
        <f>CM26+0.1825</f>
        <v>0.433901484992882</v>
      </c>
      <c r="CS26" s="468">
        <f>CW26</f>
        <v>5.4339014849928819</v>
      </c>
      <c r="CT26" s="468">
        <f>CS26</f>
        <v>5.4339014849928819</v>
      </c>
      <c r="CU26" s="468">
        <f>CT26</f>
        <v>5.4339014849928819</v>
      </c>
      <c r="CV26" s="468">
        <f>CU26</f>
        <v>5.4339014849928819</v>
      </c>
      <c r="CW26" s="452">
        <f>CR26+5</f>
        <v>5.4339014849928819</v>
      </c>
      <c r="CX26" s="468">
        <f>DB26</f>
        <v>6.9339014849928819</v>
      </c>
      <c r="CY26" s="468">
        <f>CX26</f>
        <v>6.9339014849928819</v>
      </c>
      <c r="CZ26" s="468">
        <f>CY26</f>
        <v>6.9339014849928819</v>
      </c>
      <c r="DA26" s="468">
        <f>CZ26</f>
        <v>6.9339014849928819</v>
      </c>
      <c r="DB26" s="452">
        <f>CW26+1.5</f>
        <v>6.9339014849928819</v>
      </c>
      <c r="DC26" s="468">
        <f>DG26</f>
        <v>6.9339014849928819</v>
      </c>
      <c r="DD26" s="468">
        <f>DC26</f>
        <v>6.9339014849928819</v>
      </c>
      <c r="DE26" s="468">
        <f>DD26</f>
        <v>6.9339014849928819</v>
      </c>
      <c r="DF26" s="468">
        <f>DE26</f>
        <v>6.9339014849928819</v>
      </c>
      <c r="DG26" s="452">
        <f>DB26</f>
        <v>6.9339014849928819</v>
      </c>
      <c r="DH26" s="468">
        <f>DL26</f>
        <v>6.9339014849928819</v>
      </c>
      <c r="DI26" s="468">
        <f>DH26</f>
        <v>6.9339014849928819</v>
      </c>
      <c r="DJ26" s="468">
        <f>DI26</f>
        <v>6.9339014849928819</v>
      </c>
      <c r="DK26" s="468">
        <f>DJ26</f>
        <v>6.9339014849928819</v>
      </c>
      <c r="DL26" s="452">
        <f>DG26</f>
        <v>6.9339014849928819</v>
      </c>
      <c r="DM26" s="468">
        <f>DQ26</f>
        <v>6.9339014849928819</v>
      </c>
      <c r="DN26" s="468">
        <f>DM26</f>
        <v>6.9339014849928819</v>
      </c>
      <c r="DO26" s="468">
        <f>DN26</f>
        <v>6.9339014849928819</v>
      </c>
      <c r="DP26" s="468">
        <f>DO26</f>
        <v>6.9339014849928819</v>
      </c>
      <c r="DQ26" s="452">
        <f>DL26</f>
        <v>6.9339014849928819</v>
      </c>
      <c r="DR26" s="468">
        <f>DV26</f>
        <v>6.9339014849928819</v>
      </c>
      <c r="DS26" s="468">
        <f>DR26</f>
        <v>6.9339014849928819</v>
      </c>
      <c r="DT26" s="468">
        <f>DS26</f>
        <v>6.9339014849928819</v>
      </c>
      <c r="DU26" s="468">
        <f>DT26</f>
        <v>6.9339014849928819</v>
      </c>
      <c r="DV26" s="452">
        <f>DQ26</f>
        <v>6.9339014849928819</v>
      </c>
      <c r="DW26" s="468">
        <f>EA26</f>
        <v>6.9339014849928819</v>
      </c>
      <c r="DX26" s="468">
        <f>DW26</f>
        <v>6.9339014849928819</v>
      </c>
      <c r="DY26" s="468">
        <f>DX26</f>
        <v>6.9339014849928819</v>
      </c>
      <c r="DZ26" s="468">
        <f>DY26</f>
        <v>6.9339014849928819</v>
      </c>
      <c r="EA26" s="452">
        <f>DV26</f>
        <v>6.9339014849928819</v>
      </c>
      <c r="EB26" s="468">
        <f>EF26</f>
        <v>6.9339014849928819</v>
      </c>
      <c r="EC26" s="468">
        <f>EB26</f>
        <v>6.9339014849928819</v>
      </c>
      <c r="ED26" s="468">
        <f>EC26</f>
        <v>6.9339014849928819</v>
      </c>
      <c r="EE26" s="468">
        <f>ED26</f>
        <v>6.9339014849928819</v>
      </c>
      <c r="EF26" s="452">
        <f>EA26</f>
        <v>6.9339014849928819</v>
      </c>
      <c r="EG26" s="468">
        <f>EK26</f>
        <v>6.9339014849928819</v>
      </c>
      <c r="EH26" s="468">
        <f>EG26</f>
        <v>6.9339014849928819</v>
      </c>
      <c r="EI26" s="468">
        <f>EH26</f>
        <v>6.9339014849928819</v>
      </c>
      <c r="EJ26" s="468">
        <f>EI26</f>
        <v>6.9339014849928819</v>
      </c>
      <c r="EK26" s="452">
        <f>EF26</f>
        <v>6.9339014849928819</v>
      </c>
      <c r="EL26" s="468">
        <f>EP26</f>
        <v>6.9339014849928819</v>
      </c>
      <c r="EM26" s="468">
        <f>EL26</f>
        <v>6.9339014849928819</v>
      </c>
      <c r="EN26" s="468">
        <f>EM26</f>
        <v>6.9339014849928819</v>
      </c>
      <c r="EO26" s="468">
        <f>EN26</f>
        <v>6.9339014849928819</v>
      </c>
      <c r="EP26" s="452">
        <f>EK26</f>
        <v>6.9339014849928819</v>
      </c>
      <c r="EQ26" s="468">
        <f>EU26</f>
        <v>6.9339014849928819</v>
      </c>
      <c r="ER26" s="468">
        <f>EQ26</f>
        <v>6.9339014849928819</v>
      </c>
      <c r="ES26" s="468">
        <f>ER26</f>
        <v>6.9339014849928819</v>
      </c>
      <c r="ET26" s="468">
        <f>ES26</f>
        <v>6.9339014849928819</v>
      </c>
      <c r="EU26" s="452">
        <f>EP26</f>
        <v>6.9339014849928819</v>
      </c>
      <c r="EV26" s="468">
        <f>EZ26</f>
        <v>6.9339014849928819</v>
      </c>
      <c r="EW26" s="468">
        <f>EV26</f>
        <v>6.9339014849928819</v>
      </c>
      <c r="EX26" s="468">
        <f>EW26</f>
        <v>6.9339014849928819</v>
      </c>
      <c r="EY26" s="468">
        <f>EX26</f>
        <v>6.9339014849928819</v>
      </c>
      <c r="EZ26" s="452">
        <f>EU26</f>
        <v>6.9339014849928819</v>
      </c>
    </row>
    <row r="27" spans="2:156">
      <c r="B27" s="18" t="s">
        <v>894</v>
      </c>
      <c r="C27" s="450"/>
      <c r="D27" s="450"/>
      <c r="E27" s="450"/>
      <c r="F27" s="450"/>
      <c r="G27" s="450"/>
      <c r="H27" s="450"/>
      <c r="I27" s="450"/>
      <c r="J27" s="450"/>
      <c r="K27" s="356"/>
      <c r="L27" s="448"/>
      <c r="M27" s="448"/>
      <c r="N27" s="448"/>
      <c r="O27" s="448"/>
      <c r="P27" s="356"/>
      <c r="Q27" s="448"/>
      <c r="R27" s="448"/>
      <c r="S27" s="448"/>
      <c r="T27" s="357"/>
      <c r="U27" s="356"/>
      <c r="V27" s="448"/>
      <c r="W27" s="448"/>
      <c r="X27" s="448"/>
      <c r="Y27" s="448"/>
      <c r="Z27" s="356"/>
      <c r="AA27" s="448"/>
      <c r="AB27" s="448"/>
      <c r="AC27" s="448"/>
      <c r="AD27" s="448"/>
      <c r="AE27" s="356"/>
      <c r="AF27" s="448"/>
      <c r="AG27" s="448"/>
      <c r="AH27" s="448"/>
      <c r="AI27" s="448"/>
      <c r="AJ27" s="356"/>
      <c r="AK27" s="448"/>
      <c r="AL27" s="448"/>
      <c r="AM27" s="448"/>
      <c r="AN27" s="448"/>
      <c r="AO27" s="356"/>
      <c r="AP27" s="448"/>
      <c r="AQ27" s="448"/>
      <c r="AR27" s="448"/>
      <c r="AS27" s="448"/>
      <c r="AT27" s="356"/>
      <c r="AU27" s="358"/>
      <c r="AV27" s="358"/>
      <c r="AW27" s="358"/>
      <c r="AX27" s="358"/>
      <c r="AY27" s="356"/>
      <c r="AZ27" s="358"/>
      <c r="BA27" s="358"/>
      <c r="BB27" s="358"/>
      <c r="BC27" s="358"/>
      <c r="BD27" s="356"/>
      <c r="BE27" s="83"/>
      <c r="BF27" s="83"/>
      <c r="BG27" s="83"/>
      <c r="BH27" s="83"/>
      <c r="BI27" s="452"/>
      <c r="BJ27" s="83"/>
      <c r="BK27" s="83"/>
      <c r="BL27" s="83"/>
      <c r="BM27" s="83"/>
      <c r="BN27" s="452"/>
      <c r="BO27" s="468"/>
      <c r="BP27" s="468"/>
      <c r="BQ27" s="468"/>
      <c r="BR27" s="468"/>
      <c r="BS27" s="452"/>
      <c r="BT27" s="468"/>
      <c r="BU27" s="468"/>
      <c r="BV27" s="468"/>
      <c r="BW27" s="468"/>
      <c r="BX27" s="452"/>
      <c r="BY27" s="468"/>
      <c r="BZ27" s="468"/>
      <c r="CA27" s="468"/>
      <c r="CB27" s="468"/>
      <c r="CC27" s="452"/>
      <c r="CD27" s="468"/>
      <c r="CE27" s="468"/>
      <c r="CF27" s="468"/>
      <c r="CG27" s="468"/>
      <c r="CH27" s="452"/>
      <c r="CI27" s="468"/>
      <c r="CJ27" s="468"/>
      <c r="CK27" s="468"/>
      <c r="CL27" s="468"/>
      <c r="CM27" s="705"/>
      <c r="CN27" s="463">
        <f t="shared" ref="CN27:CR27" si="31">CN28+CN29</f>
        <v>41</v>
      </c>
      <c r="CO27" s="463">
        <f t="shared" si="31"/>
        <v>38.126103750000034</v>
      </c>
      <c r="CP27" s="463">
        <f t="shared" si="31"/>
        <v>64.578898125000052</v>
      </c>
      <c r="CQ27" s="463">
        <f t="shared" si="31"/>
        <v>92.127634200000074</v>
      </c>
      <c r="CR27" s="20">
        <f t="shared" si="31"/>
        <v>235.83263607500015</v>
      </c>
      <c r="CS27" s="468"/>
      <c r="CT27" s="468"/>
      <c r="CU27" s="468"/>
      <c r="CV27" s="468"/>
      <c r="CW27" s="20">
        <f t="shared" ref="CW27" si="32">CW28+CW29</f>
        <v>413.35848656486951</v>
      </c>
      <c r="CX27" s="463"/>
      <c r="CY27" s="463"/>
      <c r="CZ27" s="463"/>
      <c r="DA27" s="463"/>
      <c r="DB27" s="20">
        <f t="shared" ref="DB27" si="33">DB28+DB29</f>
        <v>447.9253355969982</v>
      </c>
      <c r="DC27" s="463"/>
      <c r="DD27" s="463"/>
      <c r="DE27" s="463"/>
      <c r="DF27" s="463"/>
      <c r="DG27" s="20">
        <f t="shared" ref="DG27" si="34">DG28+DG29</f>
        <v>515.12098219838015</v>
      </c>
      <c r="DH27" s="463"/>
      <c r="DI27" s="463"/>
      <c r="DJ27" s="463"/>
      <c r="DK27" s="463"/>
      <c r="DL27" s="20">
        <f t="shared" ref="DL27" si="35">DL28+DL29</f>
        <v>567.32825655109082</v>
      </c>
      <c r="DM27" s="463"/>
      <c r="DN27" s="463"/>
      <c r="DO27" s="463"/>
      <c r="DP27" s="463"/>
      <c r="DQ27" s="20">
        <f t="shared" ref="DQ27" si="36">DQ28+DQ29</f>
        <v>601.15467428255874</v>
      </c>
      <c r="DR27" s="463"/>
      <c r="DS27" s="463"/>
      <c r="DT27" s="463"/>
      <c r="DU27" s="463"/>
      <c r="DV27" s="20">
        <f t="shared" ref="DV27" si="37">DV28+DV29</f>
        <v>636.46843474455102</v>
      </c>
      <c r="DW27" s="463"/>
      <c r="DX27" s="463"/>
      <c r="DY27" s="463"/>
      <c r="DZ27" s="463"/>
      <c r="EA27" s="20">
        <f t="shared" ref="EA27" si="38">EA28+EA29</f>
        <v>673.32742954885043</v>
      </c>
      <c r="EB27" s="463"/>
      <c r="EC27" s="463"/>
      <c r="ED27" s="463"/>
      <c r="EE27" s="463"/>
      <c r="EF27" s="20">
        <f t="shared" ref="EF27" si="39">EF28+EF29</f>
        <v>708.68470417474248</v>
      </c>
      <c r="EG27" s="463"/>
      <c r="EH27" s="463"/>
      <c r="EI27" s="463"/>
      <c r="EJ27" s="463"/>
      <c r="EK27" s="20">
        <f t="shared" ref="EK27" si="40">EK28+EK29</f>
        <v>740.56594861909957</v>
      </c>
      <c r="EL27" s="463"/>
      <c r="EM27" s="463"/>
      <c r="EN27" s="463"/>
      <c r="EO27" s="463"/>
      <c r="EP27" s="20">
        <f t="shared" ref="EP27" si="41">EP28+EP29</f>
        <v>777.80975074110279</v>
      </c>
      <c r="EQ27" s="463"/>
      <c r="ER27" s="463"/>
      <c r="ES27" s="463"/>
      <c r="ET27" s="463"/>
      <c r="EU27" s="20">
        <f t="shared" ref="EU27" si="42">EU28+EU29</f>
        <v>816.9265809156235</v>
      </c>
      <c r="EV27" s="463"/>
      <c r="EW27" s="463"/>
      <c r="EX27" s="463"/>
      <c r="EY27" s="463"/>
      <c r="EZ27" s="20">
        <f t="shared" ref="EZ27" si="43">EZ28+EZ29</f>
        <v>866.67740969338513</v>
      </c>
    </row>
    <row r="28" spans="2:156">
      <c r="B28" s="351" t="s">
        <v>939</v>
      </c>
      <c r="C28" s="450"/>
      <c r="D28" s="450"/>
      <c r="E28" s="450"/>
      <c r="F28" s="450"/>
      <c r="G28" s="450"/>
      <c r="H28" s="450"/>
      <c r="I28" s="450"/>
      <c r="J28" s="450"/>
      <c r="K28" s="356"/>
      <c r="L28" s="448"/>
      <c r="M28" s="448"/>
      <c r="N28" s="448"/>
      <c r="O28" s="448"/>
      <c r="P28" s="356"/>
      <c r="Q28" s="448"/>
      <c r="R28" s="448"/>
      <c r="S28" s="448"/>
      <c r="T28" s="357"/>
      <c r="U28" s="356"/>
      <c r="V28" s="448"/>
      <c r="W28" s="448"/>
      <c r="X28" s="448"/>
      <c r="Y28" s="448"/>
      <c r="Z28" s="356"/>
      <c r="AA28" s="448"/>
      <c r="AB28" s="448"/>
      <c r="AC28" s="448"/>
      <c r="AD28" s="448"/>
      <c r="AE28" s="356"/>
      <c r="AF28" s="448"/>
      <c r="AG28" s="448"/>
      <c r="AH28" s="448"/>
      <c r="AI28" s="448"/>
      <c r="AJ28" s="356"/>
      <c r="AK28" s="448"/>
      <c r="AL28" s="448"/>
      <c r="AM28" s="448"/>
      <c r="AN28" s="448"/>
      <c r="AO28" s="356"/>
      <c r="AP28" s="448"/>
      <c r="AQ28" s="448"/>
      <c r="AR28" s="448"/>
      <c r="AS28" s="448"/>
      <c r="AT28" s="356"/>
      <c r="AU28" s="358"/>
      <c r="AV28" s="358"/>
      <c r="AW28" s="358"/>
      <c r="AX28" s="358"/>
      <c r="AY28" s="356"/>
      <c r="AZ28" s="358"/>
      <c r="BA28" s="358"/>
      <c r="BB28" s="358"/>
      <c r="BC28" s="358"/>
      <c r="BD28" s="356"/>
      <c r="BE28" s="83"/>
      <c r="BF28" s="83"/>
      <c r="BG28" s="83"/>
      <c r="BH28" s="83"/>
      <c r="BI28" s="452"/>
      <c r="BJ28" s="83"/>
      <c r="BK28" s="83"/>
      <c r="BL28" s="83"/>
      <c r="BM28" s="83"/>
      <c r="BN28" s="452"/>
      <c r="BO28" s="468"/>
      <c r="BP28" s="468"/>
      <c r="BQ28" s="468"/>
      <c r="BR28" s="468"/>
      <c r="BS28" s="452"/>
      <c r="BT28" s="468"/>
      <c r="BU28" s="468"/>
      <c r="BV28" s="468"/>
      <c r="BW28" s="468"/>
      <c r="BX28" s="452"/>
      <c r="BY28" s="468"/>
      <c r="BZ28" s="468"/>
      <c r="CA28" s="468"/>
      <c r="CB28" s="468"/>
      <c r="CC28" s="452"/>
      <c r="CD28" s="468"/>
      <c r="CE28" s="468"/>
      <c r="CF28" s="468"/>
      <c r="CG28" s="468"/>
      <c r="CH28" s="452"/>
      <c r="CI28" s="468"/>
      <c r="CJ28" s="468"/>
      <c r="CK28" s="468"/>
      <c r="CL28" s="468"/>
      <c r="CM28" s="705"/>
      <c r="CN28" s="474">
        <v>36</v>
      </c>
      <c r="CO28" s="467">
        <f>'IMS Model Summary'!J36</f>
        <v>30.500883000000027</v>
      </c>
      <c r="CP28" s="467">
        <f>'IMS Model Summary'!K36</f>
        <v>51.663118500000039</v>
      </c>
      <c r="CQ28" s="467">
        <f>'IMS Model Summary'!L36</f>
        <v>76.773028500000066</v>
      </c>
      <c r="CR28" s="356">
        <f>CN28+CO28+CP28+CQ28</f>
        <v>194.93703000000014</v>
      </c>
      <c r="CS28" s="467"/>
      <c r="CT28" s="467"/>
      <c r="CU28" s="467"/>
      <c r="CV28" s="467"/>
      <c r="CW28" s="356">
        <f>'IMS Model Summary'!R36</f>
        <v>351.79445665095278</v>
      </c>
      <c r="CX28" s="467"/>
      <c r="CY28" s="467"/>
      <c r="CZ28" s="467"/>
      <c r="DA28" s="467"/>
      <c r="DB28" s="356">
        <f>'IMS Model Summary'!W36</f>
        <v>373.27111299749851</v>
      </c>
      <c r="DC28" s="467"/>
      <c r="DD28" s="467"/>
      <c r="DE28" s="467"/>
      <c r="DF28" s="467"/>
      <c r="DG28" s="356">
        <f>'IMS Model Summary'!AB36</f>
        <v>396.24690938336937</v>
      </c>
      <c r="DH28" s="467"/>
      <c r="DI28" s="467"/>
      <c r="DJ28" s="467"/>
      <c r="DK28" s="467"/>
      <c r="DL28" s="356">
        <f>'IMS Model Summary'!AG36</f>
        <v>420.24315300080804</v>
      </c>
      <c r="DM28" s="467"/>
      <c r="DN28" s="467"/>
      <c r="DO28" s="467"/>
      <c r="DP28" s="467"/>
      <c r="DQ28" s="356">
        <f>'IMS Model Summary'!AL36</f>
        <v>445.29975872782131</v>
      </c>
      <c r="DR28" s="467"/>
      <c r="DS28" s="467"/>
      <c r="DT28" s="467"/>
      <c r="DU28" s="467"/>
      <c r="DV28" s="356">
        <f>'IMS Model Summary'!AQ36</f>
        <v>471.45809981077855</v>
      </c>
      <c r="DW28" s="467"/>
      <c r="DX28" s="467"/>
      <c r="DY28" s="467"/>
      <c r="DZ28" s="467"/>
      <c r="EA28" s="356">
        <f>'IMS Model Summary'!AV36</f>
        <v>498.76105892507439</v>
      </c>
      <c r="EB28" s="467"/>
      <c r="EC28" s="467"/>
      <c r="ED28" s="467"/>
      <c r="EE28" s="467"/>
      <c r="EF28" s="356">
        <f>'IMS Model Summary'!BA36</f>
        <v>524.95163272203149</v>
      </c>
      <c r="EG28" s="467"/>
      <c r="EH28" s="467"/>
      <c r="EI28" s="467"/>
      <c r="EJ28" s="467"/>
      <c r="EK28" s="356">
        <f>'IMS Model Summary'!BF36</f>
        <v>548.56736934748119</v>
      </c>
      <c r="EL28" s="467"/>
      <c r="EM28" s="467"/>
      <c r="EN28" s="467"/>
      <c r="EO28" s="467"/>
      <c r="EP28" s="356">
        <f>'IMS Model Summary'!BK36</f>
        <v>576.15537091933538</v>
      </c>
      <c r="EQ28" s="467"/>
      <c r="ER28" s="467"/>
      <c r="ES28" s="467"/>
      <c r="ET28" s="467"/>
      <c r="EU28" s="356">
        <f>'IMS Model Summary'!BP36</f>
        <v>605.13080067823967</v>
      </c>
      <c r="EV28" s="467"/>
      <c r="EW28" s="467"/>
      <c r="EX28" s="467"/>
      <c r="EY28" s="467"/>
      <c r="EZ28" s="356">
        <f>'IMS Model Summary'!BU36</f>
        <v>641.98326643954454</v>
      </c>
    </row>
    <row r="29" spans="2:156">
      <c r="B29" s="351" t="s">
        <v>940</v>
      </c>
      <c r="C29" s="450"/>
      <c r="D29" s="450"/>
      <c r="E29" s="450"/>
      <c r="F29" s="450"/>
      <c r="G29" s="450"/>
      <c r="H29" s="450"/>
      <c r="I29" s="450"/>
      <c r="J29" s="450"/>
      <c r="K29" s="356"/>
      <c r="L29" s="448"/>
      <c r="M29" s="448"/>
      <c r="N29" s="448"/>
      <c r="O29" s="448"/>
      <c r="P29" s="356"/>
      <c r="Q29" s="448"/>
      <c r="R29" s="448"/>
      <c r="S29" s="448"/>
      <c r="T29" s="357"/>
      <c r="U29" s="356"/>
      <c r="V29" s="448"/>
      <c r="W29" s="448"/>
      <c r="X29" s="448"/>
      <c r="Y29" s="448"/>
      <c r="Z29" s="356"/>
      <c r="AA29" s="448"/>
      <c r="AB29" s="448"/>
      <c r="AC29" s="448"/>
      <c r="AD29" s="448"/>
      <c r="AE29" s="356"/>
      <c r="AF29" s="448"/>
      <c r="AG29" s="448"/>
      <c r="AH29" s="448"/>
      <c r="AI29" s="448"/>
      <c r="AJ29" s="356"/>
      <c r="AK29" s="448"/>
      <c r="AL29" s="448"/>
      <c r="AM29" s="448"/>
      <c r="AN29" s="448"/>
      <c r="AO29" s="356"/>
      <c r="AP29" s="448"/>
      <c r="AQ29" s="448"/>
      <c r="AR29" s="448"/>
      <c r="AS29" s="448"/>
      <c r="AT29" s="356"/>
      <c r="AU29" s="358"/>
      <c r="AV29" s="358"/>
      <c r="AW29" s="358"/>
      <c r="AX29" s="358"/>
      <c r="AY29" s="356"/>
      <c r="AZ29" s="358"/>
      <c r="BA29" s="358"/>
      <c r="BB29" s="358"/>
      <c r="BC29" s="358"/>
      <c r="BD29" s="356"/>
      <c r="BE29" s="83"/>
      <c r="BF29" s="83"/>
      <c r="BG29" s="83"/>
      <c r="BH29" s="83"/>
      <c r="BI29" s="452"/>
      <c r="BJ29" s="83"/>
      <c r="BK29" s="83"/>
      <c r="BL29" s="83"/>
      <c r="BM29" s="83"/>
      <c r="BN29" s="452"/>
      <c r="BO29" s="468"/>
      <c r="BP29" s="468"/>
      <c r="BQ29" s="468"/>
      <c r="BR29" s="468"/>
      <c r="BS29" s="452"/>
      <c r="BT29" s="468"/>
      <c r="BU29" s="468"/>
      <c r="BV29" s="468"/>
      <c r="BW29" s="468"/>
      <c r="BX29" s="452"/>
      <c r="BY29" s="468"/>
      <c r="BZ29" s="468"/>
      <c r="CA29" s="468"/>
      <c r="CB29" s="468"/>
      <c r="CC29" s="452"/>
      <c r="CD29" s="468"/>
      <c r="CE29" s="468"/>
      <c r="CF29" s="468"/>
      <c r="CG29" s="468"/>
      <c r="CH29" s="452"/>
      <c r="CI29" s="468"/>
      <c r="CJ29" s="468"/>
      <c r="CK29" s="468"/>
      <c r="CL29" s="468"/>
      <c r="CM29" s="705"/>
      <c r="CN29" s="474">
        <v>5</v>
      </c>
      <c r="CO29" s="467">
        <f t="shared" ref="CO29:CQ29" si="44">CO30*CO28</f>
        <v>7.6252207500000067</v>
      </c>
      <c r="CP29" s="467">
        <f t="shared" si="44"/>
        <v>12.91577962500001</v>
      </c>
      <c r="CQ29" s="467">
        <f t="shared" si="44"/>
        <v>15.354605700000015</v>
      </c>
      <c r="CR29" s="356">
        <f>CN29+CO29+CP29+CQ29</f>
        <v>40.895606075000032</v>
      </c>
      <c r="CS29" s="467"/>
      <c r="CT29" s="467"/>
      <c r="CU29" s="467"/>
      <c r="CV29" s="467"/>
      <c r="CW29" s="356">
        <f>CW30*CW28</f>
        <v>61.564029913916734</v>
      </c>
      <c r="CX29" s="467"/>
      <c r="CY29" s="467"/>
      <c r="CZ29" s="467"/>
      <c r="DA29" s="467"/>
      <c r="DB29" s="356">
        <f>DB30*DB28</f>
        <v>74.654222599499704</v>
      </c>
      <c r="DC29" s="467"/>
      <c r="DD29" s="467"/>
      <c r="DE29" s="467"/>
      <c r="DF29" s="467"/>
      <c r="DG29" s="356">
        <f>DG30*DG28</f>
        <v>118.87407281501081</v>
      </c>
      <c r="DH29" s="467"/>
      <c r="DI29" s="467"/>
      <c r="DJ29" s="467"/>
      <c r="DK29" s="467"/>
      <c r="DL29" s="356">
        <f>DL30*DL28</f>
        <v>147.08510355028281</v>
      </c>
      <c r="DM29" s="467"/>
      <c r="DN29" s="467"/>
      <c r="DO29" s="467"/>
      <c r="DP29" s="467"/>
      <c r="DQ29" s="356">
        <f>DQ30*DQ28</f>
        <v>155.85491555473746</v>
      </c>
      <c r="DR29" s="467"/>
      <c r="DS29" s="467"/>
      <c r="DT29" s="467"/>
      <c r="DU29" s="467"/>
      <c r="DV29" s="356">
        <f>DV30*DV28</f>
        <v>165.01033493377247</v>
      </c>
      <c r="DW29" s="467"/>
      <c r="DX29" s="467"/>
      <c r="DY29" s="467"/>
      <c r="DZ29" s="467"/>
      <c r="EA29" s="356">
        <f>EA30*EA28</f>
        <v>174.56637062377604</v>
      </c>
      <c r="EB29" s="467"/>
      <c r="EC29" s="467"/>
      <c r="ED29" s="467"/>
      <c r="EE29" s="467"/>
      <c r="EF29" s="356">
        <f>EF30*EF28</f>
        <v>183.73307145271102</v>
      </c>
      <c r="EG29" s="467"/>
      <c r="EH29" s="467"/>
      <c r="EI29" s="467"/>
      <c r="EJ29" s="467"/>
      <c r="EK29" s="356">
        <f>EK30*EK28</f>
        <v>191.99857927161841</v>
      </c>
      <c r="EL29" s="467"/>
      <c r="EM29" s="467"/>
      <c r="EN29" s="467"/>
      <c r="EO29" s="467"/>
      <c r="EP29" s="356">
        <f>EP30*EP28</f>
        <v>201.65437982176738</v>
      </c>
      <c r="EQ29" s="467"/>
      <c r="ER29" s="467"/>
      <c r="ES29" s="467"/>
      <c r="ET29" s="467"/>
      <c r="EU29" s="356">
        <f>EU30*EU28</f>
        <v>211.79578023738387</v>
      </c>
      <c r="EV29" s="467"/>
      <c r="EW29" s="467"/>
      <c r="EX29" s="467"/>
      <c r="EY29" s="467"/>
      <c r="EZ29" s="356">
        <f>EZ30*EZ28</f>
        <v>224.69414325384056</v>
      </c>
    </row>
    <row r="30" spans="2:156">
      <c r="B30" s="454"/>
      <c r="C30" s="450"/>
      <c r="D30" s="450"/>
      <c r="E30" s="450"/>
      <c r="F30" s="450"/>
      <c r="G30" s="450"/>
      <c r="H30" s="450"/>
      <c r="I30" s="450"/>
      <c r="J30" s="450"/>
      <c r="K30" s="356"/>
      <c r="L30" s="448"/>
      <c r="M30" s="448"/>
      <c r="N30" s="448"/>
      <c r="O30" s="448"/>
      <c r="P30" s="356"/>
      <c r="Q30" s="448"/>
      <c r="R30" s="448"/>
      <c r="S30" s="448"/>
      <c r="T30" s="357"/>
      <c r="U30" s="356"/>
      <c r="V30" s="448"/>
      <c r="W30" s="448"/>
      <c r="X30" s="448"/>
      <c r="Y30" s="448"/>
      <c r="Z30" s="356"/>
      <c r="AA30" s="448"/>
      <c r="AB30" s="448"/>
      <c r="AC30" s="448"/>
      <c r="AD30" s="448"/>
      <c r="AE30" s="356"/>
      <c r="AF30" s="448"/>
      <c r="AG30" s="448"/>
      <c r="AH30" s="448"/>
      <c r="AI30" s="448"/>
      <c r="AJ30" s="356"/>
      <c r="AK30" s="448"/>
      <c r="AL30" s="448"/>
      <c r="AM30" s="448"/>
      <c r="AN30" s="448"/>
      <c r="AO30" s="356"/>
      <c r="AP30" s="448"/>
      <c r="AQ30" s="448"/>
      <c r="AR30" s="448"/>
      <c r="AS30" s="448"/>
      <c r="AT30" s="356"/>
      <c r="AU30" s="358"/>
      <c r="AV30" s="358"/>
      <c r="AW30" s="358"/>
      <c r="AX30" s="358"/>
      <c r="AY30" s="356"/>
      <c r="AZ30" s="358"/>
      <c r="BA30" s="358"/>
      <c r="BB30" s="358"/>
      <c r="BC30" s="358"/>
      <c r="BD30" s="356"/>
      <c r="BE30" s="83"/>
      <c r="BF30" s="83"/>
      <c r="BG30" s="83"/>
      <c r="BH30" s="83"/>
      <c r="BI30" s="452"/>
      <c r="BJ30" s="83"/>
      <c r="BK30" s="83"/>
      <c r="BL30" s="83"/>
      <c r="BM30" s="83"/>
      <c r="BN30" s="452"/>
      <c r="BO30" s="468"/>
      <c r="BP30" s="468"/>
      <c r="BQ30" s="468"/>
      <c r="BR30" s="468"/>
      <c r="BS30" s="452"/>
      <c r="BT30" s="468"/>
      <c r="BU30" s="468"/>
      <c r="BV30" s="468"/>
      <c r="BW30" s="468"/>
      <c r="BX30" s="452"/>
      <c r="BY30" s="468"/>
      <c r="BZ30" s="468"/>
      <c r="CA30" s="468"/>
      <c r="CB30" s="468"/>
      <c r="CC30" s="452"/>
      <c r="CD30" s="468"/>
      <c r="CE30" s="468"/>
      <c r="CF30" s="468"/>
      <c r="CG30" s="468"/>
      <c r="CH30" s="452"/>
      <c r="CI30" s="468"/>
      <c r="CJ30" s="468"/>
      <c r="CK30" s="468"/>
      <c r="CL30" s="468"/>
      <c r="CM30" s="705"/>
      <c r="CN30" s="468">
        <f t="shared" ref="CN30" si="45">CN29/CN28</f>
        <v>0.1388888888888889</v>
      </c>
      <c r="CO30" s="468">
        <v>0.25</v>
      </c>
      <c r="CP30" s="468">
        <v>0.25</v>
      </c>
      <c r="CQ30" s="468">
        <v>0.2</v>
      </c>
      <c r="CR30" s="452"/>
      <c r="CS30" s="468"/>
      <c r="CT30" s="468"/>
      <c r="CU30" s="468"/>
      <c r="CV30" s="468"/>
      <c r="CW30" s="802">
        <v>0.17499999999999999</v>
      </c>
      <c r="CX30" s="468"/>
      <c r="CY30" s="468"/>
      <c r="CZ30" s="468"/>
      <c r="DA30" s="468"/>
      <c r="DB30" s="452">
        <v>0.2</v>
      </c>
      <c r="DC30" s="468"/>
      <c r="DD30" s="468"/>
      <c r="DE30" s="468"/>
      <c r="DF30" s="468"/>
      <c r="DG30" s="452">
        <v>0.3</v>
      </c>
      <c r="DH30" s="468"/>
      <c r="DI30" s="468"/>
      <c r="DJ30" s="468"/>
      <c r="DK30" s="468"/>
      <c r="DL30" s="452">
        <v>0.35</v>
      </c>
      <c r="DM30" s="468"/>
      <c r="DN30" s="468"/>
      <c r="DO30" s="468"/>
      <c r="DP30" s="468"/>
      <c r="DQ30" s="452">
        <f>DL30</f>
        <v>0.35</v>
      </c>
      <c r="DR30" s="468"/>
      <c r="DS30" s="468"/>
      <c r="DT30" s="468"/>
      <c r="DU30" s="468"/>
      <c r="DV30" s="802">
        <f>DQ30</f>
        <v>0.35</v>
      </c>
      <c r="DW30" s="468"/>
      <c r="DX30" s="468"/>
      <c r="DY30" s="468"/>
      <c r="DZ30" s="468"/>
      <c r="EA30" s="452">
        <f>DV30</f>
        <v>0.35</v>
      </c>
      <c r="EB30" s="468"/>
      <c r="EC30" s="468"/>
      <c r="ED30" s="468"/>
      <c r="EE30" s="468"/>
      <c r="EF30" s="452">
        <f>EA30</f>
        <v>0.35</v>
      </c>
      <c r="EG30" s="468"/>
      <c r="EH30" s="468"/>
      <c r="EI30" s="468"/>
      <c r="EJ30" s="468"/>
      <c r="EK30" s="452">
        <f>EF30</f>
        <v>0.35</v>
      </c>
      <c r="EL30" s="468"/>
      <c r="EM30" s="468"/>
      <c r="EN30" s="468"/>
      <c r="EO30" s="468"/>
      <c r="EP30" s="452">
        <f>EK30</f>
        <v>0.35</v>
      </c>
      <c r="EQ30" s="468"/>
      <c r="ER30" s="468"/>
      <c r="ES30" s="468"/>
      <c r="ET30" s="468"/>
      <c r="EU30" s="801">
        <f>EP30</f>
        <v>0.35</v>
      </c>
      <c r="EV30" s="468"/>
      <c r="EW30" s="468"/>
      <c r="EX30" s="468"/>
      <c r="EY30" s="468"/>
      <c r="EZ30" s="452">
        <f>EU30</f>
        <v>0.35</v>
      </c>
    </row>
    <row r="31" spans="2:156" s="4" customFormat="1">
      <c r="B31" s="18" t="s">
        <v>120</v>
      </c>
      <c r="C31" s="23"/>
      <c r="D31" s="23"/>
      <c r="E31" s="23"/>
      <c r="F31" s="23"/>
      <c r="G31" s="23"/>
      <c r="H31" s="23"/>
      <c r="I31" s="23"/>
      <c r="J31" s="23"/>
      <c r="K31" s="23"/>
      <c r="L31" s="22"/>
      <c r="M31" s="22"/>
      <c r="N31" s="22"/>
      <c r="O31" s="22"/>
      <c r="P31" s="23"/>
      <c r="Q31" s="22"/>
      <c r="R31" s="22"/>
      <c r="S31" s="22"/>
      <c r="T31" s="22"/>
      <c r="U31" s="23"/>
      <c r="V31" s="22"/>
      <c r="W31" s="22"/>
      <c r="X31" s="22"/>
      <c r="Y31" s="22"/>
      <c r="Z31" s="23"/>
      <c r="AA31" s="22"/>
      <c r="AB31" s="22"/>
      <c r="AC31" s="22"/>
      <c r="AD31" s="22"/>
      <c r="AE31" s="23"/>
      <c r="AF31" s="22"/>
      <c r="AG31" s="22"/>
      <c r="AH31" s="22"/>
      <c r="AI31" s="22">
        <f t="shared" ref="AI31:BO31" si="46">AI32+AI33</f>
        <v>39</v>
      </c>
      <c r="AJ31" s="23">
        <f t="shared" si="46"/>
        <v>39</v>
      </c>
      <c r="AK31" s="22">
        <f t="shared" si="46"/>
        <v>51</v>
      </c>
      <c r="AL31" s="22">
        <f t="shared" si="46"/>
        <v>45</v>
      </c>
      <c r="AM31" s="22">
        <f t="shared" si="46"/>
        <v>41</v>
      </c>
      <c r="AN31" s="22">
        <f t="shared" si="46"/>
        <v>33</v>
      </c>
      <c r="AO31" s="23">
        <f t="shared" si="46"/>
        <v>170</v>
      </c>
      <c r="AP31" s="22">
        <f t="shared" si="46"/>
        <v>34</v>
      </c>
      <c r="AQ31" s="22">
        <f t="shared" si="46"/>
        <v>32</v>
      </c>
      <c r="AR31" s="22">
        <f t="shared" si="46"/>
        <v>41</v>
      </c>
      <c r="AS31" s="22">
        <f t="shared" si="46"/>
        <v>46</v>
      </c>
      <c r="AT31" s="23">
        <f t="shared" si="46"/>
        <v>153</v>
      </c>
      <c r="AU31" s="22">
        <f t="shared" si="46"/>
        <v>53</v>
      </c>
      <c r="AV31" s="22">
        <f t="shared" si="46"/>
        <v>56</v>
      </c>
      <c r="AW31" s="22">
        <f t="shared" si="46"/>
        <v>58</v>
      </c>
      <c r="AX31" s="22">
        <f t="shared" si="46"/>
        <v>66</v>
      </c>
      <c r="AY31" s="23">
        <f t="shared" si="46"/>
        <v>233</v>
      </c>
      <c r="AZ31" s="22">
        <f t="shared" si="46"/>
        <v>67</v>
      </c>
      <c r="BA31" s="22">
        <f t="shared" si="46"/>
        <v>72</v>
      </c>
      <c r="BB31" s="22">
        <f t="shared" si="46"/>
        <v>70</v>
      </c>
      <c r="BC31" s="22">
        <f t="shared" si="46"/>
        <v>79</v>
      </c>
      <c r="BD31" s="23">
        <f t="shared" si="46"/>
        <v>288</v>
      </c>
      <c r="BE31" s="22">
        <f t="shared" si="46"/>
        <v>75</v>
      </c>
      <c r="BF31" s="22">
        <f t="shared" si="46"/>
        <v>81</v>
      </c>
      <c r="BG31" s="22">
        <f t="shared" si="46"/>
        <v>79</v>
      </c>
      <c r="BH31" s="22">
        <f t="shared" si="46"/>
        <v>87</v>
      </c>
      <c r="BI31" s="23">
        <f t="shared" si="46"/>
        <v>322</v>
      </c>
      <c r="BJ31" s="22">
        <f t="shared" si="46"/>
        <v>90</v>
      </c>
      <c r="BK31" s="22">
        <f t="shared" si="46"/>
        <v>90</v>
      </c>
      <c r="BL31" s="22">
        <f t="shared" si="46"/>
        <v>88</v>
      </c>
      <c r="BM31" s="22">
        <f t="shared" si="46"/>
        <v>91</v>
      </c>
      <c r="BN31" s="23">
        <f t="shared" si="46"/>
        <v>359</v>
      </c>
      <c r="BO31" s="465">
        <f t="shared" si="46"/>
        <v>87</v>
      </c>
      <c r="BP31" s="465">
        <f t="shared" ref="BP31:EA31" si="47">BP32+BP33</f>
        <v>93</v>
      </c>
      <c r="BQ31" s="465">
        <f t="shared" si="47"/>
        <v>107</v>
      </c>
      <c r="BR31" s="465">
        <f t="shared" si="47"/>
        <v>102</v>
      </c>
      <c r="BS31" s="23">
        <f t="shared" si="47"/>
        <v>389</v>
      </c>
      <c r="BT31" s="465">
        <f t="shared" si="47"/>
        <v>103</v>
      </c>
      <c r="BU31" s="465">
        <f t="shared" si="47"/>
        <v>132</v>
      </c>
      <c r="BV31" s="465">
        <f t="shared" si="47"/>
        <v>138</v>
      </c>
      <c r="BW31" s="465">
        <f t="shared" si="47"/>
        <v>132</v>
      </c>
      <c r="BX31" s="23">
        <f t="shared" si="47"/>
        <v>505</v>
      </c>
      <c r="BY31" s="465">
        <f t="shared" si="47"/>
        <v>122</v>
      </c>
      <c r="BZ31" s="465">
        <f t="shared" si="47"/>
        <v>160</v>
      </c>
      <c r="CA31" s="465">
        <f t="shared" si="47"/>
        <v>132</v>
      </c>
      <c r="CB31" s="465">
        <f t="shared" si="47"/>
        <v>135</v>
      </c>
      <c r="CC31" s="23">
        <f t="shared" si="47"/>
        <v>549</v>
      </c>
      <c r="CD31" s="465">
        <f t="shared" si="47"/>
        <v>144</v>
      </c>
      <c r="CE31" s="465">
        <f t="shared" si="47"/>
        <v>160</v>
      </c>
      <c r="CF31" s="465">
        <f t="shared" si="47"/>
        <v>164</v>
      </c>
      <c r="CG31" s="465">
        <f t="shared" si="47"/>
        <v>143</v>
      </c>
      <c r="CH31" s="23">
        <f t="shared" si="47"/>
        <v>611</v>
      </c>
      <c r="CI31" s="465">
        <f t="shared" si="47"/>
        <v>147</v>
      </c>
      <c r="CJ31" s="465">
        <f t="shared" si="47"/>
        <v>168</v>
      </c>
      <c r="CK31" s="465">
        <f t="shared" si="47"/>
        <v>168</v>
      </c>
      <c r="CL31" s="465">
        <f t="shared" si="47"/>
        <v>159</v>
      </c>
      <c r="CM31" s="23">
        <f t="shared" si="47"/>
        <v>642</v>
      </c>
      <c r="CN31" s="465">
        <f t="shared" si="47"/>
        <v>169</v>
      </c>
      <c r="CO31" s="465">
        <f t="shared" si="47"/>
        <v>173</v>
      </c>
      <c r="CP31" s="465">
        <f t="shared" si="47"/>
        <v>167</v>
      </c>
      <c r="CQ31" s="465">
        <f t="shared" si="47"/>
        <v>181.62046603991359</v>
      </c>
      <c r="CR31" s="23">
        <f t="shared" si="47"/>
        <v>690.62046603991359</v>
      </c>
      <c r="CS31" s="465">
        <f t="shared" si="47"/>
        <v>175.24019469910897</v>
      </c>
      <c r="CT31" s="465">
        <f t="shared" si="47"/>
        <v>179.72955074689929</v>
      </c>
      <c r="CU31" s="465">
        <f t="shared" si="47"/>
        <v>173.51637073830776</v>
      </c>
      <c r="CV31" s="465">
        <f t="shared" si="47"/>
        <v>188.68191502721757</v>
      </c>
      <c r="CW31" s="23">
        <f t="shared" si="47"/>
        <v>717.16803121153362</v>
      </c>
      <c r="CX31" s="465">
        <f t="shared" si="47"/>
        <v>181.74608516065098</v>
      </c>
      <c r="CY31" s="465">
        <f t="shared" si="47"/>
        <v>186.75617643349477</v>
      </c>
      <c r="CZ31" s="465">
        <f t="shared" si="47"/>
        <v>180.32099776040945</v>
      </c>
      <c r="DA31" s="465">
        <f t="shared" si="47"/>
        <v>196.05499006255255</v>
      </c>
      <c r="DB31" s="23">
        <f t="shared" si="47"/>
        <v>744.87824941710778</v>
      </c>
      <c r="DC31" s="465">
        <f t="shared" si="47"/>
        <v>188.53000408240513</v>
      </c>
      <c r="DD31" s="465">
        <f t="shared" si="47"/>
        <v>194.09395954768644</v>
      </c>
      <c r="DE31" s="465">
        <f t="shared" si="47"/>
        <v>187.42756140275475</v>
      </c>
      <c r="DF31" s="465">
        <f t="shared" si="47"/>
        <v>203.75446071603835</v>
      </c>
      <c r="DG31" s="23">
        <f t="shared" si="47"/>
        <v>773.8059857488845</v>
      </c>
      <c r="DH31" s="465">
        <f t="shared" si="47"/>
        <v>195.60487746556231</v>
      </c>
      <c r="DI31" s="465">
        <f t="shared" si="47"/>
        <v>201.75766771486539</v>
      </c>
      <c r="DJ31" s="465">
        <f t="shared" si="47"/>
        <v>194.85040797994401</v>
      </c>
      <c r="DK31" s="465">
        <f t="shared" si="47"/>
        <v>211.79581505412654</v>
      </c>
      <c r="DL31" s="23">
        <f t="shared" si="47"/>
        <v>804.0087682144981</v>
      </c>
      <c r="DM31" s="465">
        <f t="shared" si="47"/>
        <v>191.26169804995251</v>
      </c>
      <c r="DN31" s="465">
        <f t="shared" si="47"/>
        <v>196.04490321542164</v>
      </c>
      <c r="DO31" s="465">
        <f t="shared" si="47"/>
        <v>189.26082248442322</v>
      </c>
      <c r="DP31" s="465">
        <f t="shared" si="47"/>
        <v>205.81110686210437</v>
      </c>
      <c r="DQ31" s="23">
        <f t="shared" si="47"/>
        <v>782.37853061190162</v>
      </c>
      <c r="DR31" s="465">
        <f t="shared" si="47"/>
        <v>187.55076850544214</v>
      </c>
      <c r="DS31" s="465">
        <f t="shared" si="47"/>
        <v>191.05670646541478</v>
      </c>
      <c r="DT31" s="465">
        <f t="shared" si="47"/>
        <v>184.37525195908376</v>
      </c>
      <c r="DU31" s="465">
        <f t="shared" si="47"/>
        <v>200.58629443946631</v>
      </c>
      <c r="DV31" s="23">
        <f t="shared" si="47"/>
        <v>763.56902136940698</v>
      </c>
      <c r="DW31" s="465">
        <f t="shared" si="47"/>
        <v>180.60319428363104</v>
      </c>
      <c r="DX31" s="465">
        <f t="shared" si="47"/>
        <v>183.39768608133153</v>
      </c>
      <c r="DY31" s="465">
        <f t="shared" si="47"/>
        <v>176.94949781356689</v>
      </c>
      <c r="DZ31" s="465">
        <f t="shared" si="47"/>
        <v>192.55112281330057</v>
      </c>
      <c r="EA31" s="23">
        <f t="shared" si="47"/>
        <v>733.50150099182997</v>
      </c>
      <c r="EB31" s="465">
        <f t="shared" ref="EB31:EZ31" si="48">EB32+EB33</f>
        <v>171.67384241947121</v>
      </c>
      <c r="EC31" s="465">
        <f t="shared" si="48"/>
        <v>174.23377481978628</v>
      </c>
      <c r="ED31" s="465">
        <f t="shared" si="48"/>
        <v>168.1020365824935</v>
      </c>
      <c r="EE31" s="465">
        <f t="shared" si="48"/>
        <v>182.9308134994539</v>
      </c>
      <c r="EF31" s="23">
        <f t="shared" si="48"/>
        <v>696.94046732120478</v>
      </c>
      <c r="EG31" s="465">
        <f t="shared" si="48"/>
        <v>157.62464733764278</v>
      </c>
      <c r="EH31" s="465">
        <f t="shared" si="48"/>
        <v>160.02601200679064</v>
      </c>
      <c r="EI31" s="465">
        <f t="shared" si="48"/>
        <v>154.39732103160998</v>
      </c>
      <c r="EJ31" s="465">
        <f t="shared" si="48"/>
        <v>168.01334141292361</v>
      </c>
      <c r="EK31" s="23">
        <f t="shared" si="48"/>
        <v>640.06132178896701</v>
      </c>
      <c r="EL31" s="465">
        <f t="shared" si="48"/>
        <v>140.67673289645438</v>
      </c>
      <c r="EM31" s="465">
        <f t="shared" si="48"/>
        <v>143.15463422811894</v>
      </c>
      <c r="EN31" s="465">
        <f t="shared" si="48"/>
        <v>138.13933990363557</v>
      </c>
      <c r="EO31" s="465">
        <f t="shared" si="48"/>
        <v>150.29647888348174</v>
      </c>
      <c r="EP31" s="23">
        <f t="shared" si="48"/>
        <v>572.2671859116906</v>
      </c>
      <c r="EQ31" s="465">
        <f t="shared" si="48"/>
        <v>135.35329349796581</v>
      </c>
      <c r="ER31" s="465">
        <f t="shared" si="48"/>
        <v>136.86603549271513</v>
      </c>
      <c r="ES31" s="465">
        <f t="shared" si="48"/>
        <v>132.01919255451566</v>
      </c>
      <c r="ET31" s="465">
        <f t="shared" si="48"/>
        <v>143.70294942894728</v>
      </c>
      <c r="EU31" s="23">
        <f t="shared" si="48"/>
        <v>547.94147097414384</v>
      </c>
      <c r="EV31" s="465">
        <f t="shared" si="48"/>
        <v>136.35208875908359</v>
      </c>
      <c r="EW31" s="465">
        <f t="shared" si="48"/>
        <v>137.96191968342461</v>
      </c>
      <c r="EX31" s="465">
        <f t="shared" si="48"/>
        <v>133.08141491835778</v>
      </c>
      <c r="EY31" s="465">
        <f t="shared" si="48"/>
        <v>144.85270327600182</v>
      </c>
      <c r="EZ31" s="23">
        <f t="shared" si="48"/>
        <v>552.24812663686771</v>
      </c>
    </row>
    <row r="32" spans="2:156">
      <c r="B32" s="351" t="s">
        <v>907</v>
      </c>
      <c r="C32" s="450"/>
      <c r="D32" s="450"/>
      <c r="E32" s="450"/>
      <c r="F32" s="450"/>
      <c r="G32" s="450"/>
      <c r="H32" s="450"/>
      <c r="I32" s="450"/>
      <c r="J32" s="450"/>
      <c r="K32" s="356"/>
      <c r="L32" s="448"/>
      <c r="M32" s="448"/>
      <c r="N32" s="448"/>
      <c r="O32" s="448"/>
      <c r="P32" s="356"/>
      <c r="Q32" s="448"/>
      <c r="R32" s="448"/>
      <c r="S32" s="448"/>
      <c r="T32" s="357"/>
      <c r="U32" s="356"/>
      <c r="V32" s="448"/>
      <c r="W32" s="448"/>
      <c r="X32" s="448"/>
      <c r="Y32" s="448"/>
      <c r="Z32" s="356"/>
      <c r="AA32" s="448"/>
      <c r="AB32" s="448"/>
      <c r="AC32" s="448"/>
      <c r="AD32" s="448"/>
      <c r="AE32" s="356"/>
      <c r="AF32" s="448"/>
      <c r="AG32" s="448"/>
      <c r="AH32" s="448"/>
      <c r="AI32" s="448">
        <v>39</v>
      </c>
      <c r="AJ32" s="356">
        <f>AI32+AH32+AG32+AF32</f>
        <v>39</v>
      </c>
      <c r="AK32" s="448">
        <v>51</v>
      </c>
      <c r="AL32" s="448">
        <v>45</v>
      </c>
      <c r="AM32" s="448">
        <v>41</v>
      </c>
      <c r="AN32" s="448">
        <v>33</v>
      </c>
      <c r="AO32" s="356">
        <f>AN32+AM32+AL32+AK32</f>
        <v>170</v>
      </c>
      <c r="AP32" s="448">
        <v>32</v>
      </c>
      <c r="AQ32" s="448">
        <v>25</v>
      </c>
      <c r="AR32" s="448">
        <v>26</v>
      </c>
      <c r="AS32" s="448">
        <v>25</v>
      </c>
      <c r="AT32" s="356">
        <f>AS32+AR32+AQ32+AP32</f>
        <v>108</v>
      </c>
      <c r="AU32" s="358">
        <v>25</v>
      </c>
      <c r="AV32" s="358">
        <v>24</v>
      </c>
      <c r="AW32" s="358">
        <v>23</v>
      </c>
      <c r="AX32" s="358">
        <v>25</v>
      </c>
      <c r="AY32" s="356">
        <f>AX32+AW32+AV32+AU32</f>
        <v>97</v>
      </c>
      <c r="AZ32" s="358">
        <v>25</v>
      </c>
      <c r="BA32" s="358">
        <v>29</v>
      </c>
      <c r="BB32" s="358">
        <v>30</v>
      </c>
      <c r="BC32" s="358">
        <v>31</v>
      </c>
      <c r="BD32" s="356">
        <f>BC32+BB32+BA32+AZ32</f>
        <v>115</v>
      </c>
      <c r="BE32" s="358">
        <v>30</v>
      </c>
      <c r="BF32" s="358">
        <v>31</v>
      </c>
      <c r="BG32" s="358">
        <v>30</v>
      </c>
      <c r="BH32" s="358">
        <v>31</v>
      </c>
      <c r="BI32" s="356">
        <f>BH32+BG32+BF32+BE32</f>
        <v>122</v>
      </c>
      <c r="BJ32" s="358">
        <v>31</v>
      </c>
      <c r="BK32" s="358">
        <v>31</v>
      </c>
      <c r="BL32" s="358">
        <v>30</v>
      </c>
      <c r="BM32" s="358">
        <v>30</v>
      </c>
      <c r="BN32" s="356">
        <f>BM32+BL32+BK32+BJ32</f>
        <v>122</v>
      </c>
      <c r="BO32" s="467">
        <v>27</v>
      </c>
      <c r="BP32" s="467">
        <v>31</v>
      </c>
      <c r="BQ32" s="467">
        <v>32</v>
      </c>
      <c r="BR32" s="474">
        <v>36</v>
      </c>
      <c r="BS32" s="356">
        <f>BR32+BQ32+BP32+BO32</f>
        <v>126</v>
      </c>
      <c r="BT32" s="474">
        <v>39</v>
      </c>
      <c r="BU32" s="474">
        <v>36</v>
      </c>
      <c r="BV32" s="474">
        <v>44</v>
      </c>
      <c r="BW32" s="474">
        <v>49</v>
      </c>
      <c r="BX32" s="356">
        <f>BW32+BV32+BU32+BT32</f>
        <v>168</v>
      </c>
      <c r="BY32" s="474">
        <v>47</v>
      </c>
      <c r="BZ32" s="474">
        <v>52</v>
      </c>
      <c r="CA32" s="474">
        <v>54</v>
      </c>
      <c r="CB32" s="474">
        <v>51</v>
      </c>
      <c r="CC32" s="356">
        <f>SUM(BY32:CB32)</f>
        <v>204</v>
      </c>
      <c r="CD32" s="474">
        <v>56</v>
      </c>
      <c r="CE32" s="474">
        <v>52</v>
      </c>
      <c r="CF32" s="474">
        <v>64</v>
      </c>
      <c r="CG32" s="474">
        <v>57</v>
      </c>
      <c r="CH32" s="356">
        <f>CG32+CF32+CE32+CD32</f>
        <v>229</v>
      </c>
      <c r="CI32" s="474">
        <v>61</v>
      </c>
      <c r="CJ32" s="474">
        <v>62</v>
      </c>
      <c r="CK32" s="474">
        <v>65</v>
      </c>
      <c r="CL32" s="474">
        <v>63</v>
      </c>
      <c r="CM32" s="356">
        <f>CI32+CJ32+CK32+CL32</f>
        <v>251</v>
      </c>
      <c r="CN32" s="474">
        <v>75</v>
      </c>
      <c r="CO32" s="467">
        <v>63</v>
      </c>
      <c r="CP32" s="467">
        <v>60</v>
      </c>
      <c r="CQ32" s="467">
        <f>CR32-CN32-CO32-CP32</f>
        <v>66.277555152913123</v>
      </c>
      <c r="CR32" s="356">
        <f>Vectibix!N42</f>
        <v>264.27755515291312</v>
      </c>
      <c r="CS32" s="467">
        <f>CW32/CR32*CN32</f>
        <v>76.73465356615506</v>
      </c>
      <c r="CT32" s="467">
        <f>CW32/CR32*CO32</f>
        <v>64.457108995570252</v>
      </c>
      <c r="CU32" s="467">
        <f>CW32/CR32*CP32</f>
        <v>61.38772285292405</v>
      </c>
      <c r="CV32" s="467">
        <f>CW32/CR32*CQ32</f>
        <v>67.810469784940324</v>
      </c>
      <c r="CW32" s="356">
        <f>Vectibix!O42</f>
        <v>270.38995519958968</v>
      </c>
      <c r="CX32" s="467">
        <f>DB32/CW32*CS32</f>
        <v>78.511236563244168</v>
      </c>
      <c r="CY32" s="467">
        <f>DB32/CW32*CT32</f>
        <v>65.949438713125105</v>
      </c>
      <c r="CZ32" s="467">
        <f>DB32/CW32*CU32</f>
        <v>62.808989250595332</v>
      </c>
      <c r="DA32" s="467">
        <f>DB32/CW32*CV32</f>
        <v>69.380437485917668</v>
      </c>
      <c r="DB32" s="356">
        <f>Vectibix!P42</f>
        <v>276.65010201288226</v>
      </c>
      <c r="DC32" s="467">
        <f>DG32/DB32*CX32</f>
        <v>80.330807074163616</v>
      </c>
      <c r="DD32" s="467">
        <f>DG32/DB32*CY32</f>
        <v>67.47787794229744</v>
      </c>
      <c r="DE32" s="467">
        <f>DG32/DB32*CZ32</f>
        <v>64.264645659330895</v>
      </c>
      <c r="DF32" s="467">
        <f>DG32/DB32*DA32</f>
        <v>70.988393284478704</v>
      </c>
      <c r="DG32" s="356">
        <f>Vectibix!Q42</f>
        <v>283.06172396027063</v>
      </c>
      <c r="DH32" s="467">
        <f>DL32/DG32*DC32</f>
        <v>82.194450902529198</v>
      </c>
      <c r="DI32" s="467">
        <f>DL32/DG32*DD32</f>
        <v>69.04333875812452</v>
      </c>
      <c r="DJ32" s="467">
        <f>DL32/DG32*DE32</f>
        <v>65.755560722023361</v>
      </c>
      <c r="DK32" s="467">
        <f>DL32/DG32*DF32</f>
        <v>72.635296706077185</v>
      </c>
      <c r="DL32" s="356">
        <f>Vectibix!R42</f>
        <v>289.62864708875424</v>
      </c>
      <c r="DM32" s="467">
        <f>DQ32/DL32*DH32</f>
        <v>84.103282321042002</v>
      </c>
      <c r="DN32" s="467">
        <f>DQ32/DL32*DI32</f>
        <v>70.646757149675281</v>
      </c>
      <c r="DO32" s="467">
        <f>DQ32/DL32*DJ32</f>
        <v>67.282625856833604</v>
      </c>
      <c r="DP32" s="467">
        <f>DQ32/DL32*DK32</f>
        <v>74.322132434318462</v>
      </c>
      <c r="DQ32" s="356">
        <f>Vectibix!S42</f>
        <v>296.35479776186935</v>
      </c>
      <c r="DR32" s="467">
        <f>DV32/DQ32*DM32</f>
        <v>86.058444840516842</v>
      </c>
      <c r="DS32" s="467">
        <f>DV32/DQ32*DN32</f>
        <v>72.289093666034148</v>
      </c>
      <c r="DT32" s="467">
        <f>DV32/DQ32*DO32</f>
        <v>68.846755872413482</v>
      </c>
      <c r="DU32" s="467">
        <f>DV32/DQ32*DP32</f>
        <v>76.049910990550501</v>
      </c>
      <c r="DV32" s="356">
        <f>Vectibix!T42</f>
        <v>303.24420536951499</v>
      </c>
      <c r="DW32" s="467">
        <f>EA32/DV32*DR32</f>
        <v>84.631729367082812</v>
      </c>
      <c r="DX32" s="467">
        <f>EA32/DV32*DS32</f>
        <v>71.090652668349563</v>
      </c>
      <c r="DY32" s="467">
        <f>EA32/DV32*DT32</f>
        <v>67.705383493666261</v>
      </c>
      <c r="DZ32" s="467">
        <f>EA32/DV32*DU32</f>
        <v>74.789121477509994</v>
      </c>
      <c r="EA32" s="356">
        <f>Vectibix!U42</f>
        <v>298.21688700660866</v>
      </c>
      <c r="EB32" s="467">
        <f>EF32/EA32*DW32</f>
        <v>80.739298746196027</v>
      </c>
      <c r="EC32" s="467">
        <f>EF32/EA32*DX32</f>
        <v>67.821010946804662</v>
      </c>
      <c r="ED32" s="467">
        <f>EF32/EA32*DY32</f>
        <v>64.591438996956839</v>
      </c>
      <c r="EE32" s="467">
        <f>EF32/EA32*DZ32</f>
        <v>71.349377675447172</v>
      </c>
      <c r="EF32" s="356">
        <f>Vectibix!V42</f>
        <v>284.50112636540473</v>
      </c>
      <c r="EG32" s="467">
        <f>EK32/EF32*EB32</f>
        <v>73.977644281648949</v>
      </c>
      <c r="EH32" s="467">
        <f>EK32/EF32*EC32</f>
        <v>62.141221196585114</v>
      </c>
      <c r="EI32" s="467">
        <f>EK32/EF32*ED32</f>
        <v>59.182115425319168</v>
      </c>
      <c r="EJ32" s="467">
        <f>EK32/EF32*EE32</f>
        <v>65.374098652794359</v>
      </c>
      <c r="EK32" s="356">
        <f>Vectibix!W42</f>
        <v>260.67507955634761</v>
      </c>
      <c r="EL32" s="467">
        <f>EP32/EK32*EG32</f>
        <v>65.009826068518052</v>
      </c>
      <c r="EM32" s="467">
        <f>EP32/EK32*EH32</f>
        <v>54.608253897555166</v>
      </c>
      <c r="EN32" s="467">
        <f>EP32/EK32*EI32</f>
        <v>52.007860854814453</v>
      </c>
      <c r="EO32" s="467">
        <f>EP32/EK32*EJ32</f>
        <v>57.449231103166603</v>
      </c>
      <c r="EP32" s="356">
        <f>Vectibix!X42</f>
        <v>229.0751719240543</v>
      </c>
      <c r="EQ32" s="467">
        <f>EU32/EP32*EL32</f>
        <v>65.188625916914148</v>
      </c>
      <c r="ER32" s="467">
        <f>EU32/EP32*EM32</f>
        <v>54.758445770207892</v>
      </c>
      <c r="ES32" s="467">
        <f>EU32/EP32*EN32</f>
        <v>52.150900733531337</v>
      </c>
      <c r="ET32" s="467">
        <f>EU32/EP32*EO32</f>
        <v>57.607236660678673</v>
      </c>
      <c r="EU32" s="356">
        <f>Vectibix!Y42</f>
        <v>229.7052090813321</v>
      </c>
      <c r="EV32" s="467">
        <f>EZ32/EU32*EQ32</f>
        <v>65.409449525041296</v>
      </c>
      <c r="EW32" s="467">
        <f>EZ32/EU32*ER32</f>
        <v>54.943937601034698</v>
      </c>
      <c r="EX32" s="467">
        <f>EZ32/EU32*ES32</f>
        <v>52.327559620033057</v>
      </c>
      <c r="EY32" s="467">
        <f>EZ32/EU32*ET32</f>
        <v>57.802378645568169</v>
      </c>
      <c r="EZ32" s="356">
        <f>Vectibix!Z42</f>
        <v>230.48332539167728</v>
      </c>
    </row>
    <row r="33" spans="2:156">
      <c r="B33" s="351" t="s">
        <v>908</v>
      </c>
      <c r="C33" s="450"/>
      <c r="D33" s="450"/>
      <c r="E33" s="450"/>
      <c r="F33" s="450"/>
      <c r="G33" s="450"/>
      <c r="H33" s="450"/>
      <c r="I33" s="450"/>
      <c r="J33" s="450"/>
      <c r="K33" s="356"/>
      <c r="L33" s="448"/>
      <c r="M33" s="448"/>
      <c r="N33" s="448"/>
      <c r="O33" s="448"/>
      <c r="P33" s="356"/>
      <c r="Q33" s="448"/>
      <c r="R33" s="448"/>
      <c r="S33" s="448"/>
      <c r="T33" s="357"/>
      <c r="U33" s="356"/>
      <c r="V33" s="448"/>
      <c r="W33" s="448"/>
      <c r="X33" s="448"/>
      <c r="Y33" s="448"/>
      <c r="Z33" s="356"/>
      <c r="AA33" s="448"/>
      <c r="AB33" s="448"/>
      <c r="AC33" s="448"/>
      <c r="AD33" s="448"/>
      <c r="AE33" s="356"/>
      <c r="AF33" s="448"/>
      <c r="AG33" s="448"/>
      <c r="AH33" s="448"/>
      <c r="AI33" s="448"/>
      <c r="AJ33" s="356"/>
      <c r="AK33" s="448"/>
      <c r="AL33" s="448"/>
      <c r="AM33" s="448"/>
      <c r="AN33" s="448"/>
      <c r="AO33" s="356"/>
      <c r="AP33" s="448">
        <v>2</v>
      </c>
      <c r="AQ33" s="448">
        <v>7</v>
      </c>
      <c r="AR33" s="448">
        <v>15</v>
      </c>
      <c r="AS33" s="448">
        <v>21</v>
      </c>
      <c r="AT33" s="356">
        <f>AS33+AR33+AQ33+AP33</f>
        <v>45</v>
      </c>
      <c r="AU33" s="358">
        <v>28</v>
      </c>
      <c r="AV33" s="358">
        <v>32</v>
      </c>
      <c r="AW33" s="358">
        <v>35</v>
      </c>
      <c r="AX33" s="358">
        <v>41</v>
      </c>
      <c r="AY33" s="356">
        <f>AX33+AW33+AV33+AU33</f>
        <v>136</v>
      </c>
      <c r="AZ33" s="358">
        <v>42</v>
      </c>
      <c r="BA33" s="358">
        <v>43</v>
      </c>
      <c r="BB33" s="358">
        <v>40</v>
      </c>
      <c r="BC33" s="358">
        <v>48</v>
      </c>
      <c r="BD33" s="356">
        <f>BC33+BB33+BA33+AZ33</f>
        <v>173</v>
      </c>
      <c r="BE33" s="358">
        <v>45</v>
      </c>
      <c r="BF33" s="358">
        <v>50</v>
      </c>
      <c r="BG33" s="358">
        <v>49</v>
      </c>
      <c r="BH33" s="358">
        <v>56</v>
      </c>
      <c r="BI33" s="356">
        <f>BH33+BG33+BF33+BE33</f>
        <v>200</v>
      </c>
      <c r="BJ33" s="358">
        <v>59</v>
      </c>
      <c r="BK33" s="358">
        <v>59</v>
      </c>
      <c r="BL33" s="358">
        <v>58</v>
      </c>
      <c r="BM33" s="358">
        <v>61</v>
      </c>
      <c r="BN33" s="356">
        <f>BM33+BL33+BK33+BJ33</f>
        <v>237</v>
      </c>
      <c r="BO33" s="467">
        <v>60</v>
      </c>
      <c r="BP33" s="467">
        <v>62</v>
      </c>
      <c r="BQ33" s="467">
        <v>75</v>
      </c>
      <c r="BR33" s="474">
        <v>66</v>
      </c>
      <c r="BS33" s="356">
        <f>BR33+BQ33+BP33+BO33</f>
        <v>263</v>
      </c>
      <c r="BT33" s="474">
        <v>64</v>
      </c>
      <c r="BU33" s="474">
        <v>96</v>
      </c>
      <c r="BV33" s="474">
        <v>94</v>
      </c>
      <c r="BW33" s="474">
        <v>83</v>
      </c>
      <c r="BX33" s="356">
        <f>BW33+BV33+BU33+BT33</f>
        <v>337</v>
      </c>
      <c r="BY33" s="474">
        <v>75</v>
      </c>
      <c r="BZ33" s="474">
        <v>108</v>
      </c>
      <c r="CA33" s="474">
        <v>78</v>
      </c>
      <c r="CB33" s="474">
        <v>84</v>
      </c>
      <c r="CC33" s="356">
        <f>SUM(BY33:CB33)</f>
        <v>345</v>
      </c>
      <c r="CD33" s="474">
        <v>88</v>
      </c>
      <c r="CE33" s="474">
        <v>108</v>
      </c>
      <c r="CF33" s="474">
        <v>100</v>
      </c>
      <c r="CG33" s="474">
        <v>86</v>
      </c>
      <c r="CH33" s="356">
        <f>CG33+CF33+CE33+CD33</f>
        <v>382</v>
      </c>
      <c r="CI33" s="474">
        <v>86</v>
      </c>
      <c r="CJ33" s="474">
        <v>106</v>
      </c>
      <c r="CK33" s="474">
        <v>103</v>
      </c>
      <c r="CL33" s="474">
        <v>96</v>
      </c>
      <c r="CM33" s="356">
        <f>CI33+CJ33+CK33+CL33</f>
        <v>391</v>
      </c>
      <c r="CN33" s="474">
        <v>94</v>
      </c>
      <c r="CO33" s="467">
        <v>110</v>
      </c>
      <c r="CP33" s="467">
        <v>107</v>
      </c>
      <c r="CQ33" s="467">
        <f>CR33-CN33-CO33-CP33</f>
        <v>115.34291088700047</v>
      </c>
      <c r="CR33" s="356">
        <f>Vectibix!N84+Vectibix!N87</f>
        <v>426.34291088700047</v>
      </c>
      <c r="CS33" s="467">
        <f>CW33/CR33*CN33</f>
        <v>98.505541132953908</v>
      </c>
      <c r="CT33" s="467">
        <f>CW33/CR33*CO33</f>
        <v>115.27244175132904</v>
      </c>
      <c r="CU33" s="467">
        <f>CW33/CR33*CP33</f>
        <v>112.1286478853837</v>
      </c>
      <c r="CV33" s="467">
        <f>CW33/CR33*CQ33</f>
        <v>120.87144524227725</v>
      </c>
      <c r="CW33" s="356">
        <f>Vectibix!O84+Vectibix!O87</f>
        <v>446.77807601194388</v>
      </c>
      <c r="CX33" s="467">
        <f>DB33/CW33*CS33</f>
        <v>103.23484859740681</v>
      </c>
      <c r="CY33" s="467">
        <f>DB33/CW33*CT33</f>
        <v>120.80673772036967</v>
      </c>
      <c r="CZ33" s="467">
        <f>DB33/CW33*CU33</f>
        <v>117.51200850981414</v>
      </c>
      <c r="DA33" s="467">
        <f>DB33/CW33*CV33</f>
        <v>126.67455257663488</v>
      </c>
      <c r="DB33" s="356">
        <f>Vectibix!P84+Vectibix!P87</f>
        <v>468.22814740422547</v>
      </c>
      <c r="DC33" s="467">
        <f>DG33/DB33*CX33</f>
        <v>108.1991970082415</v>
      </c>
      <c r="DD33" s="467">
        <f>DG33/DB33*CY33</f>
        <v>126.61608160538898</v>
      </c>
      <c r="DE33" s="467">
        <f>DG33/DB33*CZ33</f>
        <v>123.16291574342384</v>
      </c>
      <c r="DF33" s="467">
        <f>DG33/DB33*DA33</f>
        <v>132.76606743155966</v>
      </c>
      <c r="DG33" s="356">
        <f>Vectibix!Q84+Vectibix!Q87</f>
        <v>490.74426178861393</v>
      </c>
      <c r="DH33" s="467">
        <f>DL33/DG33*DC33</f>
        <v>113.41042656303311</v>
      </c>
      <c r="DI33" s="467">
        <f>DL33/DG33*DD33</f>
        <v>132.71432895674087</v>
      </c>
      <c r="DJ33" s="467">
        <f>DL33/DG33*DE33</f>
        <v>129.09484725792066</v>
      </c>
      <c r="DK33" s="467">
        <f>DL33/DG33*DF33</f>
        <v>139.16051834804935</v>
      </c>
      <c r="DL33" s="356">
        <f>Vectibix!R84+Vectibix!R87</f>
        <v>514.38012112574393</v>
      </c>
      <c r="DM33" s="467">
        <f>DQ33/DL33*DH33</f>
        <v>107.15841572891051</v>
      </c>
      <c r="DN33" s="467">
        <f>DQ33/DL33*DI33</f>
        <v>125.39814606574635</v>
      </c>
      <c r="DO33" s="467">
        <f>DQ33/DL33*DJ33</f>
        <v>121.97819662758963</v>
      </c>
      <c r="DP33" s="467">
        <f>DQ33/DL33*DK33</f>
        <v>131.48897442778591</v>
      </c>
      <c r="DQ33" s="356">
        <f>Vectibix!S84+Vectibix!S87</f>
        <v>486.02373285003233</v>
      </c>
      <c r="DR33" s="467">
        <f>DV33/DQ33*DM33</f>
        <v>101.49232366492528</v>
      </c>
      <c r="DS33" s="467">
        <f>DV33/DQ33*DN33</f>
        <v>118.76761279938064</v>
      </c>
      <c r="DT33" s="467">
        <f>DV33/DQ33*DO33</f>
        <v>115.52849608667026</v>
      </c>
      <c r="DU33" s="467">
        <f>DV33/DQ33*DP33</f>
        <v>124.5363834489158</v>
      </c>
      <c r="DV33" s="356">
        <f>Vectibix!T84+Vectibix!T87</f>
        <v>460.32481599989194</v>
      </c>
      <c r="DW33" s="467">
        <f>EA33/DV33*DR33</f>
        <v>95.971464916548229</v>
      </c>
      <c r="DX33" s="467">
        <f>EA33/DV33*DS33</f>
        <v>112.30703341298197</v>
      </c>
      <c r="DY33" s="467">
        <f>EA33/DV33*DT33</f>
        <v>109.24411431990063</v>
      </c>
      <c r="DZ33" s="467">
        <f>EA33/DV33*DU33</f>
        <v>117.76200133579057</v>
      </c>
      <c r="EA33" s="356">
        <f>Vectibix!U84+Vectibix!U87</f>
        <v>435.28461398522131</v>
      </c>
      <c r="EB33" s="467">
        <f>EF33/EA33*DW33</f>
        <v>90.934543673275201</v>
      </c>
      <c r="EC33" s="467">
        <f>EF33/EA33*DX33</f>
        <v>106.41276387298161</v>
      </c>
      <c r="ED33" s="467">
        <f>EF33/EA33*DY33</f>
        <v>103.51059758553666</v>
      </c>
      <c r="EE33" s="467">
        <f>EF33/EA33*DZ33</f>
        <v>111.58143582400673</v>
      </c>
      <c r="EF33" s="356">
        <f>Vectibix!V84+Vectibix!V87</f>
        <v>412.43934095580011</v>
      </c>
      <c r="EG33" s="467">
        <f>EK33/EF33*EB33</f>
        <v>83.647003055993821</v>
      </c>
      <c r="EH33" s="467">
        <f>EK33/EF33*EC33</f>
        <v>97.88479081020553</v>
      </c>
      <c r="EI33" s="467">
        <f>EK33/EF33*ED33</f>
        <v>95.215205606290823</v>
      </c>
      <c r="EJ33" s="467">
        <f>EK33/EF33*EE33</f>
        <v>102.63924276012925</v>
      </c>
      <c r="EK33" s="356">
        <f>Vectibix!W84+Vectibix!W87</f>
        <v>379.38624223261934</v>
      </c>
      <c r="EL33" s="467">
        <f>EP33/EK33*EG33</f>
        <v>75.666906827936316</v>
      </c>
      <c r="EM33" s="467">
        <f>EP33/EK33*EH33</f>
        <v>88.546380330563764</v>
      </c>
      <c r="EN33" s="467">
        <f>EP33/EK33*EI33</f>
        <v>86.131479048821106</v>
      </c>
      <c r="EO33" s="467">
        <f>EP33/EK33*EJ33</f>
        <v>92.847247780315143</v>
      </c>
      <c r="EP33" s="356">
        <f>Vectibix!X84+Vectibix!X87</f>
        <v>343.19201398763624</v>
      </c>
      <c r="EQ33" s="467">
        <f>EU33/EP33*EL33</f>
        <v>70.16466758105166</v>
      </c>
      <c r="ER33" s="467">
        <f>EU33/EP33*EM33</f>
        <v>82.107589722507242</v>
      </c>
      <c r="ES33" s="467">
        <f>EU33/EP33*EN33</f>
        <v>79.868291820984311</v>
      </c>
      <c r="ET33" s="467">
        <f>EU33/EP33*EO33</f>
        <v>86.095712768268612</v>
      </c>
      <c r="EU33" s="356">
        <f>Vectibix!Y84+Vectibix!Y87</f>
        <v>318.23626189281174</v>
      </c>
      <c r="EV33" s="467">
        <f>EZ33/EU33*EQ33</f>
        <v>70.942639234042304</v>
      </c>
      <c r="EW33" s="467">
        <f>EZ33/EU33*ER33</f>
        <v>83.017982082389906</v>
      </c>
      <c r="EX33" s="467">
        <f>EZ33/EU33*ES33</f>
        <v>80.753855298324723</v>
      </c>
      <c r="EY33" s="467">
        <f>EZ33/EU33*ET33</f>
        <v>87.050324630433636</v>
      </c>
      <c r="EZ33" s="356">
        <f>Vectibix!Z84+Vectibix!Z87</f>
        <v>321.76480124519048</v>
      </c>
    </row>
    <row r="34" spans="2:156">
      <c r="B34" s="455"/>
      <c r="C34" s="450"/>
      <c r="D34" s="450"/>
      <c r="E34" s="450"/>
      <c r="F34" s="450"/>
      <c r="G34" s="450"/>
      <c r="H34" s="450"/>
      <c r="I34" s="450"/>
      <c r="J34" s="450"/>
      <c r="K34" s="356"/>
      <c r="L34" s="448"/>
      <c r="M34" s="448"/>
      <c r="N34" s="448"/>
      <c r="O34" s="448"/>
      <c r="P34" s="356"/>
      <c r="Q34" s="448"/>
      <c r="R34" s="448"/>
      <c r="S34" s="448"/>
      <c r="T34" s="357"/>
      <c r="U34" s="356"/>
      <c r="V34" s="448"/>
      <c r="W34" s="448"/>
      <c r="X34" s="448"/>
      <c r="Y34" s="448"/>
      <c r="Z34" s="356"/>
      <c r="AA34" s="448"/>
      <c r="AB34" s="448"/>
      <c r="AC34" s="448"/>
      <c r="AD34" s="448"/>
      <c r="AE34" s="356"/>
      <c r="AF34" s="448"/>
      <c r="AG34" s="448"/>
      <c r="AH34" s="448"/>
      <c r="AI34" s="448"/>
      <c r="AJ34" s="356"/>
      <c r="AK34" s="448"/>
      <c r="AL34" s="448"/>
      <c r="AM34" s="448"/>
      <c r="AN34" s="448"/>
      <c r="AO34" s="356"/>
      <c r="AP34" s="448"/>
      <c r="AQ34" s="448"/>
      <c r="AR34" s="448"/>
      <c r="AS34" s="448"/>
      <c r="AT34" s="356"/>
      <c r="AU34" s="358"/>
      <c r="AV34" s="358"/>
      <c r="AW34" s="358"/>
      <c r="AX34" s="358"/>
      <c r="AY34" s="356"/>
      <c r="AZ34" s="358"/>
      <c r="BA34" s="358"/>
      <c r="BB34" s="358"/>
      <c r="BC34" s="358"/>
      <c r="BD34" s="356"/>
      <c r="BE34" s="358"/>
      <c r="BF34" s="358"/>
      <c r="BG34" s="358"/>
      <c r="BH34" s="358"/>
      <c r="BI34" s="356"/>
      <c r="BJ34" s="358"/>
      <c r="BK34" s="358"/>
      <c r="BL34" s="358"/>
      <c r="BM34" s="358"/>
      <c r="BN34" s="356"/>
      <c r="BO34" s="467"/>
      <c r="BP34" s="467"/>
      <c r="BQ34" s="467"/>
      <c r="BR34" s="467"/>
      <c r="BS34" s="356"/>
      <c r="BT34" s="464"/>
      <c r="BU34" s="464"/>
      <c r="BV34" s="464"/>
      <c r="BW34" s="464"/>
      <c r="BX34" s="449"/>
      <c r="BY34" s="464"/>
      <c r="BZ34" s="464"/>
      <c r="CA34" s="464"/>
      <c r="CB34" s="464"/>
      <c r="CC34" s="449"/>
      <c r="CD34" s="464"/>
      <c r="CE34" s="464"/>
      <c r="CF34" s="464"/>
      <c r="CG34" s="464"/>
      <c r="CH34" s="449"/>
      <c r="CI34" s="557"/>
      <c r="CJ34" s="557"/>
      <c r="CK34" s="557"/>
      <c r="CL34" s="557"/>
      <c r="CN34" s="468">
        <f t="shared" ref="CN34" si="49">CN33/CN32</f>
        <v>1.2533333333333334</v>
      </c>
      <c r="CO34" s="557"/>
      <c r="CP34" s="557"/>
      <c r="CQ34" s="557"/>
      <c r="CS34" s="557"/>
      <c r="CT34" s="557"/>
      <c r="CU34" s="557"/>
      <c r="CV34" s="557"/>
      <c r="CX34" s="557"/>
      <c r="CY34" s="557"/>
      <c r="CZ34" s="557"/>
      <c r="DA34" s="557"/>
      <c r="DC34" s="557"/>
      <c r="DD34" s="557"/>
      <c r="DE34" s="557"/>
      <c r="DF34" s="557"/>
      <c r="DH34" s="557"/>
      <c r="DI34" s="557"/>
      <c r="DJ34" s="557"/>
      <c r="DK34" s="557"/>
      <c r="DM34" s="557"/>
      <c r="DN34" s="557"/>
      <c r="DO34" s="557"/>
      <c r="DP34" s="557"/>
      <c r="DR34" s="557"/>
      <c r="DS34" s="557"/>
      <c r="DT34" s="557"/>
      <c r="DU34" s="557"/>
      <c r="DW34" s="557"/>
      <c r="DX34" s="557"/>
      <c r="DY34" s="557"/>
      <c r="DZ34" s="557"/>
      <c r="EB34" s="557"/>
      <c r="EC34" s="557"/>
      <c r="ED34" s="557"/>
      <c r="EE34" s="557"/>
      <c r="EG34" s="557"/>
      <c r="EH34" s="557"/>
      <c r="EI34" s="557"/>
      <c r="EJ34" s="557"/>
      <c r="EL34" s="557"/>
      <c r="EM34" s="557"/>
      <c r="EN34" s="557"/>
      <c r="EO34" s="557"/>
      <c r="EQ34" s="557"/>
      <c r="ER34" s="557"/>
      <c r="ES34" s="557"/>
      <c r="ET34" s="557"/>
      <c r="EV34" s="557"/>
      <c r="EW34" s="557"/>
      <c r="EX34" s="557"/>
      <c r="EY34" s="557"/>
    </row>
    <row r="35" spans="2:156" s="4" customFormat="1">
      <c r="B35" s="18" t="s">
        <v>118</v>
      </c>
      <c r="C35" s="23"/>
      <c r="D35" s="23"/>
      <c r="E35" s="23"/>
      <c r="F35" s="23"/>
      <c r="G35" s="23"/>
      <c r="H35" s="23"/>
      <c r="I35" s="23"/>
      <c r="J35" s="23"/>
      <c r="K35" s="23"/>
      <c r="L35" s="22"/>
      <c r="M35" s="22"/>
      <c r="N35" s="22"/>
      <c r="O35" s="22"/>
      <c r="P35" s="23"/>
      <c r="Q35" s="22"/>
      <c r="R35" s="22"/>
      <c r="S35" s="22"/>
      <c r="T35" s="22"/>
      <c r="U35" s="23"/>
      <c r="V35" s="22"/>
      <c r="W35" s="22"/>
      <c r="X35" s="22"/>
      <c r="Y35" s="22"/>
      <c r="Z35" s="23"/>
      <c r="AA35" s="22"/>
      <c r="AB35" s="22"/>
      <c r="AC35" s="22"/>
      <c r="AD35" s="22"/>
      <c r="AE35" s="23"/>
      <c r="AF35" s="22"/>
      <c r="AG35" s="22"/>
      <c r="AH35" s="22"/>
      <c r="AI35" s="22"/>
      <c r="AJ35" s="23"/>
      <c r="AK35" s="22"/>
      <c r="AL35" s="22"/>
      <c r="AM35" s="22"/>
      <c r="AN35" s="22"/>
      <c r="AO35" s="23"/>
      <c r="AP35" s="22"/>
      <c r="AQ35" s="22"/>
      <c r="AR35" s="22"/>
      <c r="AS35" s="22"/>
      <c r="AT35" s="23"/>
      <c r="AU35" s="22"/>
      <c r="AV35" s="22"/>
      <c r="AW35" s="22"/>
      <c r="AX35" s="22"/>
      <c r="AY35" s="23"/>
      <c r="AZ35" s="22"/>
      <c r="BA35" s="22"/>
      <c r="BB35" s="22"/>
      <c r="BC35" s="22">
        <f t="shared" ref="BC35:BO35" si="50">BC36+BC37</f>
        <v>8</v>
      </c>
      <c r="BD35" s="23">
        <f t="shared" si="50"/>
        <v>8</v>
      </c>
      <c r="BE35" s="22">
        <f t="shared" si="50"/>
        <v>42</v>
      </c>
      <c r="BF35" s="22">
        <f t="shared" si="50"/>
        <v>73</v>
      </c>
      <c r="BG35" s="22">
        <f t="shared" si="50"/>
        <v>102</v>
      </c>
      <c r="BH35" s="22">
        <f t="shared" si="50"/>
        <v>134</v>
      </c>
      <c r="BI35" s="23">
        <f t="shared" si="50"/>
        <v>351</v>
      </c>
      <c r="BJ35" s="22">
        <f t="shared" si="50"/>
        <v>153</v>
      </c>
      <c r="BK35" s="22">
        <f t="shared" si="50"/>
        <v>179</v>
      </c>
      <c r="BL35" s="22">
        <f t="shared" si="50"/>
        <v>201</v>
      </c>
      <c r="BM35" s="22">
        <f t="shared" si="50"/>
        <v>215</v>
      </c>
      <c r="BN35" s="23">
        <f t="shared" si="50"/>
        <v>748</v>
      </c>
      <c r="BO35" s="465">
        <f t="shared" si="50"/>
        <v>223</v>
      </c>
      <c r="BP35" s="465">
        <f t="shared" ref="BP35:EA35" si="51">BP36+BP37</f>
        <v>249</v>
      </c>
      <c r="BQ35" s="465">
        <f t="shared" si="51"/>
        <v>261</v>
      </c>
      <c r="BR35" s="465">
        <f t="shared" si="51"/>
        <v>286</v>
      </c>
      <c r="BS35" s="23">
        <f t="shared" si="51"/>
        <v>1019</v>
      </c>
      <c r="BT35" s="465">
        <f t="shared" si="51"/>
        <v>279</v>
      </c>
      <c r="BU35" s="465">
        <f t="shared" si="51"/>
        <v>299</v>
      </c>
      <c r="BV35" s="465">
        <f t="shared" si="51"/>
        <v>318</v>
      </c>
      <c r="BW35" s="465">
        <f t="shared" si="51"/>
        <v>325</v>
      </c>
      <c r="BX35" s="23">
        <f t="shared" si="51"/>
        <v>1221</v>
      </c>
      <c r="BY35" s="465">
        <f t="shared" si="51"/>
        <v>340</v>
      </c>
      <c r="BZ35" s="465">
        <f t="shared" si="51"/>
        <v>331</v>
      </c>
      <c r="CA35" s="465">
        <f t="shared" si="51"/>
        <v>378</v>
      </c>
      <c r="CB35" s="465">
        <f t="shared" si="51"/>
        <v>356</v>
      </c>
      <c r="CC35" s="23">
        <f t="shared" si="51"/>
        <v>1405</v>
      </c>
      <c r="CD35" s="465">
        <f t="shared" si="51"/>
        <v>378</v>
      </c>
      <c r="CE35" s="465">
        <f t="shared" si="51"/>
        <v>381</v>
      </c>
      <c r="CF35" s="465">
        <f t="shared" si="51"/>
        <v>394</v>
      </c>
      <c r="CG35" s="465">
        <f t="shared" si="51"/>
        <v>376</v>
      </c>
      <c r="CH35" s="23">
        <f t="shared" si="51"/>
        <v>1529</v>
      </c>
      <c r="CI35" s="465">
        <f t="shared" si="51"/>
        <v>402</v>
      </c>
      <c r="CJ35" s="465">
        <f t="shared" si="51"/>
        <v>395</v>
      </c>
      <c r="CK35" s="465">
        <f t="shared" si="51"/>
        <v>387</v>
      </c>
      <c r="CL35" s="465">
        <f t="shared" si="51"/>
        <v>391</v>
      </c>
      <c r="CM35" s="23">
        <f t="shared" si="51"/>
        <v>1575</v>
      </c>
      <c r="CN35" s="465">
        <f t="shared" si="51"/>
        <v>445</v>
      </c>
      <c r="CO35" s="465">
        <f t="shared" si="51"/>
        <v>362.87660366483993</v>
      </c>
      <c r="CP35" s="465">
        <f t="shared" si="51"/>
        <v>397.23371819279276</v>
      </c>
      <c r="CQ35" s="465">
        <f t="shared" si="51"/>
        <v>401.6407588850052</v>
      </c>
      <c r="CR35" s="23">
        <f t="shared" si="51"/>
        <v>1606.7510807426379</v>
      </c>
      <c r="CS35" s="465">
        <f t="shared" si="51"/>
        <v>416.84116463358606</v>
      </c>
      <c r="CT35" s="465">
        <f t="shared" si="51"/>
        <v>430.20484000102823</v>
      </c>
      <c r="CU35" s="465">
        <f t="shared" si="51"/>
        <v>421.79157921608271</v>
      </c>
      <c r="CV35" s="465">
        <f t="shared" si="51"/>
        <v>424.87309016513569</v>
      </c>
      <c r="CW35" s="23">
        <f t="shared" si="51"/>
        <v>1693.7106740158326</v>
      </c>
      <c r="CX35" s="465">
        <f t="shared" si="51"/>
        <v>451.54701929273307</v>
      </c>
      <c r="CY35" s="465">
        <f t="shared" si="51"/>
        <v>465.9344426757707</v>
      </c>
      <c r="CZ35" s="465">
        <f t="shared" si="51"/>
        <v>456.7420081213404</v>
      </c>
      <c r="DA35" s="465">
        <f t="shared" si="51"/>
        <v>459.99547067808385</v>
      </c>
      <c r="DB35" s="23">
        <f t="shared" si="51"/>
        <v>1834.2189407679282</v>
      </c>
      <c r="DC35" s="465">
        <f t="shared" si="51"/>
        <v>492.03487449192244</v>
      </c>
      <c r="DD35" s="465">
        <f t="shared" si="51"/>
        <v>507.62053046250048</v>
      </c>
      <c r="DE35" s="465">
        <f t="shared" si="51"/>
        <v>497.52258863633676</v>
      </c>
      <c r="DF35" s="465">
        <f t="shared" si="51"/>
        <v>500.98038849431776</v>
      </c>
      <c r="DG35" s="23">
        <f t="shared" si="51"/>
        <v>1998.1583820850774</v>
      </c>
      <c r="DH35" s="465">
        <f t="shared" si="51"/>
        <v>534.649155017824</v>
      </c>
      <c r="DI35" s="465">
        <f t="shared" si="51"/>
        <v>549.68097741742338</v>
      </c>
      <c r="DJ35" s="465">
        <f t="shared" si="51"/>
        <v>537.02338269382403</v>
      </c>
      <c r="DK35" s="465">
        <f t="shared" si="51"/>
        <v>538.96880213617703</v>
      </c>
      <c r="DL35" s="23">
        <f t="shared" si="51"/>
        <v>2160.3223172652488</v>
      </c>
      <c r="DM35" s="465">
        <f t="shared" si="51"/>
        <v>570.59059652047267</v>
      </c>
      <c r="DN35" s="465">
        <f t="shared" si="51"/>
        <v>584.6940829209575</v>
      </c>
      <c r="DO35" s="465">
        <f t="shared" si="51"/>
        <v>569.46937868414921</v>
      </c>
      <c r="DP35" s="465">
        <f t="shared" si="51"/>
        <v>569.70025877678813</v>
      </c>
      <c r="DQ35" s="23">
        <f t="shared" si="51"/>
        <v>2294.4543169023673</v>
      </c>
      <c r="DR35" s="465">
        <f t="shared" si="51"/>
        <v>602.54709346919833</v>
      </c>
      <c r="DS35" s="465">
        <f t="shared" si="51"/>
        <v>617.44045972902859</v>
      </c>
      <c r="DT35" s="465">
        <f t="shared" si="51"/>
        <v>601.36308070673351</v>
      </c>
      <c r="DU35" s="465">
        <f t="shared" si="51"/>
        <v>601.60689146984066</v>
      </c>
      <c r="DV35" s="23">
        <f t="shared" si="51"/>
        <v>2422.9575253748012</v>
      </c>
      <c r="DW35" s="465">
        <f t="shared" si="51"/>
        <v>633.15889600580761</v>
      </c>
      <c r="DX35" s="465">
        <f t="shared" si="51"/>
        <v>648.80890484510223</v>
      </c>
      <c r="DY35" s="465">
        <f t="shared" si="51"/>
        <v>612.19007369532517</v>
      </c>
      <c r="DZ35" s="465">
        <f t="shared" si="51"/>
        <v>600.52935408178325</v>
      </c>
      <c r="EA35" s="23">
        <f t="shared" si="51"/>
        <v>2494.6872286280186</v>
      </c>
      <c r="EB35" s="465">
        <f t="shared" ref="EB35:EZ35" si="52">EB36+EB37</f>
        <v>604.46084132672229</v>
      </c>
      <c r="EC35" s="465">
        <f t="shared" si="52"/>
        <v>610.88704464059515</v>
      </c>
      <c r="ED35" s="465">
        <f t="shared" si="52"/>
        <v>569.95058967352134</v>
      </c>
      <c r="EE35" s="465">
        <f t="shared" si="52"/>
        <v>562.32256367430148</v>
      </c>
      <c r="EF35" s="23">
        <f t="shared" si="52"/>
        <v>2347.6210393151405</v>
      </c>
      <c r="EG35" s="465">
        <f t="shared" si="52"/>
        <v>557.84577937500922</v>
      </c>
      <c r="EH35" s="465">
        <f t="shared" si="52"/>
        <v>558.07357743705768</v>
      </c>
      <c r="EI35" s="465">
        <f t="shared" si="52"/>
        <v>515.56228439692768</v>
      </c>
      <c r="EJ35" s="465">
        <f t="shared" si="52"/>
        <v>503.25441317678263</v>
      </c>
      <c r="EK35" s="23">
        <f t="shared" si="52"/>
        <v>2134.7360543857772</v>
      </c>
      <c r="EL35" s="465">
        <f t="shared" si="52"/>
        <v>494.94323128618788</v>
      </c>
      <c r="EM35" s="465">
        <f t="shared" si="52"/>
        <v>490.81899183496864</v>
      </c>
      <c r="EN35" s="465">
        <f t="shared" si="52"/>
        <v>449.51156854577277</v>
      </c>
      <c r="EO35" s="465">
        <f t="shared" si="52"/>
        <v>434.59497162833571</v>
      </c>
      <c r="EP35" s="23">
        <f t="shared" si="52"/>
        <v>1869.8687632952651</v>
      </c>
      <c r="EQ35" s="465">
        <f t="shared" si="52"/>
        <v>417.39132785537242</v>
      </c>
      <c r="ER35" s="465">
        <f t="shared" si="52"/>
        <v>399.65143300591751</v>
      </c>
      <c r="ES35" s="465">
        <f t="shared" si="52"/>
        <v>352.98293500070122</v>
      </c>
      <c r="ET35" s="465">
        <f t="shared" si="52"/>
        <v>327.22888778131232</v>
      </c>
      <c r="EU35" s="23">
        <f t="shared" si="52"/>
        <v>1497.2545836433035</v>
      </c>
      <c r="EV35" s="465">
        <f t="shared" si="52"/>
        <v>323.11421565411786</v>
      </c>
      <c r="EW35" s="465">
        <f t="shared" si="52"/>
        <v>331.10074220059528</v>
      </c>
      <c r="EX35" s="465">
        <f t="shared" si="52"/>
        <v>312.99460701736007</v>
      </c>
      <c r="EY35" s="465">
        <f t="shared" si="52"/>
        <v>313.12150448817869</v>
      </c>
      <c r="EZ35" s="23">
        <f t="shared" si="52"/>
        <v>1280.3310693602521</v>
      </c>
    </row>
    <row r="36" spans="2:156">
      <c r="B36" s="351" t="s">
        <v>909</v>
      </c>
      <c r="C36" s="450"/>
      <c r="D36" s="450"/>
      <c r="E36" s="450"/>
      <c r="F36" s="450"/>
      <c r="G36" s="450"/>
      <c r="H36" s="450"/>
      <c r="I36" s="450"/>
      <c r="J36" s="450"/>
      <c r="K36" s="356"/>
      <c r="L36" s="448"/>
      <c r="M36" s="448"/>
      <c r="N36" s="448"/>
      <c r="O36" s="448"/>
      <c r="P36" s="356"/>
      <c r="Q36" s="448"/>
      <c r="R36" s="448"/>
      <c r="S36" s="448"/>
      <c r="T36" s="357"/>
      <c r="U36" s="356"/>
      <c r="V36" s="448"/>
      <c r="W36" s="448"/>
      <c r="X36" s="448"/>
      <c r="Y36" s="448"/>
      <c r="Z36" s="356"/>
      <c r="AA36" s="448"/>
      <c r="AB36" s="448"/>
      <c r="AC36" s="448"/>
      <c r="AD36" s="448"/>
      <c r="AE36" s="356"/>
      <c r="AF36" s="448"/>
      <c r="AG36" s="448"/>
      <c r="AH36" s="448"/>
      <c r="AI36" s="448"/>
      <c r="AJ36" s="356"/>
      <c r="AK36" s="448"/>
      <c r="AL36" s="448"/>
      <c r="AM36" s="448"/>
      <c r="AN36" s="448"/>
      <c r="AO36" s="356"/>
      <c r="AP36" s="448"/>
      <c r="AQ36" s="448"/>
      <c r="AR36" s="448"/>
      <c r="AS36" s="448"/>
      <c r="AT36" s="356"/>
      <c r="AU36" s="358"/>
      <c r="AV36" s="358"/>
      <c r="AW36" s="358"/>
      <c r="AX36" s="358"/>
      <c r="AY36" s="356"/>
      <c r="AZ36" s="358"/>
      <c r="BA36" s="358"/>
      <c r="BB36" s="358"/>
      <c r="BC36" s="358">
        <v>8</v>
      </c>
      <c r="BD36" s="356">
        <f>BC36+BB36+BA36+AZ36</f>
        <v>8</v>
      </c>
      <c r="BE36" s="358">
        <v>42</v>
      </c>
      <c r="BF36" s="358">
        <v>73</v>
      </c>
      <c r="BG36" s="358">
        <v>100</v>
      </c>
      <c r="BH36" s="358">
        <v>128</v>
      </c>
      <c r="BI36" s="356">
        <f>BH36+BG36+BF36+BE36</f>
        <v>343</v>
      </c>
      <c r="BJ36" s="358">
        <v>139</v>
      </c>
      <c r="BK36" s="358">
        <v>156</v>
      </c>
      <c r="BL36" s="358">
        <v>171</v>
      </c>
      <c r="BM36" s="358">
        <v>178</v>
      </c>
      <c r="BN36" s="356">
        <f>BM36+BL36+BK36+BJ36</f>
        <v>644</v>
      </c>
      <c r="BO36" s="467">
        <v>178</v>
      </c>
      <c r="BP36" s="467">
        <v>189</v>
      </c>
      <c r="BQ36" s="467">
        <v>194</v>
      </c>
      <c r="BR36" s="474">
        <v>203</v>
      </c>
      <c r="BS36" s="356">
        <f>BR36+BQ36+BP36+BO36</f>
        <v>764</v>
      </c>
      <c r="BT36" s="474">
        <v>200</v>
      </c>
      <c r="BU36" s="474">
        <v>207</v>
      </c>
      <c r="BV36" s="474">
        <v>225</v>
      </c>
      <c r="BW36" s="474">
        <v>225</v>
      </c>
      <c r="BX36" s="356">
        <f>BW36+BV36+BU36+BT36</f>
        <v>857</v>
      </c>
      <c r="BY36" s="474">
        <v>245</v>
      </c>
      <c r="BZ36" s="474">
        <v>234</v>
      </c>
      <c r="CA36" s="474">
        <v>273</v>
      </c>
      <c r="CB36" s="474">
        <v>254</v>
      </c>
      <c r="CC36" s="356">
        <f>SUM(BY36:CB36)</f>
        <v>1006</v>
      </c>
      <c r="CD36" s="474">
        <v>271</v>
      </c>
      <c r="CE36" s="474">
        <v>275</v>
      </c>
      <c r="CF36" s="474">
        <v>296</v>
      </c>
      <c r="CG36" s="474">
        <v>273</v>
      </c>
      <c r="CH36" s="356">
        <f>CG36+CF36+CE36+CD36</f>
        <v>1115</v>
      </c>
      <c r="CI36" s="474">
        <v>298</v>
      </c>
      <c r="CJ36" s="474">
        <v>292</v>
      </c>
      <c r="CK36" s="474">
        <v>282</v>
      </c>
      <c r="CL36" s="474">
        <v>285</v>
      </c>
      <c r="CM36" s="356">
        <f>CL36+CK36+CJ36+CI36</f>
        <v>1157</v>
      </c>
      <c r="CN36" s="474">
        <v>332</v>
      </c>
      <c r="CO36" s="467">
        <f>'IMS Model Summary'!J46</f>
        <v>266.82103210649996</v>
      </c>
      <c r="CP36" s="467">
        <f>'IMS Model Summary'!K46</f>
        <v>292.08361631822999</v>
      </c>
      <c r="CQ36" s="467">
        <f>'IMS Model Summary'!L46</f>
        <v>295.32408741544498</v>
      </c>
      <c r="CR36" s="356">
        <f>CQ36+CP36+CO36+CN36</f>
        <v>1186.228735840175</v>
      </c>
      <c r="CS36" s="467">
        <f>'IMS Model Summary'!N46</f>
        <v>317.8889546063732</v>
      </c>
      <c r="CT36" s="467">
        <f>'IMS Model Summary'!O46</f>
        <v>328.08028202958815</v>
      </c>
      <c r="CU36" s="467">
        <f>'IMS Model Summary'!P46</f>
        <v>321.66421062716785</v>
      </c>
      <c r="CV36" s="467">
        <f>'IMS Model Summary'!Q46</f>
        <v>324.01421436315593</v>
      </c>
      <c r="CW36" s="356">
        <f>CV36+CU36+CT36+CS36</f>
        <v>1291.6476616262851</v>
      </c>
      <c r="CX36" s="467">
        <f>'IMS Model Summary'!S46</f>
        <v>348.34087413392643</v>
      </c>
      <c r="CY36" s="467">
        <f>'IMS Model Summary'!T46</f>
        <v>359.43989023557668</v>
      </c>
      <c r="CZ36" s="467">
        <f>'IMS Model Summary'!U46</f>
        <v>352.34848989121235</v>
      </c>
      <c r="DA36" s="467">
        <f>'IMS Model Summary'!V46</f>
        <v>354.85833702242178</v>
      </c>
      <c r="DB36" s="356">
        <f>DA36+CZ36+CY36+CX36</f>
        <v>1414.9875912831374</v>
      </c>
      <c r="DC36" s="467">
        <f>'IMS Model Summary'!X46</f>
        <v>379.57477507736343</v>
      </c>
      <c r="DD36" s="467">
        <f>'IMS Model Summary'!Y46</f>
        <v>391.5981542444888</v>
      </c>
      <c r="DE36" s="467">
        <f>'IMS Model Summary'!Z46</f>
        <v>383.80821049026144</v>
      </c>
      <c r="DF36" s="467">
        <f>'IMS Model Summary'!AA46</f>
        <v>386.4756913364331</v>
      </c>
      <c r="DG36" s="356">
        <f>DF36+DE36+DD36+DC36</f>
        <v>1541.4568311485468</v>
      </c>
      <c r="DH36" s="467">
        <f>'IMS Model Summary'!AC46</f>
        <v>412.44908294508411</v>
      </c>
      <c r="DI36" s="467">
        <f>'IMS Model Summary'!AD46</f>
        <v>424.04521342714099</v>
      </c>
      <c r="DJ36" s="467">
        <f>'IMS Model Summary'!AE46</f>
        <v>414.28065420724465</v>
      </c>
      <c r="DK36" s="467">
        <f>'IMS Model Summary'!AF46</f>
        <v>415.78142617594864</v>
      </c>
      <c r="DL36" s="356">
        <f>DK36+DJ36+DI36+DH36</f>
        <v>1666.5563767554186</v>
      </c>
      <c r="DM36" s="467">
        <f>'IMS Model Summary'!AH46</f>
        <v>440.17570412902222</v>
      </c>
      <c r="DN36" s="467">
        <f>'IMS Model Summary'!AI46</f>
        <v>451.05568023599744</v>
      </c>
      <c r="DO36" s="467">
        <f>'IMS Model Summary'!AJ46</f>
        <v>439.31075322798159</v>
      </c>
      <c r="DP36" s="467">
        <f>'IMS Model Summary'!AK46</f>
        <v>439.48886308111696</v>
      </c>
      <c r="DQ36" s="356">
        <f>DP36+DO36+DN36+DM36</f>
        <v>1770.0310006741183</v>
      </c>
      <c r="DR36" s="467">
        <f>'IMS Model Summary'!AM46</f>
        <v>464.82818461447232</v>
      </c>
      <c r="DS36" s="467">
        <f>'IMS Model Summary'!AN46</f>
        <v>476.31750466329476</v>
      </c>
      <c r="DT36" s="467">
        <f>'IMS Model Summary'!AO46</f>
        <v>463.91479127326784</v>
      </c>
      <c r="DU36" s="467">
        <f>'IMS Model Summary'!AP46</f>
        <v>464.10287634683783</v>
      </c>
      <c r="DV36" s="356">
        <f>DU36+DT36+DS36+DR36</f>
        <v>1869.1633568978727</v>
      </c>
      <c r="DW36" s="467">
        <f>'IMS Model Summary'!AR46</f>
        <v>488.44331570562605</v>
      </c>
      <c r="DX36" s="467">
        <f>'IMS Model Summary'!AS46</f>
        <v>500.51633917020877</v>
      </c>
      <c r="DY36" s="467">
        <f>'IMS Model Summary'!AT46</f>
        <v>472.26715335461932</v>
      </c>
      <c r="DZ36" s="467">
        <f>'IMS Model Summary'!AU46</f>
        <v>463.27162223678789</v>
      </c>
      <c r="EA36" s="356">
        <f>DZ36+DY36+DX36+DW36</f>
        <v>1924.4984304672421</v>
      </c>
      <c r="EB36" s="467">
        <f>'IMS Model Summary'!AW46</f>
        <v>466.30452389494411</v>
      </c>
      <c r="EC36" s="467">
        <f>'IMS Model Summary'!AX46</f>
        <v>471.26194623209744</v>
      </c>
      <c r="ED36" s="467">
        <f>'IMS Model Summary'!AY46</f>
        <v>439.68197803850802</v>
      </c>
      <c r="EE36" s="467">
        <f>'IMS Model Summary'!AZ46</f>
        <v>433.79742309526756</v>
      </c>
      <c r="EF36" s="356">
        <f>EE36+ED36+EC36+EB36</f>
        <v>1811.0458712608172</v>
      </c>
      <c r="EG36" s="467">
        <f>'IMS Model Summary'!BB46</f>
        <v>430.34385815187125</v>
      </c>
      <c r="EH36" s="467">
        <f>'IMS Model Summary'!BC46</f>
        <v>430.5195904071395</v>
      </c>
      <c r="EI36" s="467">
        <f>'IMS Model Summary'!BD46</f>
        <v>397.72473107807758</v>
      </c>
      <c r="EJ36" s="467">
        <f>'IMS Model Summary'!BE46</f>
        <v>388.22996212518211</v>
      </c>
      <c r="EK36" s="356">
        <f>EJ36+EI36+EH36+EG36</f>
        <v>1646.8181417622704</v>
      </c>
      <c r="EL36" s="467">
        <f>'IMS Model Summary'!BG46</f>
        <v>381.81839424595989</v>
      </c>
      <c r="EM36" s="467">
        <f>'IMS Model Summary'!BH46</f>
        <v>378.63679606416792</v>
      </c>
      <c r="EN36" s="467">
        <f>'IMS Model Summary'!BI46</f>
        <v>346.77064852693809</v>
      </c>
      <c r="EO36" s="467">
        <f>'IMS Model Summary'!BJ46</f>
        <v>335.2634074483409</v>
      </c>
      <c r="EP36" s="356">
        <f>EO36+EN36+EM36+EL36</f>
        <v>1442.4892462854068</v>
      </c>
      <c r="EQ36" s="467">
        <f>'IMS Model Summary'!BL46</f>
        <v>321.99184977191277</v>
      </c>
      <c r="ER36" s="467">
        <f>'IMS Model Summary'!BM46</f>
        <v>308.30660722821892</v>
      </c>
      <c r="ES36" s="467">
        <f>'IMS Model Summary'!BN46</f>
        <v>272.30471884211596</v>
      </c>
      <c r="ET36" s="467">
        <f>'IMS Model Summary'!BO46</f>
        <v>252.43704850528133</v>
      </c>
      <c r="EU36" s="356">
        <f>ET36+ES36+ER36+EQ36</f>
        <v>1155.0402243475289</v>
      </c>
      <c r="EV36" s="467">
        <f>'IMS Model Summary'!BQ46</f>
        <v>249.26283092810311</v>
      </c>
      <c r="EW36" s="467">
        <f>'IMS Model Summary'!BR46</f>
        <v>255.42394709016151</v>
      </c>
      <c r="EX36" s="467">
        <f>'IMS Model Summary'!BS46</f>
        <v>241.45617255630646</v>
      </c>
      <c r="EY36" s="467">
        <f>'IMS Model Summary'!BT46</f>
        <v>241.55406618426034</v>
      </c>
      <c r="EZ36" s="356">
        <f>EY36+EX36+EW36+EV36</f>
        <v>987.69701675883141</v>
      </c>
    </row>
    <row r="37" spans="2:156">
      <c r="B37" s="351" t="s">
        <v>910</v>
      </c>
      <c r="C37" s="355"/>
      <c r="D37" s="450"/>
      <c r="E37" s="450"/>
      <c r="F37" s="450"/>
      <c r="G37" s="450"/>
      <c r="H37" s="450"/>
      <c r="I37" s="450"/>
      <c r="J37" s="450"/>
      <c r="K37" s="356"/>
      <c r="L37" s="448"/>
      <c r="M37" s="448"/>
      <c r="N37" s="448"/>
      <c r="O37" s="448"/>
      <c r="P37" s="356"/>
      <c r="Q37" s="448"/>
      <c r="R37" s="448"/>
      <c r="S37" s="448"/>
      <c r="T37" s="357"/>
      <c r="U37" s="356"/>
      <c r="V37" s="448"/>
      <c r="W37" s="448"/>
      <c r="X37" s="448"/>
      <c r="Y37" s="448"/>
      <c r="Z37" s="356"/>
      <c r="AA37" s="448"/>
      <c r="AB37" s="448"/>
      <c r="AC37" s="448"/>
      <c r="AD37" s="448"/>
      <c r="AE37" s="356"/>
      <c r="AF37" s="448"/>
      <c r="AG37" s="448"/>
      <c r="AH37" s="448"/>
      <c r="AI37" s="448"/>
      <c r="AJ37" s="356"/>
      <c r="AK37" s="448"/>
      <c r="AL37" s="448"/>
      <c r="AM37" s="448"/>
      <c r="AN37" s="448"/>
      <c r="AO37" s="356"/>
      <c r="AP37" s="448"/>
      <c r="AQ37" s="448"/>
      <c r="AR37" s="448"/>
      <c r="AS37" s="448"/>
      <c r="AT37" s="356"/>
      <c r="AU37" s="358"/>
      <c r="AV37" s="358"/>
      <c r="AW37" s="358"/>
      <c r="AX37" s="358"/>
      <c r="AY37" s="356"/>
      <c r="AZ37" s="358"/>
      <c r="BA37" s="358"/>
      <c r="BB37" s="358"/>
      <c r="BC37" s="358"/>
      <c r="BD37" s="356">
        <f>BC37+BB37+BA37+AZ37</f>
        <v>0</v>
      </c>
      <c r="BE37" s="358"/>
      <c r="BF37" s="358"/>
      <c r="BG37" s="358">
        <v>2</v>
      </c>
      <c r="BH37" s="358">
        <v>6</v>
      </c>
      <c r="BI37" s="356">
        <f>BH37+BG37+BF37+BE37</f>
        <v>8</v>
      </c>
      <c r="BJ37" s="358">
        <v>14</v>
      </c>
      <c r="BK37" s="358">
        <v>23</v>
      </c>
      <c r="BL37" s="358">
        <v>30</v>
      </c>
      <c r="BM37" s="358">
        <v>37</v>
      </c>
      <c r="BN37" s="356">
        <f>BM37+BL37+BK37+BJ37</f>
        <v>104</v>
      </c>
      <c r="BO37" s="467">
        <v>45</v>
      </c>
      <c r="BP37" s="467">
        <v>60</v>
      </c>
      <c r="BQ37" s="467">
        <v>67</v>
      </c>
      <c r="BR37" s="474">
        <v>83</v>
      </c>
      <c r="BS37" s="356">
        <f>BR37+BQ37+BP37+BO37</f>
        <v>255</v>
      </c>
      <c r="BT37" s="474">
        <v>79</v>
      </c>
      <c r="BU37" s="474">
        <v>92</v>
      </c>
      <c r="BV37" s="474">
        <v>93</v>
      </c>
      <c r="BW37" s="474">
        <v>100</v>
      </c>
      <c r="BX37" s="356">
        <f>BW37+BV37+BU37+BT37</f>
        <v>364</v>
      </c>
      <c r="BY37" s="474">
        <v>95</v>
      </c>
      <c r="BZ37" s="474">
        <v>97</v>
      </c>
      <c r="CA37" s="474">
        <v>105</v>
      </c>
      <c r="CB37" s="474">
        <v>102</v>
      </c>
      <c r="CC37" s="356">
        <f>SUM(BY37:CB37)</f>
        <v>399</v>
      </c>
      <c r="CD37" s="474">
        <v>107</v>
      </c>
      <c r="CE37" s="474">
        <v>106</v>
      </c>
      <c r="CF37" s="474">
        <v>98</v>
      </c>
      <c r="CG37" s="474">
        <v>103</v>
      </c>
      <c r="CH37" s="356">
        <f>CG37+CF37+CE37+CD37</f>
        <v>414</v>
      </c>
      <c r="CI37" s="474">
        <v>104</v>
      </c>
      <c r="CJ37" s="474">
        <v>103</v>
      </c>
      <c r="CK37" s="474">
        <v>105</v>
      </c>
      <c r="CL37" s="474">
        <v>106</v>
      </c>
      <c r="CM37" s="356">
        <f>CL37+CK37+CJ37+CI37</f>
        <v>418</v>
      </c>
      <c r="CN37" s="474">
        <v>113</v>
      </c>
      <c r="CO37" s="467">
        <f>CO36*CO38</f>
        <v>96.055571558339977</v>
      </c>
      <c r="CP37" s="467">
        <f>CP36*CP38</f>
        <v>105.15010187456279</v>
      </c>
      <c r="CQ37" s="467">
        <f>CQ36*CQ38</f>
        <v>106.31667146956019</v>
      </c>
      <c r="CR37" s="356">
        <f>CQ37+CP37+CO37+CN37</f>
        <v>420.52234490246298</v>
      </c>
      <c r="CS37" s="467">
        <f>CS36*CS38</f>
        <v>98.952210027212871</v>
      </c>
      <c r="CT37" s="467">
        <f>CT36*CT38</f>
        <v>102.12455797144007</v>
      </c>
      <c r="CU37" s="467">
        <f>CU36*CU38</f>
        <v>100.12736858891486</v>
      </c>
      <c r="CV37" s="467">
        <f>CV36*CV38</f>
        <v>100.85887580197978</v>
      </c>
      <c r="CW37" s="356">
        <f>CV37+CU37+CT37+CS37</f>
        <v>402.06301238954757</v>
      </c>
      <c r="CX37" s="467">
        <f>CX36*CX38</f>
        <v>103.20614515880665</v>
      </c>
      <c r="CY37" s="467">
        <f>CY36*CY38</f>
        <v>106.49455244019403</v>
      </c>
      <c r="CZ37" s="467">
        <f>CZ36*CZ38</f>
        <v>104.39351823012802</v>
      </c>
      <c r="DA37" s="467">
        <f>DA36*DA38</f>
        <v>105.1371336556621</v>
      </c>
      <c r="DB37" s="356">
        <f>DA37+CZ37+CY37+CX37</f>
        <v>419.23134948479077</v>
      </c>
      <c r="DC37" s="467">
        <f>DC38*DC36</f>
        <v>112.46009941455901</v>
      </c>
      <c r="DD37" s="467">
        <f>DD38*DD36</f>
        <v>116.02237621801169</v>
      </c>
      <c r="DE37" s="467">
        <f>DE38*DE36</f>
        <v>113.71437814607532</v>
      </c>
      <c r="DF37" s="467">
        <f>DF38*DF36</f>
        <v>114.50469715788468</v>
      </c>
      <c r="DG37" s="356">
        <f>DF37+DE37+DD37+DC37</f>
        <v>456.70155093653068</v>
      </c>
      <c r="DH37" s="467">
        <f>DH38*DH36</f>
        <v>122.20007207273991</v>
      </c>
      <c r="DI37" s="467">
        <f>DI38*DI36</f>
        <v>125.63576399028243</v>
      </c>
      <c r="DJ37" s="467">
        <f>DJ38*DJ36</f>
        <v>122.74272848657944</v>
      </c>
      <c r="DK37" s="467">
        <f>DK38*DK36</f>
        <v>123.18737596022842</v>
      </c>
      <c r="DL37" s="356">
        <f>DK37+DJ37+DI37+DH37</f>
        <v>493.76594050983022</v>
      </c>
      <c r="DM37" s="467">
        <f>DM38*DM36</f>
        <v>130.41489239145042</v>
      </c>
      <c r="DN37" s="467">
        <f>DN38*DN36</f>
        <v>133.63840268496</v>
      </c>
      <c r="DO37" s="467">
        <f>DO38*DO36</f>
        <v>130.15862545616761</v>
      </c>
      <c r="DP37" s="467">
        <f>DP38*DP36</f>
        <v>130.21139569567111</v>
      </c>
      <c r="DQ37" s="356">
        <f>DP37+DO37+DN37+DM37</f>
        <v>524.42331622824918</v>
      </c>
      <c r="DR37" s="467">
        <f>DR38*DR36</f>
        <v>137.71890885472604</v>
      </c>
      <c r="DS37" s="467">
        <f>DS38*DS36</f>
        <v>141.12295506573389</v>
      </c>
      <c r="DT37" s="467">
        <f>DT38*DT36</f>
        <v>137.4482894334657</v>
      </c>
      <c r="DU37" s="467">
        <f>DU38*DU36</f>
        <v>137.5040151230028</v>
      </c>
      <c r="DV37" s="356">
        <f>DU37+DT37+DS37+DR37</f>
        <v>553.79416847692846</v>
      </c>
      <c r="DW37" s="467">
        <f>DW38*DW36</f>
        <v>144.71558030018156</v>
      </c>
      <c r="DX37" s="467">
        <f>DX38*DX36</f>
        <v>148.29256567489341</v>
      </c>
      <c r="DY37" s="467">
        <f>DY38*DY36</f>
        <v>139.92292034070587</v>
      </c>
      <c r="DZ37" s="467">
        <f>DZ38*DZ36</f>
        <v>137.25773184499539</v>
      </c>
      <c r="EA37" s="356">
        <f>DZ37+DY37+DX37+DW37</f>
        <v>570.18879816077629</v>
      </c>
      <c r="EB37" s="467">
        <f>EB38*EB36</f>
        <v>138.15631743177818</v>
      </c>
      <c r="EC37" s="467">
        <f>EC38*EC36</f>
        <v>139.62509840849768</v>
      </c>
      <c r="ED37" s="467">
        <f>ED38*ED36</f>
        <v>130.26861163501326</v>
      </c>
      <c r="EE37" s="467">
        <f>EE38*EE36</f>
        <v>128.52514057903389</v>
      </c>
      <c r="EF37" s="356">
        <f>EE37+ED37+EC37+EB37</f>
        <v>536.57516805432306</v>
      </c>
      <c r="EG37" s="467">
        <f>EG38*EG36</f>
        <v>127.50192122313801</v>
      </c>
      <c r="EH37" s="467">
        <f>EH38*EH36</f>
        <v>127.5539870299182</v>
      </c>
      <c r="EI37" s="467">
        <f>EI38*EI36</f>
        <v>117.83755331885011</v>
      </c>
      <c r="EJ37" s="467">
        <f>EJ38*EJ36</f>
        <v>115.02445105160051</v>
      </c>
      <c r="EK37" s="356">
        <f>EJ37+EI37+EH37+EG37</f>
        <v>487.91791262350688</v>
      </c>
      <c r="EL37" s="467">
        <f>EL38*EL36</f>
        <v>113.124837040228</v>
      </c>
      <c r="EM37" s="467">
        <f>EM38*EM36</f>
        <v>112.18219577080072</v>
      </c>
      <c r="EN37" s="467">
        <f>EN38*EN36</f>
        <v>102.74092001883469</v>
      </c>
      <c r="EO37" s="467">
        <f>EO38*EO36</f>
        <v>99.331564179994814</v>
      </c>
      <c r="EP37" s="356">
        <f>EO37+EN37+EM37+EL37</f>
        <v>427.3795170098582</v>
      </c>
      <c r="EQ37" s="467">
        <f>EQ38*EQ36</f>
        <v>95.399478083459655</v>
      </c>
      <c r="ER37" s="467">
        <f>ER38*ER36</f>
        <v>91.344825777698603</v>
      </c>
      <c r="ES37" s="467">
        <f>ES38*ES36</f>
        <v>80.678216158585244</v>
      </c>
      <c r="ET37" s="467">
        <f>ET38*ET36</f>
        <v>74.791839276031027</v>
      </c>
      <c r="EU37" s="356">
        <f>ET37+ES37+ER37+EQ37</f>
        <v>342.2143592957745</v>
      </c>
      <c r="EV37" s="467">
        <f>EV38*EV36</f>
        <v>73.851384726014771</v>
      </c>
      <c r="EW37" s="467">
        <f>EW38*EW36</f>
        <v>75.676795110433787</v>
      </c>
      <c r="EX37" s="467">
        <f>EX38*EX36</f>
        <v>71.53843446105364</v>
      </c>
      <c r="EY37" s="467">
        <f>EY38*EY36</f>
        <v>71.567438303918337</v>
      </c>
      <c r="EZ37" s="356">
        <f>EY37+EX37+EW37+EV37</f>
        <v>292.63405260142054</v>
      </c>
    </row>
    <row r="38" spans="2:156">
      <c r="B38" s="747" t="s">
        <v>895</v>
      </c>
      <c r="C38" s="355"/>
      <c r="D38" s="450"/>
      <c r="E38" s="450"/>
      <c r="F38" s="450"/>
      <c r="G38" s="450"/>
      <c r="H38" s="450"/>
      <c r="I38" s="450"/>
      <c r="J38" s="450"/>
      <c r="K38" s="356"/>
      <c r="L38" s="448"/>
      <c r="M38" s="448"/>
      <c r="N38" s="448"/>
      <c r="O38" s="448"/>
      <c r="P38" s="356"/>
      <c r="Q38" s="448"/>
      <c r="R38" s="448"/>
      <c r="S38" s="448"/>
      <c r="T38" s="357"/>
      <c r="U38" s="356"/>
      <c r="V38" s="448"/>
      <c r="W38" s="448"/>
      <c r="X38" s="448"/>
      <c r="Y38" s="448"/>
      <c r="Z38" s="356"/>
      <c r="AA38" s="448"/>
      <c r="AB38" s="448"/>
      <c r="AC38" s="448"/>
      <c r="AD38" s="448"/>
      <c r="AE38" s="356"/>
      <c r="AF38" s="448"/>
      <c r="AG38" s="448"/>
      <c r="AH38" s="448"/>
      <c r="AI38" s="448"/>
      <c r="AJ38" s="356"/>
      <c r="AK38" s="448"/>
      <c r="AL38" s="448"/>
      <c r="AM38" s="448"/>
      <c r="AN38" s="448"/>
      <c r="AO38" s="356"/>
      <c r="AP38" s="448"/>
      <c r="AQ38" s="448"/>
      <c r="AR38" s="448"/>
      <c r="AS38" s="448"/>
      <c r="AT38" s="356"/>
      <c r="AU38" s="358"/>
      <c r="AV38" s="358"/>
      <c r="AW38" s="358"/>
      <c r="AX38" s="358"/>
      <c r="AY38" s="356"/>
      <c r="AZ38" s="358"/>
      <c r="BA38" s="358"/>
      <c r="BB38" s="358"/>
      <c r="BC38" s="358"/>
      <c r="BD38" s="356"/>
      <c r="BE38" s="83">
        <f>BE37/BE36</f>
        <v>0</v>
      </c>
      <c r="BF38" s="83">
        <f>BF37/BF36</f>
        <v>0</v>
      </c>
      <c r="BG38" s="83">
        <f>BG37/BG36</f>
        <v>0.02</v>
      </c>
      <c r="BH38" s="83">
        <f>BH37/BH36</f>
        <v>4.6875E-2</v>
      </c>
      <c r="BI38" s="452">
        <f>AVERAGE(BE38:BH38)</f>
        <v>1.6718750000000001E-2</v>
      </c>
      <c r="BJ38" s="83">
        <f>BJ37/BJ36</f>
        <v>0.10071942446043165</v>
      </c>
      <c r="BK38" s="83">
        <f>BK37/BK36</f>
        <v>0.14743589743589744</v>
      </c>
      <c r="BL38" s="83">
        <f>BL37/BL36</f>
        <v>0.17543859649122806</v>
      </c>
      <c r="BM38" s="83">
        <f>BM37/BM36</f>
        <v>0.20786516853932585</v>
      </c>
      <c r="BN38" s="452">
        <f>AVERAGE(BJ38:BM38)</f>
        <v>0.15786477173172075</v>
      </c>
      <c r="BO38" s="468">
        <f>BO37/BO36</f>
        <v>0.25280898876404495</v>
      </c>
      <c r="BP38" s="468">
        <f>BP37/BP36</f>
        <v>0.31746031746031744</v>
      </c>
      <c r="BQ38" s="468">
        <f>BQ37/BQ36</f>
        <v>0.34536082474226804</v>
      </c>
      <c r="BR38" s="468">
        <f>BR37/BR36</f>
        <v>0.40886699507389163</v>
      </c>
      <c r="BS38" s="452">
        <f>AVERAGE(BO38:BR38)</f>
        <v>0.33112428151013051</v>
      </c>
      <c r="BT38" s="468">
        <f>BT37/BT36</f>
        <v>0.39500000000000002</v>
      </c>
      <c r="BU38" s="468">
        <f>BU37/BU36</f>
        <v>0.44444444444444442</v>
      </c>
      <c r="BV38" s="468">
        <f>BV37/BV36</f>
        <v>0.41333333333333333</v>
      </c>
      <c r="BW38" s="468">
        <f>BW37/BW36</f>
        <v>0.44444444444444442</v>
      </c>
      <c r="BX38" s="452">
        <f>AVERAGE(BT38:BW38)</f>
        <v>0.42430555555555555</v>
      </c>
      <c r="BY38" s="468">
        <f>BY37/BY36</f>
        <v>0.38775510204081631</v>
      </c>
      <c r="BZ38" s="468">
        <f>BZ37/BZ36</f>
        <v>0.41452991452991456</v>
      </c>
      <c r="CA38" s="468">
        <f>CA37/CA36</f>
        <v>0.38461538461538464</v>
      </c>
      <c r="CB38" s="468">
        <f>CB37/CB36</f>
        <v>0.40157480314960631</v>
      </c>
      <c r="CC38" s="682">
        <f>AVERAGE(BY38:CB38)</f>
        <v>0.39711880108393044</v>
      </c>
      <c r="CD38" s="468">
        <f t="shared" ref="CD38:CN38" si="53">CD37/CD36</f>
        <v>0.39483394833948338</v>
      </c>
      <c r="CE38" s="468">
        <f t="shared" si="53"/>
        <v>0.38545454545454544</v>
      </c>
      <c r="CF38" s="468">
        <f t="shared" si="53"/>
        <v>0.33108108108108109</v>
      </c>
      <c r="CG38" s="468">
        <f t="shared" si="53"/>
        <v>0.37728937728937728</v>
      </c>
      <c r="CH38" s="682">
        <f>AVERAGE(CD38:CG38)</f>
        <v>0.37216473804112182</v>
      </c>
      <c r="CI38" s="468">
        <f t="shared" si="53"/>
        <v>0.34899328859060402</v>
      </c>
      <c r="CJ38" s="468">
        <f t="shared" si="53"/>
        <v>0.35273972602739728</v>
      </c>
      <c r="CK38" s="468">
        <f t="shared" si="53"/>
        <v>0.37234042553191488</v>
      </c>
      <c r="CL38" s="468">
        <f t="shared" si="53"/>
        <v>0.3719298245614035</v>
      </c>
      <c r="CM38" s="705">
        <f t="shared" si="53"/>
        <v>0.36127917026793432</v>
      </c>
      <c r="CN38" s="468">
        <f t="shared" si="53"/>
        <v>0.34036144578313254</v>
      </c>
      <c r="CO38" s="468">
        <v>0.36</v>
      </c>
      <c r="CP38" s="468">
        <f>CO38</f>
        <v>0.36</v>
      </c>
      <c r="CQ38" s="468">
        <f>CP38</f>
        <v>0.36</v>
      </c>
      <c r="CR38" s="682">
        <f>CM38-0.03</f>
        <v>0.3312791702679343</v>
      </c>
      <c r="CS38" s="468">
        <f>CW38</f>
        <v>0.31127917026793428</v>
      </c>
      <c r="CT38" s="468">
        <f>CS38</f>
        <v>0.31127917026793428</v>
      </c>
      <c r="CU38" s="468">
        <f>CT38</f>
        <v>0.31127917026793428</v>
      </c>
      <c r="CV38" s="468">
        <f>CU38</f>
        <v>0.31127917026793428</v>
      </c>
      <c r="CW38" s="682">
        <f>CR38-0.02</f>
        <v>0.31127917026793428</v>
      </c>
      <c r="CX38" s="468">
        <f>DB38</f>
        <v>0.29627917026793427</v>
      </c>
      <c r="CY38" s="468">
        <f>CX38</f>
        <v>0.29627917026793427</v>
      </c>
      <c r="CZ38" s="468">
        <f>CY38</f>
        <v>0.29627917026793427</v>
      </c>
      <c r="DA38" s="468">
        <f>CZ38</f>
        <v>0.29627917026793427</v>
      </c>
      <c r="DB38" s="683">
        <f>CW38-0.015</f>
        <v>0.29627917026793427</v>
      </c>
      <c r="DC38" s="468">
        <f>DG38</f>
        <v>0.29627917026793427</v>
      </c>
      <c r="DD38" s="468">
        <f>DC38</f>
        <v>0.29627917026793427</v>
      </c>
      <c r="DE38" s="468">
        <f>DD38</f>
        <v>0.29627917026793427</v>
      </c>
      <c r="DF38" s="468">
        <f>DE38</f>
        <v>0.29627917026793427</v>
      </c>
      <c r="DG38" s="682">
        <f>DB38</f>
        <v>0.29627917026793427</v>
      </c>
      <c r="DH38" s="468">
        <f>DL38</f>
        <v>0.29627917026793427</v>
      </c>
      <c r="DI38" s="468">
        <f>DH38</f>
        <v>0.29627917026793427</v>
      </c>
      <c r="DJ38" s="468">
        <f>DI38</f>
        <v>0.29627917026793427</v>
      </c>
      <c r="DK38" s="468">
        <f>DJ38</f>
        <v>0.29627917026793427</v>
      </c>
      <c r="DL38" s="682">
        <f>DG38</f>
        <v>0.29627917026793427</v>
      </c>
      <c r="DM38" s="468">
        <f>DQ38</f>
        <v>0.29627917026793427</v>
      </c>
      <c r="DN38" s="468">
        <f>DM38</f>
        <v>0.29627917026793427</v>
      </c>
      <c r="DO38" s="468">
        <f>DN38</f>
        <v>0.29627917026793427</v>
      </c>
      <c r="DP38" s="468">
        <f>DO38</f>
        <v>0.29627917026793427</v>
      </c>
      <c r="DQ38" s="682">
        <f>DL38</f>
        <v>0.29627917026793427</v>
      </c>
      <c r="DR38" s="468">
        <f>DV38</f>
        <v>0.29627917026793427</v>
      </c>
      <c r="DS38" s="468">
        <f>DR38</f>
        <v>0.29627917026793427</v>
      </c>
      <c r="DT38" s="468">
        <f>DS38</f>
        <v>0.29627917026793427</v>
      </c>
      <c r="DU38" s="468">
        <f>DT38</f>
        <v>0.29627917026793427</v>
      </c>
      <c r="DV38" s="682">
        <f>DQ38</f>
        <v>0.29627917026793427</v>
      </c>
      <c r="DW38" s="468">
        <f>EA38</f>
        <v>0.29627917026793427</v>
      </c>
      <c r="DX38" s="468">
        <f>DW38</f>
        <v>0.29627917026793427</v>
      </c>
      <c r="DY38" s="468">
        <f>DX38</f>
        <v>0.29627917026793427</v>
      </c>
      <c r="DZ38" s="468">
        <f>DY38</f>
        <v>0.29627917026793427</v>
      </c>
      <c r="EA38" s="682">
        <f>DV38</f>
        <v>0.29627917026793427</v>
      </c>
      <c r="EB38" s="468">
        <f>EF38</f>
        <v>0.29627917026793427</v>
      </c>
      <c r="EC38" s="468">
        <f>EB38</f>
        <v>0.29627917026793427</v>
      </c>
      <c r="ED38" s="468">
        <f>EC38</f>
        <v>0.29627917026793427</v>
      </c>
      <c r="EE38" s="468">
        <f>ED38</f>
        <v>0.29627917026793427</v>
      </c>
      <c r="EF38" s="682">
        <f>EA38</f>
        <v>0.29627917026793427</v>
      </c>
      <c r="EG38" s="468">
        <f>EK38</f>
        <v>0.29627917026793427</v>
      </c>
      <c r="EH38" s="468">
        <f>EG38</f>
        <v>0.29627917026793427</v>
      </c>
      <c r="EI38" s="468">
        <f>EH38</f>
        <v>0.29627917026793427</v>
      </c>
      <c r="EJ38" s="468">
        <f>EI38</f>
        <v>0.29627917026793427</v>
      </c>
      <c r="EK38" s="682">
        <f>EF38</f>
        <v>0.29627917026793427</v>
      </c>
      <c r="EL38" s="468">
        <f>EP38</f>
        <v>0.29627917026793427</v>
      </c>
      <c r="EM38" s="468">
        <f>EL38</f>
        <v>0.29627917026793427</v>
      </c>
      <c r="EN38" s="468">
        <f>EM38</f>
        <v>0.29627917026793427</v>
      </c>
      <c r="EO38" s="468">
        <f>EN38</f>
        <v>0.29627917026793427</v>
      </c>
      <c r="EP38" s="682">
        <f>EK38</f>
        <v>0.29627917026793427</v>
      </c>
      <c r="EQ38" s="468">
        <f>EU38</f>
        <v>0.29627917026793427</v>
      </c>
      <c r="ER38" s="468">
        <f>EQ38</f>
        <v>0.29627917026793427</v>
      </c>
      <c r="ES38" s="468">
        <f>ER38</f>
        <v>0.29627917026793427</v>
      </c>
      <c r="ET38" s="468">
        <f>ES38</f>
        <v>0.29627917026793427</v>
      </c>
      <c r="EU38" s="682">
        <f>EP38</f>
        <v>0.29627917026793427</v>
      </c>
      <c r="EV38" s="468">
        <f>EZ38</f>
        <v>0.29627917026793427</v>
      </c>
      <c r="EW38" s="468">
        <f>EV38</f>
        <v>0.29627917026793427</v>
      </c>
      <c r="EX38" s="468">
        <f>EW38</f>
        <v>0.29627917026793427</v>
      </c>
      <c r="EY38" s="468">
        <f>EX38</f>
        <v>0.29627917026793427</v>
      </c>
      <c r="EZ38" s="682">
        <f>EU38</f>
        <v>0.29627917026793427</v>
      </c>
    </row>
    <row r="39" spans="2:156">
      <c r="B39" s="747"/>
      <c r="C39" s="355"/>
      <c r="D39" s="450"/>
      <c r="E39" s="450"/>
      <c r="F39" s="450"/>
      <c r="G39" s="450"/>
      <c r="H39" s="450"/>
      <c r="I39" s="450"/>
      <c r="J39" s="450"/>
      <c r="K39" s="356"/>
      <c r="L39" s="448"/>
      <c r="M39" s="448"/>
      <c r="N39" s="448"/>
      <c r="O39" s="448"/>
      <c r="P39" s="356"/>
      <c r="Q39" s="448"/>
      <c r="R39" s="448"/>
      <c r="S39" s="448"/>
      <c r="T39" s="357"/>
      <c r="U39" s="356"/>
      <c r="V39" s="448"/>
      <c r="W39" s="448"/>
      <c r="X39" s="448"/>
      <c r="Y39" s="448"/>
      <c r="Z39" s="356"/>
      <c r="AA39" s="448"/>
      <c r="AB39" s="448"/>
      <c r="AC39" s="448"/>
      <c r="AD39" s="448"/>
      <c r="AE39" s="356"/>
      <c r="AF39" s="448"/>
      <c r="AG39" s="448"/>
      <c r="AH39" s="448"/>
      <c r="AI39" s="448"/>
      <c r="AJ39" s="356"/>
      <c r="AK39" s="448"/>
      <c r="AL39" s="448"/>
      <c r="AM39" s="448"/>
      <c r="AN39" s="448"/>
      <c r="AO39" s="356"/>
      <c r="AP39" s="448"/>
      <c r="AQ39" s="448"/>
      <c r="AR39" s="448"/>
      <c r="AS39" s="448"/>
      <c r="AT39" s="356"/>
      <c r="AU39" s="358"/>
      <c r="AV39" s="358"/>
      <c r="AW39" s="358"/>
      <c r="AX39" s="358"/>
      <c r="AY39" s="356"/>
      <c r="AZ39" s="358"/>
      <c r="BA39" s="358"/>
      <c r="BB39" s="358"/>
      <c r="BC39" s="358"/>
      <c r="BD39" s="356"/>
      <c r="BE39" s="83"/>
      <c r="BF39" s="83"/>
      <c r="BG39" s="83"/>
      <c r="BH39" s="83"/>
      <c r="BI39" s="452"/>
      <c r="BJ39" s="83"/>
      <c r="BK39" s="83"/>
      <c r="BL39" s="83"/>
      <c r="BM39" s="83"/>
      <c r="BN39" s="452"/>
      <c r="BO39" s="468"/>
      <c r="BP39" s="468"/>
      <c r="BQ39" s="468"/>
      <c r="BR39" s="468"/>
      <c r="BS39" s="452"/>
      <c r="BT39" s="468"/>
      <c r="BU39" s="468"/>
      <c r="BV39" s="468"/>
      <c r="BW39" s="468"/>
      <c r="BX39" s="452"/>
      <c r="BY39" s="468"/>
      <c r="BZ39" s="468"/>
      <c r="CA39" s="468"/>
      <c r="CB39" s="468"/>
      <c r="CC39" s="682"/>
      <c r="CD39" s="468"/>
      <c r="CE39" s="468"/>
      <c r="CF39" s="468"/>
      <c r="CG39" s="468"/>
      <c r="CH39" s="682"/>
      <c r="CI39" s="468"/>
      <c r="CJ39" s="468"/>
      <c r="CK39" s="468"/>
      <c r="CL39" s="468"/>
      <c r="CM39" s="705"/>
      <c r="CN39" s="468"/>
      <c r="CO39" s="468"/>
      <c r="CP39" s="468"/>
      <c r="CQ39" s="468"/>
      <c r="CR39" s="682"/>
      <c r="CS39" s="468"/>
      <c r="CT39" s="468"/>
      <c r="CU39" s="468"/>
      <c r="CV39" s="468"/>
      <c r="CW39" s="682"/>
      <c r="CX39" s="468"/>
      <c r="CY39" s="468"/>
      <c r="CZ39" s="468"/>
      <c r="DA39" s="468"/>
      <c r="DB39" s="683"/>
      <c r="DC39" s="468"/>
      <c r="DD39" s="468"/>
      <c r="DE39" s="468"/>
      <c r="DF39" s="468"/>
      <c r="DG39" s="682"/>
      <c r="DH39" s="468"/>
      <c r="DI39" s="468"/>
      <c r="DJ39" s="468"/>
      <c r="DK39" s="468"/>
      <c r="DL39" s="682"/>
      <c r="DM39" s="468"/>
      <c r="DN39" s="468"/>
      <c r="DO39" s="468"/>
      <c r="DP39" s="468"/>
      <c r="DQ39" s="682"/>
      <c r="DR39" s="468"/>
      <c r="DS39" s="468"/>
      <c r="DT39" s="468"/>
      <c r="DU39" s="468"/>
      <c r="DV39" s="682"/>
      <c r="DW39" s="468"/>
      <c r="DX39" s="468"/>
      <c r="DY39" s="468"/>
      <c r="DZ39" s="468"/>
      <c r="EA39" s="682"/>
      <c r="EB39" s="468"/>
      <c r="EC39" s="468"/>
      <c r="ED39" s="468"/>
      <c r="EE39" s="468"/>
      <c r="EF39" s="682"/>
      <c r="EG39" s="468"/>
      <c r="EH39" s="468"/>
      <c r="EI39" s="468"/>
      <c r="EJ39" s="468"/>
      <c r="EK39" s="682"/>
      <c r="EL39" s="468"/>
      <c r="EM39" s="468"/>
      <c r="EN39" s="468"/>
      <c r="EO39" s="468"/>
      <c r="EP39" s="682"/>
      <c r="EQ39" s="468"/>
      <c r="ER39" s="468"/>
      <c r="ES39" s="468"/>
      <c r="ET39" s="468"/>
      <c r="EU39" s="682"/>
      <c r="EV39" s="468"/>
      <c r="EW39" s="468"/>
      <c r="EX39" s="468"/>
      <c r="EY39" s="468"/>
      <c r="EZ39" s="682"/>
    </row>
    <row r="40" spans="2:156" s="4" customFormat="1">
      <c r="B40" s="18" t="s">
        <v>119</v>
      </c>
      <c r="C40" s="23"/>
      <c r="D40" s="23"/>
      <c r="E40" s="23"/>
      <c r="F40" s="23"/>
      <c r="G40" s="23"/>
      <c r="H40" s="23"/>
      <c r="I40" s="23"/>
      <c r="J40" s="23"/>
      <c r="K40" s="23"/>
      <c r="L40" s="22"/>
      <c r="M40" s="22"/>
      <c r="N40" s="22"/>
      <c r="O40" s="22"/>
      <c r="P40" s="23"/>
      <c r="Q40" s="22"/>
      <c r="R40" s="22"/>
      <c r="S40" s="22"/>
      <c r="T40" s="22"/>
      <c r="U40" s="23"/>
      <c r="V40" s="22"/>
      <c r="W40" s="22"/>
      <c r="X40" s="22"/>
      <c r="Y40" s="22"/>
      <c r="Z40" s="23"/>
      <c r="AA40" s="22"/>
      <c r="AB40" s="22"/>
      <c r="AC40" s="22"/>
      <c r="AD40" s="22"/>
      <c r="AE40" s="23"/>
      <c r="AF40" s="22"/>
      <c r="AG40" s="22"/>
      <c r="AH40" s="22"/>
      <c r="AI40" s="22"/>
      <c r="AJ40" s="23"/>
      <c r="AK40" s="22"/>
      <c r="AL40" s="22"/>
      <c r="AM40" s="22"/>
      <c r="AN40" s="22"/>
      <c r="AO40" s="23"/>
      <c r="AP40" s="22"/>
      <c r="AQ40" s="22"/>
      <c r="AR40" s="22"/>
      <c r="AS40" s="22"/>
      <c r="AT40" s="23"/>
      <c r="AU40" s="22"/>
      <c r="AV40" s="22"/>
      <c r="AW40" s="22"/>
      <c r="AX40" s="22"/>
      <c r="AY40" s="23"/>
      <c r="AZ40" s="22"/>
      <c r="BA40" s="22">
        <f t="shared" ref="BA40:BO40" si="54">BA41+BA42</f>
        <v>3</v>
      </c>
      <c r="BB40" s="22">
        <f t="shared" si="54"/>
        <v>10</v>
      </c>
      <c r="BC40" s="22">
        <f t="shared" si="54"/>
        <v>20</v>
      </c>
      <c r="BD40" s="23">
        <f t="shared" si="54"/>
        <v>33</v>
      </c>
      <c r="BE40" s="22">
        <f t="shared" si="54"/>
        <v>27</v>
      </c>
      <c r="BF40" s="22">
        <f t="shared" si="54"/>
        <v>44</v>
      </c>
      <c r="BG40" s="22">
        <f t="shared" si="54"/>
        <v>51</v>
      </c>
      <c r="BH40" s="22">
        <f t="shared" si="54"/>
        <v>81</v>
      </c>
      <c r="BI40" s="23">
        <f t="shared" si="54"/>
        <v>203</v>
      </c>
      <c r="BJ40" s="22">
        <f t="shared" si="54"/>
        <v>88</v>
      </c>
      <c r="BK40" s="22">
        <f t="shared" si="54"/>
        <v>120</v>
      </c>
      <c r="BL40" s="22">
        <f t="shared" si="54"/>
        <v>110</v>
      </c>
      <c r="BM40" s="22">
        <f t="shared" si="54"/>
        <v>154</v>
      </c>
      <c r="BN40" s="23">
        <f t="shared" si="54"/>
        <v>472</v>
      </c>
      <c r="BO40" s="465">
        <f t="shared" si="54"/>
        <v>142</v>
      </c>
      <c r="BP40" s="465">
        <f t="shared" ref="BP40:EA40" si="55">BP41+BP42</f>
        <v>188</v>
      </c>
      <c r="BQ40" s="465">
        <f t="shared" si="55"/>
        <v>178</v>
      </c>
      <c r="BR40" s="465">
        <f t="shared" si="55"/>
        <v>236</v>
      </c>
      <c r="BS40" s="23">
        <f t="shared" si="55"/>
        <v>744</v>
      </c>
      <c r="BT40" s="465">
        <f t="shared" si="55"/>
        <v>196</v>
      </c>
      <c r="BU40" s="465">
        <f t="shared" si="55"/>
        <v>264</v>
      </c>
      <c r="BV40" s="465">
        <f t="shared" si="55"/>
        <v>255</v>
      </c>
      <c r="BW40" s="465">
        <f t="shared" si="55"/>
        <v>315</v>
      </c>
      <c r="BX40" s="23">
        <f t="shared" si="55"/>
        <v>1030</v>
      </c>
      <c r="BY40" s="465">
        <f t="shared" si="55"/>
        <v>272</v>
      </c>
      <c r="BZ40" s="465">
        <f t="shared" si="55"/>
        <v>340</v>
      </c>
      <c r="CA40" s="465">
        <f t="shared" si="55"/>
        <v>320</v>
      </c>
      <c r="CB40" s="465">
        <f t="shared" si="55"/>
        <v>380</v>
      </c>
      <c r="CC40" s="23">
        <f t="shared" si="55"/>
        <v>1312</v>
      </c>
      <c r="CD40" s="465">
        <f t="shared" si="55"/>
        <v>352</v>
      </c>
      <c r="CE40" s="465">
        <f t="shared" si="55"/>
        <v>441</v>
      </c>
      <c r="CF40" s="465">
        <f t="shared" si="55"/>
        <v>379</v>
      </c>
      <c r="CG40" s="465">
        <f t="shared" si="55"/>
        <v>463</v>
      </c>
      <c r="CH40" s="23">
        <f t="shared" si="55"/>
        <v>1635</v>
      </c>
      <c r="CI40" s="465">
        <f t="shared" si="55"/>
        <v>425</v>
      </c>
      <c r="CJ40" s="465">
        <f t="shared" si="55"/>
        <v>505</v>
      </c>
      <c r="CK40" s="465">
        <f t="shared" si="55"/>
        <v>464</v>
      </c>
      <c r="CL40" s="465">
        <f t="shared" si="55"/>
        <v>574</v>
      </c>
      <c r="CM40" s="23">
        <f t="shared" si="55"/>
        <v>1968</v>
      </c>
      <c r="CN40" s="465">
        <f t="shared" si="55"/>
        <v>494</v>
      </c>
      <c r="CO40" s="465">
        <f t="shared" si="55"/>
        <v>557.03947850725172</v>
      </c>
      <c r="CP40" s="465">
        <f t="shared" si="55"/>
        <v>579.4313389864094</v>
      </c>
      <c r="CQ40" s="465">
        <f t="shared" si="55"/>
        <v>607.90963108853271</v>
      </c>
      <c r="CR40" s="23">
        <f t="shared" si="55"/>
        <v>2238.3804485821938</v>
      </c>
      <c r="CS40" s="465">
        <f t="shared" si="55"/>
        <v>626.03197741357053</v>
      </c>
      <c r="CT40" s="465">
        <f t="shared" si="55"/>
        <v>622.25515570918822</v>
      </c>
      <c r="CU40" s="465">
        <f t="shared" si="55"/>
        <v>641.06198380085868</v>
      </c>
      <c r="CV40" s="465">
        <f t="shared" si="55"/>
        <v>666.07654206786674</v>
      </c>
      <c r="CW40" s="23">
        <f t="shared" si="55"/>
        <v>2555.4256589914844</v>
      </c>
      <c r="CX40" s="465">
        <f t="shared" si="55"/>
        <v>681.90391868704614</v>
      </c>
      <c r="CY40" s="465">
        <f t="shared" si="55"/>
        <v>677.32789772438514</v>
      </c>
      <c r="CZ40" s="465">
        <f t="shared" si="55"/>
        <v>697.34233789689176</v>
      </c>
      <c r="DA40" s="465">
        <f t="shared" si="55"/>
        <v>724.08644271161631</v>
      </c>
      <c r="DB40" s="23">
        <f t="shared" si="55"/>
        <v>2780.6605970199394</v>
      </c>
      <c r="DC40" s="465">
        <f t="shared" si="55"/>
        <v>739.35768308130946</v>
      </c>
      <c r="DD40" s="465">
        <f t="shared" si="55"/>
        <v>731.73140825630117</v>
      </c>
      <c r="DE40" s="465">
        <f t="shared" si="55"/>
        <v>750.67058162018611</v>
      </c>
      <c r="DF40" s="465">
        <f t="shared" si="55"/>
        <v>776.67082463445399</v>
      </c>
      <c r="DG40" s="23">
        <f t="shared" si="55"/>
        <v>2998.430497592251</v>
      </c>
      <c r="DH40" s="465">
        <f t="shared" si="55"/>
        <v>791.02338138429013</v>
      </c>
      <c r="DI40" s="465">
        <f t="shared" si="55"/>
        <v>781.24529191873432</v>
      </c>
      <c r="DJ40" s="465">
        <f t="shared" si="55"/>
        <v>799.84290421150104</v>
      </c>
      <c r="DK40" s="465">
        <f t="shared" si="55"/>
        <v>825.86588205242788</v>
      </c>
      <c r="DL40" s="23">
        <f t="shared" si="55"/>
        <v>3197.9774595669533</v>
      </c>
      <c r="DM40" s="465">
        <f t="shared" si="55"/>
        <v>839.43753731447055</v>
      </c>
      <c r="DN40" s="465">
        <f t="shared" si="55"/>
        <v>827.38665869123884</v>
      </c>
      <c r="DO40" s="465">
        <f t="shared" si="55"/>
        <v>845.40617831894781</v>
      </c>
      <c r="DP40" s="465">
        <f t="shared" si="55"/>
        <v>871.17822413348551</v>
      </c>
      <c r="DQ40" s="23">
        <f t="shared" si="55"/>
        <v>3383.4085984581425</v>
      </c>
      <c r="DR40" s="465">
        <f t="shared" si="55"/>
        <v>884.63334245191641</v>
      </c>
      <c r="DS40" s="465">
        <f t="shared" si="55"/>
        <v>871.52630686878797</v>
      </c>
      <c r="DT40" s="465">
        <f t="shared" si="55"/>
        <v>890.10587323103834</v>
      </c>
      <c r="DU40" s="465">
        <f t="shared" si="55"/>
        <v>916.83236877178774</v>
      </c>
      <c r="DV40" s="23">
        <f t="shared" si="55"/>
        <v>3563.0978913235308</v>
      </c>
      <c r="DW40" s="465">
        <f t="shared" si="55"/>
        <v>930.58880093833909</v>
      </c>
      <c r="DX40" s="465">
        <f t="shared" si="55"/>
        <v>916.40721778228681</v>
      </c>
      <c r="DY40" s="465">
        <f t="shared" si="55"/>
        <v>909.72209137617665</v>
      </c>
      <c r="DZ40" s="465">
        <f t="shared" si="55"/>
        <v>925.0213372613008</v>
      </c>
      <c r="EA40" s="23">
        <f t="shared" si="55"/>
        <v>3681.739447358103</v>
      </c>
      <c r="EB40" s="465">
        <f t="shared" ref="EB40:EZ40" si="56">EB41+EB42</f>
        <v>898.57372339609492</v>
      </c>
      <c r="EC40" s="465">
        <f t="shared" si="56"/>
        <v>871.76941171264161</v>
      </c>
      <c r="ED40" s="465">
        <f t="shared" si="56"/>
        <v>851.0232001848799</v>
      </c>
      <c r="EE40" s="465">
        <f t="shared" si="56"/>
        <v>862.95346816201493</v>
      </c>
      <c r="EF40" s="23">
        <f t="shared" si="56"/>
        <v>3484.3198034556312</v>
      </c>
      <c r="EG40" s="465">
        <f t="shared" si="56"/>
        <v>835.88052111730724</v>
      </c>
      <c r="EH40" s="465">
        <f t="shared" si="56"/>
        <v>808.5144219178527</v>
      </c>
      <c r="EI40" s="465">
        <f t="shared" si="56"/>
        <v>786.88040162218476</v>
      </c>
      <c r="EJ40" s="465">
        <f t="shared" si="56"/>
        <v>795.40590326499523</v>
      </c>
      <c r="EK40" s="23">
        <f t="shared" si="56"/>
        <v>3226.6812479223399</v>
      </c>
      <c r="EL40" s="465">
        <f t="shared" si="56"/>
        <v>764.22104993195171</v>
      </c>
      <c r="EM40" s="465">
        <f t="shared" si="56"/>
        <v>731.03680373830343</v>
      </c>
      <c r="EN40" s="465">
        <f t="shared" si="56"/>
        <v>703.38965242924871</v>
      </c>
      <c r="EO40" s="465">
        <f t="shared" si="56"/>
        <v>702.49032090263927</v>
      </c>
      <c r="EP40" s="23">
        <f t="shared" si="56"/>
        <v>2901.1378270021432</v>
      </c>
      <c r="EQ40" s="465">
        <f t="shared" si="56"/>
        <v>666.00196490849225</v>
      </c>
      <c r="ER40" s="465">
        <f t="shared" si="56"/>
        <v>627.72981315491631</v>
      </c>
      <c r="ES40" s="465">
        <f t="shared" si="56"/>
        <v>594.62810196433782</v>
      </c>
      <c r="ET40" s="465">
        <f t="shared" si="56"/>
        <v>583.89590810777656</v>
      </c>
      <c r="EU40" s="23">
        <f t="shared" si="56"/>
        <v>2472.2557881355233</v>
      </c>
      <c r="EV40" s="465">
        <f t="shared" si="56"/>
        <v>565.21419942975695</v>
      </c>
      <c r="EW40" s="465">
        <f t="shared" si="56"/>
        <v>555.64753487301482</v>
      </c>
      <c r="EX40" s="465">
        <f t="shared" si="56"/>
        <v>549.66160705069967</v>
      </c>
      <c r="EY40" s="465">
        <f t="shared" si="56"/>
        <v>565.00509891397451</v>
      </c>
      <c r="EZ40" s="23">
        <f t="shared" si="56"/>
        <v>2235.5284402674461</v>
      </c>
    </row>
    <row r="41" spans="2:156">
      <c r="B41" s="351" t="s">
        <v>909</v>
      </c>
      <c r="C41" s="355"/>
      <c r="D41" s="450"/>
      <c r="E41" s="450"/>
      <c r="F41" s="450"/>
      <c r="G41" s="450"/>
      <c r="H41" s="450"/>
      <c r="I41" s="450"/>
      <c r="J41" s="450"/>
      <c r="K41" s="356"/>
      <c r="L41" s="448"/>
      <c r="M41" s="448"/>
      <c r="N41" s="448"/>
      <c r="O41" s="448"/>
      <c r="P41" s="356"/>
      <c r="Q41" s="448"/>
      <c r="R41" s="448"/>
      <c r="S41" s="448"/>
      <c r="T41" s="357"/>
      <c r="U41" s="356"/>
      <c r="V41" s="448"/>
      <c r="W41" s="448"/>
      <c r="X41" s="448"/>
      <c r="Y41" s="448"/>
      <c r="Z41" s="356"/>
      <c r="AA41" s="448"/>
      <c r="AB41" s="448"/>
      <c r="AC41" s="448"/>
      <c r="AD41" s="448"/>
      <c r="AE41" s="356"/>
      <c r="AF41" s="448"/>
      <c r="AG41" s="448"/>
      <c r="AH41" s="448"/>
      <c r="AI41" s="448"/>
      <c r="AJ41" s="356"/>
      <c r="AK41" s="448"/>
      <c r="AL41" s="448"/>
      <c r="AM41" s="448"/>
      <c r="AN41" s="448"/>
      <c r="AO41" s="356"/>
      <c r="AP41" s="448"/>
      <c r="AQ41" s="448"/>
      <c r="AR41" s="448"/>
      <c r="AS41" s="448"/>
      <c r="AT41" s="356"/>
      <c r="AU41" s="358"/>
      <c r="AV41" s="358"/>
      <c r="AW41" s="358"/>
      <c r="AX41" s="358"/>
      <c r="AY41" s="356"/>
      <c r="AZ41" s="358"/>
      <c r="BA41" s="358">
        <v>3</v>
      </c>
      <c r="BB41" s="358">
        <v>7</v>
      </c>
      <c r="BC41" s="358">
        <v>16</v>
      </c>
      <c r="BD41" s="356">
        <f>BC41+BB41+BA41+AZ41</f>
        <v>26</v>
      </c>
      <c r="BE41" s="358">
        <v>17</v>
      </c>
      <c r="BF41" s="358">
        <v>30</v>
      </c>
      <c r="BG41" s="358">
        <v>31</v>
      </c>
      <c r="BH41" s="358">
        <v>52</v>
      </c>
      <c r="BI41" s="356">
        <f>BH41+BG41+BF41+BE41</f>
        <v>130</v>
      </c>
      <c r="BJ41" s="358">
        <v>54</v>
      </c>
      <c r="BK41" s="358">
        <v>75</v>
      </c>
      <c r="BL41" s="358">
        <v>68</v>
      </c>
      <c r="BM41" s="358">
        <v>95</v>
      </c>
      <c r="BN41" s="356">
        <f>BM41+BL41+BK41+BJ41</f>
        <v>292</v>
      </c>
      <c r="BO41" s="467">
        <v>87</v>
      </c>
      <c r="BP41" s="467">
        <v>118</v>
      </c>
      <c r="BQ41" s="467">
        <v>109</v>
      </c>
      <c r="BR41" s="474">
        <v>148</v>
      </c>
      <c r="BS41" s="356">
        <f>BR41+BQ41+BP41+BO41</f>
        <v>462</v>
      </c>
      <c r="BT41" s="474">
        <v>119</v>
      </c>
      <c r="BU41" s="474">
        <v>159</v>
      </c>
      <c r="BV41" s="474">
        <v>150</v>
      </c>
      <c r="BW41" s="474">
        <v>197</v>
      </c>
      <c r="BX41" s="356">
        <f>BW41+BV41+BU41+BT41</f>
        <v>625</v>
      </c>
      <c r="BY41" s="474">
        <v>170</v>
      </c>
      <c r="BZ41" s="474">
        <v>215</v>
      </c>
      <c r="CA41" s="474">
        <v>205</v>
      </c>
      <c r="CB41" s="474">
        <v>247</v>
      </c>
      <c r="CC41" s="356">
        <f>SUM(BY41:CB41)</f>
        <v>837</v>
      </c>
      <c r="CD41" s="474">
        <v>221</v>
      </c>
      <c r="CE41" s="474">
        <v>286</v>
      </c>
      <c r="CF41" s="474">
        <v>249</v>
      </c>
      <c r="CG41" s="474">
        <v>293</v>
      </c>
      <c r="CH41" s="356">
        <f>CG41+CF41+CE41+CD41</f>
        <v>1049</v>
      </c>
      <c r="CI41" s="474">
        <v>279</v>
      </c>
      <c r="CJ41" s="474">
        <v>326</v>
      </c>
      <c r="CK41" s="474">
        <v>298</v>
      </c>
      <c r="CL41" s="474">
        <v>369</v>
      </c>
      <c r="CM41" s="356">
        <f>CL41+CK41+CJ41+CI41</f>
        <v>1272</v>
      </c>
      <c r="CN41" s="474">
        <v>320</v>
      </c>
      <c r="CO41" s="467">
        <f>'IMS Model Summary'!J41</f>
        <v>360.8352897212967</v>
      </c>
      <c r="CP41" s="467">
        <f>'IMS Model Summary'!K41</f>
        <v>375.34013861467815</v>
      </c>
      <c r="CQ41" s="467">
        <f>'IMS Model Summary'!L41</f>
        <v>393.78761528002116</v>
      </c>
      <c r="CR41" s="356">
        <f>CQ41+CP41+CO41+CN41</f>
        <v>1449.963043615996</v>
      </c>
      <c r="CS41" s="467">
        <f>'IMS Model Summary'!N41</f>
        <v>404.63042442584435</v>
      </c>
      <c r="CT41" s="467">
        <f>'IMS Model Summary'!O41</f>
        <v>402.18930795837775</v>
      </c>
      <c r="CU41" s="467">
        <f>'IMS Model Summary'!P41</f>
        <v>414.34494074933548</v>
      </c>
      <c r="CV41" s="467">
        <f>'IMS Model Summary'!Q41</f>
        <v>430.51288694630415</v>
      </c>
      <c r="CW41" s="356">
        <f>CV41+CU41+CT41+CS41</f>
        <v>1651.6775600798619</v>
      </c>
      <c r="CX41" s="467">
        <f>'IMS Model Summary'!S41</f>
        <v>440.7427767123591</v>
      </c>
      <c r="CY41" s="467">
        <f>'IMS Model Summary'!T41</f>
        <v>437.78510462673677</v>
      </c>
      <c r="CZ41" s="467">
        <f>'IMS Model Summary'!U41</f>
        <v>450.72126717725934</v>
      </c>
      <c r="DA41" s="467">
        <f>'IMS Model Summary'!V41</f>
        <v>468.00709102092276</v>
      </c>
      <c r="DB41" s="356">
        <f>DA41+CZ41+CY41+CX41</f>
        <v>1797.2562395372779</v>
      </c>
      <c r="DC41" s="467">
        <f>'IMS Model Summary'!X41</f>
        <v>477.87752686962688</v>
      </c>
      <c r="DD41" s="467">
        <f>'IMS Model Summary'!Y41</f>
        <v>472.94834923882877</v>
      </c>
      <c r="DE41" s="467">
        <f>'IMS Model Summary'!Z41</f>
        <v>485.18952226670569</v>
      </c>
      <c r="DF41" s="467">
        <f>'IMS Model Summary'!AA41</f>
        <v>501.99455738568366</v>
      </c>
      <c r="DG41" s="356">
        <f>DF41+DE41+DD41+DC41</f>
        <v>1938.0099557608451</v>
      </c>
      <c r="DH41" s="467">
        <f>'IMS Model Summary'!AC41</f>
        <v>511.27120991911431</v>
      </c>
      <c r="DI41" s="467">
        <f>'IMS Model Summary'!AD41</f>
        <v>504.95122526454782</v>
      </c>
      <c r="DJ41" s="467">
        <f>'IMS Model Summary'!AE41</f>
        <v>516.97163320987261</v>
      </c>
      <c r="DK41" s="467">
        <f>'IMS Model Summary'!AF41</f>
        <v>533.79136278998385</v>
      </c>
      <c r="DL41" s="356">
        <f>DK41+DJ41+DI41+DH41</f>
        <v>2066.9854311835188</v>
      </c>
      <c r="DM41" s="467">
        <f>'IMS Model Summary'!AH41</f>
        <v>542.56328631301142</v>
      </c>
      <c r="DN41" s="467">
        <f>'IMS Model Summary'!AI41</f>
        <v>534.77430378823976</v>
      </c>
      <c r="DO41" s="467">
        <f>'IMS Model Summary'!AJ41</f>
        <v>546.42106647444189</v>
      </c>
      <c r="DP41" s="467">
        <f>'IMS Model Summary'!AK41</f>
        <v>563.07860828139917</v>
      </c>
      <c r="DQ41" s="356">
        <f>DP41+DO41+DN41+DM41</f>
        <v>2186.8372648570921</v>
      </c>
      <c r="DR41" s="467">
        <f>'IMS Model Summary'!AM41</f>
        <v>571.77520914575086</v>
      </c>
      <c r="DS41" s="467">
        <f>'IMS Model Summary'!AN41</f>
        <v>563.30358858592399</v>
      </c>
      <c r="DT41" s="467">
        <f>'IMS Model Summary'!AO41</f>
        <v>575.31233269811014</v>
      </c>
      <c r="DU41" s="467">
        <f>'IMS Model Summary'!AP41</f>
        <v>592.58677493786286</v>
      </c>
      <c r="DV41" s="356">
        <f>DU41+DT41+DS41+DR41</f>
        <v>2302.977905367648</v>
      </c>
      <c r="DW41" s="467">
        <f>'IMS Model Summary'!AR41</f>
        <v>601.47812743575571</v>
      </c>
      <c r="DX41" s="467">
        <f>'IMS Model Summary'!AS41</f>
        <v>592.3119822251366</v>
      </c>
      <c r="DY41" s="467">
        <f>'IMS Model Summary'!AT41</f>
        <v>587.99110784069956</v>
      </c>
      <c r="DZ41" s="467">
        <f>'IMS Model Summary'!AU41</f>
        <v>597.87964481523102</v>
      </c>
      <c r="EA41" s="356">
        <f>DZ41+DY41+DX41+DW41</f>
        <v>2379.6608623168227</v>
      </c>
      <c r="EB41" s="467">
        <f>'IMS Model Summary'!AW41</f>
        <v>580.78545536576871</v>
      </c>
      <c r="EC41" s="467">
        <f>'IMS Model Summary'!AX41</f>
        <v>563.46071732646351</v>
      </c>
      <c r="ED41" s="467">
        <f>'IMS Model Summary'!AY41</f>
        <v>550.05158060730048</v>
      </c>
      <c r="EE41" s="467">
        <f>'IMS Model Summary'!AZ41</f>
        <v>557.76260747057063</v>
      </c>
      <c r="EF41" s="356">
        <f>EE41+ED41+EC41+EB41</f>
        <v>2252.0603607701032</v>
      </c>
      <c r="EG41" s="467">
        <f>'IMS Model Summary'!BB41</f>
        <v>540.26423925874735</v>
      </c>
      <c r="EH41" s="467">
        <f>'IMS Model Summary'!BC41</f>
        <v>522.57639465422187</v>
      </c>
      <c r="EI41" s="467">
        <f>'IMS Model Summary'!BD41</f>
        <v>508.59343031677793</v>
      </c>
      <c r="EJ41" s="467">
        <f>'IMS Model Summary'!BE41</f>
        <v>514.10381552493595</v>
      </c>
      <c r="EK41" s="356">
        <f>EJ41+EI41+EH41+EG41</f>
        <v>2085.5378797546832</v>
      </c>
      <c r="EL41" s="467">
        <f>'IMS Model Summary'!BG41</f>
        <v>493.9477517852859</v>
      </c>
      <c r="EM41" s="467">
        <f>'IMS Model Summary'!BH41</f>
        <v>472.49939753817171</v>
      </c>
      <c r="EN41" s="467">
        <f>'IMS Model Summary'!BI41</f>
        <v>454.62989730183148</v>
      </c>
      <c r="EO41" s="467">
        <f>'IMS Model Summary'!BJ41</f>
        <v>454.0486220468278</v>
      </c>
      <c r="EP41" s="356">
        <f>EO41+EN41+EM41+EL41</f>
        <v>1875.1256686721169</v>
      </c>
      <c r="EQ41" s="467">
        <f>'IMS Model Summary'!BL41</f>
        <v>430.46468463597671</v>
      </c>
      <c r="ER41" s="467">
        <f>'IMS Model Summary'!BM41</f>
        <v>405.72780606354348</v>
      </c>
      <c r="ES41" s="467">
        <f>'IMS Model Summary'!BN41</f>
        <v>384.3327976110964</v>
      </c>
      <c r="ET41" s="467">
        <f>'IMS Model Summary'!BO41</f>
        <v>377.39613572819707</v>
      </c>
      <c r="EU41" s="356">
        <f>ET41+ES41+ER41+EQ41</f>
        <v>1597.9214240388137</v>
      </c>
      <c r="EV41" s="467">
        <f>'IMS Model Summary'!BQ41</f>
        <v>365.32137280215994</v>
      </c>
      <c r="EW41" s="467">
        <f>'IMS Model Summary'!BR41</f>
        <v>359.13804083255832</v>
      </c>
      <c r="EX41" s="467">
        <f>'IMS Model Summary'!BS41</f>
        <v>355.26908748398881</v>
      </c>
      <c r="EY41" s="467">
        <f>'IMS Model Summary'!BT41</f>
        <v>365.1862224687884</v>
      </c>
      <c r="EZ41" s="356">
        <f>EY41+EX41+EW41+EV41</f>
        <v>1444.9147235874955</v>
      </c>
    </row>
    <row r="42" spans="2:156">
      <c r="B42" s="351" t="s">
        <v>910</v>
      </c>
      <c r="C42" s="450"/>
      <c r="D42" s="450"/>
      <c r="E42" s="450"/>
      <c r="F42" s="450"/>
      <c r="G42" s="450"/>
      <c r="H42" s="450"/>
      <c r="I42" s="450"/>
      <c r="J42" s="450"/>
      <c r="K42" s="356"/>
      <c r="L42" s="448"/>
      <c r="M42" s="448"/>
      <c r="N42" s="448"/>
      <c r="O42" s="448"/>
      <c r="P42" s="356"/>
      <c r="Q42" s="448"/>
      <c r="R42" s="448"/>
      <c r="S42" s="448"/>
      <c r="T42" s="357"/>
      <c r="U42" s="356"/>
      <c r="V42" s="448"/>
      <c r="W42" s="448"/>
      <c r="X42" s="448"/>
      <c r="Y42" s="448"/>
      <c r="Z42" s="356"/>
      <c r="AA42" s="448"/>
      <c r="AB42" s="448"/>
      <c r="AC42" s="448"/>
      <c r="AD42" s="448"/>
      <c r="AE42" s="356"/>
      <c r="AF42" s="448"/>
      <c r="AG42" s="448"/>
      <c r="AH42" s="448"/>
      <c r="AI42" s="448"/>
      <c r="AJ42" s="356"/>
      <c r="AK42" s="448"/>
      <c r="AL42" s="448"/>
      <c r="AM42" s="448"/>
      <c r="AN42" s="448"/>
      <c r="AO42" s="356"/>
      <c r="AP42" s="448"/>
      <c r="AQ42" s="448"/>
      <c r="AR42" s="448"/>
      <c r="AS42" s="448"/>
      <c r="AT42" s="356"/>
      <c r="AU42" s="358"/>
      <c r="AV42" s="358"/>
      <c r="AW42" s="358"/>
      <c r="AX42" s="358"/>
      <c r="AY42" s="356"/>
      <c r="AZ42" s="358"/>
      <c r="BA42" s="358"/>
      <c r="BB42" s="358">
        <v>3</v>
      </c>
      <c r="BC42" s="358">
        <v>4</v>
      </c>
      <c r="BD42" s="356">
        <f>BC42+BB42+BA42+AZ42</f>
        <v>7</v>
      </c>
      <c r="BE42" s="358">
        <v>10</v>
      </c>
      <c r="BF42" s="358">
        <v>14</v>
      </c>
      <c r="BG42" s="358">
        <v>20</v>
      </c>
      <c r="BH42" s="358">
        <v>29</v>
      </c>
      <c r="BI42" s="356">
        <f>BH42+BG42+BF42+BE42</f>
        <v>73</v>
      </c>
      <c r="BJ42" s="358">
        <v>34</v>
      </c>
      <c r="BK42" s="358">
        <v>45</v>
      </c>
      <c r="BL42" s="358">
        <v>42</v>
      </c>
      <c r="BM42" s="358">
        <v>59</v>
      </c>
      <c r="BN42" s="356">
        <f>BM42+BL42+BK42+BJ42</f>
        <v>180</v>
      </c>
      <c r="BO42" s="467">
        <v>55</v>
      </c>
      <c r="BP42" s="467">
        <v>70</v>
      </c>
      <c r="BQ42" s="467">
        <v>69</v>
      </c>
      <c r="BR42" s="474">
        <v>88</v>
      </c>
      <c r="BS42" s="356">
        <f>BR42+BQ42+BP42+BO42</f>
        <v>282</v>
      </c>
      <c r="BT42" s="474">
        <v>77</v>
      </c>
      <c r="BU42" s="474">
        <v>105</v>
      </c>
      <c r="BV42" s="474">
        <v>105</v>
      </c>
      <c r="BW42" s="474">
        <v>118</v>
      </c>
      <c r="BX42" s="356">
        <f>BW42+BV42+BU42+BT42</f>
        <v>405</v>
      </c>
      <c r="BY42" s="474">
        <v>102</v>
      </c>
      <c r="BZ42" s="474">
        <v>125</v>
      </c>
      <c r="CA42" s="474">
        <v>115</v>
      </c>
      <c r="CB42" s="474">
        <v>133</v>
      </c>
      <c r="CC42" s="356">
        <f>SUM(BY42:CB42)</f>
        <v>475</v>
      </c>
      <c r="CD42" s="474">
        <v>131</v>
      </c>
      <c r="CE42" s="474">
        <v>155</v>
      </c>
      <c r="CF42" s="474">
        <v>130</v>
      </c>
      <c r="CG42" s="474">
        <v>170</v>
      </c>
      <c r="CH42" s="356">
        <f>CG42+CF42+CE42+CD42</f>
        <v>586</v>
      </c>
      <c r="CI42" s="474">
        <v>146</v>
      </c>
      <c r="CJ42" s="474">
        <v>179</v>
      </c>
      <c r="CK42" s="474">
        <v>166</v>
      </c>
      <c r="CL42" s="474">
        <v>205</v>
      </c>
      <c r="CM42" s="356">
        <f>CL42+CK42+CJ42+CI42</f>
        <v>696</v>
      </c>
      <c r="CN42" s="474">
        <v>174</v>
      </c>
      <c r="CO42" s="467">
        <f>CO41*CO43</f>
        <v>196.20418878595507</v>
      </c>
      <c r="CP42" s="467">
        <f>CP41*CP43</f>
        <v>204.09120037173122</v>
      </c>
      <c r="CQ42" s="467">
        <f>CQ41*CQ43</f>
        <v>214.12201580851149</v>
      </c>
      <c r="CR42" s="356">
        <f>CQ42+CP42+CO42+CN42</f>
        <v>788.41740496619786</v>
      </c>
      <c r="CS42" s="467">
        <f>CS41*CS43</f>
        <v>221.40155298772615</v>
      </c>
      <c r="CT42" s="467">
        <f>CT41*CT43</f>
        <v>220.06584775081046</v>
      </c>
      <c r="CU42" s="467">
        <f>CU41*CU43</f>
        <v>226.71704305152318</v>
      </c>
      <c r="CV42" s="467">
        <f>CV41*CV43</f>
        <v>235.56365512156265</v>
      </c>
      <c r="CW42" s="356">
        <f>CV42+CU42+CT42+CS42</f>
        <v>903.74809891162249</v>
      </c>
      <c r="CX42" s="467">
        <f>CX41*CX43</f>
        <v>241.16114197468704</v>
      </c>
      <c r="CY42" s="467">
        <f>CY41*CY43</f>
        <v>239.54279309764843</v>
      </c>
      <c r="CZ42" s="467">
        <f>CZ41*CZ43</f>
        <v>246.62107071963246</v>
      </c>
      <c r="DA42" s="467">
        <f>DA41*DA43</f>
        <v>256.07935169069356</v>
      </c>
      <c r="DB42" s="356">
        <f>DA42+CZ42+CY42+CX42</f>
        <v>983.40435748266145</v>
      </c>
      <c r="DC42" s="467">
        <f>DC43*DC41</f>
        <v>261.48015621168264</v>
      </c>
      <c r="DD42" s="467">
        <f>DD43*DD41</f>
        <v>258.78305901747234</v>
      </c>
      <c r="DE42" s="467">
        <f>DE43*DE41</f>
        <v>265.48105935348048</v>
      </c>
      <c r="DF42" s="467">
        <f>DF43*DF41</f>
        <v>274.67626724877027</v>
      </c>
      <c r="DG42" s="356">
        <f>DF42+DE42+DD42+DC42</f>
        <v>1060.4205418314059</v>
      </c>
      <c r="DH42" s="467">
        <f>DH43*DH41</f>
        <v>279.75217146517576</v>
      </c>
      <c r="DI42" s="467">
        <f>DI43*DI41</f>
        <v>276.29406665418651</v>
      </c>
      <c r="DJ42" s="467">
        <f>DJ43*DJ41</f>
        <v>282.87127100162843</v>
      </c>
      <c r="DK42" s="467">
        <f>DK43*DK41</f>
        <v>292.07451926244397</v>
      </c>
      <c r="DL42" s="356">
        <f>DK42+DJ42+DI42+DH42</f>
        <v>1130.9920283834347</v>
      </c>
      <c r="DM42" s="467">
        <f>DM43*DM41</f>
        <v>296.87425100145907</v>
      </c>
      <c r="DN42" s="467">
        <f>DN43*DN41</f>
        <v>292.61235490299913</v>
      </c>
      <c r="DO42" s="467">
        <f>DO43*DO41</f>
        <v>298.98511184450592</v>
      </c>
      <c r="DP42" s="467">
        <f>DP43*DP41</f>
        <v>308.09961585208634</v>
      </c>
      <c r="DQ42" s="356">
        <f>DP42+DO42+DN42+DM42</f>
        <v>1196.5713336010504</v>
      </c>
      <c r="DR42" s="467">
        <f>DR43*DR41</f>
        <v>312.85813330616554</v>
      </c>
      <c r="DS42" s="467">
        <f>DS43*DS41</f>
        <v>308.22271828286404</v>
      </c>
      <c r="DT42" s="467">
        <f>DT43*DT41</f>
        <v>314.7935405329282</v>
      </c>
      <c r="DU42" s="467">
        <f>DU43*DU41</f>
        <v>324.24559383392494</v>
      </c>
      <c r="DV42" s="356">
        <f>DU42+DT42+DS42+DR42</f>
        <v>1260.1199859558828</v>
      </c>
      <c r="DW42" s="467">
        <f>DW43*DW41</f>
        <v>329.11067350258332</v>
      </c>
      <c r="DX42" s="467">
        <f>DX43*DX41</f>
        <v>324.0952355571502</v>
      </c>
      <c r="DY42" s="467">
        <f>DY43*DY41</f>
        <v>321.73098353547709</v>
      </c>
      <c r="DZ42" s="467">
        <f>DZ43*DZ41</f>
        <v>327.14169244606978</v>
      </c>
      <c r="EA42" s="356">
        <f>DZ42+DY42+DX42+DW42</f>
        <v>1302.0785850412803</v>
      </c>
      <c r="EB42" s="467">
        <f>EB43*EB41</f>
        <v>317.78826803032626</v>
      </c>
      <c r="EC42" s="467">
        <f>EC43*EC41</f>
        <v>308.30869438617816</v>
      </c>
      <c r="ED42" s="467">
        <f>ED43*ED41</f>
        <v>300.97161957757947</v>
      </c>
      <c r="EE42" s="467">
        <f>EE43*EE41</f>
        <v>305.1908606914443</v>
      </c>
      <c r="EF42" s="356">
        <f>EE42+ED42+EC42+EB42</f>
        <v>1232.259442685528</v>
      </c>
      <c r="EG42" s="467">
        <f>EG43*EG41</f>
        <v>295.61628185855989</v>
      </c>
      <c r="EH42" s="467">
        <f>EH43*EH41</f>
        <v>285.93802726363083</v>
      </c>
      <c r="EI42" s="467">
        <f>EI43*EI41</f>
        <v>278.28697130540678</v>
      </c>
      <c r="EJ42" s="467">
        <f>EJ43*EJ41</f>
        <v>281.30208774005928</v>
      </c>
      <c r="EK42" s="356">
        <f>EJ42+EI42+EH42+EG42</f>
        <v>1141.1433681676567</v>
      </c>
      <c r="EL42" s="467">
        <f>EL43*EL41</f>
        <v>270.27329814666587</v>
      </c>
      <c r="EM42" s="467">
        <f>EM43*EM41</f>
        <v>258.53740620013167</v>
      </c>
      <c r="EN42" s="467">
        <f>EN43*EN41</f>
        <v>248.75975512741721</v>
      </c>
      <c r="EO42" s="467">
        <f>EO43*EO41</f>
        <v>248.44169885581144</v>
      </c>
      <c r="EP42" s="356">
        <f>EO42+EN42+EM42+EL42</f>
        <v>1026.0121583300261</v>
      </c>
      <c r="EQ42" s="467">
        <f>EQ43*EQ41</f>
        <v>235.53728027251555</v>
      </c>
      <c r="ER42" s="467">
        <f>ER43*ER41</f>
        <v>222.00200709137283</v>
      </c>
      <c r="ES42" s="467">
        <f>ES43*ES41</f>
        <v>210.29530435324142</v>
      </c>
      <c r="ET42" s="467">
        <f>ET43*ET41</f>
        <v>206.49977237957953</v>
      </c>
      <c r="EU42" s="356">
        <f>ET42+ES42+ER42+EQ42</f>
        <v>874.33436409670935</v>
      </c>
      <c r="EV42" s="467">
        <f>EV43*EV41</f>
        <v>199.89282662759695</v>
      </c>
      <c r="EW42" s="467">
        <f>EW43*EW41</f>
        <v>196.50949404045645</v>
      </c>
      <c r="EX42" s="467">
        <f>EX43*EX41</f>
        <v>194.39251956671086</v>
      </c>
      <c r="EY42" s="467">
        <f>EY43*EY41</f>
        <v>199.81887644518611</v>
      </c>
      <c r="EZ42" s="356">
        <f>EY42+EX42+EW42+EV42</f>
        <v>790.61371667995036</v>
      </c>
    </row>
    <row r="43" spans="2:156">
      <c r="B43" s="747" t="s">
        <v>895</v>
      </c>
      <c r="C43" s="450"/>
      <c r="D43" s="450"/>
      <c r="E43" s="450"/>
      <c r="F43" s="450"/>
      <c r="G43" s="450"/>
      <c r="H43" s="450"/>
      <c r="I43" s="450"/>
      <c r="J43" s="450"/>
      <c r="K43" s="356"/>
      <c r="L43" s="448"/>
      <c r="M43" s="448"/>
      <c r="N43" s="448"/>
      <c r="O43" s="448"/>
      <c r="P43" s="356"/>
      <c r="Q43" s="448"/>
      <c r="R43" s="448"/>
      <c r="S43" s="448"/>
      <c r="T43" s="357"/>
      <c r="U43" s="356"/>
      <c r="V43" s="448"/>
      <c r="W43" s="448"/>
      <c r="X43" s="448"/>
      <c r="Y43" s="448"/>
      <c r="Z43" s="356"/>
      <c r="AA43" s="448"/>
      <c r="AB43" s="448"/>
      <c r="AC43" s="448"/>
      <c r="AD43" s="448"/>
      <c r="AE43" s="356"/>
      <c r="AF43" s="448"/>
      <c r="AG43" s="448"/>
      <c r="AH43" s="448"/>
      <c r="AI43" s="448"/>
      <c r="AJ43" s="356"/>
      <c r="AK43" s="448"/>
      <c r="AL43" s="448"/>
      <c r="AM43" s="448"/>
      <c r="AN43" s="448"/>
      <c r="AO43" s="356"/>
      <c r="AP43" s="448"/>
      <c r="AQ43" s="448"/>
      <c r="AR43" s="448"/>
      <c r="AS43" s="448"/>
      <c r="AT43" s="356"/>
      <c r="AU43" s="358"/>
      <c r="AV43" s="358"/>
      <c r="AW43" s="358"/>
      <c r="AX43" s="358"/>
      <c r="AY43" s="356"/>
      <c r="AZ43" s="358"/>
      <c r="BA43" s="358"/>
      <c r="BB43" s="358"/>
      <c r="BC43" s="358"/>
      <c r="BD43" s="356"/>
      <c r="BE43" s="83">
        <f>BE42/BE41</f>
        <v>0.58823529411764708</v>
      </c>
      <c r="BF43" s="83">
        <f>BF42/BF41</f>
        <v>0.46666666666666667</v>
      </c>
      <c r="BG43" s="83">
        <f>BG42/BG41</f>
        <v>0.64516129032258063</v>
      </c>
      <c r="BH43" s="83">
        <f>BH42/BH41</f>
        <v>0.55769230769230771</v>
      </c>
      <c r="BI43" s="452">
        <f>AVERAGE(BE43:BH43)</f>
        <v>0.56443888969980049</v>
      </c>
      <c r="BJ43" s="83">
        <f>BJ42/BJ41</f>
        <v>0.62962962962962965</v>
      </c>
      <c r="BK43" s="83">
        <f>BK42/BK41</f>
        <v>0.6</v>
      </c>
      <c r="BL43" s="83">
        <f>BL42/BL41</f>
        <v>0.61764705882352944</v>
      </c>
      <c r="BM43" s="83">
        <f>BM42/BM41</f>
        <v>0.62105263157894741</v>
      </c>
      <c r="BN43" s="452">
        <f>AVERAGE(BJ43:BM43)</f>
        <v>0.61708233000802659</v>
      </c>
      <c r="BO43" s="468">
        <f>BO42/BO41</f>
        <v>0.63218390804597702</v>
      </c>
      <c r="BP43" s="468">
        <f>BP42/BP41</f>
        <v>0.59322033898305082</v>
      </c>
      <c r="BQ43" s="468">
        <f>BQ42/BQ41</f>
        <v>0.6330275229357798</v>
      </c>
      <c r="BR43" s="468">
        <f>BR42/BR41</f>
        <v>0.59459459459459463</v>
      </c>
      <c r="BS43" s="452">
        <f>AVERAGE(BO43:BR43)</f>
        <v>0.61325659113985054</v>
      </c>
      <c r="BT43" s="468">
        <f>BT42/BT41</f>
        <v>0.6470588235294118</v>
      </c>
      <c r="BU43" s="468">
        <f>BU42/BU41</f>
        <v>0.660377358490566</v>
      </c>
      <c r="BV43" s="468">
        <f>BV42/BV41</f>
        <v>0.7</v>
      </c>
      <c r="BW43" s="468">
        <f>BW42/BW41</f>
        <v>0.59898477157360408</v>
      </c>
      <c r="BX43" s="452">
        <f>AVERAGE(BT43:BW43)</f>
        <v>0.65160523839839546</v>
      </c>
      <c r="BY43" s="468">
        <f>BY42/BY41</f>
        <v>0.6</v>
      </c>
      <c r="BZ43" s="468">
        <f>BZ42/BZ41</f>
        <v>0.58139534883720934</v>
      </c>
      <c r="CA43" s="468">
        <f>CA42/CA41</f>
        <v>0.56097560975609762</v>
      </c>
      <c r="CB43" s="468">
        <f>CB42/CB41</f>
        <v>0.53846153846153844</v>
      </c>
      <c r="CC43" s="452">
        <f>AVERAGE(BY43:CB43)</f>
        <v>0.57020812426371137</v>
      </c>
      <c r="CD43" s="468">
        <f t="shared" ref="CD43:CN43" si="57">CD42/CD41</f>
        <v>0.59276018099547512</v>
      </c>
      <c r="CE43" s="468">
        <f t="shared" si="57"/>
        <v>0.54195804195804198</v>
      </c>
      <c r="CF43" s="468">
        <f t="shared" si="57"/>
        <v>0.52208835341365467</v>
      </c>
      <c r="CG43" s="468">
        <f t="shared" si="57"/>
        <v>0.58020477815699656</v>
      </c>
      <c r="CH43" s="452">
        <f>CC43</f>
        <v>0.57020812426371137</v>
      </c>
      <c r="CI43" s="468">
        <f t="shared" si="57"/>
        <v>0.52329749103942658</v>
      </c>
      <c r="CJ43" s="468">
        <f t="shared" si="57"/>
        <v>0.54907975460122704</v>
      </c>
      <c r="CK43" s="468">
        <f t="shared" si="57"/>
        <v>0.55704697986577179</v>
      </c>
      <c r="CL43" s="468">
        <f t="shared" si="57"/>
        <v>0.55555555555555558</v>
      </c>
      <c r="CM43" s="705">
        <f t="shared" si="57"/>
        <v>0.54716981132075471</v>
      </c>
      <c r="CN43" s="468">
        <f t="shared" si="57"/>
        <v>0.54374999999999996</v>
      </c>
      <c r="CO43" s="468">
        <f>CN43</f>
        <v>0.54374999999999996</v>
      </c>
      <c r="CP43" s="468">
        <f>CO43</f>
        <v>0.54374999999999996</v>
      </c>
      <c r="CQ43" s="468">
        <f>CP43</f>
        <v>0.54374999999999996</v>
      </c>
      <c r="CR43" s="452">
        <f>CM43</f>
        <v>0.54716981132075471</v>
      </c>
      <c r="CS43" s="468">
        <f>CW43</f>
        <v>0.54716981132075471</v>
      </c>
      <c r="CT43" s="468">
        <f>CS43</f>
        <v>0.54716981132075471</v>
      </c>
      <c r="CU43" s="468">
        <f>CT43</f>
        <v>0.54716981132075471</v>
      </c>
      <c r="CV43" s="468">
        <f>CU43</f>
        <v>0.54716981132075471</v>
      </c>
      <c r="CW43" s="682">
        <f>CR43</f>
        <v>0.54716981132075471</v>
      </c>
      <c r="CX43" s="468">
        <f>DB43</f>
        <v>0.54716981132075471</v>
      </c>
      <c r="CY43" s="468">
        <f>CX43</f>
        <v>0.54716981132075471</v>
      </c>
      <c r="CZ43" s="468">
        <f>CY43</f>
        <v>0.54716981132075471</v>
      </c>
      <c r="DA43" s="468">
        <f>CZ43</f>
        <v>0.54716981132075471</v>
      </c>
      <c r="DB43" s="682">
        <f>CW43</f>
        <v>0.54716981132075471</v>
      </c>
      <c r="DC43" s="468">
        <f>DG43</f>
        <v>0.54716981132075471</v>
      </c>
      <c r="DD43" s="468">
        <f>DC43</f>
        <v>0.54716981132075471</v>
      </c>
      <c r="DE43" s="468">
        <f>DD43</f>
        <v>0.54716981132075471</v>
      </c>
      <c r="DF43" s="468">
        <f>DE43</f>
        <v>0.54716981132075471</v>
      </c>
      <c r="DG43" s="452">
        <f>DB43</f>
        <v>0.54716981132075471</v>
      </c>
      <c r="DH43" s="468">
        <f>DL43</f>
        <v>0.54716981132075471</v>
      </c>
      <c r="DI43" s="468">
        <f>DH43</f>
        <v>0.54716981132075471</v>
      </c>
      <c r="DJ43" s="468">
        <f>DI43</f>
        <v>0.54716981132075471</v>
      </c>
      <c r="DK43" s="468">
        <f>DJ43</f>
        <v>0.54716981132075471</v>
      </c>
      <c r="DL43" s="452">
        <f>DG43</f>
        <v>0.54716981132075471</v>
      </c>
      <c r="DM43" s="468">
        <f>DQ43</f>
        <v>0.54716981132075471</v>
      </c>
      <c r="DN43" s="468">
        <f>DM43</f>
        <v>0.54716981132075471</v>
      </c>
      <c r="DO43" s="468">
        <f>DN43</f>
        <v>0.54716981132075471</v>
      </c>
      <c r="DP43" s="468">
        <f>DO43</f>
        <v>0.54716981132075471</v>
      </c>
      <c r="DQ43" s="452">
        <f>DL43</f>
        <v>0.54716981132075471</v>
      </c>
      <c r="DR43" s="468">
        <f>DV43</f>
        <v>0.54716981132075471</v>
      </c>
      <c r="DS43" s="468">
        <f>DR43</f>
        <v>0.54716981132075471</v>
      </c>
      <c r="DT43" s="468">
        <f>DS43</f>
        <v>0.54716981132075471</v>
      </c>
      <c r="DU43" s="468">
        <f>DT43</f>
        <v>0.54716981132075471</v>
      </c>
      <c r="DV43" s="452">
        <f>DQ43</f>
        <v>0.54716981132075471</v>
      </c>
      <c r="DW43" s="468">
        <f>EA43</f>
        <v>0.54716981132075471</v>
      </c>
      <c r="DX43" s="468">
        <f>DW43</f>
        <v>0.54716981132075471</v>
      </c>
      <c r="DY43" s="468">
        <f>DX43</f>
        <v>0.54716981132075471</v>
      </c>
      <c r="DZ43" s="468">
        <f>DY43</f>
        <v>0.54716981132075471</v>
      </c>
      <c r="EA43" s="452">
        <f>DV43</f>
        <v>0.54716981132075471</v>
      </c>
      <c r="EB43" s="468">
        <f>EF43</f>
        <v>0.54716981132075471</v>
      </c>
      <c r="EC43" s="468">
        <f>EB43</f>
        <v>0.54716981132075471</v>
      </c>
      <c r="ED43" s="468">
        <f>EC43</f>
        <v>0.54716981132075471</v>
      </c>
      <c r="EE43" s="468">
        <f>ED43</f>
        <v>0.54716981132075471</v>
      </c>
      <c r="EF43" s="452">
        <f>EA43</f>
        <v>0.54716981132075471</v>
      </c>
      <c r="EG43" s="468">
        <f>EK43</f>
        <v>0.54716981132075471</v>
      </c>
      <c r="EH43" s="468">
        <f>EG43</f>
        <v>0.54716981132075471</v>
      </c>
      <c r="EI43" s="468">
        <f>EH43</f>
        <v>0.54716981132075471</v>
      </c>
      <c r="EJ43" s="468">
        <f>EI43</f>
        <v>0.54716981132075471</v>
      </c>
      <c r="EK43" s="452">
        <f>EF43</f>
        <v>0.54716981132075471</v>
      </c>
      <c r="EL43" s="468">
        <f>EP43</f>
        <v>0.54716981132075471</v>
      </c>
      <c r="EM43" s="468">
        <f>EL43</f>
        <v>0.54716981132075471</v>
      </c>
      <c r="EN43" s="468">
        <f>EM43</f>
        <v>0.54716981132075471</v>
      </c>
      <c r="EO43" s="468">
        <f>EN43</f>
        <v>0.54716981132075471</v>
      </c>
      <c r="EP43" s="452">
        <f>EK43</f>
        <v>0.54716981132075471</v>
      </c>
      <c r="EQ43" s="468">
        <f>EU43</f>
        <v>0.54716981132075471</v>
      </c>
      <c r="ER43" s="468">
        <f>EQ43</f>
        <v>0.54716981132075471</v>
      </c>
      <c r="ES43" s="468">
        <f>ER43</f>
        <v>0.54716981132075471</v>
      </c>
      <c r="ET43" s="468">
        <f>ES43</f>
        <v>0.54716981132075471</v>
      </c>
      <c r="EU43" s="452">
        <f>EP43</f>
        <v>0.54716981132075471</v>
      </c>
      <c r="EV43" s="468">
        <f>EZ43</f>
        <v>0.54716981132075471</v>
      </c>
      <c r="EW43" s="468">
        <f>EV43</f>
        <v>0.54716981132075471</v>
      </c>
      <c r="EX43" s="468">
        <f>EW43</f>
        <v>0.54716981132075471</v>
      </c>
      <c r="EY43" s="468">
        <f>EX43</f>
        <v>0.54716981132075471</v>
      </c>
      <c r="EZ43" s="452">
        <f>EU43</f>
        <v>0.54716981132075471</v>
      </c>
    </row>
    <row r="44" spans="2:156">
      <c r="B44" s="747"/>
      <c r="C44" s="450"/>
      <c r="D44" s="450"/>
      <c r="E44" s="450"/>
      <c r="F44" s="450"/>
      <c r="G44" s="450"/>
      <c r="H44" s="450"/>
      <c r="I44" s="450"/>
      <c r="J44" s="450"/>
      <c r="K44" s="356"/>
      <c r="L44" s="448"/>
      <c r="M44" s="448"/>
      <c r="N44" s="448"/>
      <c r="O44" s="448"/>
      <c r="P44" s="356"/>
      <c r="Q44" s="448"/>
      <c r="R44" s="448"/>
      <c r="S44" s="448"/>
      <c r="T44" s="357"/>
      <c r="U44" s="356"/>
      <c r="V44" s="448"/>
      <c r="W44" s="448"/>
      <c r="X44" s="448"/>
      <c r="Y44" s="448"/>
      <c r="Z44" s="356"/>
      <c r="AA44" s="448"/>
      <c r="AB44" s="448"/>
      <c r="AC44" s="448"/>
      <c r="AD44" s="448"/>
      <c r="AE44" s="356"/>
      <c r="AF44" s="448"/>
      <c r="AG44" s="448"/>
      <c r="AH44" s="448"/>
      <c r="AI44" s="448"/>
      <c r="AJ44" s="356"/>
      <c r="AK44" s="448"/>
      <c r="AL44" s="448"/>
      <c r="AM44" s="448"/>
      <c r="AN44" s="448"/>
      <c r="AO44" s="356"/>
      <c r="AP44" s="448"/>
      <c r="AQ44" s="448"/>
      <c r="AR44" s="448"/>
      <c r="AS44" s="448"/>
      <c r="AT44" s="356"/>
      <c r="AU44" s="358"/>
      <c r="AV44" s="358"/>
      <c r="AW44" s="358"/>
      <c r="AX44" s="358"/>
      <c r="AY44" s="356"/>
      <c r="AZ44" s="358"/>
      <c r="BA44" s="358"/>
      <c r="BB44" s="358"/>
      <c r="BC44" s="358"/>
      <c r="BD44" s="356"/>
      <c r="BE44" s="83"/>
      <c r="BF44" s="83"/>
      <c r="BG44" s="83"/>
      <c r="BH44" s="83"/>
      <c r="BI44" s="452"/>
      <c r="BJ44" s="83"/>
      <c r="BK44" s="83"/>
      <c r="BL44" s="83"/>
      <c r="BM44" s="83"/>
      <c r="BN44" s="452"/>
      <c r="BO44" s="468"/>
      <c r="BP44" s="468"/>
      <c r="BQ44" s="468"/>
      <c r="BR44" s="468"/>
      <c r="BS44" s="452"/>
      <c r="BT44" s="468"/>
      <c r="BU44" s="468"/>
      <c r="BV44" s="468"/>
      <c r="BW44" s="468"/>
      <c r="BX44" s="452"/>
      <c r="BY44" s="468"/>
      <c r="BZ44" s="468"/>
      <c r="CA44" s="468"/>
      <c r="CB44" s="468"/>
      <c r="CC44" s="452"/>
      <c r="CD44" s="468"/>
      <c r="CE44" s="468"/>
      <c r="CF44" s="468"/>
      <c r="CG44" s="468"/>
      <c r="CH44" s="452"/>
      <c r="CI44" s="468"/>
      <c r="CJ44" s="468"/>
      <c r="CK44" s="468"/>
      <c r="CL44" s="468"/>
      <c r="CM44" s="705"/>
      <c r="CN44" s="468"/>
      <c r="CO44" s="468"/>
      <c r="CP44" s="468"/>
      <c r="CQ44" s="468"/>
      <c r="CR44" s="452"/>
      <c r="CS44" s="468"/>
      <c r="CT44" s="468"/>
      <c r="CU44" s="468"/>
      <c r="CV44" s="468"/>
      <c r="CW44" s="682"/>
      <c r="CX44" s="468"/>
      <c r="CY44" s="468"/>
      <c r="CZ44" s="468"/>
      <c r="DA44" s="468"/>
      <c r="DB44" s="682"/>
      <c r="DC44" s="468"/>
      <c r="DD44" s="468"/>
      <c r="DE44" s="468"/>
      <c r="DF44" s="468"/>
      <c r="DG44" s="452"/>
      <c r="DH44" s="468"/>
      <c r="DI44" s="468"/>
      <c r="DJ44" s="468"/>
      <c r="DK44" s="468"/>
      <c r="DL44" s="452"/>
      <c r="DM44" s="468"/>
      <c r="DN44" s="468"/>
      <c r="DO44" s="468"/>
      <c r="DP44" s="468"/>
      <c r="DQ44" s="452"/>
      <c r="DR44" s="468"/>
      <c r="DS44" s="468"/>
      <c r="DT44" s="468"/>
      <c r="DU44" s="468"/>
      <c r="DV44" s="452"/>
      <c r="DW44" s="468"/>
      <c r="DX44" s="468"/>
      <c r="DY44" s="468"/>
      <c r="DZ44" s="468"/>
      <c r="EA44" s="452"/>
      <c r="EB44" s="468"/>
      <c r="EC44" s="468"/>
      <c r="ED44" s="468"/>
      <c r="EE44" s="468"/>
      <c r="EF44" s="452"/>
      <c r="EG44" s="468"/>
      <c r="EH44" s="468"/>
      <c r="EI44" s="468"/>
      <c r="EJ44" s="468"/>
      <c r="EK44" s="452"/>
      <c r="EL44" s="468"/>
      <c r="EM44" s="468"/>
      <c r="EN44" s="468"/>
      <c r="EO44" s="468"/>
      <c r="EP44" s="452"/>
      <c r="EQ44" s="468"/>
      <c r="ER44" s="468"/>
      <c r="ES44" s="468"/>
      <c r="ET44" s="468"/>
      <c r="EU44" s="452"/>
      <c r="EV44" s="468"/>
      <c r="EW44" s="468"/>
      <c r="EX44" s="468"/>
      <c r="EY44" s="468"/>
      <c r="EZ44" s="452"/>
    </row>
    <row r="45" spans="2:156" s="4" customFormat="1">
      <c r="B45" s="18" t="s">
        <v>46</v>
      </c>
      <c r="C45" s="23"/>
      <c r="D45" s="23"/>
      <c r="E45" s="23"/>
      <c r="F45" s="23"/>
      <c r="G45" s="23"/>
      <c r="H45" s="23"/>
      <c r="I45" s="23"/>
      <c r="J45" s="23"/>
      <c r="K45" s="23"/>
      <c r="L45" s="22"/>
      <c r="M45" s="22"/>
      <c r="N45" s="22"/>
      <c r="O45" s="22"/>
      <c r="P45" s="23"/>
      <c r="Q45" s="22"/>
      <c r="R45" s="22"/>
      <c r="S45" s="22"/>
      <c r="T45" s="22"/>
      <c r="U45" s="23"/>
      <c r="V45" s="22"/>
      <c r="W45" s="22"/>
      <c r="X45" s="22"/>
      <c r="Y45" s="22"/>
      <c r="Z45" s="23"/>
      <c r="AA45" s="22"/>
      <c r="AB45" s="22"/>
      <c r="AC45" s="22"/>
      <c r="AD45" s="22"/>
      <c r="AE45" s="23"/>
      <c r="AF45" s="22"/>
      <c r="AG45" s="22"/>
      <c r="AH45" s="22"/>
      <c r="AI45" s="22"/>
      <c r="AJ45" s="23"/>
      <c r="AK45" s="22"/>
      <c r="AL45" s="22"/>
      <c r="AM45" s="22"/>
      <c r="AN45" s="22"/>
      <c r="AO45" s="23"/>
      <c r="AP45" s="22"/>
      <c r="AQ45" s="22"/>
      <c r="AR45" s="22"/>
      <c r="AS45" s="22">
        <f t="shared" ref="AS45:BO45" si="58">AS46+AS47</f>
        <v>17</v>
      </c>
      <c r="AT45" s="23">
        <f t="shared" si="58"/>
        <v>17</v>
      </c>
      <c r="AU45" s="22">
        <f t="shared" si="58"/>
        <v>15</v>
      </c>
      <c r="AV45" s="22">
        <f t="shared" si="58"/>
        <v>23</v>
      </c>
      <c r="AW45" s="22">
        <f t="shared" si="58"/>
        <v>31</v>
      </c>
      <c r="AX45" s="22">
        <f t="shared" si="58"/>
        <v>41</v>
      </c>
      <c r="AY45" s="23">
        <f t="shared" si="58"/>
        <v>110</v>
      </c>
      <c r="AZ45" s="22">
        <f t="shared" si="58"/>
        <v>49</v>
      </c>
      <c r="BA45" s="22">
        <f t="shared" si="58"/>
        <v>55</v>
      </c>
      <c r="BB45" s="22">
        <f t="shared" si="58"/>
        <v>60</v>
      </c>
      <c r="BC45" s="22">
        <f t="shared" si="58"/>
        <v>65</v>
      </c>
      <c r="BD45" s="23">
        <f t="shared" si="58"/>
        <v>229</v>
      </c>
      <c r="BE45" s="22">
        <f t="shared" si="58"/>
        <v>65</v>
      </c>
      <c r="BF45" s="22">
        <f t="shared" si="58"/>
        <v>75</v>
      </c>
      <c r="BG45" s="22">
        <f t="shared" si="58"/>
        <v>77</v>
      </c>
      <c r="BH45" s="22">
        <f t="shared" si="58"/>
        <v>80</v>
      </c>
      <c r="BI45" s="23">
        <f t="shared" si="58"/>
        <v>297</v>
      </c>
      <c r="BJ45" s="22">
        <f t="shared" si="58"/>
        <v>90</v>
      </c>
      <c r="BK45" s="22">
        <f t="shared" si="58"/>
        <v>86</v>
      </c>
      <c r="BL45" s="22">
        <f t="shared" si="58"/>
        <v>91</v>
      </c>
      <c r="BM45" s="22">
        <f t="shared" si="58"/>
        <v>101</v>
      </c>
      <c r="BN45" s="23">
        <f t="shared" si="58"/>
        <v>368</v>
      </c>
      <c r="BO45" s="465">
        <f t="shared" si="58"/>
        <v>96</v>
      </c>
      <c r="BP45" s="465">
        <f t="shared" ref="BP45:EA45" si="59">BP46+BP47</f>
        <v>105</v>
      </c>
      <c r="BQ45" s="465">
        <f t="shared" si="59"/>
        <v>106</v>
      </c>
      <c r="BR45" s="465">
        <f t="shared" si="59"/>
        <v>120</v>
      </c>
      <c r="BS45" s="23">
        <f t="shared" si="59"/>
        <v>427</v>
      </c>
      <c r="BT45" s="465">
        <f t="shared" si="59"/>
        <v>113</v>
      </c>
      <c r="BU45" s="465">
        <f t="shared" si="59"/>
        <v>118</v>
      </c>
      <c r="BV45" s="465">
        <f t="shared" si="59"/>
        <v>119</v>
      </c>
      <c r="BW45" s="465">
        <f t="shared" si="59"/>
        <v>119</v>
      </c>
      <c r="BX45" s="23">
        <f t="shared" si="59"/>
        <v>469</v>
      </c>
      <c r="BY45" s="465">
        <f t="shared" si="59"/>
        <v>126</v>
      </c>
      <c r="BZ45" s="465">
        <f t="shared" si="59"/>
        <v>125</v>
      </c>
      <c r="CA45" s="465">
        <f t="shared" si="59"/>
        <v>137</v>
      </c>
      <c r="CB45" s="465">
        <f t="shared" si="59"/>
        <v>137</v>
      </c>
      <c r="CC45" s="23">
        <f t="shared" si="59"/>
        <v>525</v>
      </c>
      <c r="CD45" s="465">
        <f t="shared" si="59"/>
        <v>141</v>
      </c>
      <c r="CE45" s="465">
        <f t="shared" si="59"/>
        <v>142</v>
      </c>
      <c r="CF45" s="465">
        <f t="shared" si="59"/>
        <v>151</v>
      </c>
      <c r="CG45" s="465">
        <f t="shared" si="59"/>
        <v>150</v>
      </c>
      <c r="CH45" s="23">
        <f t="shared" si="59"/>
        <v>584</v>
      </c>
      <c r="CI45" s="465">
        <f t="shared" si="59"/>
        <v>154</v>
      </c>
      <c r="CJ45" s="465">
        <f t="shared" si="59"/>
        <v>164</v>
      </c>
      <c r="CK45" s="465">
        <f t="shared" si="59"/>
        <v>159</v>
      </c>
      <c r="CL45" s="465">
        <f t="shared" si="59"/>
        <v>165</v>
      </c>
      <c r="CM45" s="23">
        <f t="shared" si="59"/>
        <v>642</v>
      </c>
      <c r="CN45" s="465">
        <f t="shared" si="59"/>
        <v>179</v>
      </c>
      <c r="CO45" s="465">
        <f t="shared" si="59"/>
        <v>159.18919388397455</v>
      </c>
      <c r="CP45" s="465">
        <f t="shared" si="59"/>
        <v>171.25072697577394</v>
      </c>
      <c r="CQ45" s="465">
        <f t="shared" si="59"/>
        <v>168.56171373376037</v>
      </c>
      <c r="CR45" s="23">
        <f t="shared" si="59"/>
        <v>678.00163459350881</v>
      </c>
      <c r="CS45" s="465">
        <f t="shared" si="59"/>
        <v>160.33871006613646</v>
      </c>
      <c r="CT45" s="465">
        <f t="shared" si="59"/>
        <v>181.32691637056735</v>
      </c>
      <c r="CU45" s="465">
        <f t="shared" si="59"/>
        <v>194.96740077885261</v>
      </c>
      <c r="CV45" s="465">
        <f t="shared" si="59"/>
        <v>190.47346377712836</v>
      </c>
      <c r="CW45" s="23">
        <f t="shared" si="59"/>
        <v>727.10649099268483</v>
      </c>
      <c r="CX45" s="465">
        <f t="shared" si="59"/>
        <v>168.76217016340115</v>
      </c>
      <c r="CY45" s="465">
        <f t="shared" si="59"/>
        <v>187.98757215504963</v>
      </c>
      <c r="CZ45" s="465">
        <f t="shared" si="59"/>
        <v>197.14352293338459</v>
      </c>
      <c r="DA45" s="465">
        <f t="shared" si="59"/>
        <v>190.83795236511654</v>
      </c>
      <c r="DB45" s="23">
        <f t="shared" si="59"/>
        <v>744.73121761695188</v>
      </c>
      <c r="DC45" s="465">
        <f t="shared" si="59"/>
        <v>168.40849386423093</v>
      </c>
      <c r="DD45" s="465">
        <f t="shared" si="59"/>
        <v>187.00332168916515</v>
      </c>
      <c r="DE45" s="465">
        <f t="shared" si="59"/>
        <v>195.47511710236788</v>
      </c>
      <c r="DF45" s="465">
        <f t="shared" si="59"/>
        <v>188.56278748347802</v>
      </c>
      <c r="DG45" s="23">
        <f t="shared" si="59"/>
        <v>739.44972013924189</v>
      </c>
      <c r="DH45" s="465">
        <f t="shared" si="59"/>
        <v>165.78310087690755</v>
      </c>
      <c r="DI45" s="465">
        <f t="shared" si="59"/>
        <v>183.35404069237566</v>
      </c>
      <c r="DJ45" s="465">
        <f t="shared" si="59"/>
        <v>190.86689262589687</v>
      </c>
      <c r="DK45" s="465">
        <f t="shared" si="59"/>
        <v>183.29139777866365</v>
      </c>
      <c r="DL45" s="23">
        <f t="shared" si="59"/>
        <v>723.29543197384373</v>
      </c>
      <c r="DM45" s="465">
        <f t="shared" si="59"/>
        <v>160.37288162852076</v>
      </c>
      <c r="DN45" s="465">
        <f t="shared" si="59"/>
        <v>176.44517433652433</v>
      </c>
      <c r="DO45" s="465">
        <f t="shared" si="59"/>
        <v>182.67055591827676</v>
      </c>
      <c r="DP45" s="465">
        <f t="shared" si="59"/>
        <v>174.3705130948365</v>
      </c>
      <c r="DQ45" s="23">
        <f t="shared" si="59"/>
        <v>693.85912497815843</v>
      </c>
      <c r="DR45" s="465">
        <f t="shared" si="59"/>
        <v>147.16241626719807</v>
      </c>
      <c r="DS45" s="465">
        <f t="shared" si="59"/>
        <v>160.75852040681966</v>
      </c>
      <c r="DT45" s="465">
        <f t="shared" si="59"/>
        <v>160.36218568691868</v>
      </c>
      <c r="DU45" s="465">
        <f t="shared" si="59"/>
        <v>151.79271459567548</v>
      </c>
      <c r="DV45" s="23">
        <f t="shared" si="59"/>
        <v>620.07583695661185</v>
      </c>
      <c r="DW45" s="465">
        <f t="shared" si="59"/>
        <v>126.92563910580844</v>
      </c>
      <c r="DX45" s="465">
        <f t="shared" si="59"/>
        <v>137.22616400712266</v>
      </c>
      <c r="DY45" s="465">
        <f t="shared" si="59"/>
        <v>135.36630204262917</v>
      </c>
      <c r="DZ45" s="465">
        <f t="shared" si="59"/>
        <v>126.52120996386125</v>
      </c>
      <c r="EA45" s="23">
        <f t="shared" si="59"/>
        <v>526.03931511942153</v>
      </c>
      <c r="EB45" s="465">
        <f t="shared" ref="EB45:EZ45" si="60">EB46+EB47</f>
        <v>104.29727818761188</v>
      </c>
      <c r="EC45" s="465">
        <f t="shared" si="60"/>
        <v>110.93867566643888</v>
      </c>
      <c r="ED45" s="465">
        <f t="shared" si="60"/>
        <v>107.4699245696934</v>
      </c>
      <c r="EE45" s="465">
        <f t="shared" si="60"/>
        <v>98.343073082376378</v>
      </c>
      <c r="EF45" s="23">
        <f t="shared" si="60"/>
        <v>421.04895150612055</v>
      </c>
      <c r="EG45" s="465">
        <f t="shared" si="60"/>
        <v>79.088767079831129</v>
      </c>
      <c r="EH45" s="465">
        <f t="shared" si="60"/>
        <v>81.679373081668928</v>
      </c>
      <c r="EI45" s="465">
        <f t="shared" si="60"/>
        <v>76.445493594357487</v>
      </c>
      <c r="EJ45" s="465">
        <f t="shared" si="60"/>
        <v>67.030819487833384</v>
      </c>
      <c r="EK45" s="23">
        <f t="shared" si="60"/>
        <v>304.24445324369094</v>
      </c>
      <c r="EL45" s="465">
        <f t="shared" si="60"/>
        <v>51.09866166580327</v>
      </c>
      <c r="EM45" s="465">
        <f t="shared" si="60"/>
        <v>49.216793549255897</v>
      </c>
      <c r="EN45" s="465">
        <f t="shared" si="60"/>
        <v>42.049944710063755</v>
      </c>
      <c r="EO45" s="465">
        <f t="shared" si="60"/>
        <v>33.500051868774243</v>
      </c>
      <c r="EP45" s="23">
        <f t="shared" si="60"/>
        <v>175.86545179389719</v>
      </c>
      <c r="EQ45" s="465">
        <f t="shared" si="60"/>
        <v>28.696365744409224</v>
      </c>
      <c r="ER45" s="465">
        <f t="shared" si="60"/>
        <v>32.830430168964099</v>
      </c>
      <c r="ES45" s="465">
        <f t="shared" si="60"/>
        <v>34.331767293735098</v>
      </c>
      <c r="ET45" s="465">
        <f t="shared" si="60"/>
        <v>34.172813520008816</v>
      </c>
      <c r="EU45" s="23">
        <f t="shared" si="60"/>
        <v>130.03137672711722</v>
      </c>
      <c r="EV45" s="465">
        <f t="shared" si="60"/>
        <v>30.131184031629687</v>
      </c>
      <c r="EW45" s="465">
        <f t="shared" si="60"/>
        <v>34.471951677412314</v>
      </c>
      <c r="EX45" s="465">
        <f t="shared" si="60"/>
        <v>0</v>
      </c>
      <c r="EY45" s="465">
        <f t="shared" si="60"/>
        <v>0</v>
      </c>
      <c r="EZ45" s="23">
        <f t="shared" si="60"/>
        <v>64.603135709041993</v>
      </c>
    </row>
    <row r="46" spans="2:156">
      <c r="B46" s="351" t="s">
        <v>911</v>
      </c>
      <c r="C46" s="355"/>
      <c r="D46" s="355"/>
      <c r="E46" s="355"/>
      <c r="F46" s="355"/>
      <c r="G46" s="355"/>
      <c r="H46" s="355"/>
      <c r="I46" s="355"/>
      <c r="J46" s="355"/>
      <c r="K46" s="356"/>
      <c r="L46" s="357"/>
      <c r="M46" s="357"/>
      <c r="N46" s="357"/>
      <c r="O46" s="357"/>
      <c r="P46" s="356"/>
      <c r="Q46" s="357"/>
      <c r="R46" s="357"/>
      <c r="S46" s="357"/>
      <c r="T46" s="357"/>
      <c r="U46" s="356"/>
      <c r="V46" s="357"/>
      <c r="W46" s="357"/>
      <c r="X46" s="357"/>
      <c r="Y46" s="357"/>
      <c r="Z46" s="356"/>
      <c r="AA46" s="357"/>
      <c r="AB46" s="357"/>
      <c r="AC46" s="357"/>
      <c r="AD46" s="357"/>
      <c r="AE46" s="356"/>
      <c r="AF46" s="357"/>
      <c r="AG46" s="357"/>
      <c r="AH46" s="357"/>
      <c r="AI46" s="357"/>
      <c r="AJ46" s="356"/>
      <c r="AK46" s="357"/>
      <c r="AL46" s="357"/>
      <c r="AM46" s="357"/>
      <c r="AN46" s="357"/>
      <c r="AO46" s="356"/>
      <c r="AP46" s="357"/>
      <c r="AQ46" s="357"/>
      <c r="AR46" s="357"/>
      <c r="AS46" s="448">
        <v>17</v>
      </c>
      <c r="AT46" s="356">
        <f>AS46+AR46+AQ46+AP46</f>
        <v>17</v>
      </c>
      <c r="AU46" s="358">
        <v>13</v>
      </c>
      <c r="AV46" s="358">
        <v>19</v>
      </c>
      <c r="AW46" s="358">
        <v>22</v>
      </c>
      <c r="AX46" s="358">
        <v>24</v>
      </c>
      <c r="AY46" s="356">
        <f>AX46+AW46+AV46+AU46</f>
        <v>78</v>
      </c>
      <c r="AZ46" s="358">
        <v>28</v>
      </c>
      <c r="BA46" s="358">
        <v>32</v>
      </c>
      <c r="BB46" s="358">
        <v>35</v>
      </c>
      <c r="BC46" s="358">
        <v>34</v>
      </c>
      <c r="BD46" s="356">
        <f>BC46+BB46+BA46+AZ46</f>
        <v>129</v>
      </c>
      <c r="BE46" s="358">
        <v>37</v>
      </c>
      <c r="BF46" s="358">
        <v>40</v>
      </c>
      <c r="BG46" s="358">
        <v>43</v>
      </c>
      <c r="BH46" s="358">
        <v>43</v>
      </c>
      <c r="BI46" s="356">
        <f>BH46+BG46+BF46+BE46</f>
        <v>163</v>
      </c>
      <c r="BJ46" s="358">
        <v>54</v>
      </c>
      <c r="BK46" s="358">
        <v>50</v>
      </c>
      <c r="BL46" s="358">
        <v>53</v>
      </c>
      <c r="BM46" s="358">
        <v>57</v>
      </c>
      <c r="BN46" s="356">
        <f>BM46+BL46+BK46+BJ46</f>
        <v>214</v>
      </c>
      <c r="BO46" s="467">
        <v>55</v>
      </c>
      <c r="BP46" s="467">
        <v>62</v>
      </c>
      <c r="BQ46" s="467">
        <v>58</v>
      </c>
      <c r="BR46" s="474">
        <v>66</v>
      </c>
      <c r="BS46" s="356">
        <f>BR46+BQ46+BP46+BO46</f>
        <v>241</v>
      </c>
      <c r="BT46" s="474">
        <v>62</v>
      </c>
      <c r="BU46" s="474">
        <v>62</v>
      </c>
      <c r="BV46" s="474">
        <v>69</v>
      </c>
      <c r="BW46" s="474">
        <v>67</v>
      </c>
      <c r="BX46" s="356">
        <f>BW46+BV46+BU46+BT46</f>
        <v>260</v>
      </c>
      <c r="BY46" s="474">
        <v>78</v>
      </c>
      <c r="BZ46" s="474">
        <v>73</v>
      </c>
      <c r="CA46" s="474">
        <v>84</v>
      </c>
      <c r="CB46" s="474">
        <v>82</v>
      </c>
      <c r="CC46" s="356">
        <f>SUM(BY46:CB46)</f>
        <v>317</v>
      </c>
      <c r="CD46" s="474">
        <v>86</v>
      </c>
      <c r="CE46" s="474">
        <v>84</v>
      </c>
      <c r="CF46" s="474">
        <v>92</v>
      </c>
      <c r="CG46" s="474">
        <v>88</v>
      </c>
      <c r="CH46" s="356">
        <f>CG46+CF46+CE46+CD46</f>
        <v>350</v>
      </c>
      <c r="CI46" s="474">
        <v>97</v>
      </c>
      <c r="CJ46" s="474">
        <v>99</v>
      </c>
      <c r="CK46" s="474">
        <v>96</v>
      </c>
      <c r="CL46" s="474">
        <v>100</v>
      </c>
      <c r="CM46" s="356">
        <f>CL46+CK46+CJ46+CI46</f>
        <v>392</v>
      </c>
      <c r="CN46" s="474">
        <v>112</v>
      </c>
      <c r="CO46" s="467">
        <f>'IMS Model Summary'!J51</f>
        <v>99.604411815671227</v>
      </c>
      <c r="CP46" s="467">
        <f>'IMS Model Summary'!K51</f>
        <v>107.15129285635018</v>
      </c>
      <c r="CQ46" s="467">
        <f>'IMS Model Summary'!L51</f>
        <v>105.46878177754839</v>
      </c>
      <c r="CR46" s="356">
        <f>CQ46+CP46+CO46+CN46</f>
        <v>424.22448644956978</v>
      </c>
      <c r="CS46" s="467">
        <f>'IMS Model Summary'!N51</f>
        <v>97.901517672781139</v>
      </c>
      <c r="CT46" s="467">
        <f>'IMS Model Summary'!O51</f>
        <v>110.71674644433396</v>
      </c>
      <c r="CU46" s="467">
        <f>'IMS Model Summary'!P51</f>
        <v>119.04551574035861</v>
      </c>
      <c r="CV46" s="467">
        <f>'IMS Model Summary'!Q51</f>
        <v>116.30155420659551</v>
      </c>
      <c r="CW46" s="356">
        <f>CV46+CU46+CT46+CS46</f>
        <v>443.96533406406922</v>
      </c>
      <c r="CX46" s="467">
        <f>'IMS Model Summary'!S51</f>
        <v>103.0448141807683</v>
      </c>
      <c r="CY46" s="467">
        <f>'IMS Model Summary'!T51</f>
        <v>114.78368891710195</v>
      </c>
      <c r="CZ46" s="467">
        <f>'IMS Model Summary'!U51</f>
        <v>120.3742383020043</v>
      </c>
      <c r="DA46" s="467">
        <f>'IMS Model Summary'!V51</f>
        <v>116.52410798617707</v>
      </c>
      <c r="DB46" s="356">
        <f>DA46+CZ46+CY46+CX46</f>
        <v>454.72684938605164</v>
      </c>
      <c r="DC46" s="467">
        <f>'IMS Model Summary'!X51</f>
        <v>102.82886229716281</v>
      </c>
      <c r="DD46" s="467">
        <f>'IMS Model Summary'!Y51</f>
        <v>114.18271355475505</v>
      </c>
      <c r="DE46" s="467">
        <f>'IMS Model Summary'!Z51</f>
        <v>119.35552321515297</v>
      </c>
      <c r="DF46" s="467">
        <f>'IMS Model Summary'!AA51</f>
        <v>115.13491073757535</v>
      </c>
      <c r="DG46" s="356">
        <f>DF46+DE46+DD46+DC46</f>
        <v>451.50200980464615</v>
      </c>
      <c r="DH46" s="467">
        <f>'IMS Model Summary'!AC51</f>
        <v>101.22581860396846</v>
      </c>
      <c r="DI46" s="467">
        <f>'IMS Model Summary'!AD51</f>
        <v>111.95449213615461</v>
      </c>
      <c r="DJ46" s="467">
        <f>'IMS Model Summary'!AE51</f>
        <v>116.54177867500245</v>
      </c>
      <c r="DK46" s="467">
        <f>'IMS Model Summary'!AF51</f>
        <v>111.91624288043015</v>
      </c>
      <c r="DL46" s="356">
        <f>DK46+DJ46+DI46+DH46</f>
        <v>441.63833229555564</v>
      </c>
      <c r="DM46" s="467">
        <f>'IMS Model Summary'!AH51</f>
        <v>97.922382551993991</v>
      </c>
      <c r="DN46" s="467">
        <f>'IMS Model Summary'!AI51</f>
        <v>107.73599429893697</v>
      </c>
      <c r="DO46" s="467">
        <f>'IMS Model Summary'!AJ51</f>
        <v>111.53716186910356</v>
      </c>
      <c r="DP46" s="467">
        <f>'IMS Model Summary'!AK51</f>
        <v>106.46922294887213</v>
      </c>
      <c r="DQ46" s="356">
        <f>DP46+DO46+DN46+DM46</f>
        <v>423.66476166890664</v>
      </c>
      <c r="DR46" s="467">
        <f>'IMS Model Summary'!AM51</f>
        <v>89.856179403024356</v>
      </c>
      <c r="DS46" s="467">
        <f>'IMS Model Summary'!AN51</f>
        <v>98.157850466469327</v>
      </c>
      <c r="DT46" s="467">
        <f>'IMS Model Summary'!AO51</f>
        <v>97.91585169668555</v>
      </c>
      <c r="DU46" s="467">
        <f>'IMS Model Summary'!AP51</f>
        <v>92.683402058418665</v>
      </c>
      <c r="DV46" s="356">
        <f>DU46+DT46+DS46+DR46</f>
        <v>378.6132836245979</v>
      </c>
      <c r="DW46" s="467">
        <f>'IMS Model Summary'!AR51</f>
        <v>77.499767179870574</v>
      </c>
      <c r="DX46" s="467">
        <f>'IMS Model Summary'!AS51</f>
        <v>83.789184253570227</v>
      </c>
      <c r="DY46" s="467">
        <f>'IMS Model Summary'!AT51</f>
        <v>82.653567602353021</v>
      </c>
      <c r="DZ46" s="467">
        <f>'IMS Model Summary'!AU51</f>
        <v>77.252826021547676</v>
      </c>
      <c r="EA46" s="356">
        <f>DZ46+DY46+DX46+DW46</f>
        <v>321.19534505734151</v>
      </c>
      <c r="EB46" s="467">
        <f>'IMS Model Summary'!AW51</f>
        <v>63.683073285893862</v>
      </c>
      <c r="EC46" s="467">
        <f>'IMS Model Summary'!AX51</f>
        <v>67.738256793215015</v>
      </c>
      <c r="ED46" s="467">
        <f>'IMS Model Summary'!AY51</f>
        <v>65.620265469345512</v>
      </c>
      <c r="EE46" s="467">
        <f>'IMS Model Summary'!AZ51</f>
        <v>60.047483875843518</v>
      </c>
      <c r="EF46" s="356">
        <f>EE46+ED46+EC46+EB46</f>
        <v>257.08907942429789</v>
      </c>
      <c r="EG46" s="467">
        <f>'IMS Model Summary'!BB51</f>
        <v>48.290960584569788</v>
      </c>
      <c r="EH46" s="467">
        <f>'IMS Model Summary'!BC51</f>
        <v>49.872763626190377</v>
      </c>
      <c r="EI46" s="467">
        <f>'IMS Model Summary'!BD51</f>
        <v>46.676999204031368</v>
      </c>
      <c r="EJ46" s="467">
        <f>'IMS Model Summary'!BE51</f>
        <v>40.928475450515087</v>
      </c>
      <c r="EK46" s="356">
        <f>EJ46+EI46+EH46+EG46</f>
        <v>185.76919886530663</v>
      </c>
      <c r="EL46" s="467">
        <f>'IMS Model Summary'!BG51</f>
        <v>31.200428929898571</v>
      </c>
      <c r="EM46" s="467">
        <f>'IMS Model Summary'!BH51</f>
        <v>30.051375500480233</v>
      </c>
      <c r="EN46" s="467">
        <f>'IMS Model Summary'!BI51</f>
        <v>25.675355648512451</v>
      </c>
      <c r="EO46" s="467">
        <f>'IMS Model Summary'!BJ51</f>
        <v>20.45486033108957</v>
      </c>
      <c r="EP46" s="356">
        <f>EO46+EN46+EM46+EL46</f>
        <v>107.38202040998084</v>
      </c>
      <c r="EQ46" s="467">
        <f>'IMS Model Summary'!BL51</f>
        <v>17.52176849191342</v>
      </c>
      <c r="ER46" s="467">
        <f>'IMS Model Summary'!BM51</f>
        <v>20.045994744912658</v>
      </c>
      <c r="ES46" s="467">
        <f>'IMS Model Summary'!BN51</f>
        <v>20.962699032934829</v>
      </c>
      <c r="ET46" s="467">
        <f>'IMS Model Summary'!BO51</f>
        <v>20.865643146173607</v>
      </c>
      <c r="EU46" s="356">
        <f>ET46+ES46+ER46+EQ46</f>
        <v>79.396105415934514</v>
      </c>
      <c r="EV46" s="467">
        <f>'IMS Model Summary'!BQ51</f>
        <v>18.397856916509092</v>
      </c>
      <c r="EW46" s="467">
        <f>'IMS Model Summary'!BR51</f>
        <v>21.048294482158298</v>
      </c>
      <c r="EX46" s="467">
        <f>'IMS Model Summary'!BS51</f>
        <v>0</v>
      </c>
      <c r="EY46" s="467">
        <f>'IMS Model Summary'!BT51</f>
        <v>0</v>
      </c>
      <c r="EZ46" s="356">
        <f>EY46+EX46+EW46+EV46</f>
        <v>39.446151398667389</v>
      </c>
    </row>
    <row r="47" spans="2:156">
      <c r="B47" s="351" t="s">
        <v>912</v>
      </c>
      <c r="C47" s="355"/>
      <c r="D47" s="355"/>
      <c r="E47" s="355"/>
      <c r="F47" s="355"/>
      <c r="G47" s="355"/>
      <c r="H47" s="355"/>
      <c r="I47" s="355"/>
      <c r="J47" s="355"/>
      <c r="K47" s="356"/>
      <c r="L47" s="357"/>
      <c r="M47" s="357"/>
      <c r="N47" s="357"/>
      <c r="O47" s="357"/>
      <c r="P47" s="356"/>
      <c r="Q47" s="357"/>
      <c r="R47" s="357"/>
      <c r="S47" s="357"/>
      <c r="T47" s="357"/>
      <c r="U47" s="356"/>
      <c r="V47" s="357"/>
      <c r="W47" s="357"/>
      <c r="X47" s="357"/>
      <c r="Y47" s="357"/>
      <c r="Z47" s="356"/>
      <c r="AA47" s="357"/>
      <c r="AB47" s="357"/>
      <c r="AC47" s="357"/>
      <c r="AD47" s="357"/>
      <c r="AE47" s="356"/>
      <c r="AF47" s="357"/>
      <c r="AG47" s="357"/>
      <c r="AH47" s="357"/>
      <c r="AI47" s="357"/>
      <c r="AJ47" s="356"/>
      <c r="AK47" s="357"/>
      <c r="AL47" s="357"/>
      <c r="AM47" s="357"/>
      <c r="AN47" s="357"/>
      <c r="AO47" s="356"/>
      <c r="AP47" s="357"/>
      <c r="AQ47" s="357"/>
      <c r="AR47" s="357"/>
      <c r="AS47" s="357"/>
      <c r="AT47" s="356"/>
      <c r="AU47" s="358">
        <v>2</v>
      </c>
      <c r="AV47" s="358">
        <v>4</v>
      </c>
      <c r="AW47" s="358">
        <v>9</v>
      </c>
      <c r="AX47" s="358">
        <v>17</v>
      </c>
      <c r="AY47" s="356">
        <f>AX47+AW47+AV47+AU47</f>
        <v>32</v>
      </c>
      <c r="AZ47" s="358">
        <v>21</v>
      </c>
      <c r="BA47" s="358">
        <v>23</v>
      </c>
      <c r="BB47" s="358">
        <v>25</v>
      </c>
      <c r="BC47" s="358">
        <v>31</v>
      </c>
      <c r="BD47" s="356">
        <f>BC47+BB47+BA47+AZ47</f>
        <v>100</v>
      </c>
      <c r="BE47" s="358">
        <v>28</v>
      </c>
      <c r="BF47" s="358">
        <v>35</v>
      </c>
      <c r="BG47" s="358">
        <v>34</v>
      </c>
      <c r="BH47" s="358">
        <v>37</v>
      </c>
      <c r="BI47" s="356">
        <f>BH47+BG47+BF47+BE47</f>
        <v>134</v>
      </c>
      <c r="BJ47" s="358">
        <v>36</v>
      </c>
      <c r="BK47" s="358">
        <v>36</v>
      </c>
      <c r="BL47" s="358">
        <v>38</v>
      </c>
      <c r="BM47" s="358">
        <v>44</v>
      </c>
      <c r="BN47" s="356">
        <f>BM47+BL47+BK47+BJ47</f>
        <v>154</v>
      </c>
      <c r="BO47" s="467">
        <v>41</v>
      </c>
      <c r="BP47" s="467">
        <v>43</v>
      </c>
      <c r="BQ47" s="467">
        <v>48</v>
      </c>
      <c r="BR47" s="474">
        <v>54</v>
      </c>
      <c r="BS47" s="356">
        <f>BR47+BQ47+BP47+BO47</f>
        <v>186</v>
      </c>
      <c r="BT47" s="474">
        <v>51</v>
      </c>
      <c r="BU47" s="474">
        <v>56</v>
      </c>
      <c r="BV47" s="474">
        <v>50</v>
      </c>
      <c r="BW47" s="474">
        <v>52</v>
      </c>
      <c r="BX47" s="356">
        <f>BW47+BV47+BU47+BT47</f>
        <v>209</v>
      </c>
      <c r="BY47" s="474">
        <v>48</v>
      </c>
      <c r="BZ47" s="474">
        <v>52</v>
      </c>
      <c r="CA47" s="474">
        <v>53</v>
      </c>
      <c r="CB47" s="474">
        <v>55</v>
      </c>
      <c r="CC47" s="356">
        <f>SUM(BY47:CB47)</f>
        <v>208</v>
      </c>
      <c r="CD47" s="474">
        <v>55</v>
      </c>
      <c r="CE47" s="474">
        <v>58</v>
      </c>
      <c r="CF47" s="474">
        <v>59</v>
      </c>
      <c r="CG47" s="474">
        <v>62</v>
      </c>
      <c r="CH47" s="356">
        <f>CG47+CF47+CE47+CD47</f>
        <v>234</v>
      </c>
      <c r="CI47" s="474">
        <v>57</v>
      </c>
      <c r="CJ47" s="474">
        <v>65</v>
      </c>
      <c r="CK47" s="474">
        <v>63</v>
      </c>
      <c r="CL47" s="474">
        <v>65</v>
      </c>
      <c r="CM47" s="356">
        <f>CL47+CK47+CJ47+CI47</f>
        <v>250</v>
      </c>
      <c r="CN47" s="474">
        <v>67</v>
      </c>
      <c r="CO47" s="467">
        <f>CO46*CO48</f>
        <v>59.584782068303319</v>
      </c>
      <c r="CP47" s="467">
        <f>CP46*CP48</f>
        <v>64.099434119423762</v>
      </c>
      <c r="CQ47" s="467">
        <f>CQ46*CQ48</f>
        <v>63.092931956211977</v>
      </c>
      <c r="CR47" s="356">
        <f>CQ47+CP47+CO47+CN47</f>
        <v>253.77714814393906</v>
      </c>
      <c r="CS47" s="467">
        <f>CS46*CS48</f>
        <v>62.437192393355318</v>
      </c>
      <c r="CT47" s="467">
        <f>CT46*CT48</f>
        <v>70.610169926233397</v>
      </c>
      <c r="CU47" s="467">
        <f>CU46*CU48</f>
        <v>75.921885038494011</v>
      </c>
      <c r="CV47" s="467">
        <f>CV46*CV48</f>
        <v>74.171909570532847</v>
      </c>
      <c r="CW47" s="356">
        <f>CV47+CU47+CT47+CS47</f>
        <v>283.1411569286156</v>
      </c>
      <c r="CX47" s="467">
        <f>CX46*CX48</f>
        <v>65.717355982632839</v>
      </c>
      <c r="CY47" s="467">
        <f>CY46*CY48</f>
        <v>73.203883237947679</v>
      </c>
      <c r="CZ47" s="467">
        <f>CZ46*CZ48</f>
        <v>76.769284631380287</v>
      </c>
      <c r="DA47" s="467">
        <f>DA46*DA48</f>
        <v>74.313844378939464</v>
      </c>
      <c r="DB47" s="356">
        <f>DA47+CZ47+CY47+CX47</f>
        <v>290.00436823090024</v>
      </c>
      <c r="DC47" s="467">
        <f>DC46*DC48</f>
        <v>65.57963156706812</v>
      </c>
      <c r="DD47" s="467">
        <f>DD46*DD48</f>
        <v>72.820608134410108</v>
      </c>
      <c r="DE47" s="467">
        <f>DE46*DE48</f>
        <v>76.119593887214904</v>
      </c>
      <c r="DF47" s="467">
        <f>DF46*DF48</f>
        <v>73.427876745902651</v>
      </c>
      <c r="DG47" s="356">
        <f>DF47+DE47+DD47+DC47</f>
        <v>287.9477103345958</v>
      </c>
      <c r="DH47" s="467">
        <f>DH46*DH48</f>
        <v>64.557282272939077</v>
      </c>
      <c r="DI47" s="467">
        <f>DI46*DI48</f>
        <v>71.399548556221049</v>
      </c>
      <c r="DJ47" s="467">
        <f>DJ46*DJ48</f>
        <v>74.325113950894419</v>
      </c>
      <c r="DK47" s="467">
        <f>DK46*DK48</f>
        <v>71.375154898233504</v>
      </c>
      <c r="DL47" s="356">
        <f>DK47+DJ47+DI47+DH47</f>
        <v>281.65709967828803</v>
      </c>
      <c r="DM47" s="467">
        <f>DM46*DM48</f>
        <v>62.450499076526782</v>
      </c>
      <c r="DN47" s="467">
        <f>DN46*DN48</f>
        <v>68.709180037587359</v>
      </c>
      <c r="DO47" s="467">
        <f>DO46*DO48</f>
        <v>71.133394049173191</v>
      </c>
      <c r="DP47" s="467">
        <f>DP46*DP48</f>
        <v>67.901290145964367</v>
      </c>
      <c r="DQ47" s="356">
        <f>DP47+DO47+DN47+DM47</f>
        <v>270.19436330925174</v>
      </c>
      <c r="DR47" s="467">
        <f>DR46*DR48</f>
        <v>57.306236864173698</v>
      </c>
      <c r="DS47" s="467">
        <f>DS46*DS48</f>
        <v>62.600669940350336</v>
      </c>
      <c r="DT47" s="467">
        <f>DT46*DT48</f>
        <v>62.446333990233128</v>
      </c>
      <c r="DU47" s="467">
        <f>DU46*DU48</f>
        <v>59.109312537256798</v>
      </c>
      <c r="DV47" s="356">
        <f>DU47+DT47+DS47+DR47</f>
        <v>241.46255333201395</v>
      </c>
      <c r="DW47" s="467">
        <f>DW46*DW48</f>
        <v>49.425871925937862</v>
      </c>
      <c r="DX47" s="467">
        <f>DX46*DX48</f>
        <v>53.436979753552443</v>
      </c>
      <c r="DY47" s="467">
        <f>DY46*DY48</f>
        <v>52.712734440276158</v>
      </c>
      <c r="DZ47" s="467">
        <f>DZ46*DZ48</f>
        <v>49.268383942313569</v>
      </c>
      <c r="EA47" s="356">
        <f>DZ47+DY47+DX47+DW47</f>
        <v>204.84397006208002</v>
      </c>
      <c r="EB47" s="467">
        <f>EB46*EB48</f>
        <v>40.614204901718026</v>
      </c>
      <c r="EC47" s="467">
        <f>EC46*EC48</f>
        <v>43.20041887322386</v>
      </c>
      <c r="ED47" s="467">
        <f>ED46*ED48</f>
        <v>41.8496591003479</v>
      </c>
      <c r="EE47" s="467">
        <f>EE46*EE48</f>
        <v>38.295589206532853</v>
      </c>
      <c r="EF47" s="356">
        <f>EE47+ED47+EC47+EB47</f>
        <v>163.95987208182265</v>
      </c>
      <c r="EG47" s="467">
        <f>EG46*EG48</f>
        <v>30.797806495261344</v>
      </c>
      <c r="EH47" s="467">
        <f>EH46*EH48</f>
        <v>31.806609455478554</v>
      </c>
      <c r="EI47" s="467">
        <f>EI46*EI48</f>
        <v>29.768494390326126</v>
      </c>
      <c r="EJ47" s="467">
        <f>EJ46*EJ48</f>
        <v>26.102344037318296</v>
      </c>
      <c r="EK47" s="356">
        <f>EJ47+EI47+EH47+EG47</f>
        <v>118.47525437838432</v>
      </c>
      <c r="EL47" s="467">
        <f>EL46*EL48</f>
        <v>19.898232735904699</v>
      </c>
      <c r="EM47" s="467">
        <f>EM46*EM48</f>
        <v>19.16541804877566</v>
      </c>
      <c r="EN47" s="467">
        <f>EN46*EN48</f>
        <v>16.374589061551308</v>
      </c>
      <c r="EO47" s="467">
        <f>EO46*EO48</f>
        <v>13.045191537684675</v>
      </c>
      <c r="EP47" s="356">
        <f>EO47+EN47+EM47+EL47</f>
        <v>68.48343138391634</v>
      </c>
      <c r="EQ47" s="467">
        <f>EQ46*EQ48</f>
        <v>11.174597252495804</v>
      </c>
      <c r="ER47" s="467">
        <f>ER46*ER48</f>
        <v>12.78443542405144</v>
      </c>
      <c r="ES47" s="467">
        <f>ES46*ES48</f>
        <v>13.369068260800272</v>
      </c>
      <c r="ET47" s="467">
        <f>ET46*ET48</f>
        <v>13.307170373835207</v>
      </c>
      <c r="EU47" s="356">
        <f>ET47+ES47+ER47+EQ47</f>
        <v>50.63527131118272</v>
      </c>
      <c r="EV47" s="467">
        <f>EV46*EV48</f>
        <v>11.733327115120593</v>
      </c>
      <c r="EW47" s="467">
        <f>EW46*EW48</f>
        <v>13.423657195254016</v>
      </c>
      <c r="EX47" s="467">
        <f>EX46*EX48</f>
        <v>0</v>
      </c>
      <c r="EY47" s="467">
        <f>EY46*EY48</f>
        <v>0</v>
      </c>
      <c r="EZ47" s="356">
        <f>EY47+EX47+EW47+EV47</f>
        <v>25.156984310374611</v>
      </c>
    </row>
    <row r="48" spans="2:156">
      <c r="B48" s="748" t="s">
        <v>896</v>
      </c>
      <c r="C48" s="355"/>
      <c r="D48" s="355"/>
      <c r="E48" s="355"/>
      <c r="F48" s="355"/>
      <c r="G48" s="355"/>
      <c r="H48" s="355"/>
      <c r="I48" s="355"/>
      <c r="J48" s="355"/>
      <c r="K48" s="356"/>
      <c r="L48" s="357"/>
      <c r="M48" s="357"/>
      <c r="N48" s="357"/>
      <c r="O48" s="357"/>
      <c r="P48" s="356"/>
      <c r="Q48" s="357"/>
      <c r="R48" s="357"/>
      <c r="S48" s="357"/>
      <c r="T48" s="357"/>
      <c r="U48" s="356"/>
      <c r="V48" s="357"/>
      <c r="W48" s="357"/>
      <c r="X48" s="357"/>
      <c r="Y48" s="357"/>
      <c r="Z48" s="356"/>
      <c r="AA48" s="357"/>
      <c r="AB48" s="357"/>
      <c r="AC48" s="357"/>
      <c r="AD48" s="357"/>
      <c r="AE48" s="356"/>
      <c r="AF48" s="357"/>
      <c r="AG48" s="357"/>
      <c r="AH48" s="357"/>
      <c r="AI48" s="357"/>
      <c r="AJ48" s="356"/>
      <c r="AK48" s="357"/>
      <c r="AL48" s="357"/>
      <c r="AM48" s="357"/>
      <c r="AN48" s="357"/>
      <c r="AO48" s="356"/>
      <c r="AP48" s="357"/>
      <c r="AQ48" s="357"/>
      <c r="AR48" s="357"/>
      <c r="AS48" s="357"/>
      <c r="AT48" s="356"/>
      <c r="AU48" s="358"/>
      <c r="AV48" s="358"/>
      <c r="AW48" s="358"/>
      <c r="AX48" s="358"/>
      <c r="AY48" s="356"/>
      <c r="AZ48" s="358"/>
      <c r="BA48" s="358"/>
      <c r="BB48" s="358"/>
      <c r="BC48" s="358"/>
      <c r="BD48" s="356"/>
      <c r="BE48" s="83">
        <f>BE47/BE46</f>
        <v>0.7567567567567568</v>
      </c>
      <c r="BF48" s="83">
        <f>BF47/BF46</f>
        <v>0.875</v>
      </c>
      <c r="BG48" s="83">
        <f>BG47/BG46</f>
        <v>0.79069767441860461</v>
      </c>
      <c r="BH48" s="83">
        <f>BH47/BH46</f>
        <v>0.86046511627906974</v>
      </c>
      <c r="BI48" s="452">
        <f>AVERAGE(BE48:BH48)</f>
        <v>0.8207298868636077</v>
      </c>
      <c r="BJ48" s="83">
        <f>BJ47/BJ46</f>
        <v>0.66666666666666663</v>
      </c>
      <c r="BK48" s="83">
        <f>BK47/BK46</f>
        <v>0.72</v>
      </c>
      <c r="BL48" s="83">
        <f>BL47/BL46</f>
        <v>0.71698113207547165</v>
      </c>
      <c r="BM48" s="83">
        <f>BM47/BM46</f>
        <v>0.77192982456140347</v>
      </c>
      <c r="BN48" s="452">
        <f>AVERAGE(BJ48:BM48)</f>
        <v>0.71889440582588549</v>
      </c>
      <c r="BO48" s="468">
        <f>BO47/BO46</f>
        <v>0.74545454545454548</v>
      </c>
      <c r="BP48" s="468">
        <f>BP47/BP46</f>
        <v>0.69354838709677424</v>
      </c>
      <c r="BQ48" s="468">
        <f>BQ47/BQ46</f>
        <v>0.82758620689655171</v>
      </c>
      <c r="BR48" s="468">
        <f>BR47/BR46</f>
        <v>0.81818181818181823</v>
      </c>
      <c r="BS48" s="452">
        <f>AVERAGE(BO48:BR48)</f>
        <v>0.77119273940742239</v>
      </c>
      <c r="BT48" s="468">
        <f>BT47/BT46</f>
        <v>0.82258064516129037</v>
      </c>
      <c r="BU48" s="468">
        <f>BU47/BU46</f>
        <v>0.90322580645161288</v>
      </c>
      <c r="BV48" s="468">
        <f>BV47/BV46</f>
        <v>0.72463768115942029</v>
      </c>
      <c r="BW48" s="468">
        <f>BW47/BW46</f>
        <v>0.77611940298507465</v>
      </c>
      <c r="BX48" s="452">
        <f>AVERAGE(BT48:BW48)</f>
        <v>0.80664088393934952</v>
      </c>
      <c r="BY48" s="468">
        <f>BY47/BY46</f>
        <v>0.61538461538461542</v>
      </c>
      <c r="BZ48" s="468">
        <f>BZ47/BZ46</f>
        <v>0.71232876712328763</v>
      </c>
      <c r="CA48" s="468">
        <f>CA47/CA46</f>
        <v>0.63095238095238093</v>
      </c>
      <c r="CB48" s="468">
        <f>CB47/CB46</f>
        <v>0.67073170731707321</v>
      </c>
      <c r="CC48" s="452">
        <f>AVERAGE(BY48:CB48)</f>
        <v>0.65734936769433927</v>
      </c>
      <c r="CD48" s="468">
        <f t="shared" ref="CD48:CG48" si="61">CD47/CD46</f>
        <v>0.63953488372093026</v>
      </c>
      <c r="CE48" s="468">
        <f t="shared" si="61"/>
        <v>0.69047619047619047</v>
      </c>
      <c r="CF48" s="468">
        <f t="shared" si="61"/>
        <v>0.64130434782608692</v>
      </c>
      <c r="CG48" s="468">
        <f t="shared" si="61"/>
        <v>0.70454545454545459</v>
      </c>
      <c r="CH48" s="452">
        <f>CC48</f>
        <v>0.65734936769433927</v>
      </c>
      <c r="CI48" s="468">
        <f>CM48</f>
        <v>0.63775510204081631</v>
      </c>
      <c r="CJ48" s="468">
        <f>CI48</f>
        <v>0.63775510204081631</v>
      </c>
      <c r="CK48" s="468">
        <f>CJ48</f>
        <v>0.63775510204081631</v>
      </c>
      <c r="CL48" s="468">
        <f>CK48</f>
        <v>0.63775510204081631</v>
      </c>
      <c r="CM48" s="705">
        <f t="shared" ref="CM48:CN48" si="62">CM47/CM46</f>
        <v>0.63775510204081631</v>
      </c>
      <c r="CN48" s="468">
        <f t="shared" si="62"/>
        <v>0.5982142857142857</v>
      </c>
      <c r="CO48" s="468">
        <f>CN48</f>
        <v>0.5982142857142857</v>
      </c>
      <c r="CP48" s="468">
        <f>CO48</f>
        <v>0.5982142857142857</v>
      </c>
      <c r="CQ48" s="468">
        <f>CP48</f>
        <v>0.5982142857142857</v>
      </c>
      <c r="CR48" s="452">
        <f>CM48</f>
        <v>0.63775510204081631</v>
      </c>
      <c r="CS48" s="468">
        <f>CW48</f>
        <v>0.63775510204081631</v>
      </c>
      <c r="CT48" s="468">
        <f>CS48</f>
        <v>0.63775510204081631</v>
      </c>
      <c r="CU48" s="468">
        <f>CT48</f>
        <v>0.63775510204081631</v>
      </c>
      <c r="CV48" s="468">
        <f>CU48</f>
        <v>0.63775510204081631</v>
      </c>
      <c r="CW48" s="452">
        <f>CR48</f>
        <v>0.63775510204081631</v>
      </c>
      <c r="CX48" s="468">
        <f>DB48</f>
        <v>0.63775510204081631</v>
      </c>
      <c r="CY48" s="468">
        <f>CX48</f>
        <v>0.63775510204081631</v>
      </c>
      <c r="CZ48" s="468">
        <f>CY48</f>
        <v>0.63775510204081631</v>
      </c>
      <c r="DA48" s="468">
        <f>CZ48</f>
        <v>0.63775510204081631</v>
      </c>
      <c r="DB48" s="682">
        <f>CW48</f>
        <v>0.63775510204081631</v>
      </c>
      <c r="DC48" s="468">
        <f>DG48</f>
        <v>0.63775510204081631</v>
      </c>
      <c r="DD48" s="468">
        <f>DC48</f>
        <v>0.63775510204081631</v>
      </c>
      <c r="DE48" s="468">
        <f>DD48</f>
        <v>0.63775510204081631</v>
      </c>
      <c r="DF48" s="468">
        <f>DE48</f>
        <v>0.63775510204081631</v>
      </c>
      <c r="DG48" s="452">
        <f>DB48</f>
        <v>0.63775510204081631</v>
      </c>
      <c r="DH48" s="468">
        <f>DL48</f>
        <v>0.63775510204081631</v>
      </c>
      <c r="DI48" s="468">
        <f>DH48</f>
        <v>0.63775510204081631</v>
      </c>
      <c r="DJ48" s="468">
        <f>DI48</f>
        <v>0.63775510204081631</v>
      </c>
      <c r="DK48" s="468">
        <f>DJ48</f>
        <v>0.63775510204081631</v>
      </c>
      <c r="DL48" s="452">
        <f>DG48</f>
        <v>0.63775510204081631</v>
      </c>
      <c r="DM48" s="468">
        <f>DQ48</f>
        <v>0.63775510204081631</v>
      </c>
      <c r="DN48" s="468">
        <f>DM48</f>
        <v>0.63775510204081631</v>
      </c>
      <c r="DO48" s="468">
        <f>DN48</f>
        <v>0.63775510204081631</v>
      </c>
      <c r="DP48" s="468">
        <f>DO48</f>
        <v>0.63775510204081631</v>
      </c>
      <c r="DQ48" s="452">
        <f>DL48</f>
        <v>0.63775510204081631</v>
      </c>
      <c r="DR48" s="468">
        <f>DV48</f>
        <v>0.63775510204081631</v>
      </c>
      <c r="DS48" s="468">
        <f>DR48</f>
        <v>0.63775510204081631</v>
      </c>
      <c r="DT48" s="468">
        <f>DS48</f>
        <v>0.63775510204081631</v>
      </c>
      <c r="DU48" s="468">
        <f>DT48</f>
        <v>0.63775510204081631</v>
      </c>
      <c r="DV48" s="452">
        <f>DQ48</f>
        <v>0.63775510204081631</v>
      </c>
      <c r="DW48" s="468">
        <f>EA48</f>
        <v>0.63775510204081631</v>
      </c>
      <c r="DX48" s="468">
        <f>DW48</f>
        <v>0.63775510204081631</v>
      </c>
      <c r="DY48" s="468">
        <f>DX48</f>
        <v>0.63775510204081631</v>
      </c>
      <c r="DZ48" s="468">
        <f>DY48</f>
        <v>0.63775510204081631</v>
      </c>
      <c r="EA48" s="452">
        <f>DV48</f>
        <v>0.63775510204081631</v>
      </c>
      <c r="EB48" s="468">
        <f>EF48</f>
        <v>0.63775510204081631</v>
      </c>
      <c r="EC48" s="468">
        <f>EB48</f>
        <v>0.63775510204081631</v>
      </c>
      <c r="ED48" s="468">
        <f>EC48</f>
        <v>0.63775510204081631</v>
      </c>
      <c r="EE48" s="468">
        <f>ED48</f>
        <v>0.63775510204081631</v>
      </c>
      <c r="EF48" s="452">
        <f>EA48</f>
        <v>0.63775510204081631</v>
      </c>
      <c r="EG48" s="468">
        <f>EK48</f>
        <v>0.63775510204081631</v>
      </c>
      <c r="EH48" s="468">
        <f>EG48</f>
        <v>0.63775510204081631</v>
      </c>
      <c r="EI48" s="468">
        <f>EH48</f>
        <v>0.63775510204081631</v>
      </c>
      <c r="EJ48" s="468">
        <f>EI48</f>
        <v>0.63775510204081631</v>
      </c>
      <c r="EK48" s="452">
        <f>EF48</f>
        <v>0.63775510204081631</v>
      </c>
      <c r="EL48" s="468">
        <f>EP48</f>
        <v>0.63775510204081631</v>
      </c>
      <c r="EM48" s="468">
        <f>EL48</f>
        <v>0.63775510204081631</v>
      </c>
      <c r="EN48" s="468">
        <f>EM48</f>
        <v>0.63775510204081631</v>
      </c>
      <c r="EO48" s="468">
        <f>EN48</f>
        <v>0.63775510204081631</v>
      </c>
      <c r="EP48" s="452">
        <f>EK48</f>
        <v>0.63775510204081631</v>
      </c>
      <c r="EQ48" s="468">
        <f>EU48</f>
        <v>0.63775510204081631</v>
      </c>
      <c r="ER48" s="468">
        <f>EQ48</f>
        <v>0.63775510204081631</v>
      </c>
      <c r="ES48" s="468">
        <f>ER48</f>
        <v>0.63775510204081631</v>
      </c>
      <c r="ET48" s="468">
        <f>ES48</f>
        <v>0.63775510204081631</v>
      </c>
      <c r="EU48" s="452">
        <f>EP48</f>
        <v>0.63775510204081631</v>
      </c>
      <c r="EV48" s="468">
        <f>EZ48</f>
        <v>0.63775510204081631</v>
      </c>
      <c r="EW48" s="468">
        <f>EV48</f>
        <v>0.63775510204081631</v>
      </c>
      <c r="EX48" s="468">
        <f>EW48</f>
        <v>0.63775510204081631</v>
      </c>
      <c r="EY48" s="468">
        <f>EX48</f>
        <v>0.63775510204081631</v>
      </c>
      <c r="EZ48" s="452">
        <f>EU48</f>
        <v>0.63775510204081631</v>
      </c>
    </row>
    <row r="49" spans="1:156">
      <c r="A49" s="359" t="s">
        <v>699</v>
      </c>
      <c r="B49" s="748"/>
      <c r="C49" s="355"/>
      <c r="D49" s="355"/>
      <c r="E49" s="355"/>
      <c r="F49" s="355"/>
      <c r="G49" s="355"/>
      <c r="H49" s="355"/>
      <c r="I49" s="355"/>
      <c r="J49" s="355"/>
      <c r="K49" s="356"/>
      <c r="L49" s="357"/>
      <c r="M49" s="357"/>
      <c r="N49" s="357"/>
      <c r="O49" s="357"/>
      <c r="P49" s="356"/>
      <c r="Q49" s="357"/>
      <c r="R49" s="357"/>
      <c r="S49" s="357"/>
      <c r="T49" s="357"/>
      <c r="U49" s="356"/>
      <c r="V49" s="357"/>
      <c r="W49" s="357"/>
      <c r="X49" s="357"/>
      <c r="Y49" s="357"/>
      <c r="Z49" s="356"/>
      <c r="AA49" s="357"/>
      <c r="AB49" s="357"/>
      <c r="AC49" s="357"/>
      <c r="AD49" s="357"/>
      <c r="AE49" s="356"/>
      <c r="AF49" s="357"/>
      <c r="AG49" s="357"/>
      <c r="AH49" s="357"/>
      <c r="AI49" s="357"/>
      <c r="AJ49" s="356"/>
      <c r="AK49" s="357"/>
      <c r="AL49" s="357"/>
      <c r="AM49" s="357"/>
      <c r="AN49" s="357"/>
      <c r="AO49" s="356"/>
      <c r="AP49" s="357"/>
      <c r="AQ49" s="357"/>
      <c r="AR49" s="357"/>
      <c r="AS49" s="357"/>
      <c r="AT49" s="356"/>
      <c r="AU49" s="358"/>
      <c r="AV49" s="358"/>
      <c r="AW49" s="358"/>
      <c r="AX49" s="358"/>
      <c r="AY49" s="356"/>
      <c r="AZ49" s="358"/>
      <c r="BA49" s="358"/>
      <c r="BB49" s="358"/>
      <c r="BC49" s="358"/>
      <c r="BD49" s="356"/>
      <c r="BE49" s="83"/>
      <c r="BF49" s="83"/>
      <c r="BG49" s="83"/>
      <c r="BH49" s="83"/>
      <c r="BI49" s="452"/>
      <c r="BJ49" s="83"/>
      <c r="BK49" s="83"/>
      <c r="BL49" s="83"/>
      <c r="BM49" s="83"/>
      <c r="BN49" s="452"/>
      <c r="BO49" s="468"/>
      <c r="BP49" s="468"/>
      <c r="BQ49" s="468"/>
      <c r="BR49" s="468"/>
      <c r="BS49" s="452"/>
      <c r="BT49" s="468"/>
      <c r="BU49" s="468"/>
      <c r="BV49" s="468"/>
      <c r="BW49" s="468"/>
      <c r="BX49" s="452"/>
      <c r="BY49" s="468"/>
      <c r="BZ49" s="468"/>
      <c r="CA49" s="468"/>
      <c r="CB49" s="468"/>
      <c r="CC49" s="452"/>
      <c r="CD49" s="468"/>
      <c r="CE49" s="468"/>
      <c r="CF49" s="468"/>
      <c r="CG49" s="468"/>
      <c r="CH49" s="452"/>
      <c r="CI49" s="468"/>
      <c r="CJ49" s="468"/>
      <c r="CK49" s="468"/>
      <c r="CL49" s="468"/>
      <c r="CM49" s="705"/>
      <c r="CN49" s="468"/>
      <c r="CO49" s="468"/>
      <c r="CP49" s="468"/>
      <c r="CQ49" s="468"/>
      <c r="CR49" s="452"/>
      <c r="CS49" s="468"/>
      <c r="CT49" s="468"/>
      <c r="CU49" s="468"/>
      <c r="CV49" s="468"/>
      <c r="CW49" s="452"/>
      <c r="CX49" s="468"/>
      <c r="CY49" s="468"/>
      <c r="CZ49" s="468"/>
      <c r="DA49" s="468"/>
      <c r="DB49" s="682"/>
      <c r="DC49" s="468"/>
      <c r="DD49" s="468"/>
      <c r="DE49" s="468"/>
      <c r="DF49" s="468"/>
      <c r="DG49" s="452"/>
      <c r="DH49" s="468"/>
      <c r="DI49" s="468"/>
      <c r="DJ49" s="468"/>
      <c r="DK49" s="468"/>
      <c r="DL49" s="452"/>
      <c r="DM49" s="468"/>
      <c r="DN49" s="468"/>
      <c r="DO49" s="468"/>
      <c r="DP49" s="468"/>
      <c r="DQ49" s="452"/>
      <c r="DR49" s="468"/>
      <c r="DS49" s="468"/>
      <c r="DT49" s="468"/>
      <c r="DU49" s="468"/>
      <c r="DV49" s="452"/>
      <c r="DW49" s="468"/>
      <c r="DX49" s="468"/>
      <c r="DY49" s="468"/>
      <c r="DZ49" s="468"/>
      <c r="EA49" s="452"/>
      <c r="EB49" s="468"/>
      <c r="EC49" s="468"/>
      <c r="ED49" s="468"/>
      <c r="EE49" s="468"/>
      <c r="EF49" s="452"/>
      <c r="EG49" s="468"/>
      <c r="EH49" s="468"/>
      <c r="EI49" s="468"/>
      <c r="EJ49" s="468"/>
      <c r="EK49" s="452"/>
      <c r="EL49" s="468"/>
      <c r="EM49" s="468"/>
      <c r="EN49" s="468"/>
      <c r="EO49" s="468"/>
      <c r="EP49" s="452"/>
      <c r="EQ49" s="468"/>
      <c r="ER49" s="468"/>
      <c r="ES49" s="468"/>
      <c r="ET49" s="468"/>
      <c r="EU49" s="452"/>
      <c r="EV49" s="468"/>
      <c r="EW49" s="468"/>
      <c r="EX49" s="468"/>
      <c r="EY49" s="468"/>
      <c r="EZ49" s="452"/>
    </row>
    <row r="50" spans="1:156">
      <c r="B50" s="360" t="s">
        <v>729</v>
      </c>
      <c r="C50" s="355"/>
      <c r="D50" s="355"/>
      <c r="E50" s="355"/>
      <c r="F50" s="355"/>
      <c r="G50" s="355"/>
      <c r="H50" s="355"/>
      <c r="I50" s="355"/>
      <c r="J50" s="355"/>
      <c r="K50" s="356"/>
      <c r="L50" s="357"/>
      <c r="M50" s="357"/>
      <c r="N50" s="357"/>
      <c r="O50" s="357"/>
      <c r="P50" s="356"/>
      <c r="Q50" s="357"/>
      <c r="R50" s="357"/>
      <c r="S50" s="357"/>
      <c r="T50" s="357"/>
      <c r="U50" s="356"/>
      <c r="V50" s="357"/>
      <c r="W50" s="357"/>
      <c r="X50" s="357"/>
      <c r="Y50" s="357"/>
      <c r="Z50" s="356"/>
      <c r="AA50" s="357"/>
      <c r="AB50" s="357"/>
      <c r="AC50" s="357"/>
      <c r="AD50" s="357"/>
      <c r="AE50" s="356"/>
      <c r="AF50" s="357"/>
      <c r="AG50" s="357"/>
      <c r="AH50" s="357"/>
      <c r="AI50" s="357"/>
      <c r="AJ50" s="356"/>
      <c r="AK50" s="357"/>
      <c r="AL50" s="357"/>
      <c r="AM50" s="357"/>
      <c r="AN50" s="357"/>
      <c r="AO50" s="356"/>
      <c r="AP50" s="357"/>
      <c r="AQ50" s="357"/>
      <c r="AR50" s="357"/>
      <c r="AS50" s="357"/>
      <c r="AT50" s="356"/>
      <c r="AU50" s="358"/>
      <c r="AV50" s="358"/>
      <c r="AW50" s="358"/>
      <c r="AX50" s="358"/>
      <c r="AY50" s="356"/>
      <c r="AZ50" s="358"/>
      <c r="BA50" s="358"/>
      <c r="BB50" s="358"/>
      <c r="BC50" s="358"/>
      <c r="BD50" s="356"/>
      <c r="BE50" s="83"/>
      <c r="BF50" s="83"/>
      <c r="BG50" s="83"/>
      <c r="BH50" s="83"/>
      <c r="BI50" s="452"/>
      <c r="BJ50" s="361"/>
      <c r="BK50" s="361"/>
      <c r="BL50" s="361"/>
      <c r="BM50" s="361"/>
      <c r="BN50" s="362"/>
      <c r="BO50" s="469"/>
      <c r="BP50" s="469"/>
      <c r="BQ50" s="469"/>
      <c r="BR50" s="469"/>
      <c r="BS50" s="362"/>
      <c r="BT50" s="469"/>
      <c r="BU50" s="469"/>
      <c r="BV50" s="469"/>
      <c r="BW50" s="469"/>
      <c r="BX50" s="362"/>
      <c r="BY50" s="469"/>
      <c r="BZ50" s="469"/>
      <c r="CA50" s="463">
        <f t="shared" ref="CA50:CL50" si="63">CA51+CA52</f>
        <v>2</v>
      </c>
      <c r="CB50" s="463">
        <f t="shared" si="63"/>
        <v>4</v>
      </c>
      <c r="CC50" s="20">
        <f t="shared" si="63"/>
        <v>6</v>
      </c>
      <c r="CD50" s="463">
        <f t="shared" si="63"/>
        <v>16</v>
      </c>
      <c r="CE50" s="463">
        <f t="shared" si="63"/>
        <v>27</v>
      </c>
      <c r="CF50" s="463">
        <f t="shared" si="63"/>
        <v>40</v>
      </c>
      <c r="CG50" s="463">
        <f t="shared" si="63"/>
        <v>58</v>
      </c>
      <c r="CH50" s="20">
        <f t="shared" si="63"/>
        <v>141</v>
      </c>
      <c r="CI50" s="463">
        <f t="shared" si="63"/>
        <v>49</v>
      </c>
      <c r="CJ50" s="463">
        <f t="shared" si="63"/>
        <v>83</v>
      </c>
      <c r="CK50" s="463">
        <f t="shared" si="63"/>
        <v>89</v>
      </c>
      <c r="CL50" s="463">
        <f t="shared" si="63"/>
        <v>98</v>
      </c>
      <c r="CM50" s="20">
        <f t="shared" ref="CM50:CQ50" si="64">CM51+CM52</f>
        <v>319</v>
      </c>
      <c r="CN50" s="463">
        <f t="shared" si="64"/>
        <v>123</v>
      </c>
      <c r="CO50" s="463">
        <f t="shared" si="64"/>
        <v>134.53457084001627</v>
      </c>
      <c r="CP50" s="463">
        <f t="shared" si="64"/>
        <v>158.53400534674134</v>
      </c>
      <c r="CQ50" s="463">
        <f t="shared" si="64"/>
        <v>181.14250892705306</v>
      </c>
      <c r="CR50" s="20">
        <f t="shared" ref="CR50" si="65">CR51+CR52</f>
        <v>597.21108511381055</v>
      </c>
      <c r="CS50" s="463"/>
      <c r="CT50" s="463"/>
      <c r="CU50" s="463"/>
      <c r="CV50" s="463"/>
      <c r="CW50" s="20">
        <f t="shared" ref="CW50" si="66">CW51+CW52</f>
        <v>990.20836716944859</v>
      </c>
      <c r="CX50" s="463"/>
      <c r="CY50" s="463"/>
      <c r="CZ50" s="463"/>
      <c r="DA50" s="463"/>
      <c r="DB50" s="20">
        <f t="shared" ref="DB50" si="67">DB51+DB52</f>
        <v>1590.3028291883966</v>
      </c>
      <c r="DC50" s="463"/>
      <c r="DD50" s="463"/>
      <c r="DE50" s="463"/>
      <c r="DF50" s="463"/>
      <c r="DG50" s="20">
        <f t="shared" ref="DG50" si="68">DG51+DG52</f>
        <v>2010.6485619029011</v>
      </c>
      <c r="DH50" s="463"/>
      <c r="DI50" s="463"/>
      <c r="DJ50" s="463"/>
      <c r="DK50" s="463"/>
      <c r="DL50" s="20">
        <f t="shared" ref="DL50" si="69">DL51+DL52</f>
        <v>2401.4036839748451</v>
      </c>
      <c r="DM50" s="463"/>
      <c r="DN50" s="463"/>
      <c r="DO50" s="463"/>
      <c r="DP50" s="463"/>
      <c r="DQ50" s="20">
        <f t="shared" ref="DQ50" si="70">DQ51+DQ52</f>
        <v>2778.3992477129445</v>
      </c>
      <c r="DR50" s="463"/>
      <c r="DS50" s="463"/>
      <c r="DT50" s="463"/>
      <c r="DU50" s="463"/>
      <c r="DV50" s="20">
        <f t="shared" ref="DV50" si="71">DV51+DV52</f>
        <v>3070.5416074828645</v>
      </c>
      <c r="DW50" s="463"/>
      <c r="DX50" s="463"/>
      <c r="DY50" s="463"/>
      <c r="DZ50" s="463"/>
      <c r="EA50" s="20">
        <f t="shared" ref="EA50" si="72">EA51+EA52</f>
        <v>3237.724691847849</v>
      </c>
      <c r="EB50" s="463"/>
      <c r="EC50" s="463"/>
      <c r="ED50" s="463"/>
      <c r="EE50" s="463"/>
      <c r="EF50" s="20">
        <f t="shared" ref="EF50" si="73">EF51+EF52</f>
        <v>3345.1095062746781</v>
      </c>
      <c r="EG50" s="463"/>
      <c r="EH50" s="463"/>
      <c r="EI50" s="463"/>
      <c r="EJ50" s="463"/>
      <c r="EK50" s="20">
        <f t="shared" ref="EK50" si="74">EK51+EK52</f>
        <v>3445.4627914629186</v>
      </c>
      <c r="EL50" s="463"/>
      <c r="EM50" s="463"/>
      <c r="EN50" s="463"/>
      <c r="EO50" s="463"/>
      <c r="EP50" s="20">
        <f t="shared" ref="EP50" si="75">EP51+EP52</f>
        <v>3548.8266752068062</v>
      </c>
      <c r="EQ50" s="463"/>
      <c r="ER50" s="463"/>
      <c r="ES50" s="463"/>
      <c r="ET50" s="463"/>
      <c r="EU50" s="20">
        <f t="shared" ref="EU50" si="76">EU51+EU52</f>
        <v>3655.291475463011</v>
      </c>
      <c r="EV50" s="463"/>
      <c r="EW50" s="463"/>
      <c r="EX50" s="463"/>
      <c r="EY50" s="463"/>
      <c r="EZ50" s="20">
        <f t="shared" ref="EZ50" si="77">EZ51+EZ52</f>
        <v>3727.4784293511284</v>
      </c>
    </row>
    <row r="51" spans="1:156">
      <c r="B51" s="351" t="s">
        <v>913</v>
      </c>
      <c r="C51" s="355"/>
      <c r="D51" s="355"/>
      <c r="E51" s="355"/>
      <c r="F51" s="355"/>
      <c r="G51" s="355"/>
      <c r="H51" s="355"/>
      <c r="I51" s="355"/>
      <c r="J51" s="355"/>
      <c r="K51" s="356"/>
      <c r="L51" s="357"/>
      <c r="M51" s="357"/>
      <c r="N51" s="357"/>
      <c r="O51" s="357"/>
      <c r="P51" s="356"/>
      <c r="Q51" s="357"/>
      <c r="R51" s="357"/>
      <c r="S51" s="357"/>
      <c r="T51" s="357"/>
      <c r="U51" s="356"/>
      <c r="V51" s="357"/>
      <c r="W51" s="357"/>
      <c r="X51" s="357"/>
      <c r="Y51" s="357"/>
      <c r="Z51" s="356"/>
      <c r="AA51" s="357"/>
      <c r="AB51" s="357"/>
      <c r="AC51" s="357"/>
      <c r="AD51" s="357"/>
      <c r="AE51" s="356"/>
      <c r="AF51" s="357"/>
      <c r="AG51" s="357"/>
      <c r="AH51" s="357"/>
      <c r="AI51" s="357"/>
      <c r="AJ51" s="356"/>
      <c r="AK51" s="357"/>
      <c r="AL51" s="357"/>
      <c r="AM51" s="357"/>
      <c r="AN51" s="357"/>
      <c r="AO51" s="356"/>
      <c r="AP51" s="357"/>
      <c r="AQ51" s="357"/>
      <c r="AR51" s="357"/>
      <c r="AS51" s="357"/>
      <c r="AT51" s="356"/>
      <c r="AU51" s="358"/>
      <c r="AV51" s="358"/>
      <c r="AW51" s="358"/>
      <c r="AX51" s="358"/>
      <c r="AY51" s="356"/>
      <c r="AZ51" s="358"/>
      <c r="BA51" s="358"/>
      <c r="BB51" s="358"/>
      <c r="BC51" s="358"/>
      <c r="BD51" s="356"/>
      <c r="BE51" s="83"/>
      <c r="BF51" s="83"/>
      <c r="BG51" s="83"/>
      <c r="BH51" s="83"/>
      <c r="BI51" s="452"/>
      <c r="BJ51" s="83"/>
      <c r="BK51" s="83"/>
      <c r="BL51" s="83"/>
      <c r="BM51" s="83"/>
      <c r="BN51" s="452"/>
      <c r="BO51" s="468"/>
      <c r="BP51" s="468"/>
      <c r="BQ51" s="468"/>
      <c r="BR51" s="468"/>
      <c r="BS51" s="452"/>
      <c r="BT51" s="468"/>
      <c r="BU51" s="468"/>
      <c r="BV51" s="468"/>
      <c r="BW51" s="468"/>
      <c r="BX51" s="452"/>
      <c r="BY51" s="468"/>
      <c r="BZ51" s="468"/>
      <c r="CA51" s="474">
        <v>2</v>
      </c>
      <c r="CB51" s="474">
        <v>4</v>
      </c>
      <c r="CC51" s="356">
        <f>SUM(BY51:CB51)</f>
        <v>6</v>
      </c>
      <c r="CD51" s="474">
        <v>14</v>
      </c>
      <c r="CE51" s="474">
        <v>20</v>
      </c>
      <c r="CF51" s="474">
        <v>31</v>
      </c>
      <c r="CG51" s="474">
        <v>36</v>
      </c>
      <c r="CH51" s="356">
        <f>CD51+CE51+CF51+CG51</f>
        <v>101</v>
      </c>
      <c r="CI51" s="474">
        <v>33</v>
      </c>
      <c r="CJ51" s="474">
        <v>60</v>
      </c>
      <c r="CK51" s="474">
        <v>62</v>
      </c>
      <c r="CL51" s="474">
        <v>70</v>
      </c>
      <c r="CM51" s="356">
        <f>CI51+CJ51+CK51+CL51</f>
        <v>225</v>
      </c>
      <c r="CN51" s="474">
        <v>84</v>
      </c>
      <c r="CO51" s="467">
        <f>'IMS Model Summary'!J56</f>
        <v>94.742655521138218</v>
      </c>
      <c r="CP51" s="467">
        <f>'IMS Model Summary'!K56</f>
        <v>111.64366573714179</v>
      </c>
      <c r="CQ51" s="467">
        <f>'IMS Model Summary'!L56</f>
        <v>127.56514713172751</v>
      </c>
      <c r="CR51" s="356">
        <f>'IMS Model Summary'!M56</f>
        <v>417.95146839000745</v>
      </c>
      <c r="CS51" s="468"/>
      <c r="CT51" s="468"/>
      <c r="CU51" s="468"/>
      <c r="CV51" s="468"/>
      <c r="CW51" s="356">
        <f>'IMS Model Summary'!R56</f>
        <v>785.41214765834491</v>
      </c>
      <c r="CX51" s="468"/>
      <c r="CY51" s="468"/>
      <c r="CZ51" s="468"/>
      <c r="DA51" s="468"/>
      <c r="DB51" s="356">
        <f>'IMS Model Summary'!W56</f>
        <v>1158.3261479763069</v>
      </c>
      <c r="DC51" s="468"/>
      <c r="DD51" s="468"/>
      <c r="DE51" s="468"/>
      <c r="DF51" s="468"/>
      <c r="DG51" s="356">
        <f>'IMS Model Summary'!AB56</f>
        <v>1431.4854879147476</v>
      </c>
      <c r="DH51" s="468"/>
      <c r="DI51" s="468"/>
      <c r="DJ51" s="468"/>
      <c r="DK51" s="468"/>
      <c r="DL51" s="356">
        <f>'IMS Model Summary'!AG56</f>
        <v>1685.6609400174711</v>
      </c>
      <c r="DM51" s="468"/>
      <c r="DN51" s="468"/>
      <c r="DO51" s="468"/>
      <c r="DP51" s="468"/>
      <c r="DQ51" s="356">
        <f>'IMS Model Summary'!AL56</f>
        <v>1935.568777704209</v>
      </c>
      <c r="DR51" s="468"/>
      <c r="DS51" s="468"/>
      <c r="DT51" s="468"/>
      <c r="DU51" s="468"/>
      <c r="DV51" s="356">
        <f>'IMS Model Summary'!AQ56</f>
        <v>2102.7572186307598</v>
      </c>
      <c r="DW51" s="468"/>
      <c r="DX51" s="468"/>
      <c r="DY51" s="468"/>
      <c r="DZ51" s="468"/>
      <c r="EA51" s="356">
        <f>'IMS Model Summary'!AV56</f>
        <v>2186.3460825324692</v>
      </c>
      <c r="EB51" s="468"/>
      <c r="EC51" s="468"/>
      <c r="ED51" s="468"/>
      <c r="EE51" s="468"/>
      <c r="EF51" s="356">
        <f>'IMS Model Summary'!BA56</f>
        <v>2251.9364650084435</v>
      </c>
      <c r="EG51" s="468"/>
      <c r="EH51" s="468"/>
      <c r="EI51" s="468"/>
      <c r="EJ51" s="468"/>
      <c r="EK51" s="356">
        <f>'IMS Model Summary'!BF56</f>
        <v>2319.4945589586969</v>
      </c>
      <c r="EL51" s="468"/>
      <c r="EM51" s="468"/>
      <c r="EN51" s="468"/>
      <c r="EO51" s="468"/>
      <c r="EP51" s="356">
        <f>'IMS Model Summary'!BK56</f>
        <v>2389.0793957274577</v>
      </c>
      <c r="EQ51" s="468"/>
      <c r="ER51" s="468"/>
      <c r="ES51" s="468"/>
      <c r="ET51" s="468"/>
      <c r="EU51" s="356">
        <f>'IMS Model Summary'!BP56</f>
        <v>2460.7517775992819</v>
      </c>
      <c r="EV51" s="468"/>
      <c r="EW51" s="468"/>
      <c r="EX51" s="468"/>
      <c r="EY51" s="468"/>
      <c r="EZ51" s="356">
        <f>'IMS Model Summary'!BU56</f>
        <v>2497.1025405514874</v>
      </c>
    </row>
    <row r="52" spans="1:156">
      <c r="B52" s="351" t="s">
        <v>68</v>
      </c>
      <c r="C52" s="355"/>
      <c r="D52" s="355"/>
      <c r="E52" s="355"/>
      <c r="F52" s="355"/>
      <c r="G52" s="355"/>
      <c r="H52" s="355"/>
      <c r="I52" s="355"/>
      <c r="J52" s="355"/>
      <c r="K52" s="356"/>
      <c r="L52" s="357"/>
      <c r="M52" s="357"/>
      <c r="N52" s="357"/>
      <c r="O52" s="357"/>
      <c r="P52" s="356"/>
      <c r="Q52" s="357"/>
      <c r="R52" s="357"/>
      <c r="S52" s="357"/>
      <c r="T52" s="357"/>
      <c r="U52" s="356"/>
      <c r="V52" s="357"/>
      <c r="W52" s="357"/>
      <c r="X52" s="357"/>
      <c r="Y52" s="357"/>
      <c r="Z52" s="356"/>
      <c r="AA52" s="357"/>
      <c r="AB52" s="357"/>
      <c r="AC52" s="357"/>
      <c r="AD52" s="357"/>
      <c r="AE52" s="356"/>
      <c r="AF52" s="357"/>
      <c r="AG52" s="357"/>
      <c r="AH52" s="357"/>
      <c r="AI52" s="357"/>
      <c r="AJ52" s="356"/>
      <c r="AK52" s="357"/>
      <c r="AL52" s="357"/>
      <c r="AM52" s="357"/>
      <c r="AN52" s="357"/>
      <c r="AO52" s="356"/>
      <c r="AP52" s="357"/>
      <c r="AQ52" s="357"/>
      <c r="AR52" s="357"/>
      <c r="AS52" s="357"/>
      <c r="AT52" s="356"/>
      <c r="AU52" s="358"/>
      <c r="AV52" s="358"/>
      <c r="AW52" s="358"/>
      <c r="AX52" s="358"/>
      <c r="AY52" s="356"/>
      <c r="AZ52" s="358"/>
      <c r="BA52" s="358"/>
      <c r="BB52" s="358"/>
      <c r="BC52" s="358"/>
      <c r="BD52" s="356"/>
      <c r="BE52" s="83"/>
      <c r="BF52" s="83"/>
      <c r="BG52" s="83"/>
      <c r="BH52" s="83"/>
      <c r="BI52" s="452"/>
      <c r="BJ52" s="83"/>
      <c r="BK52" s="83"/>
      <c r="BL52" s="83"/>
      <c r="BM52" s="83"/>
      <c r="BN52" s="452"/>
      <c r="BO52" s="468"/>
      <c r="BP52" s="468"/>
      <c r="BQ52" s="468"/>
      <c r="BR52" s="468"/>
      <c r="BS52" s="452"/>
      <c r="BT52" s="468"/>
      <c r="BU52" s="468"/>
      <c r="BV52" s="468"/>
      <c r="BW52" s="468"/>
      <c r="BX52" s="452"/>
      <c r="BY52" s="468"/>
      <c r="BZ52" s="468"/>
      <c r="CA52" s="468"/>
      <c r="CB52" s="468"/>
      <c r="CC52" s="456">
        <f>SUM(BY52:CB52)</f>
        <v>0</v>
      </c>
      <c r="CD52" s="474">
        <v>2</v>
      </c>
      <c r="CE52" s="474">
        <v>7</v>
      </c>
      <c r="CF52" s="474">
        <v>9</v>
      </c>
      <c r="CG52" s="474">
        <v>22</v>
      </c>
      <c r="CH52" s="356">
        <f>CD52+CE52+CF52+CG52</f>
        <v>40</v>
      </c>
      <c r="CI52" s="474">
        <v>16</v>
      </c>
      <c r="CJ52" s="474">
        <v>23</v>
      </c>
      <c r="CK52" s="474">
        <v>27</v>
      </c>
      <c r="CL52" s="474">
        <v>28</v>
      </c>
      <c r="CM52" s="356">
        <f>CI52+CJ52+CK52+CL52</f>
        <v>94</v>
      </c>
      <c r="CN52" s="474">
        <v>39</v>
      </c>
      <c r="CO52" s="467">
        <f t="shared" ref="CO52:CQ52" si="78">CO53*CO51</f>
        <v>39.791915318878047</v>
      </c>
      <c r="CP52" s="467">
        <f t="shared" si="78"/>
        <v>46.89033960959955</v>
      </c>
      <c r="CQ52" s="467">
        <f t="shared" si="78"/>
        <v>53.577361795325551</v>
      </c>
      <c r="CR52" s="356">
        <f>CN52+CO52+CP52+CQ52</f>
        <v>179.25961672380313</v>
      </c>
      <c r="CS52" s="468"/>
      <c r="CT52" s="468"/>
      <c r="CU52" s="468"/>
      <c r="CV52" s="468"/>
      <c r="CW52" s="356">
        <f>CR51*0.49</f>
        <v>204.79621951110366</v>
      </c>
      <c r="CX52" s="468"/>
      <c r="CY52" s="468"/>
      <c r="CZ52" s="468"/>
      <c r="DA52" s="468"/>
      <c r="DB52" s="356">
        <f>CW51*0.55</f>
        <v>431.97668121208972</v>
      </c>
      <c r="DC52" s="468"/>
      <c r="DD52" s="468"/>
      <c r="DE52" s="468"/>
      <c r="DF52" s="468"/>
      <c r="DG52" s="356">
        <f>DB51*0.5</f>
        <v>579.16307398815343</v>
      </c>
      <c r="DH52" s="468"/>
      <c r="DI52" s="468"/>
      <c r="DJ52" s="468"/>
      <c r="DK52" s="468"/>
      <c r="DL52" s="356">
        <f>DG51*0.5</f>
        <v>715.74274395737382</v>
      </c>
      <c r="DM52" s="468"/>
      <c r="DN52" s="468"/>
      <c r="DO52" s="468"/>
      <c r="DP52" s="468"/>
      <c r="DQ52" s="356">
        <f>DL51*0.5</f>
        <v>842.83047000873557</v>
      </c>
      <c r="DR52" s="468"/>
      <c r="DS52" s="468"/>
      <c r="DT52" s="468"/>
      <c r="DU52" s="468"/>
      <c r="DV52" s="356">
        <f>DQ51*0.5</f>
        <v>967.78438885210448</v>
      </c>
      <c r="DW52" s="468"/>
      <c r="DX52" s="468"/>
      <c r="DY52" s="468"/>
      <c r="DZ52" s="468"/>
      <c r="EA52" s="356">
        <f>DV51*0.5</f>
        <v>1051.3786093153799</v>
      </c>
      <c r="EB52" s="468"/>
      <c r="EC52" s="468"/>
      <c r="ED52" s="468"/>
      <c r="EE52" s="468"/>
      <c r="EF52" s="356">
        <f>EA51*0.5</f>
        <v>1093.1730412662346</v>
      </c>
      <c r="EG52" s="468"/>
      <c r="EH52" s="468"/>
      <c r="EI52" s="468"/>
      <c r="EJ52" s="468"/>
      <c r="EK52" s="356">
        <f>EF51*0.5</f>
        <v>1125.9682325042218</v>
      </c>
      <c r="EL52" s="468"/>
      <c r="EM52" s="468"/>
      <c r="EN52" s="468"/>
      <c r="EO52" s="468"/>
      <c r="EP52" s="356">
        <f>EK51*0.5</f>
        <v>1159.7472794793484</v>
      </c>
      <c r="EQ52" s="468"/>
      <c r="ER52" s="468"/>
      <c r="ES52" s="468"/>
      <c r="ET52" s="468"/>
      <c r="EU52" s="356">
        <f>EP51*0.5</f>
        <v>1194.5396978637289</v>
      </c>
      <c r="EV52" s="468"/>
      <c r="EW52" s="468"/>
      <c r="EX52" s="468"/>
      <c r="EY52" s="468"/>
      <c r="EZ52" s="356">
        <f>EU51*0.5</f>
        <v>1230.375888799641</v>
      </c>
    </row>
    <row r="53" spans="1:156">
      <c r="B53" s="454"/>
      <c r="C53" s="355"/>
      <c r="D53" s="355"/>
      <c r="E53" s="355"/>
      <c r="F53" s="355"/>
      <c r="G53" s="355"/>
      <c r="H53" s="355"/>
      <c r="I53" s="355"/>
      <c r="J53" s="355"/>
      <c r="K53" s="356"/>
      <c r="L53" s="357"/>
      <c r="M53" s="357"/>
      <c r="N53" s="357"/>
      <c r="O53" s="357"/>
      <c r="P53" s="356"/>
      <c r="Q53" s="357"/>
      <c r="R53" s="357"/>
      <c r="S53" s="357"/>
      <c r="T53" s="357"/>
      <c r="U53" s="356"/>
      <c r="V53" s="357"/>
      <c r="W53" s="357"/>
      <c r="X53" s="357"/>
      <c r="Y53" s="357"/>
      <c r="Z53" s="356"/>
      <c r="AA53" s="357"/>
      <c r="AB53" s="357"/>
      <c r="AC53" s="357"/>
      <c r="AD53" s="357"/>
      <c r="AE53" s="356"/>
      <c r="AF53" s="357"/>
      <c r="AG53" s="357"/>
      <c r="AH53" s="357"/>
      <c r="AI53" s="357"/>
      <c r="AJ53" s="356"/>
      <c r="AK53" s="357"/>
      <c r="AL53" s="357"/>
      <c r="AM53" s="357"/>
      <c r="AN53" s="357"/>
      <c r="AO53" s="356"/>
      <c r="AP53" s="357"/>
      <c r="AQ53" s="357"/>
      <c r="AR53" s="357"/>
      <c r="AS53" s="357"/>
      <c r="AT53" s="356"/>
      <c r="AU53" s="358"/>
      <c r="AV53" s="358"/>
      <c r="AW53" s="358"/>
      <c r="AX53" s="358"/>
      <c r="AY53" s="356"/>
      <c r="AZ53" s="358"/>
      <c r="BA53" s="358"/>
      <c r="BB53" s="358"/>
      <c r="BC53" s="358"/>
      <c r="BD53" s="356"/>
      <c r="BE53" s="83"/>
      <c r="BF53" s="83"/>
      <c r="BG53" s="83"/>
      <c r="BH53" s="83"/>
      <c r="BI53" s="452"/>
      <c r="BJ53" s="83"/>
      <c r="BK53" s="83"/>
      <c r="BL53" s="83"/>
      <c r="BM53" s="83"/>
      <c r="BN53" s="452"/>
      <c r="BO53" s="468"/>
      <c r="BP53" s="468"/>
      <c r="BQ53" s="468"/>
      <c r="BR53" s="468"/>
      <c r="BS53" s="452"/>
      <c r="BT53" s="468"/>
      <c r="BU53" s="468"/>
      <c r="BV53" s="468"/>
      <c r="BW53" s="468"/>
      <c r="BX53" s="452"/>
      <c r="BY53" s="468"/>
      <c r="BZ53" s="468"/>
      <c r="CA53" s="468"/>
      <c r="CB53" s="468"/>
      <c r="CC53" s="452"/>
      <c r="CD53" s="468">
        <f t="shared" ref="CD53:CG53" si="79">CD52/CD51</f>
        <v>0.14285714285714285</v>
      </c>
      <c r="CE53" s="468">
        <f t="shared" si="79"/>
        <v>0.35</v>
      </c>
      <c r="CF53" s="468">
        <f t="shared" si="79"/>
        <v>0.29032258064516131</v>
      </c>
      <c r="CG53" s="468">
        <f t="shared" si="79"/>
        <v>0.61111111111111116</v>
      </c>
      <c r="CH53" s="452"/>
      <c r="CI53" s="468"/>
      <c r="CJ53" s="468"/>
      <c r="CK53" s="468"/>
      <c r="CL53" s="468"/>
      <c r="CM53" s="705">
        <f t="shared" ref="CM53:CN53" si="80">CM52/CM51</f>
        <v>0.4177777777777778</v>
      </c>
      <c r="CN53" s="468">
        <f t="shared" si="80"/>
        <v>0.4642857142857143</v>
      </c>
      <c r="CO53" s="468">
        <v>0.42</v>
      </c>
      <c r="CP53" s="468">
        <f t="shared" ref="CP53:CQ53" si="81">CO53</f>
        <v>0.42</v>
      </c>
      <c r="CQ53" s="468">
        <f t="shared" si="81"/>
        <v>0.42</v>
      </c>
      <c r="CR53" s="452"/>
      <c r="CS53" s="468"/>
      <c r="CT53" s="468"/>
      <c r="CU53" s="468"/>
      <c r="CV53" s="468"/>
      <c r="CW53" s="452"/>
      <c r="CX53" s="468"/>
      <c r="CY53" s="468"/>
      <c r="CZ53" s="468"/>
      <c r="DA53" s="468"/>
      <c r="DB53" s="452"/>
      <c r="DC53" s="468"/>
      <c r="DD53" s="468"/>
      <c r="DE53" s="468"/>
      <c r="DF53" s="468"/>
      <c r="DG53" s="452"/>
      <c r="DH53" s="468"/>
      <c r="DI53" s="468"/>
      <c r="DJ53" s="468"/>
      <c r="DK53" s="468"/>
      <c r="DL53" s="452"/>
      <c r="DM53" s="468"/>
      <c r="DN53" s="468"/>
      <c r="DO53" s="468"/>
      <c r="DP53" s="468"/>
      <c r="DQ53" s="452"/>
      <c r="DR53" s="468"/>
      <c r="DS53" s="468"/>
      <c r="DT53" s="468"/>
      <c r="DU53" s="468"/>
      <c r="DV53" s="452"/>
      <c r="DW53" s="468"/>
      <c r="DX53" s="468"/>
      <c r="DY53" s="468"/>
      <c r="DZ53" s="468"/>
      <c r="EA53" s="452"/>
      <c r="EB53" s="468"/>
      <c r="EC53" s="468"/>
      <c r="ED53" s="468"/>
      <c r="EE53" s="468"/>
      <c r="EF53" s="452"/>
      <c r="EG53" s="468"/>
      <c r="EH53" s="468"/>
      <c r="EI53" s="468"/>
      <c r="EJ53" s="468"/>
      <c r="EK53" s="452"/>
      <c r="EL53" s="468"/>
      <c r="EM53" s="468"/>
      <c r="EN53" s="468"/>
      <c r="EO53" s="468"/>
      <c r="EP53" s="452"/>
      <c r="EQ53" s="468"/>
      <c r="ER53" s="468"/>
      <c r="ES53" s="468"/>
      <c r="ET53" s="468"/>
      <c r="EU53" s="452"/>
      <c r="EV53" s="468"/>
      <c r="EW53" s="468"/>
      <c r="EX53" s="468"/>
      <c r="EY53" s="468"/>
      <c r="EZ53" s="452"/>
    </row>
    <row r="54" spans="1:156">
      <c r="B54" s="360" t="s">
        <v>5</v>
      </c>
      <c r="C54" s="355"/>
      <c r="D54" s="355"/>
      <c r="E54" s="355"/>
      <c r="F54" s="355"/>
      <c r="G54" s="355"/>
      <c r="H54" s="355"/>
      <c r="I54" s="355"/>
      <c r="J54" s="355"/>
      <c r="K54" s="356"/>
      <c r="L54" s="357"/>
      <c r="M54" s="357"/>
      <c r="N54" s="357"/>
      <c r="O54" s="357"/>
      <c r="P54" s="356"/>
      <c r="Q54" s="357"/>
      <c r="R54" s="357"/>
      <c r="S54" s="357"/>
      <c r="T54" s="357"/>
      <c r="U54" s="356"/>
      <c r="V54" s="357"/>
      <c r="W54" s="357"/>
      <c r="X54" s="357"/>
      <c r="Y54" s="357"/>
      <c r="Z54" s="356"/>
      <c r="AA54" s="357"/>
      <c r="AB54" s="357"/>
      <c r="AC54" s="357"/>
      <c r="AD54" s="357"/>
      <c r="AE54" s="356"/>
      <c r="AF54" s="357"/>
      <c r="AG54" s="357"/>
      <c r="AH54" s="357"/>
      <c r="AI54" s="357"/>
      <c r="AJ54" s="356"/>
      <c r="AK54" s="357"/>
      <c r="AL54" s="357"/>
      <c r="AM54" s="357"/>
      <c r="AN54" s="357"/>
      <c r="AO54" s="356"/>
      <c r="AP54" s="357"/>
      <c r="AQ54" s="357"/>
      <c r="AR54" s="357"/>
      <c r="AS54" s="357"/>
      <c r="AT54" s="356"/>
      <c r="AU54" s="358"/>
      <c r="AV54" s="358"/>
      <c r="AW54" s="358"/>
      <c r="AX54" s="358"/>
      <c r="AY54" s="356"/>
      <c r="AZ54" s="358"/>
      <c r="BA54" s="358"/>
      <c r="BB54" s="358"/>
      <c r="BC54" s="358"/>
      <c r="BD54" s="356"/>
      <c r="BE54" s="83"/>
      <c r="BF54" s="83"/>
      <c r="BG54" s="83"/>
      <c r="BH54" s="83"/>
      <c r="BI54" s="452"/>
      <c r="BJ54" s="361"/>
      <c r="BK54" s="361"/>
      <c r="BL54" s="361"/>
      <c r="BM54" s="361"/>
      <c r="BN54" s="362"/>
      <c r="BO54" s="469"/>
      <c r="BP54" s="469"/>
      <c r="BQ54" s="469"/>
      <c r="BR54" s="463">
        <f>BR55+BR56</f>
        <v>73</v>
      </c>
      <c r="BS54" s="20">
        <f>SUM(BO54:BR54)</f>
        <v>73</v>
      </c>
      <c r="BT54" s="463">
        <f>BT55+BT56</f>
        <v>68</v>
      </c>
      <c r="BU54" s="463">
        <f>BU55+BU56</f>
        <v>78</v>
      </c>
      <c r="BV54" s="463">
        <f>BV55+BV56</f>
        <v>94</v>
      </c>
      <c r="BW54" s="463">
        <f>BX54-BT54-BU54-BV54</f>
        <v>91</v>
      </c>
      <c r="BX54" s="20">
        <f t="shared" ref="BX54:CC54" si="82">BX55+BX56</f>
        <v>331</v>
      </c>
      <c r="BY54" s="463">
        <f t="shared" si="82"/>
        <v>108</v>
      </c>
      <c r="BZ54" s="463">
        <f t="shared" si="82"/>
        <v>119</v>
      </c>
      <c r="CA54" s="463">
        <f t="shared" si="82"/>
        <v>137</v>
      </c>
      <c r="CB54" s="463">
        <f t="shared" si="82"/>
        <v>148</v>
      </c>
      <c r="CC54" s="20">
        <f t="shared" si="82"/>
        <v>512</v>
      </c>
      <c r="CD54" s="463">
        <f t="shared" ref="CD54:CI54" si="83">CD55+CD56</f>
        <v>154</v>
      </c>
      <c r="CE54" s="463">
        <f t="shared" si="83"/>
        <v>172</v>
      </c>
      <c r="CF54" s="463">
        <f t="shared" si="83"/>
        <v>183</v>
      </c>
      <c r="CG54" s="463">
        <f t="shared" si="83"/>
        <v>183</v>
      </c>
      <c r="CH54" s="20">
        <f t="shared" si="83"/>
        <v>692</v>
      </c>
      <c r="CI54" s="463">
        <f t="shared" si="83"/>
        <v>190</v>
      </c>
      <c r="CJ54" s="463">
        <f t="shared" ref="CJ54:CL54" si="84">CJ55+CJ56</f>
        <v>211</v>
      </c>
      <c r="CK54" s="463">
        <f t="shared" si="84"/>
        <v>207</v>
      </c>
      <c r="CL54" s="463">
        <f t="shared" si="84"/>
        <v>227</v>
      </c>
      <c r="CM54" s="20">
        <f>CM55+CM56</f>
        <v>835</v>
      </c>
      <c r="CN54" s="463">
        <f>CN55+CN56</f>
        <v>222</v>
      </c>
      <c r="CO54" s="463">
        <f t="shared" ref="CO54:CQ54" si="85">CO55+CO56</f>
        <v>238.65</v>
      </c>
      <c r="CP54" s="463">
        <f t="shared" si="85"/>
        <v>256.54875000000004</v>
      </c>
      <c r="CQ54" s="463">
        <f t="shared" si="85"/>
        <v>218.7573686935184</v>
      </c>
      <c r="CR54" s="20">
        <f>CR55+CR56</f>
        <v>935.95611869351842</v>
      </c>
      <c r="CS54" s="463">
        <f>CW54/4</f>
        <v>259.05715761238139</v>
      </c>
      <c r="CT54" s="463">
        <f>CS54</f>
        <v>259.05715761238139</v>
      </c>
      <c r="CU54" s="463">
        <f>CT54</f>
        <v>259.05715761238139</v>
      </c>
      <c r="CV54" s="463">
        <f>CW54-CS54-CT54-CU54</f>
        <v>259.05715761238139</v>
      </c>
      <c r="CW54" s="20">
        <f>CW55+CW56</f>
        <v>1036.2286304495256</v>
      </c>
      <c r="CX54" s="463">
        <f>DB54/4</f>
        <v>283.55634587645471</v>
      </c>
      <c r="CY54" s="463">
        <f>CX54</f>
        <v>283.55634587645471</v>
      </c>
      <c r="CZ54" s="463">
        <f>CY54</f>
        <v>283.55634587645471</v>
      </c>
      <c r="DA54" s="463">
        <f>DB54-CX54-CY54-CZ54</f>
        <v>283.5563458764546</v>
      </c>
      <c r="DB54" s="20">
        <f>DB55+DB56</f>
        <v>1134.2253835058189</v>
      </c>
      <c r="DC54" s="463">
        <f>DG54/4</f>
        <v>311.76862265134429</v>
      </c>
      <c r="DD54" s="463">
        <f>DC54</f>
        <v>311.76862265134429</v>
      </c>
      <c r="DE54" s="463">
        <f>DD54</f>
        <v>311.76862265134429</v>
      </c>
      <c r="DF54" s="463">
        <f>DG54-DC54-DD54-DE54</f>
        <v>311.7686226513444</v>
      </c>
      <c r="DG54" s="20">
        <f>DG55+DG56</f>
        <v>1247.0744906053772</v>
      </c>
      <c r="DH54" s="463">
        <f>DL54/4</f>
        <v>342.42119221221185</v>
      </c>
      <c r="DI54" s="463">
        <f>DH54</f>
        <v>342.42119221221185</v>
      </c>
      <c r="DJ54" s="463">
        <f>DI54</f>
        <v>342.42119221221185</v>
      </c>
      <c r="DK54" s="463">
        <f>DL54-DH54-DI54-DJ54</f>
        <v>342.42119221221196</v>
      </c>
      <c r="DL54" s="20">
        <f>DL55+DL56</f>
        <v>1369.6847688488474</v>
      </c>
      <c r="DM54" s="463">
        <f>DQ54/4</f>
        <v>369.69776477293328</v>
      </c>
      <c r="DN54" s="463">
        <f>DM54</f>
        <v>369.69776477293328</v>
      </c>
      <c r="DO54" s="463">
        <f>DN54</f>
        <v>369.69776477293328</v>
      </c>
      <c r="DP54" s="463">
        <f>DQ54-DM54-DN54-DO54</f>
        <v>369.6977647729334</v>
      </c>
      <c r="DQ54" s="20">
        <f>DQ55+DQ56</f>
        <v>1478.7910590917331</v>
      </c>
      <c r="DR54" s="463">
        <f>DV54/4</f>
        <v>398.57424483270535</v>
      </c>
      <c r="DS54" s="463">
        <f>DR54</f>
        <v>398.57424483270535</v>
      </c>
      <c r="DT54" s="463">
        <f>DS54</f>
        <v>398.57424483270535</v>
      </c>
      <c r="DU54" s="463">
        <f>DV54-DR54-DS54-DT54</f>
        <v>398.57424483270546</v>
      </c>
      <c r="DV54" s="20">
        <f>DV55+DV56</f>
        <v>1594.2969793308214</v>
      </c>
      <c r="DW54" s="463">
        <f>EA54/4</f>
        <v>429.18516211074416</v>
      </c>
      <c r="DX54" s="463">
        <f>DW54</f>
        <v>429.18516211074416</v>
      </c>
      <c r="DY54" s="463">
        <f>DX54</f>
        <v>429.18516211074416</v>
      </c>
      <c r="DZ54" s="463">
        <f>EA54-DW54-DX54-DY54</f>
        <v>429.18516211074416</v>
      </c>
      <c r="EA54" s="20">
        <f>EA55+EA56</f>
        <v>1716.7406484429766</v>
      </c>
      <c r="EB54" s="463">
        <f>EF54/4</f>
        <v>430.21138523502066</v>
      </c>
      <c r="EC54" s="463">
        <f>EB54</f>
        <v>430.21138523502066</v>
      </c>
      <c r="ED54" s="463">
        <f>EC54</f>
        <v>430.21138523502066</v>
      </c>
      <c r="EE54" s="463">
        <f>EF54-EB54-EC54-ED54</f>
        <v>430.21138523502054</v>
      </c>
      <c r="EF54" s="20">
        <f>EF55+EF56</f>
        <v>1720.8455409400826</v>
      </c>
      <c r="EG54" s="463">
        <f>EK54/4</f>
        <v>410.06953859433088</v>
      </c>
      <c r="EH54" s="463">
        <f>EG54</f>
        <v>410.06953859433088</v>
      </c>
      <c r="EI54" s="463">
        <f>EH54</f>
        <v>410.06953859433088</v>
      </c>
      <c r="EJ54" s="463">
        <f>EK54-EG54-EH54-EI54</f>
        <v>410.06953859433088</v>
      </c>
      <c r="EK54" s="20">
        <f>EK55+EK56</f>
        <v>1640.2781543773235</v>
      </c>
      <c r="EL54" s="463">
        <f>EP54/4</f>
        <v>145.00063400094029</v>
      </c>
      <c r="EM54" s="463">
        <f>EL54</f>
        <v>145.00063400094029</v>
      </c>
      <c r="EN54" s="463">
        <f>EM54</f>
        <v>145.00063400094029</v>
      </c>
      <c r="EO54" s="463">
        <f>EP54-EL54-EM54-EN54</f>
        <v>145.00063400094029</v>
      </c>
      <c r="EP54" s="20">
        <f>EP55+EP56</f>
        <v>580.00253600376118</v>
      </c>
      <c r="EQ54" s="463">
        <f>EU54/4</f>
        <v>99.317357201500172</v>
      </c>
      <c r="ER54" s="463">
        <f>EQ54</f>
        <v>99.317357201500172</v>
      </c>
      <c r="ES54" s="463">
        <f>ER54</f>
        <v>99.317357201500172</v>
      </c>
      <c r="ET54" s="463">
        <f>EU54-EQ54-ER54-ES54</f>
        <v>99.317357201500201</v>
      </c>
      <c r="EU54" s="20">
        <f>EU55+EU56</f>
        <v>397.26942880600069</v>
      </c>
      <c r="EV54" s="463">
        <f>EZ54/4</f>
        <v>84.761129277272261</v>
      </c>
      <c r="EW54" s="463">
        <f>EV54</f>
        <v>84.761129277272261</v>
      </c>
      <c r="EX54" s="463">
        <f>EW54</f>
        <v>84.761129277272261</v>
      </c>
      <c r="EY54" s="463">
        <f>EZ54-EV54-EW54-EX54</f>
        <v>84.761129277272261</v>
      </c>
      <c r="EZ54" s="20">
        <f>EZ55+EZ56</f>
        <v>339.04451710908904</v>
      </c>
    </row>
    <row r="55" spans="1:156">
      <c r="B55" s="351" t="s">
        <v>914</v>
      </c>
      <c r="C55" s="355"/>
      <c r="D55" s="355"/>
      <c r="E55" s="355"/>
      <c r="F55" s="355"/>
      <c r="G55" s="355"/>
      <c r="H55" s="355"/>
      <c r="I55" s="355"/>
      <c r="J55" s="355"/>
      <c r="K55" s="356"/>
      <c r="L55" s="357"/>
      <c r="M55" s="357"/>
      <c r="N55" s="357"/>
      <c r="O55" s="357"/>
      <c r="P55" s="356"/>
      <c r="Q55" s="357"/>
      <c r="R55" s="357"/>
      <c r="S55" s="357"/>
      <c r="T55" s="357"/>
      <c r="U55" s="356"/>
      <c r="V55" s="357"/>
      <c r="W55" s="357"/>
      <c r="X55" s="357"/>
      <c r="Y55" s="357"/>
      <c r="Z55" s="356"/>
      <c r="AA55" s="357"/>
      <c r="AB55" s="357"/>
      <c r="AC55" s="357"/>
      <c r="AD55" s="357"/>
      <c r="AE55" s="356"/>
      <c r="AF55" s="357"/>
      <c r="AG55" s="357"/>
      <c r="AH55" s="357"/>
      <c r="AI55" s="357"/>
      <c r="AJ55" s="356"/>
      <c r="AK55" s="357"/>
      <c r="AL55" s="357"/>
      <c r="AM55" s="357"/>
      <c r="AN55" s="357"/>
      <c r="AO55" s="356"/>
      <c r="AP55" s="357"/>
      <c r="AQ55" s="357"/>
      <c r="AR55" s="357"/>
      <c r="AS55" s="357"/>
      <c r="AT55" s="356"/>
      <c r="AU55" s="358"/>
      <c r="AV55" s="358"/>
      <c r="AW55" s="358"/>
      <c r="AX55" s="358"/>
      <c r="AY55" s="356"/>
      <c r="AZ55" s="358"/>
      <c r="BA55" s="358"/>
      <c r="BB55" s="358"/>
      <c r="BC55" s="358"/>
      <c r="BD55" s="356"/>
      <c r="BE55" s="83"/>
      <c r="BF55" s="83"/>
      <c r="BG55" s="83"/>
      <c r="BH55" s="83"/>
      <c r="BI55" s="452"/>
      <c r="BJ55" s="83"/>
      <c r="BK55" s="83"/>
      <c r="BL55" s="83"/>
      <c r="BM55" s="83"/>
      <c r="BN55" s="452"/>
      <c r="BO55" s="468"/>
      <c r="BP55" s="468"/>
      <c r="BQ55" s="468"/>
      <c r="BR55" s="474">
        <v>71</v>
      </c>
      <c r="BS55" s="356">
        <f>SUM(BO55:BR55)</f>
        <v>71</v>
      </c>
      <c r="BT55" s="474">
        <v>62</v>
      </c>
      <c r="BU55" s="474">
        <v>75</v>
      </c>
      <c r="BV55" s="474">
        <v>85</v>
      </c>
      <c r="BW55" s="474">
        <v>84</v>
      </c>
      <c r="BX55" s="356">
        <f>SUM(BT55:BW55)</f>
        <v>306</v>
      </c>
      <c r="BY55" s="474">
        <v>97</v>
      </c>
      <c r="BZ55" s="474">
        <v>112</v>
      </c>
      <c r="CA55" s="474">
        <v>124</v>
      </c>
      <c r="CB55" s="474">
        <v>134</v>
      </c>
      <c r="CC55" s="356">
        <f>SUM(BY55:CB55)</f>
        <v>467</v>
      </c>
      <c r="CD55" s="474">
        <v>129</v>
      </c>
      <c r="CE55" s="474">
        <v>142</v>
      </c>
      <c r="CF55" s="474">
        <v>140</v>
      </c>
      <c r="CG55" s="474">
        <v>143</v>
      </c>
      <c r="CH55" s="356">
        <f>CD55+CE55+CF55+CG55</f>
        <v>554</v>
      </c>
      <c r="CI55" s="474">
        <v>137</v>
      </c>
      <c r="CJ55" s="474">
        <v>140</v>
      </c>
      <c r="CK55" s="474">
        <v>135</v>
      </c>
      <c r="CL55" s="474">
        <v>150</v>
      </c>
      <c r="CM55" s="356">
        <f>SUM(CI55:CL55)</f>
        <v>562</v>
      </c>
      <c r="CN55" s="474">
        <v>137</v>
      </c>
      <c r="CO55" s="467">
        <f>CN55*1.075</f>
        <v>147.27500000000001</v>
      </c>
      <c r="CP55" s="467">
        <f>CO55*1.075</f>
        <v>158.32062500000001</v>
      </c>
      <c r="CQ55" s="467">
        <f>CR55-SUM(CN55:CP55)</f>
        <v>185.28153386078901</v>
      </c>
      <c r="CR55" s="356">
        <f>Kyprolis!L94</f>
        <v>627.877158860789</v>
      </c>
      <c r="CS55" s="468"/>
      <c r="CT55" s="468"/>
      <c r="CU55" s="468"/>
      <c r="CV55" s="468"/>
      <c r="CW55" s="356">
        <f>Kyprolis!M94</f>
        <v>698.00317866385546</v>
      </c>
      <c r="CX55" s="468"/>
      <c r="CY55" s="468"/>
      <c r="CZ55" s="468"/>
      <c r="DA55" s="468"/>
      <c r="DB55" s="356">
        <f>Kyprolis!N94</f>
        <v>763.77448625220643</v>
      </c>
      <c r="DC55" s="468"/>
      <c r="DD55" s="468"/>
      <c r="DE55" s="468"/>
      <c r="DF55" s="468"/>
      <c r="DG55" s="356">
        <f>Kyprolis!O94</f>
        <v>841.89253763025772</v>
      </c>
      <c r="DH55" s="468"/>
      <c r="DI55" s="468"/>
      <c r="DJ55" s="468"/>
      <c r="DK55" s="468"/>
      <c r="DL55" s="356">
        <f>Kyprolis!P94</f>
        <v>926.80444820792979</v>
      </c>
      <c r="DM55" s="468"/>
      <c r="DN55" s="468"/>
      <c r="DO55" s="468"/>
      <c r="DP55" s="468"/>
      <c r="DQ55" s="356">
        <f>Kyprolis!Q94</f>
        <v>994.74523356969064</v>
      </c>
      <c r="DR55" s="468"/>
      <c r="DS55" s="468"/>
      <c r="DT55" s="468"/>
      <c r="DU55" s="468"/>
      <c r="DV55" s="356">
        <f>Kyprolis!R94</f>
        <v>1065.0777642693963</v>
      </c>
      <c r="DW55" s="468"/>
      <c r="DX55" s="468"/>
      <c r="DY55" s="468"/>
      <c r="DZ55" s="468"/>
      <c r="EA55" s="356">
        <f>Kyprolis!S94</f>
        <v>1137.7561405998158</v>
      </c>
      <c r="EB55" s="468"/>
      <c r="EC55" s="468"/>
      <c r="ED55" s="468"/>
      <c r="EE55" s="468"/>
      <c r="EF55" s="356">
        <f>Kyprolis!T94</f>
        <v>1213.6690026351414</v>
      </c>
      <c r="EG55" s="468"/>
      <c r="EH55" s="468"/>
      <c r="EI55" s="468"/>
      <c r="EJ55" s="468"/>
      <c r="EK55" s="356">
        <f>Kyprolis!U94</f>
        <v>1292.8519762767519</v>
      </c>
      <c r="EL55" s="468"/>
      <c r="EM55" s="468"/>
      <c r="EN55" s="468"/>
      <c r="EO55" s="468"/>
      <c r="EP55" s="356">
        <f>Kyprolis!V94</f>
        <v>275.06281862140298</v>
      </c>
      <c r="EQ55" s="468"/>
      <c r="ER55" s="468"/>
      <c r="ES55" s="468"/>
      <c r="ET55" s="468"/>
      <c r="EU55" s="356">
        <f>Kyprolis!W94</f>
        <v>146.1022436695971</v>
      </c>
      <c r="EV55" s="468"/>
      <c r="EW55" s="468"/>
      <c r="EX55" s="468"/>
      <c r="EY55" s="468"/>
      <c r="EZ55" s="356">
        <f>Kyprolis!X94</f>
        <v>154.98915432327397</v>
      </c>
    </row>
    <row r="56" spans="1:156">
      <c r="B56" s="351" t="s">
        <v>915</v>
      </c>
      <c r="C56" s="355"/>
      <c r="D56" s="355"/>
      <c r="E56" s="355"/>
      <c r="F56" s="355"/>
      <c r="G56" s="355"/>
      <c r="H56" s="355"/>
      <c r="I56" s="355"/>
      <c r="J56" s="355"/>
      <c r="K56" s="356"/>
      <c r="L56" s="357"/>
      <c r="M56" s="357"/>
      <c r="N56" s="357"/>
      <c r="O56" s="357"/>
      <c r="P56" s="356"/>
      <c r="Q56" s="357"/>
      <c r="R56" s="357"/>
      <c r="S56" s="357"/>
      <c r="T56" s="357"/>
      <c r="U56" s="356"/>
      <c r="V56" s="357"/>
      <c r="W56" s="357"/>
      <c r="X56" s="357"/>
      <c r="Y56" s="357"/>
      <c r="Z56" s="356"/>
      <c r="AA56" s="357"/>
      <c r="AB56" s="357"/>
      <c r="AC56" s="357"/>
      <c r="AD56" s="357"/>
      <c r="AE56" s="356"/>
      <c r="AF56" s="357"/>
      <c r="AG56" s="357"/>
      <c r="AH56" s="357"/>
      <c r="AI56" s="357"/>
      <c r="AJ56" s="356"/>
      <c r="AK56" s="357"/>
      <c r="AL56" s="357"/>
      <c r="AM56" s="357"/>
      <c r="AN56" s="357"/>
      <c r="AO56" s="356"/>
      <c r="AP56" s="357"/>
      <c r="AQ56" s="357"/>
      <c r="AR56" s="357"/>
      <c r="AS56" s="357"/>
      <c r="AT56" s="356"/>
      <c r="AU56" s="358"/>
      <c r="AV56" s="358"/>
      <c r="AW56" s="358"/>
      <c r="AX56" s="358"/>
      <c r="AY56" s="356"/>
      <c r="AZ56" s="358"/>
      <c r="BA56" s="358"/>
      <c r="BB56" s="358"/>
      <c r="BC56" s="358"/>
      <c r="BD56" s="356"/>
      <c r="BE56" s="83"/>
      <c r="BF56" s="83"/>
      <c r="BG56" s="83"/>
      <c r="BH56" s="83"/>
      <c r="BI56" s="452"/>
      <c r="BJ56" s="83"/>
      <c r="BK56" s="83"/>
      <c r="BL56" s="83"/>
      <c r="BM56" s="83"/>
      <c r="BN56" s="452"/>
      <c r="BO56" s="468"/>
      <c r="BP56" s="468"/>
      <c r="BQ56" s="468"/>
      <c r="BR56" s="474">
        <v>2</v>
      </c>
      <c r="BS56" s="356">
        <f>SUM(BO56:BR56)</f>
        <v>2</v>
      </c>
      <c r="BT56" s="474">
        <v>6</v>
      </c>
      <c r="BU56" s="474">
        <v>3</v>
      </c>
      <c r="BV56" s="474">
        <v>9</v>
      </c>
      <c r="BW56" s="474">
        <v>7</v>
      </c>
      <c r="BX56" s="356">
        <f>SUM(BT56:BW56)</f>
        <v>25</v>
      </c>
      <c r="BY56" s="474">
        <v>11</v>
      </c>
      <c r="BZ56" s="474">
        <v>7</v>
      </c>
      <c r="CA56" s="474">
        <v>13</v>
      </c>
      <c r="CB56" s="474">
        <v>14</v>
      </c>
      <c r="CC56" s="356">
        <f>SUM(BY56:CB56)</f>
        <v>45</v>
      </c>
      <c r="CD56" s="474">
        <v>25</v>
      </c>
      <c r="CE56" s="474">
        <v>30</v>
      </c>
      <c r="CF56" s="474">
        <v>43</v>
      </c>
      <c r="CG56" s="474">
        <v>40</v>
      </c>
      <c r="CH56" s="356">
        <f>CD56+CE56+CF56+CG56</f>
        <v>138</v>
      </c>
      <c r="CI56" s="474">
        <v>53</v>
      </c>
      <c r="CJ56" s="474">
        <v>71</v>
      </c>
      <c r="CK56" s="474">
        <v>72</v>
      </c>
      <c r="CL56" s="474">
        <v>77</v>
      </c>
      <c r="CM56" s="356">
        <f>SUM(CI56:CL56)</f>
        <v>273</v>
      </c>
      <c r="CN56" s="474">
        <v>85</v>
      </c>
      <c r="CO56" s="467">
        <f t="shared" ref="CO56:CP56" si="86">CO57*CO55</f>
        <v>91.375</v>
      </c>
      <c r="CP56" s="467">
        <f t="shared" si="86"/>
        <v>98.228125000000006</v>
      </c>
      <c r="CQ56" s="467">
        <f>CR56-SUM(CN56:CP56)</f>
        <v>33.47583483272939</v>
      </c>
      <c r="CR56" s="356">
        <f>Kyprolis!L189</f>
        <v>308.07895983272937</v>
      </c>
      <c r="CS56" s="468"/>
      <c r="CT56" s="468"/>
      <c r="CU56" s="468"/>
      <c r="CV56" s="468"/>
      <c r="CW56" s="356">
        <f>Kyprolis!M189</f>
        <v>338.22545178567003</v>
      </c>
      <c r="CX56" s="468"/>
      <c r="CY56" s="468"/>
      <c r="CZ56" s="468"/>
      <c r="DA56" s="468"/>
      <c r="DB56" s="356">
        <f>Kyprolis!N189</f>
        <v>370.45089725361248</v>
      </c>
      <c r="DC56" s="468"/>
      <c r="DD56" s="468"/>
      <c r="DE56" s="468"/>
      <c r="DF56" s="468"/>
      <c r="DG56" s="356">
        <f>Kyprolis!O189</f>
        <v>405.18195297511949</v>
      </c>
      <c r="DH56" s="468"/>
      <c r="DI56" s="468"/>
      <c r="DJ56" s="468"/>
      <c r="DK56" s="468"/>
      <c r="DL56" s="356">
        <f>Kyprolis!P189</f>
        <v>442.88032064091766</v>
      </c>
      <c r="DM56" s="468"/>
      <c r="DN56" s="468"/>
      <c r="DO56" s="468"/>
      <c r="DP56" s="468"/>
      <c r="DQ56" s="356">
        <f>Kyprolis!Q189</f>
        <v>484.04582552204261</v>
      </c>
      <c r="DR56" s="468"/>
      <c r="DS56" s="468"/>
      <c r="DT56" s="468"/>
      <c r="DU56" s="468"/>
      <c r="DV56" s="356">
        <f>Kyprolis!R189</f>
        <v>529.21921506142507</v>
      </c>
      <c r="DW56" s="468"/>
      <c r="DX56" s="468"/>
      <c r="DY56" s="468"/>
      <c r="DZ56" s="468"/>
      <c r="EA56" s="356">
        <f>Kyprolis!S189</f>
        <v>578.98450784316083</v>
      </c>
      <c r="EB56" s="468"/>
      <c r="EC56" s="468"/>
      <c r="ED56" s="468"/>
      <c r="EE56" s="468"/>
      <c r="EF56" s="356">
        <f>Kyprolis!T189</f>
        <v>507.17653830494123</v>
      </c>
      <c r="EG56" s="468"/>
      <c r="EH56" s="468"/>
      <c r="EI56" s="468"/>
      <c r="EJ56" s="468"/>
      <c r="EK56" s="356">
        <f>Kyprolis!U189</f>
        <v>347.42617810057163</v>
      </c>
      <c r="EL56" s="468"/>
      <c r="EM56" s="468"/>
      <c r="EN56" s="468"/>
      <c r="EO56" s="468"/>
      <c r="EP56" s="356">
        <f>Kyprolis!V189</f>
        <v>304.93971738235825</v>
      </c>
      <c r="EQ56" s="468"/>
      <c r="ER56" s="468"/>
      <c r="ES56" s="468"/>
      <c r="ET56" s="468"/>
      <c r="EU56" s="356">
        <f>Kyprolis!W189</f>
        <v>251.16718513640359</v>
      </c>
      <c r="EV56" s="468"/>
      <c r="EW56" s="468"/>
      <c r="EX56" s="468"/>
      <c r="EY56" s="468"/>
      <c r="EZ56" s="356">
        <f>Kyprolis!X189</f>
        <v>184.05536278581505</v>
      </c>
    </row>
    <row r="57" spans="1:156">
      <c r="B57" s="351"/>
      <c r="C57" s="355"/>
      <c r="D57" s="355"/>
      <c r="E57" s="355"/>
      <c r="F57" s="355"/>
      <c r="G57" s="355"/>
      <c r="H57" s="355"/>
      <c r="I57" s="355"/>
      <c r="J57" s="355"/>
      <c r="K57" s="356"/>
      <c r="L57" s="357"/>
      <c r="M57" s="357"/>
      <c r="N57" s="357"/>
      <c r="O57" s="357"/>
      <c r="P57" s="356"/>
      <c r="Q57" s="357"/>
      <c r="R57" s="357"/>
      <c r="S57" s="357"/>
      <c r="T57" s="357"/>
      <c r="U57" s="356"/>
      <c r="V57" s="357"/>
      <c r="W57" s="357"/>
      <c r="X57" s="357"/>
      <c r="Y57" s="357"/>
      <c r="Z57" s="356"/>
      <c r="AA57" s="357"/>
      <c r="AB57" s="357"/>
      <c r="AC57" s="357"/>
      <c r="AD57" s="357"/>
      <c r="AE57" s="356"/>
      <c r="AF57" s="357"/>
      <c r="AG57" s="357"/>
      <c r="AH57" s="357"/>
      <c r="AI57" s="357"/>
      <c r="AJ57" s="356"/>
      <c r="AK57" s="357"/>
      <c r="AL57" s="357"/>
      <c r="AM57" s="357"/>
      <c r="AN57" s="357"/>
      <c r="AO57" s="356"/>
      <c r="AP57" s="357"/>
      <c r="AQ57" s="357"/>
      <c r="AR57" s="357"/>
      <c r="AS57" s="357"/>
      <c r="AT57" s="356"/>
      <c r="AU57" s="358"/>
      <c r="AV57" s="358"/>
      <c r="AW57" s="358"/>
      <c r="AX57" s="358"/>
      <c r="AY57" s="356"/>
      <c r="AZ57" s="358"/>
      <c r="BA57" s="358"/>
      <c r="BB57" s="358"/>
      <c r="BC57" s="358"/>
      <c r="BD57" s="356"/>
      <c r="BE57" s="358"/>
      <c r="BF57" s="358"/>
      <c r="BG57" s="358"/>
      <c r="BH57" s="358"/>
      <c r="BI57" s="356"/>
      <c r="BJ57" s="358"/>
      <c r="BK57" s="358"/>
      <c r="BL57" s="358"/>
      <c r="BM57" s="358"/>
      <c r="BN57" s="356"/>
      <c r="BO57" s="467"/>
      <c r="BP57" s="467"/>
      <c r="BQ57" s="467"/>
      <c r="BR57" s="467"/>
      <c r="BS57" s="356"/>
      <c r="BT57" s="467"/>
      <c r="BU57" s="467"/>
      <c r="BV57" s="467"/>
      <c r="BW57" s="467"/>
      <c r="BX57" s="356"/>
      <c r="BY57" s="467"/>
      <c r="BZ57" s="467"/>
      <c r="CA57" s="467"/>
      <c r="CB57" s="467"/>
      <c r="CC57" s="356"/>
      <c r="CD57" s="468">
        <f t="shared" ref="CD57:CG57" si="87">CD56/CD55</f>
        <v>0.19379844961240311</v>
      </c>
      <c r="CE57" s="468">
        <f t="shared" si="87"/>
        <v>0.21126760563380281</v>
      </c>
      <c r="CF57" s="468">
        <f t="shared" si="87"/>
        <v>0.30714285714285716</v>
      </c>
      <c r="CG57" s="468">
        <f t="shared" si="87"/>
        <v>0.27972027972027974</v>
      </c>
      <c r="CH57" s="356"/>
      <c r="CI57" s="467"/>
      <c r="CJ57" s="467"/>
      <c r="CK57" s="467"/>
      <c r="CL57" s="467"/>
      <c r="CM57" s="356"/>
      <c r="CN57" s="468">
        <f t="shared" ref="CN57" si="88">CN56/CN55</f>
        <v>0.62043795620437958</v>
      </c>
      <c r="CO57" s="799">
        <f>CN57</f>
        <v>0.62043795620437958</v>
      </c>
      <c r="CP57" s="799">
        <f t="shared" ref="CP57:CQ57" si="89">CO57</f>
        <v>0.62043795620437958</v>
      </c>
      <c r="CQ57" s="799">
        <f t="shared" si="89"/>
        <v>0.62043795620437958</v>
      </c>
      <c r="CR57" s="669"/>
      <c r="CS57" s="467"/>
      <c r="CT57" s="467"/>
      <c r="CU57" s="467"/>
      <c r="CV57" s="467"/>
      <c r="CW57" s="356"/>
      <c r="CX57" s="467"/>
      <c r="CY57" s="467"/>
      <c r="CZ57" s="467"/>
      <c r="DA57" s="467"/>
      <c r="DB57" s="356"/>
      <c r="DC57" s="467"/>
      <c r="DD57" s="467"/>
      <c r="DE57" s="467"/>
      <c r="DF57" s="467"/>
      <c r="DG57" s="356"/>
      <c r="DH57" s="467"/>
      <c r="DI57" s="467"/>
      <c r="DJ57" s="467"/>
      <c r="DK57" s="467"/>
      <c r="DL57" s="356"/>
      <c r="DM57" s="467"/>
      <c r="DN57" s="467"/>
      <c r="DO57" s="467"/>
      <c r="DP57" s="467"/>
      <c r="DQ57" s="356"/>
      <c r="DR57" s="467"/>
      <c r="DS57" s="467"/>
      <c r="DT57" s="467"/>
      <c r="DU57" s="467"/>
      <c r="DV57" s="356"/>
      <c r="DW57" s="467"/>
      <c r="DX57" s="467"/>
      <c r="DY57" s="467"/>
      <c r="DZ57" s="467"/>
      <c r="EA57" s="356"/>
      <c r="EB57" s="467"/>
      <c r="EC57" s="467"/>
      <c r="ED57" s="467"/>
      <c r="EE57" s="467"/>
      <c r="EF57" s="356"/>
      <c r="EG57" s="467"/>
      <c r="EH57" s="467"/>
      <c r="EI57" s="467"/>
      <c r="EJ57" s="467"/>
      <c r="EK57" s="356"/>
      <c r="EL57" s="467"/>
      <c r="EM57" s="467"/>
      <c r="EN57" s="467"/>
      <c r="EO57" s="467"/>
      <c r="EP57" s="356"/>
      <c r="EQ57" s="467"/>
      <c r="ER57" s="467"/>
      <c r="ES57" s="467"/>
      <c r="ET57" s="467"/>
      <c r="EU57" s="356"/>
      <c r="EV57" s="467"/>
      <c r="EW57" s="467"/>
      <c r="EX57" s="467"/>
      <c r="EY57" s="467"/>
      <c r="EZ57" s="356"/>
    </row>
    <row r="58" spans="1:156" s="4" customFormat="1">
      <c r="B58" s="360" t="s">
        <v>725</v>
      </c>
      <c r="C58" s="19"/>
      <c r="D58" s="19"/>
      <c r="E58" s="19"/>
      <c r="F58" s="19"/>
      <c r="G58" s="19"/>
      <c r="H58" s="19"/>
      <c r="I58" s="19"/>
      <c r="J58" s="19"/>
      <c r="K58" s="20"/>
      <c r="L58" s="21"/>
      <c r="M58" s="21"/>
      <c r="N58" s="21"/>
      <c r="O58" s="21"/>
      <c r="P58" s="20"/>
      <c r="Q58" s="21"/>
      <c r="R58" s="21"/>
      <c r="S58" s="21"/>
      <c r="T58" s="21"/>
      <c r="U58" s="20"/>
      <c r="V58" s="21"/>
      <c r="W58" s="21"/>
      <c r="X58" s="21"/>
      <c r="Y58" s="21"/>
      <c r="Z58" s="20"/>
      <c r="AA58" s="21"/>
      <c r="AB58" s="21"/>
      <c r="AC58" s="21"/>
      <c r="AD58" s="21"/>
      <c r="AE58" s="20"/>
      <c r="AF58" s="21"/>
      <c r="AG58" s="21"/>
      <c r="AH58" s="21"/>
      <c r="AI58" s="21"/>
      <c r="AJ58" s="20"/>
      <c r="AK58" s="21"/>
      <c r="AL58" s="21"/>
      <c r="AM58" s="21"/>
      <c r="AN58" s="21"/>
      <c r="AO58" s="20"/>
      <c r="AP58" s="21"/>
      <c r="AQ58" s="21"/>
      <c r="AR58" s="21"/>
      <c r="AS58" s="21"/>
      <c r="AT58" s="20"/>
      <c r="AU58" s="24"/>
      <c r="AV58" s="24"/>
      <c r="AW58" s="24"/>
      <c r="AX58" s="24"/>
      <c r="AY58" s="20"/>
      <c r="AZ58" s="24"/>
      <c r="BA58" s="24"/>
      <c r="BB58" s="24"/>
      <c r="BC58" s="24"/>
      <c r="BD58" s="20"/>
      <c r="BE58" s="24"/>
      <c r="BF58" s="24"/>
      <c r="BG58" s="24"/>
      <c r="BH58" s="24"/>
      <c r="BI58" s="20"/>
      <c r="BJ58" s="24"/>
      <c r="BK58" s="24"/>
      <c r="BL58" s="24"/>
      <c r="BM58" s="24"/>
      <c r="BN58" s="20"/>
      <c r="BO58" s="463"/>
      <c r="BP58" s="463"/>
      <c r="BQ58" s="463"/>
      <c r="BR58" s="463"/>
      <c r="BS58" s="20"/>
      <c r="BT58" s="463"/>
      <c r="BU58" s="463"/>
      <c r="BV58" s="463"/>
      <c r="BW58" s="463"/>
      <c r="BX58" s="20"/>
      <c r="BY58" s="463">
        <f>BY59</f>
        <v>15</v>
      </c>
      <c r="BZ58" s="463">
        <f>BZ59</f>
        <v>20</v>
      </c>
      <c r="CA58" s="463">
        <f t="shared" ref="CA58:CH58" si="90">CA59+CA60</f>
        <v>22</v>
      </c>
      <c r="CB58" s="463">
        <f t="shared" si="90"/>
        <v>25</v>
      </c>
      <c r="CC58" s="20">
        <f t="shared" si="90"/>
        <v>82</v>
      </c>
      <c r="CD58" s="463">
        <f t="shared" si="90"/>
        <v>27</v>
      </c>
      <c r="CE58" s="463">
        <f t="shared" si="90"/>
        <v>30</v>
      </c>
      <c r="CF58" s="463">
        <f t="shared" si="90"/>
        <v>29</v>
      </c>
      <c r="CG58" s="463">
        <f t="shared" si="90"/>
        <v>29</v>
      </c>
      <c r="CH58" s="20">
        <f t="shared" si="90"/>
        <v>115</v>
      </c>
      <c r="CI58" s="463">
        <f>CI59+CI60</f>
        <v>34</v>
      </c>
      <c r="CJ58" s="463">
        <f t="shared" ref="CJ58:CQ58" si="91">CJ59+CJ60</f>
        <v>43</v>
      </c>
      <c r="CK58" s="463">
        <f t="shared" si="91"/>
        <v>52</v>
      </c>
      <c r="CL58" s="463">
        <f t="shared" si="91"/>
        <v>46</v>
      </c>
      <c r="CM58" s="20">
        <f>CM59+CM60</f>
        <v>175</v>
      </c>
      <c r="CN58" s="463">
        <f t="shared" si="91"/>
        <v>49</v>
      </c>
      <c r="CO58" s="463">
        <f t="shared" si="91"/>
        <v>50</v>
      </c>
      <c r="CP58" s="463">
        <f t="shared" si="91"/>
        <v>50</v>
      </c>
      <c r="CQ58" s="463">
        <f t="shared" si="91"/>
        <v>52.249999999999972</v>
      </c>
      <c r="CR58" s="20">
        <f>CM58*1.15</f>
        <v>201.24999999999997</v>
      </c>
      <c r="CS58" s="463"/>
      <c r="CT58" s="463"/>
      <c r="CU58" s="463"/>
      <c r="CV58" s="463"/>
      <c r="CW58" s="20">
        <f>CR58*1.1</f>
        <v>221.375</v>
      </c>
      <c r="CX58" s="463"/>
      <c r="CY58" s="463"/>
      <c r="CZ58" s="463"/>
      <c r="DA58" s="463"/>
      <c r="DB58" s="20">
        <f>CW58*1.1</f>
        <v>243.51250000000002</v>
      </c>
      <c r="DC58" s="463"/>
      <c r="DD58" s="463"/>
      <c r="DE58" s="463"/>
      <c r="DF58" s="463"/>
      <c r="DG58" s="20">
        <f>DG59+DG60</f>
        <v>250.81787500000002</v>
      </c>
      <c r="DH58" s="685"/>
      <c r="DI58" s="685"/>
      <c r="DJ58" s="685"/>
      <c r="DK58" s="685"/>
      <c r="DL58" s="20">
        <f>DL59+DL60</f>
        <v>258.39111375000005</v>
      </c>
      <c r="DM58" s="685"/>
      <c r="DN58" s="685"/>
      <c r="DO58" s="685"/>
      <c r="DP58" s="685"/>
      <c r="DQ58" s="20">
        <f>DQ59+DQ60</f>
        <v>266.24366133750004</v>
      </c>
      <c r="DR58" s="685"/>
      <c r="DS58" s="685"/>
      <c r="DT58" s="685"/>
      <c r="DU58" s="685"/>
      <c r="DV58" s="20">
        <f>DV59+DV60</f>
        <v>274.38749614237508</v>
      </c>
      <c r="DW58" s="685"/>
      <c r="DX58" s="685"/>
      <c r="DY58" s="685"/>
      <c r="DZ58" s="685"/>
      <c r="EA58" s="20">
        <f>EA59+EA60</f>
        <v>282.83515572225383</v>
      </c>
      <c r="EB58" s="685"/>
      <c r="EC58" s="685"/>
      <c r="ED58" s="685"/>
      <c r="EE58" s="685"/>
      <c r="EF58" s="20">
        <f>EF59+EF60</f>
        <v>291.5997639765817</v>
      </c>
      <c r="EG58" s="685"/>
      <c r="EH58" s="685"/>
      <c r="EI58" s="685"/>
      <c r="EJ58" s="685"/>
      <c r="EK58" s="20">
        <f>EK59+EK60</f>
        <v>300.69505965299032</v>
      </c>
      <c r="EL58" s="685"/>
      <c r="EM58" s="685"/>
      <c r="EN58" s="685"/>
      <c r="EO58" s="685"/>
      <c r="EP58" s="20">
        <f>EP59+EP60</f>
        <v>310.13542626277098</v>
      </c>
      <c r="EQ58" s="685"/>
      <c r="ER58" s="685"/>
      <c r="ES58" s="685"/>
      <c r="ET58" s="685"/>
      <c r="EU58" s="20">
        <f>EU59+EU60</f>
        <v>319.93592347558325</v>
      </c>
      <c r="EV58" s="685"/>
      <c r="EW58" s="685"/>
      <c r="EX58" s="685"/>
      <c r="EY58" s="685"/>
      <c r="EZ58" s="20">
        <f>EZ59+EZ60</f>
        <v>330.1123200670296</v>
      </c>
    </row>
    <row r="59" spans="1:156">
      <c r="B59" s="351" t="s">
        <v>916</v>
      </c>
      <c r="C59" s="355"/>
      <c r="D59" s="355"/>
      <c r="E59" s="355"/>
      <c r="F59" s="355"/>
      <c r="G59" s="355"/>
      <c r="H59" s="355"/>
      <c r="I59" s="355"/>
      <c r="J59" s="355"/>
      <c r="K59" s="356"/>
      <c r="L59" s="357"/>
      <c r="M59" s="357"/>
      <c r="N59" s="357"/>
      <c r="O59" s="357"/>
      <c r="P59" s="356"/>
      <c r="Q59" s="357"/>
      <c r="R59" s="357"/>
      <c r="S59" s="357"/>
      <c r="T59" s="357"/>
      <c r="U59" s="356"/>
      <c r="V59" s="357"/>
      <c r="W59" s="357"/>
      <c r="X59" s="357"/>
      <c r="Y59" s="357"/>
      <c r="Z59" s="356"/>
      <c r="AA59" s="357"/>
      <c r="AB59" s="357"/>
      <c r="AC59" s="357"/>
      <c r="AD59" s="357"/>
      <c r="AE59" s="356"/>
      <c r="AF59" s="357"/>
      <c r="AG59" s="357"/>
      <c r="AH59" s="357"/>
      <c r="AI59" s="357"/>
      <c r="AJ59" s="356"/>
      <c r="AK59" s="357"/>
      <c r="AL59" s="357"/>
      <c r="AM59" s="357"/>
      <c r="AN59" s="357"/>
      <c r="AO59" s="356"/>
      <c r="AP59" s="357"/>
      <c r="AQ59" s="357"/>
      <c r="AR59" s="357"/>
      <c r="AS59" s="357"/>
      <c r="AT59" s="356"/>
      <c r="AU59" s="358"/>
      <c r="AV59" s="358"/>
      <c r="AW59" s="358"/>
      <c r="AX59" s="358"/>
      <c r="AY59" s="356"/>
      <c r="AZ59" s="358"/>
      <c r="BA59" s="358"/>
      <c r="BB59" s="358"/>
      <c r="BC59" s="358"/>
      <c r="BD59" s="356"/>
      <c r="BE59" s="358"/>
      <c r="BF59" s="358"/>
      <c r="BG59" s="358"/>
      <c r="BH59" s="358"/>
      <c r="BI59" s="356"/>
      <c r="BJ59" s="358"/>
      <c r="BK59" s="358"/>
      <c r="BL59" s="358"/>
      <c r="BM59" s="358"/>
      <c r="BN59" s="356"/>
      <c r="BO59" s="467"/>
      <c r="BP59" s="467"/>
      <c r="BQ59" s="467"/>
      <c r="BR59" s="467"/>
      <c r="BS59" s="356"/>
      <c r="BT59" s="467"/>
      <c r="BU59" s="467"/>
      <c r="BV59" s="467"/>
      <c r="BW59" s="467"/>
      <c r="BX59" s="356"/>
      <c r="BY59" s="474">
        <v>15</v>
      </c>
      <c r="BZ59" s="474">
        <v>20</v>
      </c>
      <c r="CA59" s="474">
        <v>21</v>
      </c>
      <c r="CB59" s="474">
        <v>22</v>
      </c>
      <c r="CC59" s="356">
        <f>SUM(BY59:CB59)</f>
        <v>78</v>
      </c>
      <c r="CD59" s="474">
        <v>21</v>
      </c>
      <c r="CE59" s="474">
        <v>21</v>
      </c>
      <c r="CF59" s="474">
        <v>19</v>
      </c>
      <c r="CG59" s="474">
        <v>24</v>
      </c>
      <c r="CH59" s="356">
        <f>CD59+CE59+CF59+CG59</f>
        <v>85</v>
      </c>
      <c r="CI59" s="474">
        <v>23</v>
      </c>
      <c r="CJ59" s="474">
        <v>28</v>
      </c>
      <c r="CK59" s="474">
        <v>34</v>
      </c>
      <c r="CL59" s="474">
        <v>29</v>
      </c>
      <c r="CM59" s="356">
        <f>SUM(CI59:CL59)</f>
        <v>114</v>
      </c>
      <c r="CN59" s="474">
        <v>30</v>
      </c>
      <c r="CO59" s="467">
        <v>33</v>
      </c>
      <c r="CP59" s="467">
        <v>35</v>
      </c>
      <c r="CQ59" s="467">
        <f>CR59-SUM(CN59:CP59)</f>
        <v>36.166666666666629</v>
      </c>
      <c r="CR59" s="356">
        <f>CR58*(2/3)</f>
        <v>134.16666666666663</v>
      </c>
      <c r="CS59" s="467"/>
      <c r="CT59" s="467"/>
      <c r="CU59" s="467"/>
      <c r="CV59" s="467"/>
      <c r="CW59" s="356">
        <f>CW58*(2/3)</f>
        <v>147.58333333333331</v>
      </c>
      <c r="CX59" s="467"/>
      <c r="CY59" s="467"/>
      <c r="CZ59" s="467"/>
      <c r="DA59" s="467"/>
      <c r="DB59" s="356">
        <f>DB58*(2/3)</f>
        <v>162.34166666666667</v>
      </c>
      <c r="DC59" s="467"/>
      <c r="DD59" s="467"/>
      <c r="DE59" s="467"/>
      <c r="DF59" s="467"/>
      <c r="DG59" s="356">
        <f>DB59*1.02</f>
        <v>165.58850000000001</v>
      </c>
      <c r="DH59" s="686"/>
      <c r="DI59" s="686"/>
      <c r="DJ59" s="686"/>
      <c r="DK59" s="686"/>
      <c r="DL59" s="356">
        <f>DG59*1.02</f>
        <v>168.90027000000001</v>
      </c>
      <c r="DM59" s="686"/>
      <c r="DN59" s="686"/>
      <c r="DO59" s="686"/>
      <c r="DP59" s="686"/>
      <c r="DQ59" s="356">
        <f>DL59*1.02</f>
        <v>172.27827540000001</v>
      </c>
      <c r="DR59" s="686"/>
      <c r="DS59" s="686"/>
      <c r="DT59" s="686"/>
      <c r="DU59" s="686"/>
      <c r="DV59" s="356">
        <f>DQ59*1.02</f>
        <v>175.72384090800003</v>
      </c>
      <c r="DW59" s="686"/>
      <c r="DX59" s="686"/>
      <c r="DY59" s="686"/>
      <c r="DZ59" s="686"/>
      <c r="EA59" s="356">
        <f>DV59*1.02</f>
        <v>179.23831772616003</v>
      </c>
      <c r="EB59" s="686"/>
      <c r="EC59" s="686"/>
      <c r="ED59" s="686"/>
      <c r="EE59" s="686"/>
      <c r="EF59" s="356">
        <f>EA59*1.02</f>
        <v>182.82308408068323</v>
      </c>
      <c r="EG59" s="686"/>
      <c r="EH59" s="686"/>
      <c r="EI59" s="686"/>
      <c r="EJ59" s="686"/>
      <c r="EK59" s="356">
        <f>EF59*1.02</f>
        <v>186.47954576229691</v>
      </c>
      <c r="EL59" s="686"/>
      <c r="EM59" s="686"/>
      <c r="EN59" s="686"/>
      <c r="EO59" s="686"/>
      <c r="EP59" s="356">
        <f>EK59*1.02</f>
        <v>190.20913667754286</v>
      </c>
      <c r="EQ59" s="686"/>
      <c r="ER59" s="686"/>
      <c r="ES59" s="686"/>
      <c r="ET59" s="686"/>
      <c r="EU59" s="356">
        <f>EP59*1.02</f>
        <v>194.01331941109373</v>
      </c>
      <c r="EV59" s="686"/>
      <c r="EW59" s="686"/>
      <c r="EX59" s="686"/>
      <c r="EY59" s="686"/>
      <c r="EZ59" s="356">
        <f>EU59*1.02</f>
        <v>197.89358579931562</v>
      </c>
    </row>
    <row r="60" spans="1:156">
      <c r="B60" s="351" t="s">
        <v>917</v>
      </c>
      <c r="C60" s="355"/>
      <c r="D60" s="355"/>
      <c r="E60" s="355"/>
      <c r="F60" s="355"/>
      <c r="G60" s="355"/>
      <c r="H60" s="355"/>
      <c r="I60" s="355"/>
      <c r="J60" s="355"/>
      <c r="K60" s="356"/>
      <c r="L60" s="357"/>
      <c r="M60" s="357"/>
      <c r="N60" s="357"/>
      <c r="O60" s="357"/>
      <c r="P60" s="356"/>
      <c r="Q60" s="357"/>
      <c r="R60" s="357"/>
      <c r="S60" s="357"/>
      <c r="T60" s="357"/>
      <c r="U60" s="356"/>
      <c r="V60" s="357"/>
      <c r="W60" s="357"/>
      <c r="X60" s="357"/>
      <c r="Y60" s="357"/>
      <c r="Z60" s="356"/>
      <c r="AA60" s="357"/>
      <c r="AB60" s="357"/>
      <c r="AC60" s="357"/>
      <c r="AD60" s="357"/>
      <c r="AE60" s="356"/>
      <c r="AF60" s="357"/>
      <c r="AG60" s="357"/>
      <c r="AH60" s="357"/>
      <c r="AI60" s="357"/>
      <c r="AJ60" s="356"/>
      <c r="AK60" s="357"/>
      <c r="AL60" s="357"/>
      <c r="AM60" s="357"/>
      <c r="AN60" s="357"/>
      <c r="AO60" s="356"/>
      <c r="AP60" s="357"/>
      <c r="AQ60" s="357"/>
      <c r="AR60" s="357"/>
      <c r="AS60" s="357"/>
      <c r="AT60" s="356"/>
      <c r="AU60" s="358"/>
      <c r="AV60" s="358"/>
      <c r="AW60" s="358"/>
      <c r="AX60" s="358"/>
      <c r="AY60" s="356"/>
      <c r="AZ60" s="358"/>
      <c r="BA60" s="358"/>
      <c r="BB60" s="358"/>
      <c r="BC60" s="358"/>
      <c r="BD60" s="356"/>
      <c r="BE60" s="358"/>
      <c r="BF60" s="358"/>
      <c r="BG60" s="358"/>
      <c r="BH60" s="358"/>
      <c r="BI60" s="356"/>
      <c r="BJ60" s="358"/>
      <c r="BK60" s="358"/>
      <c r="BL60" s="358"/>
      <c r="BM60" s="358"/>
      <c r="BN60" s="356"/>
      <c r="BO60" s="467"/>
      <c r="BP60" s="467"/>
      <c r="BQ60" s="467"/>
      <c r="BR60" s="467"/>
      <c r="BS60" s="356"/>
      <c r="BT60" s="467"/>
      <c r="BU60" s="467"/>
      <c r="BV60" s="467"/>
      <c r="BW60" s="467"/>
      <c r="BX60" s="356"/>
      <c r="BY60" s="467"/>
      <c r="BZ60" s="467"/>
      <c r="CA60" s="474">
        <v>1</v>
      </c>
      <c r="CB60" s="474">
        <v>3</v>
      </c>
      <c r="CC60" s="356">
        <f>SUM(BY60:CB60)</f>
        <v>4</v>
      </c>
      <c r="CD60" s="474">
        <v>6</v>
      </c>
      <c r="CE60" s="474">
        <v>9</v>
      </c>
      <c r="CF60" s="474">
        <v>10</v>
      </c>
      <c r="CG60" s="474">
        <v>5</v>
      </c>
      <c r="CH60" s="356">
        <f>CD60+CE60+CF60+CG60</f>
        <v>30</v>
      </c>
      <c r="CI60" s="474">
        <v>11</v>
      </c>
      <c r="CJ60" s="474">
        <v>15</v>
      </c>
      <c r="CK60" s="474">
        <v>18</v>
      </c>
      <c r="CL60" s="474">
        <v>17</v>
      </c>
      <c r="CM60" s="356">
        <f>SUM(CI60:CL60)</f>
        <v>61</v>
      </c>
      <c r="CN60" s="474">
        <v>19</v>
      </c>
      <c r="CO60" s="467">
        <v>17</v>
      </c>
      <c r="CP60" s="467">
        <v>15</v>
      </c>
      <c r="CQ60" s="467">
        <f>CR60-SUM(CN60:CP60)</f>
        <v>16.083333333333343</v>
      </c>
      <c r="CR60" s="356">
        <f>CR58-CR59</f>
        <v>67.083333333333343</v>
      </c>
      <c r="CS60" s="467"/>
      <c r="CT60" s="467"/>
      <c r="CU60" s="467"/>
      <c r="CV60" s="467"/>
      <c r="CW60" s="356">
        <f>CW58-CW59</f>
        <v>73.791666666666686</v>
      </c>
      <c r="CX60" s="467"/>
      <c r="CY60" s="467"/>
      <c r="CZ60" s="467"/>
      <c r="DA60" s="467"/>
      <c r="DB60" s="356">
        <f>DB58-DB59</f>
        <v>81.170833333333348</v>
      </c>
      <c r="DC60" s="467"/>
      <c r="DD60" s="467"/>
      <c r="DE60" s="467"/>
      <c r="DF60" s="467"/>
      <c r="DG60" s="356">
        <f>DB60*1.05</f>
        <v>85.229375000000019</v>
      </c>
      <c r="DH60" s="686"/>
      <c r="DI60" s="686"/>
      <c r="DJ60" s="686"/>
      <c r="DK60" s="686"/>
      <c r="DL60" s="356">
        <f>DG60*1.05</f>
        <v>89.490843750000025</v>
      </c>
      <c r="DM60" s="686"/>
      <c r="DN60" s="686"/>
      <c r="DO60" s="686"/>
      <c r="DP60" s="686"/>
      <c r="DQ60" s="356">
        <f>DL60*1.05</f>
        <v>93.965385937500031</v>
      </c>
      <c r="DR60" s="686"/>
      <c r="DS60" s="686"/>
      <c r="DT60" s="686"/>
      <c r="DU60" s="686"/>
      <c r="DV60" s="356">
        <f>DQ60*1.05</f>
        <v>98.663655234375042</v>
      </c>
      <c r="DW60" s="686"/>
      <c r="DX60" s="686"/>
      <c r="DY60" s="686"/>
      <c r="DZ60" s="686"/>
      <c r="EA60" s="356">
        <f>DV60*1.05</f>
        <v>103.5968379960938</v>
      </c>
      <c r="EB60" s="686"/>
      <c r="EC60" s="686"/>
      <c r="ED60" s="686"/>
      <c r="EE60" s="686"/>
      <c r="EF60" s="356">
        <f>EA60*1.05</f>
        <v>108.7766798958985</v>
      </c>
      <c r="EG60" s="686"/>
      <c r="EH60" s="686"/>
      <c r="EI60" s="686"/>
      <c r="EJ60" s="686"/>
      <c r="EK60" s="356">
        <f>EF60*1.05</f>
        <v>114.21551389069343</v>
      </c>
      <c r="EL60" s="686"/>
      <c r="EM60" s="686"/>
      <c r="EN60" s="686"/>
      <c r="EO60" s="686"/>
      <c r="EP60" s="356">
        <f>EK60*1.05</f>
        <v>119.9262895852281</v>
      </c>
      <c r="EQ60" s="686"/>
      <c r="ER60" s="686"/>
      <c r="ES60" s="686"/>
      <c r="ET60" s="686"/>
      <c r="EU60" s="356">
        <f>EP60*1.05</f>
        <v>125.92260406448952</v>
      </c>
      <c r="EV60" s="686"/>
      <c r="EW60" s="686"/>
      <c r="EX60" s="686"/>
      <c r="EY60" s="686"/>
      <c r="EZ60" s="356">
        <f>EU60*1.05</f>
        <v>132.21873426771401</v>
      </c>
    </row>
    <row r="61" spans="1:156">
      <c r="B61" s="351"/>
      <c r="C61" s="355"/>
      <c r="D61" s="355"/>
      <c r="E61" s="355"/>
      <c r="F61" s="355"/>
      <c r="G61" s="355"/>
      <c r="H61" s="355"/>
      <c r="I61" s="355"/>
      <c r="J61" s="355"/>
      <c r="K61" s="356"/>
      <c r="L61" s="357"/>
      <c r="M61" s="357"/>
      <c r="N61" s="357"/>
      <c r="O61" s="357"/>
      <c r="P61" s="356"/>
      <c r="Q61" s="357"/>
      <c r="R61" s="357"/>
      <c r="S61" s="357"/>
      <c r="T61" s="357"/>
      <c r="U61" s="356"/>
      <c r="V61" s="357"/>
      <c r="W61" s="357"/>
      <c r="X61" s="357"/>
      <c r="Y61" s="357"/>
      <c r="Z61" s="356"/>
      <c r="AA61" s="357"/>
      <c r="AB61" s="357"/>
      <c r="AC61" s="357"/>
      <c r="AD61" s="357"/>
      <c r="AE61" s="356"/>
      <c r="AF61" s="357"/>
      <c r="AG61" s="357"/>
      <c r="AH61" s="357"/>
      <c r="AI61" s="357"/>
      <c r="AJ61" s="356"/>
      <c r="AK61" s="357"/>
      <c r="AL61" s="357"/>
      <c r="AM61" s="357"/>
      <c r="AN61" s="357"/>
      <c r="AO61" s="356"/>
      <c r="AP61" s="357"/>
      <c r="AQ61" s="357"/>
      <c r="AR61" s="357"/>
      <c r="AS61" s="357"/>
      <c r="AT61" s="356"/>
      <c r="AU61" s="358"/>
      <c r="AV61" s="358"/>
      <c r="AW61" s="358"/>
      <c r="AX61" s="358"/>
      <c r="AY61" s="356"/>
      <c r="AZ61" s="358"/>
      <c r="BA61" s="358"/>
      <c r="BB61" s="358"/>
      <c r="BC61" s="358"/>
      <c r="BD61" s="356"/>
      <c r="BE61" s="358"/>
      <c r="BF61" s="358"/>
      <c r="BG61" s="358"/>
      <c r="BH61" s="358"/>
      <c r="BI61" s="356"/>
      <c r="BJ61" s="358"/>
      <c r="BK61" s="358"/>
      <c r="BL61" s="358"/>
      <c r="BM61" s="358"/>
      <c r="BN61" s="356"/>
      <c r="BO61" s="467"/>
      <c r="BP61" s="467"/>
      <c r="BQ61" s="467"/>
      <c r="BR61" s="467"/>
      <c r="BS61" s="356"/>
      <c r="BT61" s="467"/>
      <c r="BU61" s="467"/>
      <c r="BV61" s="467"/>
      <c r="BW61" s="467"/>
      <c r="BX61" s="356"/>
      <c r="BY61" s="467"/>
      <c r="BZ61" s="467"/>
      <c r="CA61" s="467"/>
      <c r="CB61" s="467"/>
      <c r="CC61" s="356"/>
      <c r="CD61" s="468">
        <f t="shared" ref="CD61:CG61" si="92">CD60/CD59</f>
        <v>0.2857142857142857</v>
      </c>
      <c r="CE61" s="468">
        <f t="shared" si="92"/>
        <v>0.42857142857142855</v>
      </c>
      <c r="CF61" s="468">
        <f t="shared" si="92"/>
        <v>0.52631578947368418</v>
      </c>
      <c r="CG61" s="468">
        <f t="shared" si="92"/>
        <v>0.20833333333333334</v>
      </c>
      <c r="CH61" s="356"/>
      <c r="CI61" s="467"/>
      <c r="CJ61" s="467"/>
      <c r="CK61" s="467"/>
      <c r="CL61" s="467"/>
      <c r="CM61" s="669"/>
      <c r="CN61" s="468">
        <f t="shared" ref="CN61" si="93">CN60/CN59</f>
        <v>0.6333333333333333</v>
      </c>
      <c r="CO61" s="799">
        <f>CN61</f>
        <v>0.6333333333333333</v>
      </c>
      <c r="CP61" s="799">
        <f t="shared" ref="CP61:CQ61" si="94">CO61</f>
        <v>0.6333333333333333</v>
      </c>
      <c r="CQ61" s="799">
        <f t="shared" si="94"/>
        <v>0.6333333333333333</v>
      </c>
      <c r="CR61" s="669"/>
      <c r="CS61" s="467"/>
      <c r="CT61" s="467"/>
      <c r="CU61" s="467"/>
      <c r="CV61" s="467"/>
      <c r="CW61" s="356"/>
      <c r="CX61" s="467"/>
      <c r="CY61" s="467"/>
      <c r="CZ61" s="467"/>
      <c r="DA61" s="467"/>
      <c r="DB61" s="356"/>
      <c r="DC61" s="467"/>
      <c r="DD61" s="467"/>
      <c r="DE61" s="467"/>
      <c r="DF61" s="467"/>
      <c r="DG61" s="356"/>
      <c r="DH61" s="467"/>
      <c r="DI61" s="467"/>
      <c r="DJ61" s="467"/>
      <c r="DK61" s="467"/>
      <c r="DL61" s="356"/>
      <c r="DM61" s="467"/>
      <c r="DN61" s="467"/>
      <c r="DO61" s="467"/>
      <c r="DP61" s="467"/>
      <c r="DQ61" s="356"/>
      <c r="DR61" s="467"/>
      <c r="DS61" s="467"/>
      <c r="DT61" s="467"/>
      <c r="DU61" s="467"/>
      <c r="DV61" s="356"/>
      <c r="DW61" s="467"/>
      <c r="DX61" s="467"/>
      <c r="DY61" s="467"/>
      <c r="DZ61" s="467"/>
      <c r="EA61" s="356"/>
      <c r="EB61" s="467"/>
      <c r="EC61" s="467"/>
      <c r="ED61" s="467"/>
      <c r="EE61" s="467"/>
      <c r="EF61" s="356"/>
      <c r="EG61" s="467"/>
      <c r="EH61" s="467"/>
      <c r="EI61" s="467"/>
      <c r="EJ61" s="467"/>
      <c r="EK61" s="356"/>
      <c r="EL61" s="467"/>
      <c r="EM61" s="467"/>
      <c r="EN61" s="467"/>
      <c r="EO61" s="467"/>
      <c r="EP61" s="356"/>
      <c r="EQ61" s="467"/>
      <c r="ER61" s="467"/>
      <c r="ES61" s="467"/>
      <c r="ET61" s="467"/>
      <c r="EU61" s="356"/>
      <c r="EV61" s="467"/>
      <c r="EW61" s="467"/>
      <c r="EX61" s="467"/>
      <c r="EY61" s="467"/>
      <c r="EZ61" s="356"/>
    </row>
    <row r="62" spans="1:156">
      <c r="B62" s="17" t="s">
        <v>683</v>
      </c>
      <c r="C62" s="355"/>
      <c r="D62" s="355"/>
      <c r="E62" s="355"/>
      <c r="F62" s="355"/>
      <c r="G62" s="355"/>
      <c r="H62" s="355"/>
      <c r="I62" s="355"/>
      <c r="J62" s="355"/>
      <c r="K62" s="356"/>
      <c r="L62" s="357"/>
      <c r="M62" s="357"/>
      <c r="N62" s="357"/>
      <c r="O62" s="357"/>
      <c r="P62" s="356"/>
      <c r="Q62" s="357"/>
      <c r="R62" s="357"/>
      <c r="S62" s="357"/>
      <c r="T62" s="357"/>
      <c r="U62" s="356"/>
      <c r="V62" s="357"/>
      <c r="W62" s="357"/>
      <c r="X62" s="357"/>
      <c r="Y62" s="357"/>
      <c r="Z62" s="356"/>
      <c r="AA62" s="357"/>
      <c r="AB62" s="357"/>
      <c r="AC62" s="357"/>
      <c r="AD62" s="357"/>
      <c r="AE62" s="356"/>
      <c r="AF62" s="357"/>
      <c r="AG62" s="357"/>
      <c r="AH62" s="357"/>
      <c r="AI62" s="357"/>
      <c r="AJ62" s="356"/>
      <c r="AK62" s="357"/>
      <c r="AL62" s="357"/>
      <c r="AM62" s="357"/>
      <c r="AN62" s="357"/>
      <c r="AO62" s="356"/>
      <c r="AP62" s="357"/>
      <c r="AQ62" s="357"/>
      <c r="AR62" s="357"/>
      <c r="AS62" s="357"/>
      <c r="AT62" s="356"/>
      <c r="AU62" s="358"/>
      <c r="AV62" s="358"/>
      <c r="AW62" s="358"/>
      <c r="AX62" s="358"/>
      <c r="AY62" s="356"/>
      <c r="AZ62" s="358"/>
      <c r="BA62" s="358"/>
      <c r="BB62" s="358"/>
      <c r="BC62" s="358"/>
      <c r="BD62" s="356"/>
      <c r="BE62" s="358"/>
      <c r="BF62" s="358"/>
      <c r="BG62" s="358"/>
      <c r="BH62" s="358"/>
      <c r="BI62" s="356"/>
      <c r="BJ62" s="358"/>
      <c r="BK62" s="358"/>
      <c r="BL62" s="358"/>
      <c r="BM62" s="358"/>
      <c r="BN62" s="356"/>
      <c r="BO62" s="467"/>
      <c r="BP62" s="467"/>
      <c r="BQ62" s="467"/>
      <c r="BR62" s="467"/>
      <c r="BS62" s="356"/>
      <c r="BT62" s="467"/>
      <c r="BU62" s="467"/>
      <c r="BV62" s="467"/>
      <c r="BW62" s="467"/>
      <c r="BX62" s="356"/>
      <c r="BY62" s="467"/>
      <c r="BZ62" s="467"/>
      <c r="CA62" s="467"/>
      <c r="CB62" s="467"/>
      <c r="CC62" s="20">
        <f>Pipeline!H11</f>
        <v>0</v>
      </c>
      <c r="CD62" s="472">
        <v>0</v>
      </c>
      <c r="CE62" s="472">
        <v>0</v>
      </c>
      <c r="CF62" s="472">
        <v>0</v>
      </c>
      <c r="CG62" s="472">
        <v>0</v>
      </c>
      <c r="CH62" s="20">
        <f>CD62+CE62+CF62+CG62</f>
        <v>0</v>
      </c>
      <c r="CI62" s="472">
        <v>0</v>
      </c>
      <c r="CJ62" s="472">
        <v>0</v>
      </c>
      <c r="CK62" s="472">
        <v>0</v>
      </c>
      <c r="CL62" s="472">
        <v>0</v>
      </c>
      <c r="CM62" s="20">
        <f>SUM(CI62:CL62)</f>
        <v>0</v>
      </c>
      <c r="CN62" s="472">
        <v>0</v>
      </c>
      <c r="CO62" s="463">
        <v>10</v>
      </c>
      <c r="CP62" s="463">
        <v>75</v>
      </c>
      <c r="CQ62" s="463">
        <f>CR62-CN62-CO62-CP62</f>
        <v>112.70860959020979</v>
      </c>
      <c r="CR62" s="20">
        <f>Pipeline!K11</f>
        <v>197.70860959020979</v>
      </c>
      <c r="CS62" s="463">
        <f>CW62/4</f>
        <v>166.68030618833555</v>
      </c>
      <c r="CT62" s="463">
        <f>CS62</f>
        <v>166.68030618833555</v>
      </c>
      <c r="CU62" s="463">
        <f>CT62</f>
        <v>166.68030618833555</v>
      </c>
      <c r="CV62" s="463">
        <f>CW62-CS62-CT62-CU62</f>
        <v>166.68030618833561</v>
      </c>
      <c r="CW62" s="20">
        <f>Pipeline!L11</f>
        <v>666.7212247533422</v>
      </c>
      <c r="CX62" s="463">
        <f>DB62/4</f>
        <v>303.86157167803731</v>
      </c>
      <c r="CY62" s="463">
        <f>CX62</f>
        <v>303.86157167803731</v>
      </c>
      <c r="CZ62" s="463">
        <f>CY62</f>
        <v>303.86157167803731</v>
      </c>
      <c r="DA62" s="463">
        <f>DB62-CX62-CY62-CZ62</f>
        <v>303.86157167803731</v>
      </c>
      <c r="DB62" s="20">
        <f>Pipeline!M11</f>
        <v>1215.4462867121492</v>
      </c>
      <c r="DC62" s="463">
        <f>DG62/4</f>
        <v>460.3651956202512</v>
      </c>
      <c r="DD62" s="463">
        <f>DC62</f>
        <v>460.3651956202512</v>
      </c>
      <c r="DE62" s="463">
        <f>DD62</f>
        <v>460.3651956202512</v>
      </c>
      <c r="DF62" s="463">
        <f>DG62-SUM(DC62:DE62)</f>
        <v>460.36519562025114</v>
      </c>
      <c r="DG62" s="20">
        <f>Pipeline!N11</f>
        <v>1841.4607824810048</v>
      </c>
      <c r="DH62" s="685">
        <f>DL62/4</f>
        <v>649.79535844304189</v>
      </c>
      <c r="DI62" s="685">
        <f>DH62</f>
        <v>649.79535844304189</v>
      </c>
      <c r="DJ62" s="685">
        <f>DI62</f>
        <v>649.79535844304189</v>
      </c>
      <c r="DK62" s="685">
        <f>DL62-SUM(DH62:DJ62)</f>
        <v>649.79535844304201</v>
      </c>
      <c r="DL62" s="20">
        <f>Pipeline!O11</f>
        <v>2599.1814337721676</v>
      </c>
      <c r="DM62" s="685">
        <f>DQ62/4</f>
        <v>938.67493776423044</v>
      </c>
      <c r="DN62" s="685">
        <f>DM62</f>
        <v>938.67493776423044</v>
      </c>
      <c r="DO62" s="685">
        <f>DN62</f>
        <v>938.67493776423044</v>
      </c>
      <c r="DP62" s="685">
        <f>DQ62-SUM(DM62:DO62)</f>
        <v>938.67493776423044</v>
      </c>
      <c r="DQ62" s="20">
        <f>Pipeline!P11</f>
        <v>3754.6997510569217</v>
      </c>
      <c r="DR62" s="685">
        <f>DV62/4</f>
        <v>1127.4069052499053</v>
      </c>
      <c r="DS62" s="685">
        <f>DR62</f>
        <v>1127.4069052499053</v>
      </c>
      <c r="DT62" s="685">
        <f>DS62</f>
        <v>1127.4069052499053</v>
      </c>
      <c r="DU62" s="685">
        <f>DV62-SUM(DR62:DT62)</f>
        <v>1127.4069052499053</v>
      </c>
      <c r="DV62" s="20">
        <f>Pipeline!Q11</f>
        <v>4509.6276209996213</v>
      </c>
      <c r="DW62" s="685">
        <f>EA62/4</f>
        <v>1345.6000942220016</v>
      </c>
      <c r="DX62" s="685">
        <f>DW62</f>
        <v>1345.6000942220016</v>
      </c>
      <c r="DY62" s="685">
        <f>DX62</f>
        <v>1345.6000942220016</v>
      </c>
      <c r="DZ62" s="685">
        <f>EA62-SUM(DW62:DY62)</f>
        <v>1345.6000942220016</v>
      </c>
      <c r="EA62" s="20">
        <f>Pipeline!R11</f>
        <v>5382.4003768880066</v>
      </c>
      <c r="EB62" s="685">
        <f>EF62/4</f>
        <v>1548.9238830285703</v>
      </c>
      <c r="EC62" s="685">
        <f>EB62</f>
        <v>1548.9238830285703</v>
      </c>
      <c r="ED62" s="685">
        <f>EC62</f>
        <v>1548.9238830285703</v>
      </c>
      <c r="EE62" s="685">
        <f>EF62-SUM(EB62:ED62)</f>
        <v>1548.9238830285703</v>
      </c>
      <c r="EF62" s="20">
        <f>Pipeline!S11</f>
        <v>6195.6955321142814</v>
      </c>
      <c r="EG62" s="685">
        <f>EK62/4</f>
        <v>1789.1635074029248</v>
      </c>
      <c r="EH62" s="685">
        <f>EG62</f>
        <v>1789.1635074029248</v>
      </c>
      <c r="EI62" s="685">
        <f>EH62</f>
        <v>1789.1635074029248</v>
      </c>
      <c r="EJ62" s="685">
        <f>EK62-SUM(EG62:EI62)</f>
        <v>1789.1635074029246</v>
      </c>
      <c r="EK62" s="20">
        <f>Pipeline!T11</f>
        <v>7156.6540296116991</v>
      </c>
      <c r="EL62" s="685">
        <f>EP62/4</f>
        <v>1871.121602552003</v>
      </c>
      <c r="EM62" s="685">
        <f>EL62</f>
        <v>1871.121602552003</v>
      </c>
      <c r="EN62" s="685">
        <f>EM62</f>
        <v>1871.121602552003</v>
      </c>
      <c r="EO62" s="685">
        <f>EP62-SUM(EL62:EN62)</f>
        <v>1871.1216025520025</v>
      </c>
      <c r="EP62" s="20">
        <f>Pipeline!U11</f>
        <v>7484.4864102080119</v>
      </c>
      <c r="EQ62" s="685">
        <f>EU62/4</f>
        <v>1960.499897690104</v>
      </c>
      <c r="ER62" s="685">
        <f>EQ62</f>
        <v>1960.499897690104</v>
      </c>
      <c r="ES62" s="685">
        <f>ER62</f>
        <v>1960.499897690104</v>
      </c>
      <c r="ET62" s="685">
        <f>EU62-SUM(EQ62:ES62)</f>
        <v>1960.4998976901043</v>
      </c>
      <c r="EU62" s="20">
        <f>Pipeline!V11</f>
        <v>7841.9995907604161</v>
      </c>
      <c r="EV62" s="685">
        <f>EZ62/4</f>
        <v>2058.0090781912841</v>
      </c>
      <c r="EW62" s="685">
        <f>EV62</f>
        <v>2058.0090781912841</v>
      </c>
      <c r="EX62" s="685">
        <f>EW62</f>
        <v>2058.0090781912841</v>
      </c>
      <c r="EY62" s="685">
        <f>EZ62-SUM(EV62:EX62)</f>
        <v>2058.0090781912841</v>
      </c>
      <c r="EZ62" s="20">
        <f>Pipeline!W11</f>
        <v>8232.0363127651362</v>
      </c>
    </row>
    <row r="63" spans="1:156">
      <c r="B63" s="351"/>
      <c r="C63" s="355"/>
      <c r="D63" s="355"/>
      <c r="E63" s="355"/>
      <c r="F63" s="355"/>
      <c r="G63" s="355"/>
      <c r="H63" s="355"/>
      <c r="I63" s="355"/>
      <c r="J63" s="355"/>
      <c r="K63" s="356"/>
      <c r="L63" s="357"/>
      <c r="M63" s="357"/>
      <c r="N63" s="357"/>
      <c r="O63" s="357"/>
      <c r="P63" s="356"/>
      <c r="Q63" s="357"/>
      <c r="R63" s="357"/>
      <c r="S63" s="357"/>
      <c r="T63" s="357"/>
      <c r="U63" s="356"/>
      <c r="V63" s="357"/>
      <c r="W63" s="357"/>
      <c r="X63" s="357"/>
      <c r="Y63" s="357"/>
      <c r="Z63" s="356"/>
      <c r="AA63" s="357"/>
      <c r="AB63" s="357"/>
      <c r="AC63" s="357"/>
      <c r="AD63" s="357"/>
      <c r="AE63" s="356"/>
      <c r="AF63" s="357"/>
      <c r="AG63" s="357"/>
      <c r="AH63" s="357"/>
      <c r="AI63" s="357"/>
      <c r="AJ63" s="356"/>
      <c r="AK63" s="357"/>
      <c r="AL63" s="357"/>
      <c r="AM63" s="357"/>
      <c r="AN63" s="357"/>
      <c r="AO63" s="356"/>
      <c r="AP63" s="357"/>
      <c r="AQ63" s="357"/>
      <c r="AR63" s="357"/>
      <c r="AS63" s="357"/>
      <c r="AT63" s="356"/>
      <c r="AU63" s="358"/>
      <c r="AV63" s="358"/>
      <c r="AW63" s="358"/>
      <c r="AX63" s="358"/>
      <c r="AY63" s="356"/>
      <c r="AZ63" s="358"/>
      <c r="BA63" s="358"/>
      <c r="BB63" s="358"/>
      <c r="BC63" s="358"/>
      <c r="BD63" s="356"/>
      <c r="BE63" s="358"/>
      <c r="BF63" s="358"/>
      <c r="BG63" s="358"/>
      <c r="BH63" s="358"/>
      <c r="BI63" s="356"/>
      <c r="BJ63" s="358"/>
      <c r="BK63" s="358"/>
      <c r="BL63" s="358"/>
      <c r="BM63" s="358"/>
      <c r="BN63" s="356"/>
      <c r="BO63" s="467"/>
      <c r="BP63" s="467"/>
      <c r="BQ63" s="467"/>
      <c r="BR63" s="467"/>
      <c r="BS63" s="356"/>
      <c r="BT63" s="467"/>
      <c r="BU63" s="467"/>
      <c r="BV63" s="467"/>
      <c r="BW63" s="467"/>
      <c r="BX63" s="356"/>
      <c r="BY63" s="467"/>
      <c r="BZ63" s="467"/>
      <c r="CA63" s="467"/>
      <c r="CB63" s="467"/>
      <c r="CC63" s="356"/>
      <c r="CD63" s="467"/>
      <c r="CE63" s="467"/>
      <c r="CF63" s="467"/>
      <c r="CG63" s="467"/>
      <c r="CH63" s="356"/>
      <c r="CI63" s="467"/>
      <c r="CJ63" s="467"/>
      <c r="CK63" s="467"/>
      <c r="CL63" s="467"/>
      <c r="CM63" s="356"/>
      <c r="CN63" s="467"/>
      <c r="CO63" s="467"/>
      <c r="CP63" s="467"/>
      <c r="CQ63" s="467"/>
      <c r="CR63" s="356"/>
      <c r="CS63" s="467"/>
      <c r="CT63" s="467"/>
      <c r="CU63" s="467"/>
      <c r="CV63" s="467"/>
      <c r="CW63" s="356"/>
      <c r="CX63" s="467"/>
      <c r="CY63" s="467"/>
      <c r="CZ63" s="467"/>
      <c r="DA63" s="467"/>
      <c r="DB63" s="356"/>
      <c r="DC63" s="467"/>
      <c r="DD63" s="467"/>
      <c r="DE63" s="467"/>
      <c r="DF63" s="467"/>
      <c r="DG63" s="356"/>
      <c r="DH63" s="467"/>
      <c r="DI63" s="467"/>
      <c r="DJ63" s="467"/>
      <c r="DK63" s="467"/>
      <c r="DL63" s="356"/>
      <c r="DM63" s="467"/>
      <c r="DN63" s="467"/>
      <c r="DO63" s="467"/>
      <c r="DP63" s="467"/>
      <c r="DQ63" s="356"/>
      <c r="DR63" s="467"/>
      <c r="DS63" s="467"/>
      <c r="DT63" s="467"/>
      <c r="DU63" s="467"/>
      <c r="DV63" s="356"/>
      <c r="DW63" s="467"/>
      <c r="DX63" s="467"/>
      <c r="DY63" s="467"/>
      <c r="DZ63" s="467"/>
      <c r="EA63" s="356"/>
      <c r="EB63" s="467"/>
      <c r="EC63" s="467"/>
      <c r="ED63" s="467"/>
      <c r="EE63" s="467"/>
      <c r="EF63" s="356"/>
      <c r="EG63" s="467"/>
      <c r="EH63" s="467"/>
      <c r="EI63" s="467"/>
      <c r="EJ63" s="467"/>
      <c r="EK63" s="356"/>
      <c r="EL63" s="467"/>
      <c r="EM63" s="467"/>
      <c r="EN63" s="467"/>
      <c r="EO63" s="467"/>
      <c r="EP63" s="356"/>
      <c r="EQ63" s="467"/>
      <c r="ER63" s="467"/>
      <c r="ES63" s="467"/>
      <c r="ET63" s="467"/>
      <c r="EU63" s="356"/>
      <c r="EV63" s="467"/>
      <c r="EW63" s="467"/>
      <c r="EX63" s="467"/>
      <c r="EY63" s="467"/>
      <c r="EZ63" s="356"/>
    </row>
    <row r="64" spans="1:156" s="4" customFormat="1">
      <c r="B64" s="17" t="s">
        <v>107</v>
      </c>
      <c r="C64" s="23"/>
      <c r="D64" s="23"/>
      <c r="E64" s="23"/>
      <c r="F64" s="23"/>
      <c r="G64" s="23">
        <f t="shared" ref="G64:BO64" si="95">G65+G69</f>
        <v>3.4</v>
      </c>
      <c r="H64" s="23">
        <f t="shared" si="95"/>
        <v>15.8</v>
      </c>
      <c r="I64" s="23">
        <f t="shared" si="95"/>
        <v>27.1</v>
      </c>
      <c r="J64" s="23">
        <f t="shared" si="95"/>
        <v>15.6</v>
      </c>
      <c r="K64" s="23">
        <f t="shared" si="95"/>
        <v>14.600000000000001</v>
      </c>
      <c r="L64" s="22">
        <f t="shared" si="95"/>
        <v>2.2000000000000002</v>
      </c>
      <c r="M64" s="22">
        <f t="shared" si="95"/>
        <v>16</v>
      </c>
      <c r="N64" s="22">
        <f t="shared" si="95"/>
        <v>41.7</v>
      </c>
      <c r="O64" s="22">
        <f t="shared" si="95"/>
        <v>49.9</v>
      </c>
      <c r="P64" s="23">
        <f t="shared" si="95"/>
        <v>109.8</v>
      </c>
      <c r="Q64" s="22">
        <f t="shared" si="95"/>
        <v>18.100000000000001</v>
      </c>
      <c r="R64" s="22">
        <f t="shared" si="95"/>
        <v>19.399999999999999</v>
      </c>
      <c r="S64" s="22">
        <f t="shared" si="95"/>
        <v>15</v>
      </c>
      <c r="T64" s="22">
        <f t="shared" si="95"/>
        <v>15</v>
      </c>
      <c r="U64" s="23">
        <f t="shared" si="95"/>
        <v>67.5</v>
      </c>
      <c r="V64" s="22">
        <f t="shared" si="95"/>
        <v>14.2</v>
      </c>
      <c r="W64" s="22">
        <f t="shared" si="95"/>
        <v>13</v>
      </c>
      <c r="X64" s="22">
        <f t="shared" si="95"/>
        <v>13</v>
      </c>
      <c r="Y64" s="22">
        <f t="shared" si="95"/>
        <v>12</v>
      </c>
      <c r="Z64" s="23">
        <f t="shared" si="95"/>
        <v>52.2</v>
      </c>
      <c r="AA64" s="22">
        <f t="shared" si="95"/>
        <v>6</v>
      </c>
      <c r="AB64" s="22">
        <f t="shared" si="95"/>
        <v>5</v>
      </c>
      <c r="AC64" s="22">
        <f t="shared" si="95"/>
        <v>6</v>
      </c>
      <c r="AD64" s="22">
        <f t="shared" si="95"/>
        <v>3</v>
      </c>
      <c r="AE64" s="23">
        <f t="shared" si="95"/>
        <v>20</v>
      </c>
      <c r="AF64" s="22">
        <f t="shared" si="95"/>
        <v>5</v>
      </c>
      <c r="AG64" s="22">
        <f t="shared" si="95"/>
        <v>5</v>
      </c>
      <c r="AH64" s="22">
        <f t="shared" si="95"/>
        <v>8</v>
      </c>
      <c r="AI64" s="22">
        <f t="shared" si="95"/>
        <v>7</v>
      </c>
      <c r="AJ64" s="23">
        <f t="shared" si="95"/>
        <v>25</v>
      </c>
      <c r="AK64" s="22">
        <f t="shared" si="95"/>
        <v>16</v>
      </c>
      <c r="AL64" s="22">
        <f t="shared" si="95"/>
        <v>14</v>
      </c>
      <c r="AM64" s="22">
        <f t="shared" si="95"/>
        <v>20</v>
      </c>
      <c r="AN64" s="22">
        <f t="shared" si="95"/>
        <v>18</v>
      </c>
      <c r="AO64" s="23">
        <f t="shared" si="95"/>
        <v>68</v>
      </c>
      <c r="AP64" s="22">
        <f t="shared" si="95"/>
        <v>18</v>
      </c>
      <c r="AQ64" s="22">
        <f t="shared" si="95"/>
        <v>21</v>
      </c>
      <c r="AR64" s="22">
        <f t="shared" si="95"/>
        <v>18</v>
      </c>
      <c r="AS64" s="22">
        <f t="shared" si="95"/>
        <v>13</v>
      </c>
      <c r="AT64" s="23">
        <f t="shared" si="95"/>
        <v>70</v>
      </c>
      <c r="AU64" s="22"/>
      <c r="AV64" s="22"/>
      <c r="AW64" s="22"/>
      <c r="AX64" s="22"/>
      <c r="AY64" s="23"/>
      <c r="AZ64" s="22"/>
      <c r="BA64" s="22"/>
      <c r="BB64" s="22"/>
      <c r="BC64" s="22"/>
      <c r="BD64" s="23"/>
      <c r="BE64" s="22"/>
      <c r="BF64" s="22">
        <f t="shared" si="95"/>
        <v>11</v>
      </c>
      <c r="BG64" s="22">
        <f t="shared" si="95"/>
        <v>26</v>
      </c>
      <c r="BH64" s="22">
        <f t="shared" si="95"/>
        <v>21</v>
      </c>
      <c r="BI64" s="23">
        <f t="shared" si="95"/>
        <v>58</v>
      </c>
      <c r="BJ64" s="22">
        <f t="shared" si="95"/>
        <v>15</v>
      </c>
      <c r="BK64" s="22">
        <f t="shared" si="95"/>
        <v>27</v>
      </c>
      <c r="BL64" s="22">
        <f t="shared" si="95"/>
        <v>46</v>
      </c>
      <c r="BM64" s="22">
        <f t="shared" si="95"/>
        <v>85</v>
      </c>
      <c r="BN64" s="23">
        <f t="shared" si="95"/>
        <v>173</v>
      </c>
      <c r="BO64" s="465">
        <f t="shared" si="95"/>
        <v>59</v>
      </c>
      <c r="BP64" s="465">
        <f t="shared" ref="BP64:EB64" si="96">BP65+BP69</f>
        <v>74</v>
      </c>
      <c r="BQ64" s="465">
        <f t="shared" si="96"/>
        <v>40</v>
      </c>
      <c r="BR64" s="465">
        <f t="shared" si="96"/>
        <v>73</v>
      </c>
      <c r="BS64" s="23">
        <f t="shared" si="96"/>
        <v>246</v>
      </c>
      <c r="BT64" s="465">
        <f t="shared" si="96"/>
        <v>38</v>
      </c>
      <c r="BU64" s="465">
        <f>BU65+BU69</f>
        <v>59</v>
      </c>
      <c r="BV64" s="465">
        <f t="shared" si="96"/>
        <v>46</v>
      </c>
      <c r="BW64" s="465">
        <f t="shared" si="96"/>
        <v>66</v>
      </c>
      <c r="BX64" s="23">
        <f t="shared" si="96"/>
        <v>209</v>
      </c>
      <c r="BY64" s="465">
        <f t="shared" si="96"/>
        <v>47</v>
      </c>
      <c r="BZ64" s="465">
        <f t="shared" si="96"/>
        <v>54</v>
      </c>
      <c r="CA64" s="465">
        <f>CA65+CA69</f>
        <v>43</v>
      </c>
      <c r="CB64" s="465">
        <f t="shared" si="96"/>
        <v>59</v>
      </c>
      <c r="CC64" s="23">
        <f t="shared" si="96"/>
        <v>203</v>
      </c>
      <c r="CD64" s="465">
        <f t="shared" si="96"/>
        <v>47</v>
      </c>
      <c r="CE64" s="465">
        <f t="shared" si="96"/>
        <v>68</v>
      </c>
      <c r="CF64" s="465">
        <f t="shared" si="96"/>
        <v>60</v>
      </c>
      <c r="CG64" s="465">
        <f t="shared" si="96"/>
        <v>75</v>
      </c>
      <c r="CH64" s="23">
        <f t="shared" si="96"/>
        <v>250</v>
      </c>
      <c r="CI64" s="465">
        <f t="shared" si="96"/>
        <v>57</v>
      </c>
      <c r="CJ64" s="465">
        <f t="shared" si="96"/>
        <v>61</v>
      </c>
      <c r="CK64" s="465">
        <f t="shared" si="96"/>
        <v>66</v>
      </c>
      <c r="CL64" s="465">
        <f t="shared" si="96"/>
        <v>72</v>
      </c>
      <c r="CM64" s="23">
        <f t="shared" si="96"/>
        <v>256</v>
      </c>
      <c r="CN64" s="465">
        <f>CN65+CN69</f>
        <v>63</v>
      </c>
      <c r="CO64" s="465">
        <f t="shared" si="96"/>
        <v>73.13671875</v>
      </c>
      <c r="CP64" s="465">
        <f t="shared" si="96"/>
        <v>73.13671875</v>
      </c>
      <c r="CQ64" s="465">
        <f t="shared" si="96"/>
        <v>83.273437500000014</v>
      </c>
      <c r="CR64" s="23">
        <f t="shared" si="96"/>
        <v>292.546875</v>
      </c>
      <c r="CS64" s="465">
        <f t="shared" si="96"/>
        <v>84.320058593750005</v>
      </c>
      <c r="CT64" s="465">
        <f t="shared" si="96"/>
        <v>84.320058593750005</v>
      </c>
      <c r="CU64" s="465">
        <f t="shared" si="96"/>
        <v>84.320058593750005</v>
      </c>
      <c r="CV64" s="465">
        <f t="shared" si="96"/>
        <v>84.320058593750005</v>
      </c>
      <c r="CW64" s="23">
        <f t="shared" si="96"/>
        <v>337.28023437500002</v>
      </c>
      <c r="CX64" s="465">
        <f t="shared" si="96"/>
        <v>96.485103027343754</v>
      </c>
      <c r="CY64" s="465">
        <f t="shared" si="96"/>
        <v>96.485103027343754</v>
      </c>
      <c r="CZ64" s="465">
        <f t="shared" si="96"/>
        <v>96.485103027343754</v>
      </c>
      <c r="DA64" s="465">
        <f t="shared" si="96"/>
        <v>96.485103027343769</v>
      </c>
      <c r="DB64" s="23">
        <f t="shared" si="96"/>
        <v>385.94041210937502</v>
      </c>
      <c r="DC64" s="465">
        <f t="shared" si="96"/>
        <v>108.56587572021485</v>
      </c>
      <c r="DD64" s="465">
        <f t="shared" si="96"/>
        <v>108.56587572021485</v>
      </c>
      <c r="DE64" s="465">
        <f t="shared" si="96"/>
        <v>108.56587572021485</v>
      </c>
      <c r="DF64" s="465">
        <f t="shared" si="96"/>
        <v>108.56587572021485</v>
      </c>
      <c r="DG64" s="23">
        <f t="shared" si="96"/>
        <v>434.26350288085939</v>
      </c>
      <c r="DH64" s="465">
        <f t="shared" si="96"/>
        <v>114.3535999862671</v>
      </c>
      <c r="DI64" s="465">
        <f t="shared" si="96"/>
        <v>114.3535999862671</v>
      </c>
      <c r="DJ64" s="465">
        <f t="shared" si="96"/>
        <v>114.3535999862671</v>
      </c>
      <c r="DK64" s="465">
        <f t="shared" si="96"/>
        <v>114.3535999862671</v>
      </c>
      <c r="DL64" s="23">
        <f t="shared" si="96"/>
        <v>457.4143999450684</v>
      </c>
      <c r="DM64" s="465">
        <f t="shared" si="96"/>
        <v>117.96995872762301</v>
      </c>
      <c r="DN64" s="465">
        <f t="shared" si="96"/>
        <v>117.96995872762301</v>
      </c>
      <c r="DO64" s="465">
        <f t="shared" si="96"/>
        <v>117.96995872762301</v>
      </c>
      <c r="DP64" s="465">
        <f t="shared" si="96"/>
        <v>117.96995872762301</v>
      </c>
      <c r="DQ64" s="23">
        <f t="shared" si="96"/>
        <v>471.87983491049204</v>
      </c>
      <c r="DR64" s="465">
        <f t="shared" si="96"/>
        <v>119.93796112459775</v>
      </c>
      <c r="DS64" s="465">
        <f t="shared" si="96"/>
        <v>119.93796112459775</v>
      </c>
      <c r="DT64" s="465">
        <f t="shared" si="96"/>
        <v>119.93796112459775</v>
      </c>
      <c r="DU64" s="465">
        <f t="shared" si="96"/>
        <v>119.93796112459775</v>
      </c>
      <c r="DV64" s="23">
        <f t="shared" si="96"/>
        <v>479.75184449839099</v>
      </c>
      <c r="DW64" s="465">
        <f t="shared" si="96"/>
        <v>121.20463609668609</v>
      </c>
      <c r="DX64" s="465">
        <f t="shared" si="96"/>
        <v>121.20463609668609</v>
      </c>
      <c r="DY64" s="465">
        <f t="shared" si="96"/>
        <v>121.20463609668609</v>
      </c>
      <c r="DZ64" s="465">
        <f t="shared" si="96"/>
        <v>121.20463609668609</v>
      </c>
      <c r="EA64" s="23">
        <f t="shared" si="96"/>
        <v>484.81854438674435</v>
      </c>
      <c r="EB64" s="465">
        <f t="shared" si="96"/>
        <v>122.60464362308781</v>
      </c>
      <c r="EC64" s="465">
        <f t="shared" ref="EC64:EZ64" si="97">EC65+EC69</f>
        <v>122.60464362308781</v>
      </c>
      <c r="ED64" s="465">
        <f t="shared" si="97"/>
        <v>122.60464362308781</v>
      </c>
      <c r="EE64" s="465">
        <f t="shared" si="97"/>
        <v>122.60464362308781</v>
      </c>
      <c r="EF64" s="23">
        <f t="shared" si="97"/>
        <v>490.41857449235124</v>
      </c>
      <c r="EG64" s="465">
        <f t="shared" si="97"/>
        <v>123.29184742353628</v>
      </c>
      <c r="EH64" s="465">
        <f t="shared" si="97"/>
        <v>123.29184742353628</v>
      </c>
      <c r="EI64" s="465">
        <f t="shared" si="97"/>
        <v>123.29184742353628</v>
      </c>
      <c r="EJ64" s="465">
        <f t="shared" si="97"/>
        <v>123.29184742353628</v>
      </c>
      <c r="EK64" s="23">
        <f t="shared" si="97"/>
        <v>493.16738969414513</v>
      </c>
      <c r="EL64" s="465">
        <f t="shared" si="97"/>
        <v>122.41350507945049</v>
      </c>
      <c r="EM64" s="465">
        <f t="shared" si="97"/>
        <v>122.41350507945049</v>
      </c>
      <c r="EN64" s="465">
        <f t="shared" si="97"/>
        <v>122.41350507945049</v>
      </c>
      <c r="EO64" s="465">
        <f t="shared" si="97"/>
        <v>122.41350507945049</v>
      </c>
      <c r="EP64" s="23">
        <f t="shared" si="97"/>
        <v>489.65402031780195</v>
      </c>
      <c r="EQ64" s="465">
        <f t="shared" si="97"/>
        <v>121.83416674461085</v>
      </c>
      <c r="ER64" s="465">
        <f t="shared" si="97"/>
        <v>121.83416674461085</v>
      </c>
      <c r="ES64" s="465">
        <f t="shared" si="97"/>
        <v>121.83416674461085</v>
      </c>
      <c r="ET64" s="465">
        <f t="shared" si="97"/>
        <v>121.83416674461085</v>
      </c>
      <c r="EU64" s="23">
        <f t="shared" si="97"/>
        <v>487.33666697844342</v>
      </c>
      <c r="EV64" s="465">
        <f t="shared" si="97"/>
        <v>120.05391041169391</v>
      </c>
      <c r="EW64" s="465">
        <f t="shared" si="97"/>
        <v>120.05391041169391</v>
      </c>
      <c r="EX64" s="465">
        <f t="shared" si="97"/>
        <v>120.05391041169391</v>
      </c>
      <c r="EY64" s="465">
        <f t="shared" si="97"/>
        <v>120.05391041169391</v>
      </c>
      <c r="EZ64" s="23">
        <f t="shared" si="97"/>
        <v>480.21564164677562</v>
      </c>
    </row>
    <row r="65" spans="2:156">
      <c r="B65" s="351" t="s">
        <v>116</v>
      </c>
      <c r="C65" s="450"/>
      <c r="D65" s="450"/>
      <c r="E65" s="450"/>
      <c r="F65" s="450"/>
      <c r="G65" s="450">
        <v>3.4</v>
      </c>
      <c r="H65" s="450">
        <v>15.8</v>
      </c>
      <c r="I65" s="450">
        <v>27.1</v>
      </c>
      <c r="J65" s="450">
        <v>15.6</v>
      </c>
      <c r="K65" s="356">
        <f>13.3+1.3</f>
        <v>14.600000000000001</v>
      </c>
      <c r="L65" s="448">
        <v>2.2000000000000002</v>
      </c>
      <c r="M65" s="448">
        <v>16</v>
      </c>
      <c r="N65" s="448">
        <v>39.1</v>
      </c>
      <c r="O65" s="448">
        <v>44.5</v>
      </c>
      <c r="P65" s="356">
        <f>O65+N65+M65+L65</f>
        <v>101.8</v>
      </c>
      <c r="Q65" s="448">
        <v>18.100000000000001</v>
      </c>
      <c r="R65" s="448">
        <v>19.399999999999999</v>
      </c>
      <c r="S65" s="448">
        <v>15</v>
      </c>
      <c r="T65" s="357">
        <v>15</v>
      </c>
      <c r="U65" s="356">
        <f>T65+S65+R65+Q65</f>
        <v>67.5</v>
      </c>
      <c r="V65" s="448">
        <v>14.2</v>
      </c>
      <c r="W65" s="448">
        <v>13</v>
      </c>
      <c r="X65" s="448">
        <v>13</v>
      </c>
      <c r="Y65" s="448">
        <v>6</v>
      </c>
      <c r="Z65" s="356">
        <f>Y65+X65+W65+V65</f>
        <v>46.2</v>
      </c>
      <c r="AA65" s="448">
        <v>6</v>
      </c>
      <c r="AB65" s="448">
        <v>5</v>
      </c>
      <c r="AC65" s="448">
        <v>6</v>
      </c>
      <c r="AD65" s="448">
        <v>3</v>
      </c>
      <c r="AE65" s="356">
        <f>AD65+AC65+AB65+AA65</f>
        <v>20</v>
      </c>
      <c r="AF65" s="448">
        <v>5</v>
      </c>
      <c r="AG65" s="448">
        <v>5</v>
      </c>
      <c r="AH65" s="448">
        <v>8</v>
      </c>
      <c r="AI65" s="448">
        <v>7</v>
      </c>
      <c r="AJ65" s="356">
        <f>AI65+AH65+AG65+AF65</f>
        <v>25</v>
      </c>
      <c r="AK65" s="448">
        <v>7</v>
      </c>
      <c r="AL65" s="448">
        <v>6</v>
      </c>
      <c r="AM65" s="448">
        <v>11</v>
      </c>
      <c r="AN65" s="448">
        <v>9</v>
      </c>
      <c r="AO65" s="356">
        <f>AN65+AM65+AL65+AK65</f>
        <v>33</v>
      </c>
      <c r="AP65" s="448">
        <v>8</v>
      </c>
      <c r="AQ65" s="448">
        <v>9</v>
      </c>
      <c r="AR65" s="448">
        <v>6</v>
      </c>
      <c r="AS65" s="448">
        <f>20-AS46</f>
        <v>3</v>
      </c>
      <c r="AT65" s="356">
        <f>AS65+AR65+AQ65+AP65</f>
        <v>26</v>
      </c>
      <c r="AU65" s="358"/>
      <c r="AV65" s="358"/>
      <c r="AW65" s="358"/>
      <c r="AX65" s="358"/>
      <c r="AY65" s="356"/>
      <c r="AZ65" s="358"/>
      <c r="BA65" s="358"/>
      <c r="BB65" s="358"/>
      <c r="BC65" s="358"/>
      <c r="BD65" s="356"/>
      <c r="BE65" s="358"/>
      <c r="BF65" s="358"/>
      <c r="BG65" s="358"/>
      <c r="BH65" s="358"/>
      <c r="BI65" s="356"/>
      <c r="BJ65" s="358"/>
      <c r="BK65" s="358"/>
      <c r="BL65" s="358"/>
      <c r="BM65" s="358"/>
      <c r="BN65" s="356"/>
      <c r="BO65" s="467"/>
      <c r="BP65" s="467"/>
      <c r="BQ65" s="467"/>
      <c r="BR65" s="467"/>
      <c r="BS65" s="356"/>
      <c r="BT65" s="464"/>
      <c r="BU65" s="464"/>
      <c r="BV65" s="464"/>
      <c r="BW65" s="647">
        <v>3</v>
      </c>
      <c r="BX65" s="356">
        <f>BW65+BV65+BU65+BT65</f>
        <v>3</v>
      </c>
      <c r="BY65" s="464"/>
      <c r="BZ65" s="474">
        <v>0</v>
      </c>
      <c r="CA65" s="464">
        <f>23-CA59-CA51</f>
        <v>0</v>
      </c>
      <c r="CB65" s="464">
        <f>26-CB59-CB51</f>
        <v>0</v>
      </c>
      <c r="CC65" s="449">
        <f>SUM(BY65:CB65)</f>
        <v>0</v>
      </c>
      <c r="CD65" s="474">
        <v>10</v>
      </c>
      <c r="CE65" s="474">
        <v>17</v>
      </c>
      <c r="CF65" s="474">
        <v>14</v>
      </c>
      <c r="CG65" s="474">
        <v>19</v>
      </c>
      <c r="CH65" s="359">
        <f>CD65+CE65+CF65+CG65</f>
        <v>60</v>
      </c>
      <c r="CI65" s="791">
        <v>15</v>
      </c>
      <c r="CJ65" s="791">
        <v>19</v>
      </c>
      <c r="CK65" s="791">
        <v>21</v>
      </c>
      <c r="CL65" s="791">
        <v>13</v>
      </c>
      <c r="CM65" s="460">
        <f>SUM(CI65:CL65)</f>
        <v>68</v>
      </c>
      <c r="CN65" s="791">
        <v>19</v>
      </c>
      <c r="CO65" s="710">
        <f>CR65/4</f>
        <v>23.439843749999998</v>
      </c>
      <c r="CP65" s="710">
        <f>CR65/4</f>
        <v>23.439843749999998</v>
      </c>
      <c r="CQ65" s="710">
        <f>CR65-SUM(CN65:CP65)</f>
        <v>27.879687500000003</v>
      </c>
      <c r="CR65" s="460">
        <f>CR66+CR67+CR68</f>
        <v>93.759374999999991</v>
      </c>
      <c r="CS65" s="710">
        <f>CW65/4</f>
        <v>28.438339843749997</v>
      </c>
      <c r="CT65" s="710">
        <f>CW65/4</f>
        <v>28.438339843749997</v>
      </c>
      <c r="CU65" s="710">
        <f>CW65/4</f>
        <v>28.438339843749997</v>
      </c>
      <c r="CV65" s="710">
        <f>CW65-SUM(CS65:CU65)</f>
        <v>28.438339843750001</v>
      </c>
      <c r="CW65" s="460">
        <f>CW66+CW67+CW68</f>
        <v>113.75335937499999</v>
      </c>
      <c r="CX65" s="710">
        <f>DB65/4</f>
        <v>33.919298339843749</v>
      </c>
      <c r="CY65" s="710">
        <f>DB65/4</f>
        <v>33.919298339843749</v>
      </c>
      <c r="CZ65" s="710">
        <f>DB65/4</f>
        <v>33.919298339843749</v>
      </c>
      <c r="DA65" s="710">
        <f>DB65-SUM(CX65:CZ65)</f>
        <v>33.919298339843749</v>
      </c>
      <c r="DB65" s="460">
        <f>DB66+DB67+DB68</f>
        <v>135.677193359375</v>
      </c>
      <c r="DC65" s="710">
        <f>DG65/4</f>
        <v>39.353780798339841</v>
      </c>
      <c r="DD65" s="710">
        <f>DG65/4</f>
        <v>39.353780798339841</v>
      </c>
      <c r="DE65" s="710">
        <f>DG65/4</f>
        <v>39.353780798339841</v>
      </c>
      <c r="DF65" s="710">
        <f>DG65-SUM(DC65:DE65)</f>
        <v>39.353780798339841</v>
      </c>
      <c r="DG65" s="460">
        <f>DG66+DG67+DG68</f>
        <v>157.41512319335936</v>
      </c>
      <c r="DH65" s="710">
        <f>DL65/4</f>
        <v>41.415750318298336</v>
      </c>
      <c r="DI65" s="710">
        <f>DL65/4</f>
        <v>41.415750318298336</v>
      </c>
      <c r="DJ65" s="710">
        <f>DL65/4</f>
        <v>41.415750318298336</v>
      </c>
      <c r="DK65" s="710">
        <f>DL65-SUM(DH65:DJ65)</f>
        <v>41.415750318298336</v>
      </c>
      <c r="DL65" s="460">
        <f>DL66+DL67+DL68</f>
        <v>165.66300127319334</v>
      </c>
      <c r="DM65" s="710">
        <f>DQ65/4</f>
        <v>42.31509657625579</v>
      </c>
      <c r="DN65" s="710">
        <f>DQ65/4</f>
        <v>42.31509657625579</v>
      </c>
      <c r="DO65" s="710">
        <f>DQ65/4</f>
        <v>42.31509657625579</v>
      </c>
      <c r="DP65" s="710">
        <f>DQ65-SUM(DM65:DO65)</f>
        <v>42.315096576255797</v>
      </c>
      <c r="DQ65" s="460">
        <f>DQ66+DQ67+DQ68</f>
        <v>169.26038630502316</v>
      </c>
      <c r="DR65" s="710">
        <f>DV65/4</f>
        <v>42.31025399066219</v>
      </c>
      <c r="DS65" s="710">
        <f>DV65/4</f>
        <v>42.31025399066219</v>
      </c>
      <c r="DT65" s="710">
        <f>DV65/4</f>
        <v>42.31025399066219</v>
      </c>
      <c r="DU65" s="710">
        <f>DV65-SUM(DR65:DT65)</f>
        <v>42.31025399066219</v>
      </c>
      <c r="DV65" s="460">
        <f>DV66+DV67+DV68</f>
        <v>169.24101596264876</v>
      </c>
      <c r="DW65" s="710">
        <f>EA65/4</f>
        <v>41.906403262303741</v>
      </c>
      <c r="DX65" s="710">
        <f>EA65/4</f>
        <v>41.906403262303741</v>
      </c>
      <c r="DY65" s="710">
        <f>EA65/4</f>
        <v>41.906403262303741</v>
      </c>
      <c r="DZ65" s="710">
        <f>EA65-SUM(DW65:DY65)</f>
        <v>41.906403262303741</v>
      </c>
      <c r="EA65" s="460">
        <f>EA66+EA67+EA68</f>
        <v>167.62561304921496</v>
      </c>
      <c r="EB65" s="710">
        <f>EF65/4</f>
        <v>41.518360065736339</v>
      </c>
      <c r="EC65" s="710">
        <f>EF65/4</f>
        <v>41.518360065736339</v>
      </c>
      <c r="ED65" s="710">
        <f>EF65/4</f>
        <v>41.518360065736339</v>
      </c>
      <c r="EE65" s="710">
        <f>EF65-SUM(EB65:ED65)</f>
        <v>41.518360065736346</v>
      </c>
      <c r="EF65" s="460">
        <f>EF66+EF67+EF68</f>
        <v>166.07344026294535</v>
      </c>
      <c r="EG65" s="710">
        <f>EK65/4</f>
        <v>40.720416916129736</v>
      </c>
      <c r="EH65" s="710">
        <f>EK65/4</f>
        <v>40.720416916129736</v>
      </c>
      <c r="EI65" s="710">
        <f>EK65/4</f>
        <v>40.720416916129736</v>
      </c>
      <c r="EJ65" s="710">
        <f>EK65-SUM(EG65:EI65)</f>
        <v>40.720416916129736</v>
      </c>
      <c r="EK65" s="460">
        <f>EK66+EK67+EK68</f>
        <v>162.88166766451894</v>
      </c>
      <c r="EL65" s="710">
        <f>EP65/4</f>
        <v>39.053420442829854</v>
      </c>
      <c r="EM65" s="710">
        <f>EP65/4</f>
        <v>39.053420442829854</v>
      </c>
      <c r="EN65" s="710">
        <f>EP65/4</f>
        <v>39.053420442829854</v>
      </c>
      <c r="EO65" s="710">
        <f>EP65-SUM(EL65:EN65)</f>
        <v>39.053420442829861</v>
      </c>
      <c r="EP65" s="460">
        <f>EP66+EP67+EP68</f>
        <v>156.21368177131941</v>
      </c>
      <c r="EQ65" s="710">
        <f>EU65/4</f>
        <v>37.478999402507633</v>
      </c>
      <c r="ER65" s="710">
        <f>EU65/4</f>
        <v>37.478999402507633</v>
      </c>
      <c r="ES65" s="710">
        <f>EU65/4</f>
        <v>37.478999402507633</v>
      </c>
      <c r="ET65" s="710">
        <f>EU65-SUM(EQ65:ES65)</f>
        <v>37.47899940250764</v>
      </c>
      <c r="EU65" s="460">
        <f>EU66+EU67+EU68</f>
        <v>149.91599761003053</v>
      </c>
      <c r="EV65" s="710">
        <f>EZ65/4</f>
        <v>35.244007908131763</v>
      </c>
      <c r="EW65" s="710">
        <f>EZ65/4</f>
        <v>35.244007908131763</v>
      </c>
      <c r="EX65" s="710">
        <f>EZ65/4</f>
        <v>35.244007908131763</v>
      </c>
      <c r="EY65" s="710">
        <f>EZ65-SUM(EV65:EX65)</f>
        <v>35.244007908131763</v>
      </c>
      <c r="EZ65" s="460">
        <f>EZ66+EZ67+EZ68</f>
        <v>140.97603163252705</v>
      </c>
    </row>
    <row r="66" spans="2:156" hidden="1" outlineLevel="1">
      <c r="B66" s="453" t="s">
        <v>870</v>
      </c>
      <c r="C66" s="450"/>
      <c r="D66" s="450"/>
      <c r="E66" s="450"/>
      <c r="F66" s="450"/>
      <c r="G66" s="450"/>
      <c r="H66" s="450"/>
      <c r="I66" s="450"/>
      <c r="J66" s="450"/>
      <c r="K66" s="356"/>
      <c r="L66" s="448"/>
      <c r="M66" s="448"/>
      <c r="N66" s="448"/>
      <c r="O66" s="448"/>
      <c r="P66" s="356"/>
      <c r="Q66" s="448"/>
      <c r="R66" s="448"/>
      <c r="S66" s="448"/>
      <c r="T66" s="357"/>
      <c r="U66" s="356"/>
      <c r="V66" s="448"/>
      <c r="W66" s="448"/>
      <c r="X66" s="448"/>
      <c r="Y66" s="448"/>
      <c r="Z66" s="356"/>
      <c r="AA66" s="448"/>
      <c r="AB66" s="448"/>
      <c r="AC66" s="448"/>
      <c r="AD66" s="448"/>
      <c r="AE66" s="356"/>
      <c r="AF66" s="448"/>
      <c r="AG66" s="448"/>
      <c r="AH66" s="448"/>
      <c r="AI66" s="448"/>
      <c r="AJ66" s="356"/>
      <c r="AK66" s="448"/>
      <c r="AL66" s="448"/>
      <c r="AM66" s="448"/>
      <c r="AN66" s="448"/>
      <c r="AO66" s="356"/>
      <c r="AP66" s="448"/>
      <c r="AQ66" s="448"/>
      <c r="AR66" s="448"/>
      <c r="AS66" s="448"/>
      <c r="AT66" s="356"/>
      <c r="AU66" s="358"/>
      <c r="AV66" s="358"/>
      <c r="AW66" s="358"/>
      <c r="AX66" s="358"/>
      <c r="AY66" s="356"/>
      <c r="AZ66" s="358"/>
      <c r="BA66" s="358"/>
      <c r="BB66" s="358"/>
      <c r="BC66" s="358"/>
      <c r="BD66" s="356"/>
      <c r="BE66" s="358"/>
      <c r="BF66" s="358"/>
      <c r="BG66" s="358"/>
      <c r="BH66" s="358"/>
      <c r="BI66" s="356"/>
      <c r="BJ66" s="358"/>
      <c r="BK66" s="358"/>
      <c r="BL66" s="358"/>
      <c r="BM66" s="358"/>
      <c r="BN66" s="356"/>
      <c r="BO66" s="467"/>
      <c r="BP66" s="467"/>
      <c r="BQ66" s="467"/>
      <c r="BR66" s="467"/>
      <c r="BS66" s="356"/>
      <c r="BT66" s="464"/>
      <c r="BU66" s="464"/>
      <c r="BV66" s="464"/>
      <c r="BW66" s="647"/>
      <c r="BX66" s="356"/>
      <c r="BY66" s="464"/>
      <c r="BZ66" s="474"/>
      <c r="CA66" s="464"/>
      <c r="CB66" s="464"/>
      <c r="CC66" s="449"/>
      <c r="CD66" s="474"/>
      <c r="CE66" s="474"/>
      <c r="CF66" s="647"/>
      <c r="CG66" s="647"/>
      <c r="CH66" s="709">
        <v>30</v>
      </c>
      <c r="CI66" s="792"/>
      <c r="CJ66" s="792"/>
      <c r="CK66" s="792"/>
      <c r="CL66" s="792"/>
      <c r="CM66" s="709">
        <v>40</v>
      </c>
      <c r="CN66" s="792"/>
      <c r="CO66" s="557"/>
      <c r="CP66" s="557"/>
      <c r="CQ66" s="557"/>
      <c r="CR66" s="359">
        <f>CM66*1.2</f>
        <v>48</v>
      </c>
      <c r="CS66" s="557"/>
      <c r="CT66" s="557"/>
      <c r="CU66" s="557"/>
      <c r="CV66" s="557"/>
      <c r="CW66" s="460">
        <f>CR66*1.2</f>
        <v>57.599999999999994</v>
      </c>
      <c r="CX66" s="710"/>
      <c r="CY66" s="710"/>
      <c r="CZ66" s="710"/>
      <c r="DA66" s="710"/>
      <c r="DB66" s="460">
        <f>CW66*1.2</f>
        <v>69.11999999999999</v>
      </c>
      <c r="DC66" s="710"/>
      <c r="DD66" s="710"/>
      <c r="DE66" s="710"/>
      <c r="DF66" s="710"/>
      <c r="DG66" s="460">
        <f>DB66*1.2</f>
        <v>82.943999999999988</v>
      </c>
      <c r="DH66" s="557"/>
      <c r="DI66" s="557"/>
      <c r="DJ66" s="557"/>
      <c r="DK66" s="557"/>
      <c r="DL66" s="460">
        <f>DG66*1.025</f>
        <v>85.017599999999987</v>
      </c>
      <c r="DM66" s="557"/>
      <c r="DN66" s="557"/>
      <c r="DO66" s="557"/>
      <c r="DP66" s="557"/>
      <c r="DQ66" s="460">
        <f>DL66</f>
        <v>85.017599999999987</v>
      </c>
      <c r="DR66" s="557"/>
      <c r="DS66" s="557"/>
      <c r="DT66" s="557"/>
      <c r="DU66" s="557"/>
      <c r="DV66" s="460">
        <f>DQ66*0.975</f>
        <v>82.89215999999999</v>
      </c>
      <c r="DW66" s="557"/>
      <c r="DX66" s="557"/>
      <c r="DY66" s="557"/>
      <c r="DZ66" s="557"/>
      <c r="EA66" s="460">
        <f>DV66*0.975</f>
        <v>80.819855999999987</v>
      </c>
      <c r="EB66" s="557"/>
      <c r="EC66" s="557"/>
      <c r="ED66" s="557"/>
      <c r="EE66" s="557"/>
      <c r="EF66" s="460">
        <f>EA66*0.975</f>
        <v>78.799359599999988</v>
      </c>
      <c r="EG66" s="557"/>
      <c r="EH66" s="557"/>
      <c r="EI66" s="557"/>
      <c r="EJ66" s="557"/>
      <c r="EK66" s="460">
        <f>EF66*0.975</f>
        <v>76.829375609999985</v>
      </c>
      <c r="EL66" s="557"/>
      <c r="EM66" s="557"/>
      <c r="EN66" s="557"/>
      <c r="EO66" s="557"/>
      <c r="EP66" s="460">
        <f>EK66*0.95</f>
        <v>72.987906829499977</v>
      </c>
      <c r="EQ66" s="557"/>
      <c r="ER66" s="557"/>
      <c r="ES66" s="557"/>
      <c r="ET66" s="557"/>
      <c r="EU66" s="460">
        <f>EP66*0.95</f>
        <v>69.338511488024977</v>
      </c>
      <c r="EV66" s="710"/>
      <c r="EW66" s="710"/>
      <c r="EX66" s="710"/>
      <c r="EY66" s="710"/>
      <c r="EZ66" s="460">
        <f>EU66*0.95</f>
        <v>65.871585913623719</v>
      </c>
    </row>
    <row r="67" spans="2:156" hidden="1" outlineLevel="1">
      <c r="B67" s="453" t="s">
        <v>871</v>
      </c>
      <c r="C67" s="450"/>
      <c r="D67" s="450"/>
      <c r="E67" s="450"/>
      <c r="F67" s="450"/>
      <c r="G67" s="450"/>
      <c r="H67" s="450"/>
      <c r="I67" s="450"/>
      <c r="J67" s="450"/>
      <c r="K67" s="356"/>
      <c r="L67" s="448"/>
      <c r="M67" s="448"/>
      <c r="N67" s="448"/>
      <c r="O67" s="448"/>
      <c r="P67" s="356"/>
      <c r="Q67" s="448"/>
      <c r="R67" s="448"/>
      <c r="S67" s="448"/>
      <c r="T67" s="357"/>
      <c r="U67" s="356"/>
      <c r="V67" s="448"/>
      <c r="W67" s="448"/>
      <c r="X67" s="448"/>
      <c r="Y67" s="448"/>
      <c r="Z67" s="356"/>
      <c r="AA67" s="448"/>
      <c r="AB67" s="448"/>
      <c r="AC67" s="448"/>
      <c r="AD67" s="448"/>
      <c r="AE67" s="356"/>
      <c r="AF67" s="448"/>
      <c r="AG67" s="448"/>
      <c r="AH67" s="448"/>
      <c r="AI67" s="448"/>
      <c r="AJ67" s="356"/>
      <c r="AK67" s="448"/>
      <c r="AL67" s="448"/>
      <c r="AM67" s="448"/>
      <c r="AN67" s="448"/>
      <c r="AO67" s="356"/>
      <c r="AP67" s="448"/>
      <c r="AQ67" s="448"/>
      <c r="AR67" s="448"/>
      <c r="AS67" s="448"/>
      <c r="AT67" s="356"/>
      <c r="AU67" s="358"/>
      <c r="AV67" s="358"/>
      <c r="AW67" s="358"/>
      <c r="AX67" s="358"/>
      <c r="AY67" s="356"/>
      <c r="AZ67" s="358"/>
      <c r="BA67" s="358"/>
      <c r="BB67" s="358"/>
      <c r="BC67" s="358"/>
      <c r="BD67" s="356"/>
      <c r="BE67" s="358"/>
      <c r="BF67" s="358"/>
      <c r="BG67" s="358"/>
      <c r="BH67" s="358"/>
      <c r="BI67" s="356"/>
      <c r="BJ67" s="358"/>
      <c r="BK67" s="358"/>
      <c r="BL67" s="358"/>
      <c r="BM67" s="358"/>
      <c r="BN67" s="356"/>
      <c r="BO67" s="467"/>
      <c r="BP67" s="467"/>
      <c r="BQ67" s="467"/>
      <c r="BR67" s="467"/>
      <c r="BS67" s="356"/>
      <c r="BT67" s="464"/>
      <c r="BU67" s="464"/>
      <c r="BV67" s="464"/>
      <c r="BW67" s="647"/>
      <c r="BX67" s="356"/>
      <c r="BY67" s="464"/>
      <c r="BZ67" s="474"/>
      <c r="CA67" s="464"/>
      <c r="CB67" s="464"/>
      <c r="CC67" s="449"/>
      <c r="CD67" s="474"/>
      <c r="CE67" s="474"/>
      <c r="CF67" s="647"/>
      <c r="CG67" s="647"/>
      <c r="CH67" s="709">
        <v>15</v>
      </c>
      <c r="CI67" s="792"/>
      <c r="CJ67" s="792"/>
      <c r="CK67" s="792"/>
      <c r="CL67" s="792"/>
      <c r="CM67" s="709">
        <v>20</v>
      </c>
      <c r="CN67" s="792"/>
      <c r="CO67" s="557"/>
      <c r="CP67" s="557"/>
      <c r="CQ67" s="557"/>
      <c r="CR67" s="709">
        <v>30</v>
      </c>
      <c r="CS67" s="557"/>
      <c r="CT67" s="557"/>
      <c r="CU67" s="557"/>
      <c r="CV67" s="557"/>
      <c r="CW67" s="709">
        <v>40</v>
      </c>
      <c r="CX67" s="557"/>
      <c r="CY67" s="557"/>
      <c r="CZ67" s="557"/>
      <c r="DA67" s="557"/>
      <c r="DB67" s="709">
        <v>50</v>
      </c>
      <c r="DC67" s="557"/>
      <c r="DD67" s="557"/>
      <c r="DE67" s="557"/>
      <c r="DF67" s="557"/>
      <c r="DG67" s="460">
        <f>DB67*1.15</f>
        <v>57.499999999999993</v>
      </c>
      <c r="DH67" s="557"/>
      <c r="DI67" s="557"/>
      <c r="DJ67" s="557"/>
      <c r="DK67" s="557"/>
      <c r="DL67" s="460">
        <f>DG67*1.1</f>
        <v>63.25</v>
      </c>
      <c r="DM67" s="557"/>
      <c r="DN67" s="557"/>
      <c r="DO67" s="557"/>
      <c r="DP67" s="557"/>
      <c r="DQ67" s="460">
        <f>DL67*1.05</f>
        <v>66.412500000000009</v>
      </c>
      <c r="DR67" s="557"/>
      <c r="DS67" s="557"/>
      <c r="DT67" s="557"/>
      <c r="DU67" s="557"/>
      <c r="DV67" s="460">
        <f>DQ67*1.025</f>
        <v>68.072812499999998</v>
      </c>
      <c r="DW67" s="557"/>
      <c r="DX67" s="557"/>
      <c r="DY67" s="557"/>
      <c r="DZ67" s="557"/>
      <c r="EA67" s="460">
        <f>DV67</f>
        <v>68.072812499999998</v>
      </c>
      <c r="EB67" s="557"/>
      <c r="EC67" s="557"/>
      <c r="ED67" s="557"/>
      <c r="EE67" s="557"/>
      <c r="EF67" s="460">
        <f>EA67</f>
        <v>68.072812499999998</v>
      </c>
      <c r="EG67" s="557"/>
      <c r="EH67" s="557"/>
      <c r="EI67" s="557"/>
      <c r="EJ67" s="557"/>
      <c r="EK67" s="460">
        <f>EF67*0.975</f>
        <v>66.370992187499994</v>
      </c>
      <c r="EL67" s="557"/>
      <c r="EM67" s="557"/>
      <c r="EN67" s="557"/>
      <c r="EO67" s="557"/>
      <c r="EP67" s="460">
        <f>EK67*0.95</f>
        <v>63.052442578124989</v>
      </c>
      <c r="EQ67" s="557"/>
      <c r="ER67" s="557"/>
      <c r="ES67" s="557"/>
      <c r="ET67" s="557"/>
      <c r="EU67" s="460">
        <f>EP67*0.95</f>
        <v>59.899820449218737</v>
      </c>
      <c r="EV67" s="557"/>
      <c r="EW67" s="557"/>
      <c r="EX67" s="557"/>
      <c r="EY67" s="557"/>
      <c r="EZ67" s="460">
        <f>EU67*0.9</f>
        <v>53.909838404296863</v>
      </c>
    </row>
    <row r="68" spans="2:156" hidden="1" outlineLevel="1">
      <c r="B68" s="453" t="s">
        <v>107</v>
      </c>
      <c r="C68" s="450"/>
      <c r="D68" s="450"/>
      <c r="E68" s="450"/>
      <c r="F68" s="450"/>
      <c r="G68" s="450"/>
      <c r="H68" s="450"/>
      <c r="I68" s="450"/>
      <c r="J68" s="450"/>
      <c r="K68" s="356"/>
      <c r="L68" s="448"/>
      <c r="M68" s="448"/>
      <c r="N68" s="448"/>
      <c r="O68" s="448"/>
      <c r="P68" s="356"/>
      <c r="Q68" s="448"/>
      <c r="R68" s="448"/>
      <c r="S68" s="448"/>
      <c r="T68" s="357"/>
      <c r="U68" s="356"/>
      <c r="V68" s="448"/>
      <c r="W68" s="448"/>
      <c r="X68" s="448"/>
      <c r="Y68" s="448"/>
      <c r="Z68" s="356"/>
      <c r="AA68" s="448"/>
      <c r="AB68" s="448"/>
      <c r="AC68" s="448"/>
      <c r="AD68" s="448"/>
      <c r="AE68" s="356"/>
      <c r="AF68" s="448"/>
      <c r="AG68" s="448"/>
      <c r="AH68" s="448"/>
      <c r="AI68" s="448"/>
      <c r="AJ68" s="356"/>
      <c r="AK68" s="448"/>
      <c r="AL68" s="448"/>
      <c r="AM68" s="448"/>
      <c r="AN68" s="448"/>
      <c r="AO68" s="356"/>
      <c r="AP68" s="448"/>
      <c r="AQ68" s="448"/>
      <c r="AR68" s="448"/>
      <c r="AS68" s="448"/>
      <c r="AT68" s="356"/>
      <c r="AU68" s="358"/>
      <c r="AV68" s="358"/>
      <c r="AW68" s="358"/>
      <c r="AX68" s="358"/>
      <c r="AY68" s="356"/>
      <c r="AZ68" s="358"/>
      <c r="BA68" s="358"/>
      <c r="BB68" s="358"/>
      <c r="BC68" s="358"/>
      <c r="BD68" s="356"/>
      <c r="BE68" s="358"/>
      <c r="BF68" s="358"/>
      <c r="BG68" s="358"/>
      <c r="BH68" s="358"/>
      <c r="BI68" s="356"/>
      <c r="BJ68" s="358"/>
      <c r="BK68" s="358"/>
      <c r="BL68" s="358"/>
      <c r="BM68" s="358"/>
      <c r="BN68" s="356"/>
      <c r="BO68" s="467"/>
      <c r="BP68" s="467"/>
      <c r="BQ68" s="467"/>
      <c r="BR68" s="467"/>
      <c r="BS68" s="356"/>
      <c r="BT68" s="464"/>
      <c r="BU68" s="464"/>
      <c r="BV68" s="464"/>
      <c r="BW68" s="647"/>
      <c r="BX68" s="356"/>
      <c r="BY68" s="464"/>
      <c r="BZ68" s="474"/>
      <c r="CA68" s="464"/>
      <c r="CB68" s="464"/>
      <c r="CC68" s="449"/>
      <c r="CD68" s="474"/>
      <c r="CE68" s="474"/>
      <c r="CF68" s="647"/>
      <c r="CG68" s="647"/>
      <c r="CH68" s="709">
        <v>15</v>
      </c>
      <c r="CI68" s="792"/>
      <c r="CJ68" s="792"/>
      <c r="CK68" s="792"/>
      <c r="CL68" s="792"/>
      <c r="CM68" s="460">
        <f>CH68*1.025</f>
        <v>15.374999999999998</v>
      </c>
      <c r="CN68" s="792"/>
      <c r="CO68" s="557"/>
      <c r="CP68" s="557"/>
      <c r="CQ68" s="557"/>
      <c r="CR68" s="460">
        <f>CM68*1.025</f>
        <v>15.759374999999997</v>
      </c>
      <c r="CS68" s="710"/>
      <c r="CT68" s="710"/>
      <c r="CU68" s="710"/>
      <c r="CV68" s="710"/>
      <c r="CW68" s="460">
        <f>CR68*1.025</f>
        <v>16.153359374999994</v>
      </c>
      <c r="CX68" s="710"/>
      <c r="CY68" s="710"/>
      <c r="CZ68" s="710"/>
      <c r="DA68" s="710"/>
      <c r="DB68" s="460">
        <f>CW68*1.025</f>
        <v>16.557193359374992</v>
      </c>
      <c r="DC68" s="710"/>
      <c r="DD68" s="710"/>
      <c r="DE68" s="710"/>
      <c r="DF68" s="710"/>
      <c r="DG68" s="460">
        <f>DB68*1.025</f>
        <v>16.971123193359364</v>
      </c>
      <c r="DH68" s="710"/>
      <c r="DI68" s="710"/>
      <c r="DJ68" s="710"/>
      <c r="DK68" s="710"/>
      <c r="DL68" s="460">
        <f>DG68*1.025</f>
        <v>17.395401273193347</v>
      </c>
      <c r="DM68" s="710"/>
      <c r="DN68" s="710"/>
      <c r="DO68" s="710"/>
      <c r="DP68" s="710"/>
      <c r="DQ68" s="460">
        <f>DL68*1.025</f>
        <v>17.830286305023179</v>
      </c>
      <c r="DR68" s="710"/>
      <c r="DS68" s="710"/>
      <c r="DT68" s="710"/>
      <c r="DU68" s="710"/>
      <c r="DV68" s="460">
        <f>DQ68*1.025</f>
        <v>18.276043462648758</v>
      </c>
      <c r="DW68" s="710"/>
      <c r="DX68" s="710"/>
      <c r="DY68" s="710"/>
      <c r="DZ68" s="710"/>
      <c r="EA68" s="460">
        <f>DV68*1.025</f>
        <v>18.732944549214974</v>
      </c>
      <c r="EB68" s="710"/>
      <c r="EC68" s="710"/>
      <c r="ED68" s="710"/>
      <c r="EE68" s="710"/>
      <c r="EF68" s="460">
        <f>EA68*1.025</f>
        <v>19.201268162945347</v>
      </c>
      <c r="EG68" s="710"/>
      <c r="EH68" s="710"/>
      <c r="EI68" s="710"/>
      <c r="EJ68" s="710"/>
      <c r="EK68" s="460">
        <f>EF68*1.025</f>
        <v>19.681299867018978</v>
      </c>
      <c r="EL68" s="710"/>
      <c r="EM68" s="710"/>
      <c r="EN68" s="710"/>
      <c r="EO68" s="710"/>
      <c r="EP68" s="460">
        <f>EK68*1.025</f>
        <v>20.173332363694453</v>
      </c>
      <c r="EQ68" s="710"/>
      <c r="ER68" s="710"/>
      <c r="ES68" s="710"/>
      <c r="ET68" s="710"/>
      <c r="EU68" s="460">
        <f>EP68*1.025</f>
        <v>20.677665672786812</v>
      </c>
      <c r="EV68" s="710"/>
      <c r="EW68" s="710"/>
      <c r="EX68" s="710"/>
      <c r="EY68" s="710"/>
      <c r="EZ68" s="460">
        <f>EU68*1.025</f>
        <v>21.194607314606479</v>
      </c>
    </row>
    <row r="69" spans="2:156" collapsed="1">
      <c r="B69" s="351" t="s">
        <v>68</v>
      </c>
      <c r="C69" s="450"/>
      <c r="D69" s="450"/>
      <c r="E69" s="450"/>
      <c r="F69" s="450"/>
      <c r="G69" s="450"/>
      <c r="H69" s="450"/>
      <c r="I69" s="450"/>
      <c r="J69" s="450"/>
      <c r="K69" s="356"/>
      <c r="L69" s="448"/>
      <c r="M69" s="448"/>
      <c r="N69" s="448">
        <v>2.6</v>
      </c>
      <c r="O69" s="448">
        <v>5.4</v>
      </c>
      <c r="P69" s="356">
        <f>O69+N69+M69+L69</f>
        <v>8</v>
      </c>
      <c r="Q69" s="448"/>
      <c r="R69" s="448"/>
      <c r="S69" s="448"/>
      <c r="T69" s="357"/>
      <c r="U69" s="356"/>
      <c r="V69" s="448"/>
      <c r="W69" s="448"/>
      <c r="X69" s="448"/>
      <c r="Y69" s="448">
        <v>6</v>
      </c>
      <c r="Z69" s="356">
        <f>Y69+X69+W69+V69</f>
        <v>6</v>
      </c>
      <c r="AA69" s="448"/>
      <c r="AB69" s="448"/>
      <c r="AC69" s="448"/>
      <c r="AD69" s="448"/>
      <c r="AE69" s="356"/>
      <c r="AF69" s="448"/>
      <c r="AG69" s="448"/>
      <c r="AH69" s="448"/>
      <c r="AI69" s="448"/>
      <c r="AJ69" s="356"/>
      <c r="AK69" s="448">
        <v>9</v>
      </c>
      <c r="AL69" s="448">
        <v>8</v>
      </c>
      <c r="AM69" s="448">
        <v>9</v>
      </c>
      <c r="AN69" s="448">
        <v>9</v>
      </c>
      <c r="AO69" s="356">
        <f>AN69+AM69+AL69+AK69</f>
        <v>35</v>
      </c>
      <c r="AP69" s="448">
        <v>10</v>
      </c>
      <c r="AQ69" s="448">
        <v>12</v>
      </c>
      <c r="AR69" s="448">
        <v>12</v>
      </c>
      <c r="AS69" s="448">
        <v>10</v>
      </c>
      <c r="AT69" s="356">
        <f>AS69+AR69+AQ69+AP69</f>
        <v>44</v>
      </c>
      <c r="AU69" s="358"/>
      <c r="AV69" s="358"/>
      <c r="AW69" s="358"/>
      <c r="AX69" s="358"/>
      <c r="AY69" s="356"/>
      <c r="AZ69" s="358"/>
      <c r="BA69" s="358"/>
      <c r="BB69" s="358"/>
      <c r="BC69" s="358"/>
      <c r="BD69" s="356"/>
      <c r="BE69" s="358"/>
      <c r="BF69" s="358">
        <v>11</v>
      </c>
      <c r="BG69" s="358">
        <v>26</v>
      </c>
      <c r="BH69" s="358">
        <v>21</v>
      </c>
      <c r="BI69" s="356">
        <f>BH69+BG69+BF69+BE69</f>
        <v>58</v>
      </c>
      <c r="BJ69" s="358">
        <v>15</v>
      </c>
      <c r="BK69" s="358">
        <v>27</v>
      </c>
      <c r="BL69" s="358">
        <v>46</v>
      </c>
      <c r="BM69" s="358">
        <v>85</v>
      </c>
      <c r="BN69" s="356">
        <f>BM69+BL69+BK69+BJ69</f>
        <v>173</v>
      </c>
      <c r="BO69" s="467">
        <v>59</v>
      </c>
      <c r="BP69" s="467">
        <v>74</v>
      </c>
      <c r="BQ69" s="467">
        <v>40</v>
      </c>
      <c r="BR69" s="474">
        <v>73</v>
      </c>
      <c r="BS69" s="356">
        <f>BR69+BQ69+BP69+BO69</f>
        <v>246</v>
      </c>
      <c r="BT69" s="474">
        <v>38</v>
      </c>
      <c r="BU69" s="474">
        <v>59</v>
      </c>
      <c r="BV69" s="474">
        <v>46</v>
      </c>
      <c r="BW69" s="474">
        <v>63</v>
      </c>
      <c r="BX69" s="356">
        <f>BW69+BV69+BU69+BT69</f>
        <v>206</v>
      </c>
      <c r="BY69" s="474">
        <v>47</v>
      </c>
      <c r="BZ69" s="474">
        <v>54</v>
      </c>
      <c r="CA69" s="474">
        <f>44-CA52-CA60</f>
        <v>43</v>
      </c>
      <c r="CB69" s="474">
        <f>62-CB52-CB60</f>
        <v>59</v>
      </c>
      <c r="CC69" s="356">
        <f>SUM(BY69:CB69)</f>
        <v>203</v>
      </c>
      <c r="CD69" s="474">
        <v>37</v>
      </c>
      <c r="CE69" s="474">
        <v>51</v>
      </c>
      <c r="CF69" s="474">
        <v>46</v>
      </c>
      <c r="CG69" s="474">
        <v>56</v>
      </c>
      <c r="CH69" s="356">
        <f>CD69+CE69+CF69+CG69</f>
        <v>190</v>
      </c>
      <c r="CI69" s="474">
        <v>42</v>
      </c>
      <c r="CJ69" s="474">
        <v>42</v>
      </c>
      <c r="CK69" s="474">
        <v>45</v>
      </c>
      <c r="CL69" s="474">
        <v>59</v>
      </c>
      <c r="CM69" s="356">
        <f>SUM(CI69:CL69)</f>
        <v>188</v>
      </c>
      <c r="CN69" s="474">
        <v>44</v>
      </c>
      <c r="CO69" s="467">
        <f>CR69/4</f>
        <v>49.696875000000006</v>
      </c>
      <c r="CP69" s="467">
        <f>CR69/4</f>
        <v>49.696875000000006</v>
      </c>
      <c r="CQ69" s="467">
        <f>CR69-SUM(CN69:CP69)</f>
        <v>55.393750000000011</v>
      </c>
      <c r="CR69" s="356">
        <f>CR70+CR71+CR72</f>
        <v>198.78750000000002</v>
      </c>
      <c r="CS69" s="467">
        <f>CW69/4</f>
        <v>55.881718750000005</v>
      </c>
      <c r="CT69" s="467">
        <f>CW69/4</f>
        <v>55.881718750000005</v>
      </c>
      <c r="CU69" s="467">
        <f>CW69/4</f>
        <v>55.881718750000005</v>
      </c>
      <c r="CV69" s="467">
        <f>CW69-SUM(CS69:CU69)</f>
        <v>55.881718750000005</v>
      </c>
      <c r="CW69" s="356">
        <f>CW70+CW71+CW72</f>
        <v>223.52687500000002</v>
      </c>
      <c r="CX69" s="467">
        <f>DB69/4</f>
        <v>62.565804687500005</v>
      </c>
      <c r="CY69" s="467">
        <f>DB69/4</f>
        <v>62.565804687500005</v>
      </c>
      <c r="CZ69" s="467">
        <f>DB69/4</f>
        <v>62.565804687500005</v>
      </c>
      <c r="DA69" s="467">
        <f>DB69-SUM(CX69:CZ69)</f>
        <v>62.56580468750002</v>
      </c>
      <c r="DB69" s="356">
        <f>DB70+DB71+DB72</f>
        <v>250.26321875000002</v>
      </c>
      <c r="DC69" s="467">
        <f>DG69/4</f>
        <v>69.212094921875007</v>
      </c>
      <c r="DD69" s="467">
        <f>DG69/4</f>
        <v>69.212094921875007</v>
      </c>
      <c r="DE69" s="467">
        <f>DG69/4</f>
        <v>69.212094921875007</v>
      </c>
      <c r="DF69" s="467">
        <f>DG69-SUM(DC69:DE69)</f>
        <v>69.212094921875007</v>
      </c>
      <c r="DG69" s="356">
        <f>DG70+DG71+DG72</f>
        <v>276.84837968750003</v>
      </c>
      <c r="DH69" s="467">
        <f>DL69/4</f>
        <v>72.937849667968763</v>
      </c>
      <c r="DI69" s="467">
        <f>DL69/4</f>
        <v>72.937849667968763</v>
      </c>
      <c r="DJ69" s="467">
        <f>DL69/4</f>
        <v>72.937849667968763</v>
      </c>
      <c r="DK69" s="467">
        <f>DL69/4</f>
        <v>72.937849667968763</v>
      </c>
      <c r="DL69" s="356">
        <f>DL70+DL71+DL72</f>
        <v>291.75139867187505</v>
      </c>
      <c r="DM69" s="467">
        <f>DQ69/4</f>
        <v>75.654862151367212</v>
      </c>
      <c r="DN69" s="467">
        <f>DQ69/4</f>
        <v>75.654862151367212</v>
      </c>
      <c r="DO69" s="467">
        <f>DQ69/4</f>
        <v>75.654862151367212</v>
      </c>
      <c r="DP69" s="467">
        <f>DQ69/4</f>
        <v>75.654862151367212</v>
      </c>
      <c r="DQ69" s="356">
        <f>DQ70+DQ71+DQ72</f>
        <v>302.61944860546885</v>
      </c>
      <c r="DR69" s="467">
        <f>DV69/4</f>
        <v>77.627707133935559</v>
      </c>
      <c r="DS69" s="467">
        <f>DV69/4</f>
        <v>77.627707133935559</v>
      </c>
      <c r="DT69" s="467">
        <f>DV69/4</f>
        <v>77.627707133935559</v>
      </c>
      <c r="DU69" s="467">
        <f>DV69/4</f>
        <v>77.627707133935559</v>
      </c>
      <c r="DV69" s="356">
        <f>DV70+DV71+DV72</f>
        <v>310.51082853574223</v>
      </c>
      <c r="DW69" s="467">
        <f>EA69/4</f>
        <v>79.298232834382347</v>
      </c>
      <c r="DX69" s="467">
        <f>EA69/4</f>
        <v>79.298232834382347</v>
      </c>
      <c r="DY69" s="467">
        <f>EA69/4</f>
        <v>79.298232834382347</v>
      </c>
      <c r="DZ69" s="467">
        <f>EA69/4</f>
        <v>79.298232834382347</v>
      </c>
      <c r="EA69" s="356">
        <f>EA70+EA71+EA72</f>
        <v>317.19293133752939</v>
      </c>
      <c r="EB69" s="467">
        <f>EF69/4</f>
        <v>81.086283557351464</v>
      </c>
      <c r="EC69" s="467">
        <f>EF69/4</f>
        <v>81.086283557351464</v>
      </c>
      <c r="ED69" s="467">
        <f>EF69/4</f>
        <v>81.086283557351464</v>
      </c>
      <c r="EE69" s="467">
        <f>EF69/4</f>
        <v>81.086283557351464</v>
      </c>
      <c r="EF69" s="356">
        <f>EF70+EF71+EF72</f>
        <v>324.34513422940586</v>
      </c>
      <c r="EG69" s="467">
        <f>EK69/4</f>
        <v>82.571430507406546</v>
      </c>
      <c r="EH69" s="467">
        <f>EK69/4</f>
        <v>82.571430507406546</v>
      </c>
      <c r="EI69" s="467">
        <f>EK69/4</f>
        <v>82.571430507406546</v>
      </c>
      <c r="EJ69" s="467">
        <f>EK69/4</f>
        <v>82.571430507406546</v>
      </c>
      <c r="EK69" s="356">
        <f>EK70+EK71+EK72</f>
        <v>330.28572202962619</v>
      </c>
      <c r="EL69" s="467">
        <f>EP69/4</f>
        <v>83.360084636620627</v>
      </c>
      <c r="EM69" s="467">
        <f>EP69/4</f>
        <v>83.360084636620627</v>
      </c>
      <c r="EN69" s="467">
        <f>EP69/4</f>
        <v>83.360084636620627</v>
      </c>
      <c r="EO69" s="467">
        <f>EP69/4</f>
        <v>83.360084636620627</v>
      </c>
      <c r="EP69" s="356">
        <f>EP70+EP71+EP72</f>
        <v>333.44033854648251</v>
      </c>
      <c r="EQ69" s="467">
        <f>EU69/4</f>
        <v>84.355167342103215</v>
      </c>
      <c r="ER69" s="467">
        <f>EU69/4</f>
        <v>84.355167342103215</v>
      </c>
      <c r="ES69" s="467">
        <f>EU69/4</f>
        <v>84.355167342103215</v>
      </c>
      <c r="ET69" s="467">
        <f>EU69/4</f>
        <v>84.355167342103215</v>
      </c>
      <c r="EU69" s="356">
        <f>EU70+EU71+EU72</f>
        <v>337.42066936841286</v>
      </c>
      <c r="EV69" s="467">
        <f>EZ69/4</f>
        <v>84.809902503562142</v>
      </c>
      <c r="EW69" s="467">
        <f>EZ69/4</f>
        <v>84.809902503562142</v>
      </c>
      <c r="EX69" s="467">
        <f>EZ69/4</f>
        <v>84.809902503562142</v>
      </c>
      <c r="EY69" s="467">
        <f>EZ69/4</f>
        <v>84.809902503562142</v>
      </c>
      <c r="EZ69" s="356">
        <f>EZ70+EZ71+EZ72</f>
        <v>339.23961001424857</v>
      </c>
    </row>
    <row r="70" spans="2:156" hidden="1" outlineLevel="1">
      <c r="B70" s="453" t="s">
        <v>870</v>
      </c>
      <c r="C70" s="450"/>
      <c r="D70" s="450"/>
      <c r="E70" s="450"/>
      <c r="F70" s="450"/>
      <c r="G70" s="450"/>
      <c r="H70" s="450"/>
      <c r="I70" s="450"/>
      <c r="J70" s="450"/>
      <c r="K70" s="356"/>
      <c r="L70" s="448"/>
      <c r="M70" s="448"/>
      <c r="N70" s="448"/>
      <c r="O70" s="448"/>
      <c r="P70" s="356"/>
      <c r="Q70" s="448"/>
      <c r="R70" s="448"/>
      <c r="S70" s="448"/>
      <c r="T70" s="357"/>
      <c r="U70" s="356"/>
      <c r="V70" s="448"/>
      <c r="W70" s="448"/>
      <c r="X70" s="448"/>
      <c r="Y70" s="448"/>
      <c r="Z70" s="356"/>
      <c r="AA70" s="448"/>
      <c r="AB70" s="448"/>
      <c r="AC70" s="448"/>
      <c r="AD70" s="448"/>
      <c r="AE70" s="356"/>
      <c r="AF70" s="448"/>
      <c r="AG70" s="448"/>
      <c r="AH70" s="448"/>
      <c r="AI70" s="448"/>
      <c r="AJ70" s="356"/>
      <c r="AK70" s="448"/>
      <c r="AL70" s="448"/>
      <c r="AM70" s="448"/>
      <c r="AN70" s="448"/>
      <c r="AO70" s="356"/>
      <c r="AP70" s="448"/>
      <c r="AQ70" s="448"/>
      <c r="AR70" s="448"/>
      <c r="AS70" s="448"/>
      <c r="AT70" s="356"/>
      <c r="AU70" s="358"/>
      <c r="AV70" s="358"/>
      <c r="AW70" s="358"/>
      <c r="AX70" s="358"/>
      <c r="AY70" s="356"/>
      <c r="AZ70" s="358"/>
      <c r="BA70" s="358"/>
      <c r="BB70" s="358"/>
      <c r="BC70" s="358"/>
      <c r="BD70" s="356"/>
      <c r="BE70" s="358"/>
      <c r="BF70" s="358"/>
      <c r="BG70" s="358"/>
      <c r="BH70" s="358"/>
      <c r="BI70" s="356"/>
      <c r="BJ70" s="358"/>
      <c r="BK70" s="358"/>
      <c r="BL70" s="358"/>
      <c r="BM70" s="358"/>
      <c r="BN70" s="356"/>
      <c r="BO70" s="467"/>
      <c r="BP70" s="467"/>
      <c r="BQ70" s="467"/>
      <c r="BR70" s="474"/>
      <c r="BS70" s="356"/>
      <c r="BT70" s="474"/>
      <c r="BU70" s="474"/>
      <c r="BV70" s="474"/>
      <c r="BW70" s="474"/>
      <c r="BX70" s="356"/>
      <c r="BY70" s="474"/>
      <c r="BZ70" s="474"/>
      <c r="CA70" s="474"/>
      <c r="CB70" s="474"/>
      <c r="CC70" s="356"/>
      <c r="CD70" s="474"/>
      <c r="CE70" s="474"/>
      <c r="CF70" s="467"/>
      <c r="CG70" s="467"/>
      <c r="CH70" s="456">
        <v>30</v>
      </c>
      <c r="CI70" s="467"/>
      <c r="CJ70" s="467"/>
      <c r="CK70" s="467"/>
      <c r="CL70" s="467"/>
      <c r="CM70" s="456">
        <v>35</v>
      </c>
      <c r="CN70" s="467"/>
      <c r="CO70" s="467"/>
      <c r="CP70" s="467"/>
      <c r="CQ70" s="467"/>
      <c r="CR70" s="356">
        <f>CM70*1.2</f>
        <v>42</v>
      </c>
      <c r="CS70" s="467"/>
      <c r="CT70" s="467"/>
      <c r="CU70" s="467"/>
      <c r="CV70" s="467"/>
      <c r="CW70" s="356">
        <f>CR70*1.2</f>
        <v>50.4</v>
      </c>
      <c r="CX70" s="467"/>
      <c r="CY70" s="467"/>
      <c r="CZ70" s="467"/>
      <c r="DA70" s="467"/>
      <c r="DB70" s="356">
        <f>CW70*1.2</f>
        <v>60.48</v>
      </c>
      <c r="DC70" s="467"/>
      <c r="DD70" s="467"/>
      <c r="DE70" s="467"/>
      <c r="DF70" s="467"/>
      <c r="DG70" s="356">
        <f>DB70*1.2</f>
        <v>72.575999999999993</v>
      </c>
      <c r="DH70" s="467"/>
      <c r="DI70" s="467"/>
      <c r="DJ70" s="467"/>
      <c r="DK70" s="467"/>
      <c r="DL70" s="356">
        <f>DG70*1.025</f>
        <v>74.390399999999985</v>
      </c>
      <c r="DM70" s="467"/>
      <c r="DN70" s="467"/>
      <c r="DO70" s="467"/>
      <c r="DP70" s="467"/>
      <c r="DQ70" s="356">
        <f>DL70</f>
        <v>74.390399999999985</v>
      </c>
      <c r="DR70" s="467"/>
      <c r="DS70" s="467"/>
      <c r="DT70" s="467"/>
      <c r="DU70" s="467"/>
      <c r="DV70" s="356">
        <f>DQ70*0.975</f>
        <v>72.530639999999991</v>
      </c>
      <c r="DW70" s="467"/>
      <c r="DX70" s="467"/>
      <c r="DY70" s="467"/>
      <c r="DZ70" s="467"/>
      <c r="EA70" s="356">
        <f>DV70*0.975</f>
        <v>70.717373999999992</v>
      </c>
      <c r="EB70" s="467"/>
      <c r="EC70" s="467"/>
      <c r="ED70" s="467"/>
      <c r="EE70" s="467"/>
      <c r="EF70" s="356">
        <f>EA70*0.975</f>
        <v>68.949439649999988</v>
      </c>
      <c r="EG70" s="467"/>
      <c r="EH70" s="467"/>
      <c r="EI70" s="467"/>
      <c r="EJ70" s="467"/>
      <c r="EK70" s="356">
        <f>EF70*0.975</f>
        <v>67.225703658749993</v>
      </c>
      <c r="EL70" s="467"/>
      <c r="EM70" s="467"/>
      <c r="EN70" s="467"/>
      <c r="EO70" s="467"/>
      <c r="EP70" s="356">
        <f>EK70*0.95</f>
        <v>63.864418475812492</v>
      </c>
      <c r="EQ70" s="467"/>
      <c r="ER70" s="467"/>
      <c r="ES70" s="467"/>
      <c r="ET70" s="467"/>
      <c r="EU70" s="356">
        <f>EP70*0.95</f>
        <v>60.671197552021866</v>
      </c>
      <c r="EV70" s="467"/>
      <c r="EW70" s="467"/>
      <c r="EX70" s="467"/>
      <c r="EY70" s="467"/>
      <c r="EZ70" s="356">
        <f>EU70*0.95</f>
        <v>57.637637674420773</v>
      </c>
    </row>
    <row r="71" spans="2:156" hidden="1" outlineLevel="1">
      <c r="B71" s="453" t="s">
        <v>869</v>
      </c>
      <c r="C71" s="450"/>
      <c r="D71" s="450"/>
      <c r="E71" s="450"/>
      <c r="F71" s="450"/>
      <c r="G71" s="450"/>
      <c r="H71" s="450"/>
      <c r="I71" s="450"/>
      <c r="J71" s="450"/>
      <c r="K71" s="356"/>
      <c r="L71" s="448"/>
      <c r="M71" s="448"/>
      <c r="N71" s="448"/>
      <c r="O71" s="448"/>
      <c r="P71" s="356"/>
      <c r="Q71" s="448"/>
      <c r="R71" s="448"/>
      <c r="S71" s="448"/>
      <c r="T71" s="357"/>
      <c r="U71" s="356"/>
      <c r="V71" s="448"/>
      <c r="W71" s="448"/>
      <c r="X71" s="448"/>
      <c r="Y71" s="448"/>
      <c r="Z71" s="356"/>
      <c r="AA71" s="448"/>
      <c r="AB71" s="448"/>
      <c r="AC71" s="448"/>
      <c r="AD71" s="448"/>
      <c r="AE71" s="356"/>
      <c r="AF71" s="448"/>
      <c r="AG71" s="448"/>
      <c r="AH71" s="448"/>
      <c r="AI71" s="448"/>
      <c r="AJ71" s="356"/>
      <c r="AK71" s="448"/>
      <c r="AL71" s="448"/>
      <c r="AM71" s="448"/>
      <c r="AN71" s="448"/>
      <c r="AO71" s="356"/>
      <c r="AP71" s="448"/>
      <c r="AQ71" s="448"/>
      <c r="AR71" s="448"/>
      <c r="AS71" s="448"/>
      <c r="AT71" s="356"/>
      <c r="AU71" s="358"/>
      <c r="AV71" s="358"/>
      <c r="AW71" s="358"/>
      <c r="AX71" s="358"/>
      <c r="AY71" s="356"/>
      <c r="AZ71" s="358"/>
      <c r="BA71" s="358"/>
      <c r="BB71" s="358"/>
      <c r="BC71" s="358"/>
      <c r="BD71" s="356"/>
      <c r="BE71" s="358"/>
      <c r="BF71" s="358"/>
      <c r="BG71" s="358"/>
      <c r="BH71" s="358"/>
      <c r="BI71" s="356"/>
      <c r="BJ71" s="358"/>
      <c r="BK71" s="358"/>
      <c r="BL71" s="358"/>
      <c r="BM71" s="358"/>
      <c r="BN71" s="356"/>
      <c r="BO71" s="467"/>
      <c r="BP71" s="467"/>
      <c r="BQ71" s="467"/>
      <c r="BR71" s="474"/>
      <c r="BS71" s="356"/>
      <c r="BT71" s="474"/>
      <c r="BU71" s="474"/>
      <c r="BV71" s="474"/>
      <c r="BW71" s="474"/>
      <c r="BX71" s="356"/>
      <c r="BY71" s="474"/>
      <c r="BZ71" s="474"/>
      <c r="CA71" s="474"/>
      <c r="CB71" s="474"/>
      <c r="CC71" s="356"/>
      <c r="CD71" s="474"/>
      <c r="CE71" s="474"/>
      <c r="CF71" s="467"/>
      <c r="CG71" s="467"/>
      <c r="CH71" s="456">
        <v>40</v>
      </c>
      <c r="CI71" s="467"/>
      <c r="CJ71" s="467"/>
      <c r="CK71" s="467"/>
      <c r="CL71" s="467"/>
      <c r="CM71" s="456">
        <v>20</v>
      </c>
      <c r="CN71" s="467"/>
      <c r="CO71" s="467"/>
      <c r="CP71" s="467"/>
      <c r="CQ71" s="467"/>
      <c r="CR71" s="456">
        <v>30</v>
      </c>
      <c r="CS71" s="467"/>
      <c r="CT71" s="467"/>
      <c r="CU71" s="467"/>
      <c r="CV71" s="467"/>
      <c r="CW71" s="456">
        <v>40</v>
      </c>
      <c r="CX71" s="467"/>
      <c r="CY71" s="467"/>
      <c r="CZ71" s="467"/>
      <c r="DA71" s="467"/>
      <c r="DB71" s="456">
        <v>50</v>
      </c>
      <c r="DC71" s="467"/>
      <c r="DD71" s="467"/>
      <c r="DE71" s="467"/>
      <c r="DF71" s="467"/>
      <c r="DG71" s="356">
        <f>DB71*1.15</f>
        <v>57.499999999999993</v>
      </c>
      <c r="DH71" s="467"/>
      <c r="DI71" s="467"/>
      <c r="DJ71" s="467"/>
      <c r="DK71" s="467"/>
      <c r="DL71" s="356">
        <f>DG71*1.1</f>
        <v>63.25</v>
      </c>
      <c r="DM71" s="467"/>
      <c r="DN71" s="467"/>
      <c r="DO71" s="467"/>
      <c r="DP71" s="467"/>
      <c r="DQ71" s="356">
        <f>DL71*1.05</f>
        <v>66.412500000000009</v>
      </c>
      <c r="DR71" s="467"/>
      <c r="DS71" s="467"/>
      <c r="DT71" s="467"/>
      <c r="DU71" s="467"/>
      <c r="DV71" s="356">
        <f>DQ71*1.025</f>
        <v>68.072812499999998</v>
      </c>
      <c r="DW71" s="467"/>
      <c r="DX71" s="467"/>
      <c r="DY71" s="467"/>
      <c r="DZ71" s="467"/>
      <c r="EA71" s="356">
        <f>DV71</f>
        <v>68.072812499999998</v>
      </c>
      <c r="EB71" s="467"/>
      <c r="EC71" s="467"/>
      <c r="ED71" s="467"/>
      <c r="EE71" s="467"/>
      <c r="EF71" s="356">
        <f>EA71</f>
        <v>68.072812499999998</v>
      </c>
      <c r="EG71" s="467"/>
      <c r="EH71" s="467"/>
      <c r="EI71" s="467"/>
      <c r="EJ71" s="467"/>
      <c r="EK71" s="356">
        <f>EF71*0.975</f>
        <v>66.370992187499994</v>
      </c>
      <c r="EL71" s="467"/>
      <c r="EM71" s="467"/>
      <c r="EN71" s="467"/>
      <c r="EO71" s="467"/>
      <c r="EP71" s="356">
        <f>EK71*0.95</f>
        <v>63.052442578124989</v>
      </c>
      <c r="EQ71" s="467"/>
      <c r="ER71" s="467"/>
      <c r="ES71" s="467"/>
      <c r="ET71" s="467"/>
      <c r="EU71" s="356">
        <f>EP71*0.95</f>
        <v>59.899820449218737</v>
      </c>
      <c r="EV71" s="467"/>
      <c r="EW71" s="467"/>
      <c r="EX71" s="467"/>
      <c r="EY71" s="467"/>
      <c r="EZ71" s="356">
        <f>EU71*0.9</f>
        <v>53.909838404296863</v>
      </c>
    </row>
    <row r="72" spans="2:156" hidden="1" outlineLevel="1">
      <c r="B72" s="453" t="s">
        <v>107</v>
      </c>
      <c r="C72" s="450"/>
      <c r="D72" s="450"/>
      <c r="E72" s="450"/>
      <c r="F72" s="450"/>
      <c r="G72" s="450"/>
      <c r="H72" s="450"/>
      <c r="I72" s="450"/>
      <c r="J72" s="450"/>
      <c r="K72" s="450"/>
      <c r="L72" s="448"/>
      <c r="M72" s="448"/>
      <c r="N72" s="448"/>
      <c r="O72" s="448"/>
      <c r="P72" s="450"/>
      <c r="Q72" s="448"/>
      <c r="R72" s="448"/>
      <c r="S72" s="448"/>
      <c r="T72" s="357"/>
      <c r="U72" s="450"/>
      <c r="V72" s="448"/>
      <c r="W72" s="448"/>
      <c r="X72" s="448"/>
      <c r="Y72" s="448"/>
      <c r="Z72" s="450"/>
      <c r="AA72" s="448"/>
      <c r="AB72" s="448"/>
      <c r="AC72" s="448"/>
      <c r="AD72" s="448"/>
      <c r="AE72" s="450"/>
      <c r="AF72" s="448"/>
      <c r="AG72" s="448"/>
      <c r="AH72" s="448"/>
      <c r="AI72" s="448"/>
      <c r="AJ72" s="450"/>
      <c r="AK72" s="448"/>
      <c r="AL72" s="448"/>
      <c r="AM72" s="448"/>
      <c r="AN72" s="448"/>
      <c r="AO72" s="450"/>
      <c r="AP72" s="448"/>
      <c r="AQ72" s="448"/>
      <c r="AR72" s="448"/>
      <c r="AS72" s="448"/>
      <c r="AT72" s="356"/>
      <c r="AU72" s="358"/>
      <c r="AV72" s="358"/>
      <c r="AW72" s="358"/>
      <c r="AX72" s="358"/>
      <c r="AY72" s="356"/>
      <c r="AZ72" s="358"/>
      <c r="BA72" s="358"/>
      <c r="BB72" s="358"/>
      <c r="BC72" s="358"/>
      <c r="BD72" s="356"/>
      <c r="BE72" s="358"/>
      <c r="BF72" s="358"/>
      <c r="BG72" s="358"/>
      <c r="BH72" s="358"/>
      <c r="BI72" s="356"/>
      <c r="BJ72" s="358"/>
      <c r="BK72" s="358"/>
      <c r="BL72" s="358"/>
      <c r="BM72" s="358"/>
      <c r="BN72" s="356"/>
      <c r="BO72" s="467"/>
      <c r="BP72" s="467"/>
      <c r="BQ72" s="467"/>
      <c r="BR72" s="467"/>
      <c r="BS72" s="356"/>
      <c r="BT72" s="464"/>
      <c r="BU72" s="464"/>
      <c r="BV72" s="464"/>
      <c r="BW72" s="464"/>
      <c r="BX72" s="449"/>
      <c r="BY72" s="464"/>
      <c r="BZ72" s="464"/>
      <c r="CA72" s="464"/>
      <c r="CB72" s="464"/>
      <c r="CC72" s="449"/>
      <c r="CD72" s="464"/>
      <c r="CE72" s="464"/>
      <c r="CF72" s="464"/>
      <c r="CG72" s="464"/>
      <c r="CH72" s="456">
        <v>115</v>
      </c>
      <c r="CI72" s="557"/>
      <c r="CJ72" s="557"/>
      <c r="CK72" s="557"/>
      <c r="CL72" s="557"/>
      <c r="CM72" s="460">
        <f>CH72*1.05</f>
        <v>120.75</v>
      </c>
      <c r="CN72" s="557"/>
      <c r="CO72" s="557"/>
      <c r="CP72" s="557"/>
      <c r="CQ72" s="557"/>
      <c r="CR72" s="460">
        <f>CM72*1.05</f>
        <v>126.78750000000001</v>
      </c>
      <c r="CS72" s="710"/>
      <c r="CT72" s="710"/>
      <c r="CU72" s="710"/>
      <c r="CV72" s="710"/>
      <c r="CW72" s="460">
        <f>CR72*1.05</f>
        <v>133.12687500000001</v>
      </c>
      <c r="CX72" s="710"/>
      <c r="CY72" s="710"/>
      <c r="CZ72" s="710"/>
      <c r="DA72" s="710"/>
      <c r="DB72" s="460">
        <f>CW72*1.05</f>
        <v>139.78321875000003</v>
      </c>
      <c r="DC72" s="710"/>
      <c r="DD72" s="710"/>
      <c r="DE72" s="710"/>
      <c r="DF72" s="710"/>
      <c r="DG72" s="460">
        <f>DB72*1.05</f>
        <v>146.77237968750003</v>
      </c>
      <c r="DH72" s="710"/>
      <c r="DI72" s="710"/>
      <c r="DJ72" s="710"/>
      <c r="DK72" s="710"/>
      <c r="DL72" s="460">
        <f>DG72*1.05</f>
        <v>154.11099867187505</v>
      </c>
      <c r="DM72" s="710"/>
      <c r="DN72" s="710"/>
      <c r="DO72" s="710"/>
      <c r="DP72" s="710"/>
      <c r="DQ72" s="460">
        <f>DL72*1.05</f>
        <v>161.81654860546882</v>
      </c>
      <c r="DR72" s="710"/>
      <c r="DS72" s="710"/>
      <c r="DT72" s="710"/>
      <c r="DU72" s="710"/>
      <c r="DV72" s="460">
        <f>DQ72*1.05</f>
        <v>169.90737603574226</v>
      </c>
      <c r="DW72" s="710"/>
      <c r="DX72" s="710"/>
      <c r="DY72" s="710"/>
      <c r="DZ72" s="710"/>
      <c r="EA72" s="460">
        <f>DV72*1.05</f>
        <v>178.40274483752938</v>
      </c>
      <c r="EB72" s="710"/>
      <c r="EC72" s="710"/>
      <c r="ED72" s="710"/>
      <c r="EE72" s="710"/>
      <c r="EF72" s="460">
        <f>EA72*1.05</f>
        <v>187.32288207940587</v>
      </c>
      <c r="EG72" s="710"/>
      <c r="EH72" s="710"/>
      <c r="EI72" s="710"/>
      <c r="EJ72" s="710"/>
      <c r="EK72" s="460">
        <f>EF72*1.05</f>
        <v>196.68902618337617</v>
      </c>
      <c r="EL72" s="710"/>
      <c r="EM72" s="710"/>
      <c r="EN72" s="710"/>
      <c r="EO72" s="710"/>
      <c r="EP72" s="460">
        <f>EK72*1.05</f>
        <v>206.523477492545</v>
      </c>
      <c r="EQ72" s="710"/>
      <c r="ER72" s="710"/>
      <c r="ES72" s="710"/>
      <c r="ET72" s="710"/>
      <c r="EU72" s="460">
        <f>EP72*1.05</f>
        <v>216.84965136717227</v>
      </c>
      <c r="EV72" s="710"/>
      <c r="EW72" s="710"/>
      <c r="EX72" s="710"/>
      <c r="EY72" s="710"/>
      <c r="EZ72" s="460">
        <f>EU72*1.05</f>
        <v>227.6921339355309</v>
      </c>
    </row>
    <row r="73" spans="2:156" hidden="1" outlineLevel="1">
      <c r="B73" s="455" t="s">
        <v>108</v>
      </c>
      <c r="C73" s="450"/>
      <c r="D73" s="450"/>
      <c r="E73" s="450"/>
      <c r="F73" s="450"/>
      <c r="G73" s="450"/>
      <c r="H73" s="450"/>
      <c r="I73" s="450"/>
      <c r="J73" s="450"/>
      <c r="K73" s="450"/>
      <c r="L73" s="448"/>
      <c r="M73" s="448"/>
      <c r="N73" s="448"/>
      <c r="O73" s="448"/>
      <c r="P73" s="450"/>
      <c r="Q73" s="448"/>
      <c r="R73" s="448"/>
      <c r="S73" s="448"/>
      <c r="T73" s="357"/>
      <c r="U73" s="450"/>
      <c r="V73" s="448"/>
      <c r="W73" s="448"/>
      <c r="X73" s="448"/>
      <c r="Y73" s="448"/>
      <c r="Z73" s="450"/>
      <c r="AA73" s="448">
        <v>9</v>
      </c>
      <c r="AB73" s="448">
        <v>9</v>
      </c>
      <c r="AC73" s="448">
        <v>9</v>
      </c>
      <c r="AD73" s="448">
        <v>13</v>
      </c>
      <c r="AE73" s="450">
        <f>AD73+AC73+AB73+AA73</f>
        <v>40</v>
      </c>
      <c r="AF73" s="448">
        <v>10</v>
      </c>
      <c r="AG73" s="448">
        <v>10</v>
      </c>
      <c r="AH73" s="448">
        <v>9</v>
      </c>
      <c r="AI73" s="448">
        <v>10</v>
      </c>
      <c r="AJ73" s="450">
        <f>AI73+AH73+AG73+AF73</f>
        <v>39</v>
      </c>
      <c r="AK73" s="448"/>
      <c r="AL73" s="448"/>
      <c r="AM73" s="448"/>
      <c r="AN73" s="448"/>
      <c r="AO73" s="450"/>
      <c r="AP73" s="448"/>
      <c r="AQ73" s="448"/>
      <c r="AR73" s="448"/>
      <c r="AS73" s="448"/>
      <c r="AT73" s="356"/>
      <c r="AU73" s="358"/>
      <c r="AV73" s="358"/>
      <c r="AW73" s="358"/>
      <c r="AX73" s="358"/>
      <c r="AY73" s="356"/>
      <c r="AZ73" s="358"/>
      <c r="BA73" s="358"/>
      <c r="BB73" s="358"/>
      <c r="BC73" s="358"/>
      <c r="BD73" s="356"/>
      <c r="BE73" s="358"/>
      <c r="BF73" s="358"/>
      <c r="BG73" s="358"/>
      <c r="BH73" s="358"/>
      <c r="BI73" s="356"/>
      <c r="BJ73" s="358"/>
      <c r="BK73" s="358"/>
      <c r="BL73" s="358"/>
      <c r="BM73" s="358"/>
      <c r="BN73" s="356"/>
      <c r="BO73" s="467"/>
      <c r="BP73" s="467"/>
      <c r="BQ73" s="467"/>
      <c r="BR73" s="467"/>
      <c r="BS73" s="356"/>
      <c r="BT73" s="464"/>
      <c r="BU73" s="464"/>
      <c r="BV73" s="464"/>
      <c r="BW73" s="464"/>
      <c r="BX73" s="449"/>
      <c r="BY73" s="464"/>
      <c r="BZ73" s="464"/>
      <c r="CA73" s="464"/>
      <c r="CB73" s="464"/>
      <c r="CC73" s="449"/>
      <c r="CD73" s="464"/>
      <c r="CE73" s="464"/>
      <c r="CF73" s="464"/>
      <c r="CG73" s="464"/>
      <c r="CH73" s="449"/>
      <c r="CI73" s="557"/>
      <c r="CJ73" s="557"/>
      <c r="CK73" s="557"/>
      <c r="CL73" s="557"/>
      <c r="CN73" s="557"/>
      <c r="CO73" s="557"/>
      <c r="CP73" s="557"/>
      <c r="CQ73" s="557"/>
      <c r="CS73" s="557"/>
      <c r="CT73" s="557"/>
      <c r="CU73" s="557"/>
      <c r="CV73" s="557"/>
      <c r="CX73" s="557"/>
      <c r="CY73" s="557"/>
      <c r="CZ73" s="557"/>
      <c r="DA73" s="557"/>
      <c r="DC73" s="557"/>
      <c r="DD73" s="557"/>
      <c r="DE73" s="557"/>
      <c r="DF73" s="557"/>
      <c r="DH73" s="557"/>
      <c r="DI73" s="557"/>
      <c r="DJ73" s="557"/>
      <c r="DK73" s="557"/>
      <c r="DM73" s="557"/>
      <c r="DN73" s="557"/>
      <c r="DO73" s="557"/>
      <c r="DP73" s="557"/>
      <c r="DR73" s="557"/>
      <c r="DS73" s="557"/>
      <c r="DT73" s="557"/>
      <c r="DU73" s="557"/>
      <c r="DW73" s="557"/>
      <c r="DX73" s="557"/>
      <c r="DY73" s="557"/>
      <c r="DZ73" s="557"/>
      <c r="EB73" s="557"/>
      <c r="EC73" s="557"/>
      <c r="ED73" s="557"/>
      <c r="EE73" s="557"/>
      <c r="EG73" s="557"/>
      <c r="EH73" s="557"/>
      <c r="EI73" s="557"/>
      <c r="EJ73" s="557"/>
      <c r="EL73" s="557"/>
      <c r="EM73" s="557"/>
      <c r="EN73" s="557"/>
      <c r="EO73" s="557"/>
      <c r="EQ73" s="557"/>
      <c r="ER73" s="557"/>
      <c r="ES73" s="557"/>
      <c r="ET73" s="557"/>
      <c r="EV73" s="557"/>
      <c r="EW73" s="557"/>
      <c r="EX73" s="557"/>
      <c r="EY73" s="557"/>
    </row>
    <row r="74" spans="2:156" collapsed="1">
      <c r="B74" s="455"/>
      <c r="C74" s="450"/>
      <c r="D74" s="450"/>
      <c r="E74" s="450"/>
      <c r="F74" s="450"/>
      <c r="G74" s="450"/>
      <c r="H74" s="450"/>
      <c r="I74" s="450"/>
      <c r="J74" s="450"/>
      <c r="K74" s="450"/>
      <c r="L74" s="448"/>
      <c r="M74" s="448"/>
      <c r="N74" s="448"/>
      <c r="O74" s="448"/>
      <c r="P74" s="450"/>
      <c r="Q74" s="448"/>
      <c r="R74" s="448"/>
      <c r="S74" s="448"/>
      <c r="T74" s="357"/>
      <c r="U74" s="355"/>
      <c r="V74" s="448"/>
      <c r="W74" s="448"/>
      <c r="X74" s="448"/>
      <c r="Y74" s="448"/>
      <c r="Z74" s="355"/>
      <c r="AA74" s="448"/>
      <c r="AB74" s="448"/>
      <c r="AC74" s="448"/>
      <c r="AD74" s="448"/>
      <c r="AE74" s="450"/>
      <c r="AF74" s="448"/>
      <c r="AG74" s="448"/>
      <c r="AH74" s="448"/>
      <c r="AI74" s="448"/>
      <c r="AJ74" s="450"/>
      <c r="AK74" s="448"/>
      <c r="AL74" s="448"/>
      <c r="AM74" s="448"/>
      <c r="AN74" s="448"/>
      <c r="AO74" s="450"/>
      <c r="AP74" s="448"/>
      <c r="AQ74" s="448"/>
      <c r="AR74" s="448"/>
      <c r="AS74" s="448"/>
      <c r="AT74" s="356"/>
      <c r="AU74" s="358"/>
      <c r="AV74" s="358"/>
      <c r="AW74" s="358"/>
      <c r="AX74" s="358"/>
      <c r="AY74" s="356"/>
      <c r="AZ74" s="358"/>
      <c r="BA74" s="358"/>
      <c r="BB74" s="358"/>
      <c r="BC74" s="358"/>
      <c r="BD74" s="356"/>
      <c r="BE74" s="358"/>
      <c r="BF74" s="358"/>
      <c r="BG74" s="358"/>
      <c r="BH74" s="358"/>
      <c r="BI74" s="356"/>
      <c r="BJ74" s="358"/>
      <c r="BK74" s="358"/>
      <c r="BL74" s="358"/>
      <c r="BM74" s="358"/>
      <c r="BN74" s="356"/>
      <c r="BO74" s="467"/>
      <c r="BP74" s="467"/>
      <c r="BQ74" s="467"/>
      <c r="BR74" s="467"/>
      <c r="BS74" s="356"/>
      <c r="BT74" s="464"/>
      <c r="BU74" s="464"/>
      <c r="BV74" s="464"/>
      <c r="BW74" s="464"/>
      <c r="BX74" s="449"/>
      <c r="BY74" s="464"/>
      <c r="BZ74" s="464"/>
      <c r="CA74" s="464"/>
      <c r="CB74" s="464"/>
      <c r="CC74" s="449"/>
      <c r="CD74" s="464"/>
      <c r="CE74" s="464"/>
      <c r="CF74" s="464"/>
      <c r="CG74" s="464"/>
      <c r="CH74" s="449"/>
      <c r="CI74" s="557"/>
      <c r="CJ74" s="557"/>
      <c r="CK74" s="557"/>
      <c r="CL74" s="557"/>
      <c r="CN74" s="557"/>
      <c r="CO74" s="557"/>
      <c r="CP74" s="557"/>
      <c r="CQ74" s="557"/>
      <c r="CS74" s="557"/>
      <c r="CT74" s="557"/>
      <c r="CU74" s="557"/>
      <c r="CV74" s="557"/>
      <c r="CX74" s="557"/>
      <c r="CY74" s="557"/>
      <c r="CZ74" s="557"/>
      <c r="DA74" s="557"/>
      <c r="DC74" s="557"/>
      <c r="DD74" s="557"/>
      <c r="DE74" s="557"/>
      <c r="DF74" s="557"/>
      <c r="DH74" s="557"/>
      <c r="DI74" s="557"/>
      <c r="DJ74" s="557"/>
      <c r="DK74" s="557"/>
      <c r="DM74" s="557"/>
      <c r="DN74" s="557"/>
      <c r="DO74" s="557"/>
      <c r="DP74" s="557"/>
      <c r="DR74" s="557"/>
      <c r="DS74" s="557"/>
      <c r="DT74" s="557"/>
      <c r="DU74" s="557"/>
      <c r="DW74" s="557"/>
      <c r="DX74" s="557"/>
      <c r="DY74" s="557"/>
      <c r="DZ74" s="557"/>
      <c r="EB74" s="557"/>
      <c r="EC74" s="557"/>
      <c r="ED74" s="557"/>
      <c r="EE74" s="557"/>
      <c r="EG74" s="557"/>
      <c r="EH74" s="557"/>
      <c r="EI74" s="557"/>
      <c r="EJ74" s="557"/>
      <c r="EL74" s="557"/>
      <c r="EM74" s="557"/>
      <c r="EN74" s="557"/>
      <c r="EO74" s="557"/>
      <c r="EQ74" s="557"/>
      <c r="ER74" s="557"/>
      <c r="ES74" s="557"/>
      <c r="ET74" s="557"/>
      <c r="EV74" s="557"/>
      <c r="EW74" s="557"/>
      <c r="EX74" s="557"/>
      <c r="EY74" s="557"/>
    </row>
    <row r="75" spans="2:156">
      <c r="B75" s="10" t="s">
        <v>109</v>
      </c>
      <c r="C75" s="11">
        <v>1306.3219999999999</v>
      </c>
      <c r="D75" s="11">
        <f t="shared" ref="D75:Z75" si="98">D64+D45+D40+D35+D31+D23+D19+D15+D11+D7+D5</f>
        <v>1549.6</v>
      </c>
      <c r="E75" s="11">
        <f t="shared" si="98"/>
        <v>1818.6</v>
      </c>
      <c r="F75" s="11">
        <f t="shared" si="98"/>
        <v>2088.1999999999998</v>
      </c>
      <c r="G75" s="11">
        <f t="shared" si="98"/>
        <v>2219.8000000000002</v>
      </c>
      <c r="H75" s="11">
        <f t="shared" si="98"/>
        <v>2514.3999999999996</v>
      </c>
      <c r="I75" s="11">
        <f t="shared" si="98"/>
        <v>3042.7999999999997</v>
      </c>
      <c r="J75" s="11">
        <f t="shared" si="98"/>
        <v>3202.2</v>
      </c>
      <c r="K75" s="11">
        <f t="shared" si="98"/>
        <v>3511</v>
      </c>
      <c r="L75" s="12">
        <f t="shared" si="98"/>
        <v>908.6</v>
      </c>
      <c r="M75" s="12">
        <f t="shared" si="98"/>
        <v>1115.1999999999998</v>
      </c>
      <c r="N75" s="12">
        <f t="shared" si="98"/>
        <v>1345.8000000000002</v>
      </c>
      <c r="O75" s="12">
        <f t="shared" si="98"/>
        <v>1621.6</v>
      </c>
      <c r="P75" s="11">
        <f t="shared" si="98"/>
        <v>4991.2</v>
      </c>
      <c r="Q75" s="12">
        <f t="shared" si="98"/>
        <v>1635.9</v>
      </c>
      <c r="R75" s="12">
        <f t="shared" si="98"/>
        <v>1916.5</v>
      </c>
      <c r="S75" s="12">
        <f t="shared" si="98"/>
        <v>2078</v>
      </c>
      <c r="T75" s="12">
        <f t="shared" si="98"/>
        <v>2238</v>
      </c>
      <c r="U75" s="11">
        <f t="shared" si="98"/>
        <v>7868.4</v>
      </c>
      <c r="V75" s="12">
        <f t="shared" si="98"/>
        <v>2207.8000000000002</v>
      </c>
      <c r="W75" s="12">
        <f t="shared" si="98"/>
        <v>2431</v>
      </c>
      <c r="X75" s="12">
        <f t="shared" si="98"/>
        <v>2560</v>
      </c>
      <c r="Y75" s="12">
        <f t="shared" si="98"/>
        <v>2778</v>
      </c>
      <c r="Z75" s="11">
        <f t="shared" si="98"/>
        <v>9976.7999999999993</v>
      </c>
      <c r="AA75" s="12">
        <f t="shared" ref="AA75:AJ75" si="99">AA64+AA45+AA40+AA35+AA31+AA23+AA19+AA15+AA11+AA7+AA5+AA73</f>
        <v>2735</v>
      </c>
      <c r="AB75" s="12">
        <f t="shared" si="99"/>
        <v>3072</v>
      </c>
      <c r="AC75" s="12">
        <f t="shared" si="99"/>
        <v>3047</v>
      </c>
      <c r="AD75" s="12">
        <f t="shared" si="99"/>
        <v>3168</v>
      </c>
      <c r="AE75" s="11">
        <f t="shared" si="99"/>
        <v>12022</v>
      </c>
      <c r="AF75" s="12">
        <f t="shared" si="99"/>
        <v>3127</v>
      </c>
      <c r="AG75" s="12">
        <f t="shared" si="99"/>
        <v>3491</v>
      </c>
      <c r="AH75" s="12">
        <f t="shared" si="99"/>
        <v>3503</v>
      </c>
      <c r="AI75" s="12">
        <f t="shared" si="99"/>
        <v>3737</v>
      </c>
      <c r="AJ75" s="11">
        <f t="shared" si="99"/>
        <v>13858</v>
      </c>
      <c r="AK75" s="12">
        <f t="shared" ref="AK75:BI75" si="100">AK64+AK45+AK40+AK35+AK31+AK23+AK19+AK15+AK11+AK7+AK5</f>
        <v>3565</v>
      </c>
      <c r="AL75" s="12">
        <f t="shared" si="100"/>
        <v>3604</v>
      </c>
      <c r="AM75" s="12">
        <f t="shared" si="100"/>
        <v>3524</v>
      </c>
      <c r="AN75" s="12">
        <f t="shared" si="100"/>
        <v>3618</v>
      </c>
      <c r="AO75" s="11">
        <f t="shared" si="100"/>
        <v>14311</v>
      </c>
      <c r="AP75" s="12">
        <f t="shared" si="100"/>
        <v>3537</v>
      </c>
      <c r="AQ75" s="12">
        <f t="shared" si="100"/>
        <v>3692</v>
      </c>
      <c r="AR75" s="12">
        <f t="shared" si="100"/>
        <v>3784</v>
      </c>
      <c r="AS75" s="12">
        <f t="shared" si="100"/>
        <v>3674</v>
      </c>
      <c r="AT75" s="11">
        <f t="shared" si="100"/>
        <v>14687</v>
      </c>
      <c r="AU75" s="12">
        <f t="shared" si="100"/>
        <v>3238</v>
      </c>
      <c r="AV75" s="12">
        <f t="shared" si="100"/>
        <v>3634</v>
      </c>
      <c r="AW75" s="12">
        <f t="shared" si="100"/>
        <v>3736</v>
      </c>
      <c r="AX75" s="12">
        <f t="shared" si="100"/>
        <v>3743</v>
      </c>
      <c r="AY75" s="11">
        <f t="shared" si="100"/>
        <v>14351</v>
      </c>
      <c r="AZ75" s="12">
        <f t="shared" si="100"/>
        <v>3528</v>
      </c>
      <c r="BA75" s="12">
        <f t="shared" si="100"/>
        <v>3613</v>
      </c>
      <c r="BB75" s="12">
        <f t="shared" si="100"/>
        <v>3759</v>
      </c>
      <c r="BC75" s="12">
        <f t="shared" si="100"/>
        <v>3760</v>
      </c>
      <c r="BD75" s="11">
        <f t="shared" si="100"/>
        <v>14660</v>
      </c>
      <c r="BE75" s="12">
        <f t="shared" si="100"/>
        <v>3618</v>
      </c>
      <c r="BF75" s="12">
        <f t="shared" si="100"/>
        <v>3893</v>
      </c>
      <c r="BG75" s="12">
        <f t="shared" si="100"/>
        <v>3877</v>
      </c>
      <c r="BH75" s="12">
        <f t="shared" si="100"/>
        <v>3907</v>
      </c>
      <c r="BI75" s="11">
        <f t="shared" si="100"/>
        <v>15295</v>
      </c>
      <c r="BJ75" s="12">
        <f>BJ64+BJ79+BJ78+BJ45+BJ40+BJ35+BJ31+BJ23+BJ19+BJ15+BJ11+BJ7+BJ5</f>
        <v>3901</v>
      </c>
      <c r="BK75" s="12">
        <f>BK64+BK79+BK78+BK45+BK40+BK35+BK31+BK23+BK19+BK15+BK11+BK7+BK5</f>
        <v>4200</v>
      </c>
      <c r="BL75" s="12">
        <f>BL64+BL79+BL78+BL45+BL40+BL35+BL31+BL23+BL19+BL15+BL11+BL7+BL5</f>
        <v>4201</v>
      </c>
      <c r="BM75" s="12">
        <f>BM64+BM79+BM78+BM45+BM40+BM35+BM31+BM23+BM19+BM15+BM11+BM7+BM5</f>
        <v>4337</v>
      </c>
      <c r="BN75" s="11">
        <f>BN64+BN79+BN78+BN45+BN40+BN35+BN31+BN23+BN19+BN15+BN11+BN7+BN5</f>
        <v>16639</v>
      </c>
      <c r="BO75" s="470">
        <f>BO64+BO79+BO78+BO45+BO40+BO35+BO31+BO23+BO19+BO15+BO11+BO7+BO5+BO50</f>
        <v>4151</v>
      </c>
      <c r="BP75" s="470">
        <f>BP64+BP79+BP78+BP45+BP40+BP35+BP31+BP23+BP19+BP15+BP11+BP7+BP5+BP50</f>
        <v>4595</v>
      </c>
      <c r="BQ75" s="470">
        <f>BQ64+BQ79+BQ78+BQ45+BQ40+BQ35+BQ31+BQ23+BQ19+BQ15+BQ11+BQ7+BQ5+BQ50</f>
        <v>4647</v>
      </c>
      <c r="BR75" s="470">
        <f t="shared" ref="BR75:BX75" si="101">BR64+BR45+BR40+BR35+BR31+BR23+BR19+BR15+BR11+BR7+BR5+BR50+BR54</f>
        <v>4799</v>
      </c>
      <c r="BS75" s="11">
        <f t="shared" si="101"/>
        <v>18192</v>
      </c>
      <c r="BT75" s="470">
        <f t="shared" si="101"/>
        <v>4356</v>
      </c>
      <c r="BU75" s="470">
        <f t="shared" si="101"/>
        <v>4949</v>
      </c>
      <c r="BV75" s="470">
        <f t="shared" si="101"/>
        <v>4848</v>
      </c>
      <c r="BW75" s="470">
        <f t="shared" si="101"/>
        <v>5174</v>
      </c>
      <c r="BX75" s="11">
        <f t="shared" si="101"/>
        <v>19327</v>
      </c>
      <c r="BY75" s="470">
        <f t="shared" ref="BY75:DD75" si="102">BY64+BY45+BY40+BY35+BY31+BY23+BY19+BY15+BY11+BY7+BY5+BY50+BY54+BY62+BY58</f>
        <v>4874</v>
      </c>
      <c r="BZ75" s="470">
        <f t="shared" si="102"/>
        <v>5225</v>
      </c>
      <c r="CA75" s="470">
        <f t="shared" si="102"/>
        <v>5516</v>
      </c>
      <c r="CB75" s="470">
        <f t="shared" si="102"/>
        <v>5329</v>
      </c>
      <c r="CC75" s="11">
        <f t="shared" si="102"/>
        <v>20944</v>
      </c>
      <c r="CD75" s="470">
        <f t="shared" si="102"/>
        <v>5239</v>
      </c>
      <c r="CE75" s="470">
        <f t="shared" si="102"/>
        <v>5474</v>
      </c>
      <c r="CF75" s="470">
        <f t="shared" si="102"/>
        <v>5516</v>
      </c>
      <c r="CG75" s="470">
        <f t="shared" si="102"/>
        <v>5663</v>
      </c>
      <c r="CH75" s="11">
        <f t="shared" si="102"/>
        <v>21892</v>
      </c>
      <c r="CI75" s="470">
        <f t="shared" si="102"/>
        <v>5199</v>
      </c>
      <c r="CJ75" s="470">
        <f t="shared" si="102"/>
        <v>5574</v>
      </c>
      <c r="CK75" s="470">
        <f t="shared" si="102"/>
        <v>5453</v>
      </c>
      <c r="CL75" s="470">
        <f t="shared" si="102"/>
        <v>5569</v>
      </c>
      <c r="CM75" s="11">
        <f t="shared" si="102"/>
        <v>21795</v>
      </c>
      <c r="CN75" s="470">
        <f>CN64+CN45+CN40+CN35+CN31+CN23+CN19+CN15+CN11+CN7+CN5+CN50+CN54+CN62+CN58+CN27</f>
        <v>5343</v>
      </c>
      <c r="CO75" s="470">
        <f t="shared" ref="CO75:CR75" si="103">CO64+CO45+CO40+CO35+CO31+CO23+CO19+CO15+CO11+CO7+CO5+CO50+CO54+CO62+CO58+CO27</f>
        <v>5336.1863294911536</v>
      </c>
      <c r="CP75" s="470">
        <f t="shared" si="103"/>
        <v>5471.95500265805</v>
      </c>
      <c r="CQ75" s="470">
        <f t="shared" si="103"/>
        <v>5399.745880320449</v>
      </c>
      <c r="CR75" s="11">
        <f t="shared" si="103"/>
        <v>21550.887212469646</v>
      </c>
      <c r="CS75" s="470">
        <f t="shared" si="102"/>
        <v>3510.4008354247881</v>
      </c>
      <c r="CT75" s="470">
        <f t="shared" si="102"/>
        <v>3321.00832535479</v>
      </c>
      <c r="CU75" s="470">
        <f t="shared" si="102"/>
        <v>3099.7059785898909</v>
      </c>
      <c r="CV75" s="470">
        <f t="shared" si="102"/>
        <v>3006.327047383561</v>
      </c>
      <c r="CW75" s="11">
        <f t="shared" ref="CW75" si="104">CW64+CW45+CW40+CW35+CW31+CW23+CW19+CW15+CW11+CW7+CW5+CW50+CW54+CW62+CW58+CW27</f>
        <v>21240.428344157972</v>
      </c>
      <c r="CX75" s="470">
        <f t="shared" si="102"/>
        <v>3151.0303059592029</v>
      </c>
      <c r="CY75" s="470">
        <f t="shared" si="102"/>
        <v>3129.1792861954136</v>
      </c>
      <c r="CZ75" s="470">
        <f t="shared" si="102"/>
        <v>3091.7106588495781</v>
      </c>
      <c r="DA75" s="470">
        <f t="shared" si="102"/>
        <v>3139.2667418451833</v>
      </c>
      <c r="DB75" s="11">
        <f t="shared" ref="DB75" si="105">DB64+DB45+DB40+DB35+DB31+DB23+DB19+DB15+DB11+DB7+DB5+DB50+DB54+DB62+DB58+DB27</f>
        <v>21385.647947747846</v>
      </c>
      <c r="DC75" s="470">
        <f t="shared" si="102"/>
        <v>3213.6589550233157</v>
      </c>
      <c r="DD75" s="470">
        <f t="shared" si="102"/>
        <v>3219.2310433696298</v>
      </c>
      <c r="DE75" s="470">
        <f t="shared" ref="DE75:EJ75" si="106">DE64+DE45+DE40+DE35+DE31+DE23+DE19+DE15+DE11+DE7+DE5+DE50+DE54+DE62+DE58</f>
        <v>3206.8115239902904</v>
      </c>
      <c r="DF75" s="470">
        <f t="shared" si="106"/>
        <v>3278.1249978318883</v>
      </c>
      <c r="DG75" s="11">
        <f t="shared" ref="DG75" si="107">DG64+DG45+DG40+DG35+DG31+DG23+DG19+DG15+DG11+DG7+DG5+DG50+DG54+DG62+DG58+DG27</f>
        <v>21658.142699956872</v>
      </c>
      <c r="DH75" s="470">
        <f t="shared" si="106"/>
        <v>3423.7080389423327</v>
      </c>
      <c r="DI75" s="470">
        <f t="shared" si="106"/>
        <v>3436.2011457614472</v>
      </c>
      <c r="DJ75" s="470">
        <f t="shared" si="106"/>
        <v>3435.0331308326822</v>
      </c>
      <c r="DK75" s="470">
        <f t="shared" si="106"/>
        <v>3515.1555270192334</v>
      </c>
      <c r="DL75" s="11">
        <f t="shared" ref="DL75" si="108">DL64+DL45+DL40+DL35+DL31+DL23+DL19+DL15+DL11+DL7+DL5+DL50+DL54+DL62+DL58+DL27</f>
        <v>22634.161750498577</v>
      </c>
      <c r="DM75" s="470">
        <f t="shared" si="106"/>
        <v>3752.5531145771461</v>
      </c>
      <c r="DN75" s="470">
        <f t="shared" si="106"/>
        <v>3764.4103715474198</v>
      </c>
      <c r="DO75" s="470">
        <f t="shared" si="106"/>
        <v>3764.839638746821</v>
      </c>
      <c r="DP75" s="470">
        <f t="shared" si="106"/>
        <v>3845.1749403108802</v>
      </c>
      <c r="DQ75" s="11">
        <f t="shared" ref="DQ75" si="109">DQ64+DQ45+DQ40+DQ35+DQ31+DQ23+DQ19+DQ15+DQ11+DQ7+DQ5+DQ50+DQ54+DQ62+DQ58+DQ27</f>
        <v>23807.627698733162</v>
      </c>
      <c r="DR75" s="470">
        <f t="shared" si="106"/>
        <v>3989.8669215027521</v>
      </c>
      <c r="DS75" s="470">
        <f t="shared" si="106"/>
        <v>4000.2554319178921</v>
      </c>
      <c r="DT75" s="470">
        <f t="shared" si="106"/>
        <v>3988.3570790213662</v>
      </c>
      <c r="DU75" s="470">
        <f t="shared" si="106"/>
        <v>4065.0638012114473</v>
      </c>
      <c r="DV75" s="11">
        <f t="shared" ref="DV75" si="110">DV64+DV45+DV40+DV35+DV31+DV23+DV19+DV15+DV11+DV7+DV5+DV50+DV54+DV62+DV58+DV27</f>
        <v>24645.415388143196</v>
      </c>
      <c r="DW75" s="470">
        <f t="shared" si="106"/>
        <v>4237.8701817394831</v>
      </c>
      <c r="DX75" s="470">
        <f t="shared" si="106"/>
        <v>4228.2860855473846</v>
      </c>
      <c r="DY75" s="470">
        <f t="shared" si="106"/>
        <v>4162.0813849171327</v>
      </c>
      <c r="DZ75" s="470">
        <f t="shared" si="106"/>
        <v>4198.079245589508</v>
      </c>
      <c r="EA75" s="11">
        <f t="shared" ref="EA75" si="111">EA64+EA45+EA40+EA35+EA31+EA23+EA19+EA15+EA11+EA7+EA5+EA50+EA54+EA62+EA58+EA27</f>
        <v>25353.531884474382</v>
      </c>
      <c r="EB75" s="470">
        <f t="shared" si="106"/>
        <v>4269.8308586177654</v>
      </c>
      <c r="EC75" s="470">
        <f t="shared" si="106"/>
        <v>4239.4177888085251</v>
      </c>
      <c r="ED75" s="470">
        <f t="shared" si="106"/>
        <v>4153.7125589590123</v>
      </c>
      <c r="EE75" s="470">
        <f t="shared" si="106"/>
        <v>4181.1084281678386</v>
      </c>
      <c r="EF75" s="11">
        <f t="shared" ref="EF75" si="112">EF64+EF45+EF40+EF35+EF31+EF23+EF19+EF15+EF11+EF7+EF5+EF50+EF54+EF62+EF58+EF27</f>
        <v>25285.763751668208</v>
      </c>
      <c r="EG75" s="470">
        <f t="shared" si="106"/>
        <v>4279.5546542377788</v>
      </c>
      <c r="EH75" s="470">
        <f t="shared" si="106"/>
        <v>4256.0348510015019</v>
      </c>
      <c r="EI75" s="470">
        <f t="shared" si="106"/>
        <v>4183.2173729578681</v>
      </c>
      <c r="EJ75" s="470">
        <f t="shared" si="106"/>
        <v>4217.7076818469468</v>
      </c>
      <c r="EK75" s="11">
        <f t="shared" ref="EK75" si="113">EK64+EK45+EK40+EK35+EK31+EK23+EK19+EK15+EK11+EK7+EK5+EK50+EK54+EK62+EK58+EK27</f>
        <v>25278.602264276495</v>
      </c>
      <c r="EL75" s="470">
        <f t="shared" ref="EL75:EY75" si="114">EL64+EL45+EL40+EL35+EL31+EL23+EL19+EL15+EL11+EL7+EL5+EL50+EL54+EL62+EL58</f>
        <v>3910.716202391648</v>
      </c>
      <c r="EM75" s="470">
        <f t="shared" si="114"/>
        <v>3872.6477853846027</v>
      </c>
      <c r="EN75" s="470">
        <f t="shared" si="114"/>
        <v>3794.0912984012903</v>
      </c>
      <c r="EO75" s="470">
        <f t="shared" si="114"/>
        <v>3815.9342576827003</v>
      </c>
      <c r="EP75" s="11">
        <f t="shared" ref="EP75" si="115">EP64+EP45+EP40+EP35+EP31+EP23+EP19+EP15+EP11+EP7+EP5+EP50+EP54+EP62+EP58+EP27</f>
        <v>23492.995377998999</v>
      </c>
      <c r="EQ75" s="470">
        <f t="shared" si="114"/>
        <v>3745.422318064338</v>
      </c>
      <c r="ER75" s="470">
        <f t="shared" si="114"/>
        <v>3693.7844211176134</v>
      </c>
      <c r="ES75" s="470">
        <f t="shared" si="114"/>
        <v>3613.5080336223309</v>
      </c>
      <c r="ET75" s="470">
        <f t="shared" si="114"/>
        <v>3622.5376849851168</v>
      </c>
      <c r="EU75" s="11">
        <f t="shared" ref="EU75" si="116">EU64+EU45+EU40+EU35+EU31+EU23+EU19+EU15+EU11+EU7+EU5+EU50+EU54+EU62+EU58+EU27</f>
        <v>22541.791123518935</v>
      </c>
      <c r="EV75" s="470">
        <f t="shared" si="114"/>
        <v>3629.377350652665</v>
      </c>
      <c r="EW75" s="470">
        <f t="shared" si="114"/>
        <v>3632.5312555606006</v>
      </c>
      <c r="EX75" s="470">
        <f t="shared" si="114"/>
        <v>3572.1372963911172</v>
      </c>
      <c r="EY75" s="470">
        <f t="shared" si="114"/>
        <v>3633.260105215827</v>
      </c>
      <c r="EZ75" s="11">
        <f t="shared" ref="EZ75" si="117">EZ64+EZ45+EZ40+EZ35+EZ31+EZ23+EZ19+EZ15+EZ11+EZ7+EZ5+EZ50+EZ54+EZ62+EZ58+EZ27</f>
        <v>21944.891072642524</v>
      </c>
    </row>
    <row r="76" spans="2:156" hidden="1" outlineLevel="1">
      <c r="B76" s="354" t="s">
        <v>69</v>
      </c>
      <c r="C76" s="355">
        <v>48.631</v>
      </c>
      <c r="D76" s="355">
        <v>70.400000000000006</v>
      </c>
      <c r="E76" s="355">
        <v>85.2</v>
      </c>
      <c r="F76" s="355">
        <v>109.9</v>
      </c>
      <c r="G76" s="355">
        <v>125.9</v>
      </c>
      <c r="H76" s="450">
        <v>127.9</v>
      </c>
      <c r="I76" s="450">
        <v>161.4</v>
      </c>
      <c r="J76" s="450">
        <v>246.2</v>
      </c>
      <c r="K76" s="450">
        <v>252</v>
      </c>
      <c r="L76" s="357">
        <v>31.5</v>
      </c>
      <c r="M76" s="357">
        <v>53.9</v>
      </c>
      <c r="N76" s="357">
        <v>62.8</v>
      </c>
      <c r="O76" s="357">
        <v>52.1</v>
      </c>
      <c r="P76" s="450">
        <f>O76+N76+M76+L76</f>
        <v>200.3</v>
      </c>
      <c r="Q76" s="448">
        <v>33.9</v>
      </c>
      <c r="R76" s="448">
        <v>32.700000000000003</v>
      </c>
      <c r="S76" s="448">
        <v>29.5</v>
      </c>
      <c r="T76" s="448">
        <v>9</v>
      </c>
      <c r="U76" s="450">
        <v>105.1</v>
      </c>
      <c r="V76" s="448">
        <v>35</v>
      </c>
      <c r="W76" s="448">
        <v>44</v>
      </c>
      <c r="X76" s="448">
        <v>38</v>
      </c>
      <c r="Y76" s="448">
        <v>21</v>
      </c>
      <c r="Z76" s="450">
        <v>138</v>
      </c>
      <c r="AA76" s="448"/>
      <c r="AB76" s="448"/>
      <c r="AC76" s="448"/>
      <c r="AD76" s="448"/>
      <c r="AE76" s="355"/>
      <c r="AF76" s="448"/>
      <c r="AG76" s="448"/>
      <c r="AH76" s="448"/>
      <c r="AI76" s="448"/>
      <c r="AJ76" s="355"/>
      <c r="AK76" s="448"/>
      <c r="AL76" s="448"/>
      <c r="AM76" s="448"/>
      <c r="AN76" s="448"/>
      <c r="AO76" s="355"/>
      <c r="AP76" s="448"/>
      <c r="AQ76" s="448"/>
      <c r="AR76" s="448"/>
      <c r="AS76" s="448"/>
      <c r="AT76" s="356"/>
      <c r="AU76" s="358"/>
      <c r="AV76" s="358"/>
      <c r="AW76" s="358"/>
      <c r="AX76" s="358"/>
      <c r="AY76" s="356"/>
      <c r="AZ76" s="358"/>
      <c r="BA76" s="358"/>
      <c r="BB76" s="358"/>
      <c r="BC76" s="358"/>
      <c r="BD76" s="356"/>
      <c r="BE76" s="358"/>
      <c r="BF76" s="358"/>
      <c r="BG76" s="358"/>
      <c r="BH76" s="358"/>
      <c r="BI76" s="356"/>
      <c r="BJ76" s="358"/>
      <c r="BK76" s="358"/>
      <c r="BL76" s="358"/>
      <c r="BM76" s="358"/>
      <c r="BN76" s="356"/>
      <c r="BO76" s="467"/>
      <c r="BP76" s="467"/>
      <c r="BQ76" s="467"/>
      <c r="BR76" s="467"/>
      <c r="BS76" s="356"/>
      <c r="BT76" s="467"/>
      <c r="BU76" s="467"/>
      <c r="BV76" s="467"/>
      <c r="BW76" s="467"/>
      <c r="BX76" s="356"/>
      <c r="BY76" s="467"/>
      <c r="BZ76" s="467"/>
      <c r="CA76" s="467"/>
      <c r="CB76" s="467"/>
      <c r="CC76" s="356"/>
      <c r="CD76" s="467"/>
      <c r="CE76" s="467"/>
      <c r="CF76" s="467"/>
      <c r="CG76" s="467"/>
      <c r="CH76" s="356"/>
      <c r="CI76" s="467"/>
      <c r="CJ76" s="467"/>
      <c r="CK76" s="467"/>
      <c r="CL76" s="467"/>
      <c r="CM76" s="356"/>
      <c r="CN76" s="467"/>
      <c r="CO76" s="467"/>
      <c r="CP76" s="467"/>
      <c r="CQ76" s="467"/>
      <c r="CR76" s="356"/>
      <c r="CS76" s="467"/>
      <c r="CT76" s="467"/>
      <c r="CU76" s="467"/>
      <c r="CV76" s="467"/>
      <c r="CW76" s="356"/>
      <c r="CX76" s="467"/>
      <c r="CY76" s="467"/>
      <c r="CZ76" s="467"/>
      <c r="DA76" s="467"/>
      <c r="DB76" s="356"/>
      <c r="DC76" s="467"/>
      <c r="DD76" s="467"/>
      <c r="DE76" s="467"/>
      <c r="DF76" s="467"/>
      <c r="DG76" s="356"/>
      <c r="DH76" s="467"/>
      <c r="DI76" s="467"/>
      <c r="DJ76" s="467"/>
      <c r="DK76" s="467"/>
      <c r="DL76" s="356"/>
      <c r="DM76" s="467"/>
      <c r="DN76" s="467"/>
      <c r="DO76" s="467"/>
      <c r="DP76" s="467"/>
      <c r="DQ76" s="356"/>
      <c r="DR76" s="467"/>
      <c r="DS76" s="467"/>
      <c r="DT76" s="467"/>
      <c r="DU76" s="467"/>
      <c r="DV76" s="356"/>
      <c r="DW76" s="467"/>
      <c r="DX76" s="467"/>
      <c r="DY76" s="467"/>
      <c r="DZ76" s="467"/>
      <c r="EA76" s="356"/>
      <c r="EB76" s="467"/>
      <c r="EC76" s="467"/>
      <c r="ED76" s="467"/>
      <c r="EE76" s="467"/>
      <c r="EF76" s="356"/>
      <c r="EG76" s="467"/>
      <c r="EH76" s="467"/>
      <c r="EI76" s="467"/>
      <c r="EJ76" s="467"/>
      <c r="EK76" s="356"/>
      <c r="EL76" s="467"/>
      <c r="EM76" s="467"/>
      <c r="EN76" s="467"/>
      <c r="EO76" s="467"/>
      <c r="EP76" s="356"/>
      <c r="EQ76" s="467"/>
      <c r="ER76" s="467"/>
      <c r="ES76" s="467"/>
      <c r="ET76" s="467"/>
      <c r="EU76" s="356"/>
      <c r="EV76" s="467"/>
      <c r="EW76" s="467"/>
      <c r="EX76" s="467"/>
      <c r="EY76" s="467"/>
      <c r="EZ76" s="356"/>
    </row>
    <row r="77" spans="2:156" hidden="1" outlineLevel="1">
      <c r="B77" s="354" t="s">
        <v>667</v>
      </c>
      <c r="C77" s="355"/>
      <c r="D77" s="355"/>
      <c r="E77" s="355"/>
      <c r="F77" s="355"/>
      <c r="G77" s="355"/>
      <c r="H77" s="355"/>
      <c r="I77" s="355"/>
      <c r="J77" s="355"/>
      <c r="K77" s="356"/>
      <c r="L77" s="357"/>
      <c r="M77" s="357"/>
      <c r="N77" s="357"/>
      <c r="O77" s="357"/>
      <c r="P77" s="356"/>
      <c r="Q77" s="357"/>
      <c r="R77" s="357"/>
      <c r="S77" s="357"/>
      <c r="T77" s="357"/>
      <c r="U77" s="356"/>
      <c r="V77" s="357"/>
      <c r="W77" s="357"/>
      <c r="X77" s="357"/>
      <c r="Y77" s="357"/>
      <c r="Z77" s="356"/>
      <c r="AA77" s="357"/>
      <c r="AB77" s="357"/>
      <c r="AC77" s="357"/>
      <c r="AD77" s="357"/>
      <c r="AE77" s="356"/>
      <c r="AF77" s="357"/>
      <c r="AG77" s="357"/>
      <c r="AH77" s="357"/>
      <c r="AI77" s="357"/>
      <c r="AJ77" s="356"/>
      <c r="AK77" s="357"/>
      <c r="AL77" s="357"/>
      <c r="AM77" s="357"/>
      <c r="AN77" s="357"/>
      <c r="AO77" s="356"/>
      <c r="AP77" s="357"/>
      <c r="AQ77" s="357"/>
      <c r="AR77" s="357"/>
      <c r="AS77" s="357"/>
      <c r="AT77" s="356"/>
      <c r="AU77" s="358"/>
      <c r="AV77" s="358"/>
      <c r="AW77" s="358"/>
      <c r="AX77" s="358"/>
      <c r="AY77" s="356"/>
      <c r="AZ77" s="358"/>
      <c r="BA77" s="358"/>
      <c r="BB77" s="358"/>
      <c r="BC77" s="358"/>
      <c r="BD77" s="356"/>
      <c r="BE77" s="358"/>
      <c r="BF77" s="358"/>
      <c r="BG77" s="358"/>
      <c r="BH77" s="358"/>
      <c r="BI77" s="356"/>
      <c r="BJ77" s="358"/>
      <c r="BK77" s="358"/>
      <c r="BL77" s="358"/>
      <c r="BM77" s="358"/>
      <c r="BN77" s="356"/>
      <c r="BO77" s="467"/>
      <c r="BP77" s="467"/>
      <c r="BQ77" s="467"/>
      <c r="BR77" s="467">
        <f>'Onyx Products (exKyprolis)'!I160</f>
        <v>0</v>
      </c>
      <c r="BS77" s="356">
        <f>'Onyx Products (exKyprolis)'!J160</f>
        <v>0</v>
      </c>
      <c r="BT77" s="467">
        <f>BX77/4</f>
        <v>0</v>
      </c>
      <c r="BU77" s="467">
        <f t="shared" ref="BU77:BW79" si="118">BT77</f>
        <v>0</v>
      </c>
      <c r="BV77" s="467">
        <f t="shared" si="118"/>
        <v>0</v>
      </c>
      <c r="BW77" s="467">
        <f t="shared" si="118"/>
        <v>0</v>
      </c>
      <c r="BX77" s="356">
        <f>'Onyx Products (exKyprolis)'!K160</f>
        <v>0</v>
      </c>
      <c r="BY77" s="467">
        <v>0</v>
      </c>
      <c r="BZ77" s="467"/>
      <c r="CA77" s="467">
        <v>35</v>
      </c>
      <c r="CB77" s="467">
        <f>CC77-BY77-BZ77-CA77</f>
        <v>22.759999999999998</v>
      </c>
      <c r="CC77" s="356">
        <f>'Onyx Products (exKyprolis)'!L160</f>
        <v>57.76</v>
      </c>
      <c r="CD77" s="467">
        <f>CH77/4</f>
        <v>42.72</v>
      </c>
      <c r="CE77" s="467">
        <f>CD77</f>
        <v>42.72</v>
      </c>
      <c r="CF77" s="467">
        <f>CE77</f>
        <v>42.72</v>
      </c>
      <c r="CG77" s="467">
        <f>CF77</f>
        <v>42.72</v>
      </c>
      <c r="CH77" s="356">
        <f>'Onyx Products (exKyprolis)'!M160</f>
        <v>170.88</v>
      </c>
      <c r="CI77" s="467">
        <f>CM77/4</f>
        <v>68.14</v>
      </c>
      <c r="CJ77" s="467">
        <f>CI77</f>
        <v>68.14</v>
      </c>
      <c r="CK77" s="467">
        <f>CJ77</f>
        <v>68.14</v>
      </c>
      <c r="CL77" s="467">
        <f>CK77</f>
        <v>68.14</v>
      </c>
      <c r="CM77" s="356">
        <f>'Onyx Products (exKyprolis)'!N160</f>
        <v>272.56</v>
      </c>
      <c r="CN77" s="467">
        <v>59</v>
      </c>
      <c r="CO77" s="467">
        <v>90</v>
      </c>
      <c r="CP77" s="467">
        <f>CO77</f>
        <v>90</v>
      </c>
      <c r="CQ77" s="467">
        <f t="shared" ref="CQ77:CQ82" si="119">CR77-CN77-CO77-CP77</f>
        <v>100.32</v>
      </c>
      <c r="CR77" s="356">
        <f>'Onyx Products (exKyprolis)'!O160-21</f>
        <v>339.32</v>
      </c>
      <c r="CS77" s="467">
        <f>CW77/4</f>
        <v>99.98</v>
      </c>
      <c r="CT77" s="467">
        <f>CS77</f>
        <v>99.98</v>
      </c>
      <c r="CU77" s="467">
        <f>CT77</f>
        <v>99.98</v>
      </c>
      <c r="CV77" s="467">
        <f>CU77</f>
        <v>99.98</v>
      </c>
      <c r="CW77" s="356">
        <f>'Onyx Products (exKyprolis)'!P160</f>
        <v>399.92</v>
      </c>
      <c r="CX77" s="467">
        <f>DB77/4</f>
        <v>136.47999999999999</v>
      </c>
      <c r="CY77" s="467">
        <f>CX77</f>
        <v>136.47999999999999</v>
      </c>
      <c r="CZ77" s="467">
        <f>CY77</f>
        <v>136.47999999999999</v>
      </c>
      <c r="DA77" s="467">
        <f>CZ77</f>
        <v>136.47999999999999</v>
      </c>
      <c r="DB77" s="356">
        <f>'Onyx Products (exKyprolis)'!Q160</f>
        <v>545.91999999999996</v>
      </c>
      <c r="DC77" s="467"/>
      <c r="DD77" s="467"/>
      <c r="DE77" s="467"/>
      <c r="DF77" s="467"/>
      <c r="DG77" s="356">
        <f>DB77*0.975</f>
        <v>532.27199999999993</v>
      </c>
      <c r="DH77" s="356"/>
      <c r="DI77" s="356"/>
      <c r="DJ77" s="356"/>
      <c r="DK77" s="356"/>
      <c r="DL77" s="356">
        <f>DG77*0.975</f>
        <v>518.96519999999987</v>
      </c>
      <c r="DM77" s="356"/>
      <c r="DN77" s="356"/>
      <c r="DO77" s="356"/>
      <c r="DP77" s="356"/>
      <c r="DQ77" s="356">
        <f>DL77*0.975</f>
        <v>505.99106999999987</v>
      </c>
      <c r="DR77" s="356"/>
      <c r="DS77" s="356"/>
      <c r="DT77" s="356"/>
      <c r="DU77" s="356"/>
      <c r="DV77" s="356">
        <f>DQ77*0.8</f>
        <v>404.79285599999992</v>
      </c>
      <c r="DW77" s="356"/>
      <c r="DX77" s="356"/>
      <c r="DY77" s="356"/>
      <c r="DZ77" s="356"/>
      <c r="EA77" s="356">
        <f>DV77*0.2</f>
        <v>80.958571199999994</v>
      </c>
      <c r="EB77" s="356"/>
      <c r="EC77" s="356"/>
      <c r="ED77" s="356"/>
      <c r="EE77" s="356"/>
      <c r="EF77" s="356">
        <f>EA77*0.1</f>
        <v>8.0958571199999998</v>
      </c>
      <c r="EG77" s="356"/>
      <c r="EH77" s="356"/>
      <c r="EI77" s="356"/>
      <c r="EJ77" s="356"/>
      <c r="EK77" s="356">
        <f>EF77*0.1</f>
        <v>0.80958571200000007</v>
      </c>
      <c r="EL77" s="356"/>
      <c r="EM77" s="356"/>
      <c r="EN77" s="356"/>
      <c r="EO77" s="356"/>
      <c r="EP77" s="356">
        <f>EK77*0.1</f>
        <v>8.095857120000001E-2</v>
      </c>
      <c r="EQ77" s="356"/>
      <c r="ER77" s="356"/>
      <c r="ES77" s="356"/>
      <c r="ET77" s="356"/>
      <c r="EU77" s="356">
        <f>EP77*0.1</f>
        <v>8.095857120000001E-3</v>
      </c>
      <c r="EV77" s="356"/>
      <c r="EW77" s="356"/>
      <c r="EX77" s="356"/>
      <c r="EY77" s="356"/>
      <c r="EZ77" s="356">
        <f>EU77*0.1</f>
        <v>8.0958571200000012E-4</v>
      </c>
    </row>
    <row r="78" spans="2:156" hidden="1" outlineLevel="1">
      <c r="B78" s="17" t="s">
        <v>665</v>
      </c>
      <c r="C78" s="355"/>
      <c r="D78" s="355"/>
      <c r="E78" s="355"/>
      <c r="F78" s="355"/>
      <c r="G78" s="355"/>
      <c r="H78" s="355"/>
      <c r="I78" s="355"/>
      <c r="J78" s="355"/>
      <c r="K78" s="356"/>
      <c r="L78" s="357"/>
      <c r="M78" s="357"/>
      <c r="N78" s="357"/>
      <c r="O78" s="357"/>
      <c r="P78" s="356"/>
      <c r="Q78" s="357"/>
      <c r="R78" s="357"/>
      <c r="S78" s="357"/>
      <c r="T78" s="357"/>
      <c r="U78" s="356"/>
      <c r="V78" s="357"/>
      <c r="W78" s="357"/>
      <c r="X78" s="357"/>
      <c r="Y78" s="357"/>
      <c r="Z78" s="356"/>
      <c r="AA78" s="357"/>
      <c r="AB78" s="357"/>
      <c r="AC78" s="357"/>
      <c r="AD78" s="357"/>
      <c r="AE78" s="356"/>
      <c r="AF78" s="357"/>
      <c r="AG78" s="357"/>
      <c r="AH78" s="357"/>
      <c r="AI78" s="357"/>
      <c r="AJ78" s="356"/>
      <c r="AK78" s="357"/>
      <c r="AL78" s="357"/>
      <c r="AM78" s="357"/>
      <c r="AN78" s="357"/>
      <c r="AO78" s="356"/>
      <c r="AP78" s="357"/>
      <c r="AQ78" s="357"/>
      <c r="AR78" s="357"/>
      <c r="AS78" s="357"/>
      <c r="AT78" s="356"/>
      <c r="AU78" s="358"/>
      <c r="AV78" s="358"/>
      <c r="AW78" s="358"/>
      <c r="AX78" s="358"/>
      <c r="AY78" s="356"/>
      <c r="AZ78" s="358"/>
      <c r="BA78" s="358"/>
      <c r="BB78" s="358"/>
      <c r="BC78" s="358"/>
      <c r="BD78" s="356"/>
      <c r="BE78" s="358"/>
      <c r="BF78" s="358"/>
      <c r="BG78" s="358"/>
      <c r="BH78" s="358"/>
      <c r="BI78" s="356"/>
      <c r="BJ78" s="358"/>
      <c r="BK78" s="358"/>
      <c r="BL78" s="358"/>
      <c r="BM78" s="358"/>
      <c r="BN78" s="356"/>
      <c r="BO78" s="463"/>
      <c r="BP78" s="463"/>
      <c r="BQ78" s="463"/>
      <c r="BR78" s="463"/>
      <c r="BS78" s="20"/>
      <c r="BT78" s="463">
        <f>BX78/4</f>
        <v>89.600241426807244</v>
      </c>
      <c r="BU78" s="463">
        <f t="shared" si="118"/>
        <v>89.600241426807244</v>
      </c>
      <c r="BV78" s="463">
        <f t="shared" si="118"/>
        <v>89.600241426807244</v>
      </c>
      <c r="BW78" s="463">
        <f t="shared" si="118"/>
        <v>89.600241426807244</v>
      </c>
      <c r="BX78" s="20">
        <f>'Onyx Products (exKyprolis)'!K127</f>
        <v>358.40096570722898</v>
      </c>
      <c r="BY78" s="463">
        <f>CC78/4</f>
        <v>94.869024671707763</v>
      </c>
      <c r="BZ78" s="463">
        <f>BY78</f>
        <v>94.869024671707763</v>
      </c>
      <c r="CA78" s="463">
        <f>BZ78</f>
        <v>94.869024671707763</v>
      </c>
      <c r="CB78" s="463">
        <f>CC78-BY78-BZ78-CA78</f>
        <v>94.869024671707791</v>
      </c>
      <c r="CC78" s="20">
        <f>'Onyx Products (exKyprolis)'!L127</f>
        <v>379.47609868683105</v>
      </c>
      <c r="CD78" s="463">
        <f>CH78/4</f>
        <v>103.86330696698535</v>
      </c>
      <c r="CE78" s="463">
        <f>CD78</f>
        <v>103.86330696698535</v>
      </c>
      <c r="CF78" s="463">
        <f>CE78</f>
        <v>103.86330696698535</v>
      </c>
      <c r="CG78" s="463">
        <f>CH78-CD78-CE78-CF78</f>
        <v>103.86330696698532</v>
      </c>
      <c r="CH78" s="20">
        <f>'Onyx Products (exKyprolis)'!M127</f>
        <v>415.45322786794139</v>
      </c>
      <c r="CI78" s="463">
        <f>CM78/4</f>
        <v>111.30262464610483</v>
      </c>
      <c r="CJ78" s="463">
        <f>CI78</f>
        <v>111.30262464610483</v>
      </c>
      <c r="CK78" s="463">
        <f>CJ78</f>
        <v>111.30262464610483</v>
      </c>
      <c r="CL78" s="463">
        <f>CM78-CI78-CJ78-CK78</f>
        <v>111.3026246461048</v>
      </c>
      <c r="CM78" s="20">
        <f>'Onyx Products (exKyprolis)'!N127</f>
        <v>445.21049858441933</v>
      </c>
      <c r="CN78" s="463">
        <v>100</v>
      </c>
      <c r="CO78" s="463">
        <v>110</v>
      </c>
      <c r="CP78" s="463">
        <f>CO78</f>
        <v>110</v>
      </c>
      <c r="CQ78" s="463">
        <f t="shared" si="119"/>
        <v>110</v>
      </c>
      <c r="CR78" s="20">
        <v>430</v>
      </c>
      <c r="CS78" s="463">
        <f>CW78/4</f>
        <v>121.81261538976274</v>
      </c>
      <c r="CT78" s="463">
        <f>CS78</f>
        <v>121.81261538976274</v>
      </c>
      <c r="CU78" s="463">
        <f>CT78</f>
        <v>121.81261538976274</v>
      </c>
      <c r="CV78" s="463">
        <f>CW78-CS78-CT78-CU78</f>
        <v>121.81261538976271</v>
      </c>
      <c r="CW78" s="20">
        <f>'Onyx Products (exKyprolis)'!P127</f>
        <v>487.25046155905096</v>
      </c>
      <c r="CX78" s="463">
        <f>DB78/4</f>
        <v>127.40898972893112</v>
      </c>
      <c r="CY78" s="463">
        <f>CX78</f>
        <v>127.40898972893112</v>
      </c>
      <c r="CZ78" s="463">
        <f>CY78</f>
        <v>127.40898972893112</v>
      </c>
      <c r="DA78" s="463">
        <f>DB78-CX78-CY78-CZ78</f>
        <v>127.40898972893109</v>
      </c>
      <c r="DB78" s="20">
        <f>'Onyx Products (exKyprolis)'!Q127</f>
        <v>509.63595891572447</v>
      </c>
      <c r="DC78" s="463"/>
      <c r="DD78" s="463"/>
      <c r="DE78" s="463"/>
      <c r="DF78" s="463"/>
      <c r="DG78" s="20">
        <f>DB78*0.3</f>
        <v>152.89078767471733</v>
      </c>
      <c r="DH78" s="20"/>
      <c r="DI78" s="20"/>
      <c r="DJ78" s="20"/>
      <c r="DK78" s="20"/>
      <c r="DL78" s="20">
        <f>DG78*0.1</f>
        <v>15.289078767471734</v>
      </c>
      <c r="DM78" s="20"/>
      <c r="DN78" s="20"/>
      <c r="DO78" s="20"/>
      <c r="DP78" s="20"/>
      <c r="DQ78" s="20">
        <f>DL78*0.1</f>
        <v>1.5289078767471735</v>
      </c>
      <c r="DR78" s="20"/>
      <c r="DS78" s="20"/>
      <c r="DT78" s="20"/>
      <c r="DU78" s="20"/>
      <c r="DV78" s="20">
        <f>DQ78*0.1</f>
        <v>0.15289078767471737</v>
      </c>
      <c r="DW78" s="20"/>
      <c r="DX78" s="20"/>
      <c r="DY78" s="20"/>
      <c r="DZ78" s="20"/>
      <c r="EA78" s="20">
        <f>DV78*0.1</f>
        <v>1.5289078767471737E-2</v>
      </c>
      <c r="EB78" s="20"/>
      <c r="EC78" s="20"/>
      <c r="ED78" s="20"/>
      <c r="EE78" s="20"/>
      <c r="EF78" s="20">
        <f>EA78*0.1</f>
        <v>1.5289078767471737E-3</v>
      </c>
      <c r="EG78" s="20"/>
      <c r="EH78" s="20"/>
      <c r="EI78" s="20"/>
      <c r="EJ78" s="20"/>
      <c r="EK78" s="20">
        <f>EF78*0.1</f>
        <v>1.5289078767471737E-4</v>
      </c>
      <c r="EL78" s="20"/>
      <c r="EM78" s="20"/>
      <c r="EN78" s="20"/>
      <c r="EO78" s="20"/>
      <c r="EP78" s="20">
        <f>EK78*0.1</f>
        <v>1.5289078767471738E-5</v>
      </c>
      <c r="EQ78" s="20"/>
      <c r="ER78" s="20"/>
      <c r="ES78" s="20"/>
      <c r="ET78" s="20"/>
      <c r="EU78" s="20">
        <f>EP78*0.1</f>
        <v>1.5289078767471738E-6</v>
      </c>
      <c r="EV78" s="20"/>
      <c r="EW78" s="20"/>
      <c r="EX78" s="20"/>
      <c r="EY78" s="20"/>
      <c r="EZ78" s="20">
        <f>EU78*0.1</f>
        <v>1.5289078767471739E-7</v>
      </c>
    </row>
    <row r="79" spans="2:156" hidden="1" outlineLevel="1">
      <c r="B79" s="17" t="s">
        <v>666</v>
      </c>
      <c r="C79" s="355"/>
      <c r="D79" s="355"/>
      <c r="E79" s="355"/>
      <c r="F79" s="355"/>
      <c r="G79" s="355"/>
      <c r="H79" s="355"/>
      <c r="I79" s="355"/>
      <c r="J79" s="355"/>
      <c r="K79" s="356"/>
      <c r="L79" s="357"/>
      <c r="M79" s="357"/>
      <c r="N79" s="357"/>
      <c r="O79" s="357"/>
      <c r="P79" s="356"/>
      <c r="Q79" s="357"/>
      <c r="R79" s="357"/>
      <c r="S79" s="357"/>
      <c r="T79" s="357"/>
      <c r="U79" s="356"/>
      <c r="V79" s="357"/>
      <c r="W79" s="357"/>
      <c r="X79" s="357"/>
      <c r="Y79" s="357"/>
      <c r="Z79" s="356"/>
      <c r="AA79" s="357"/>
      <c r="AB79" s="357"/>
      <c r="AC79" s="357"/>
      <c r="AD79" s="357"/>
      <c r="AE79" s="356"/>
      <c r="AF79" s="357"/>
      <c r="AG79" s="357"/>
      <c r="AH79" s="357"/>
      <c r="AI79" s="357"/>
      <c r="AJ79" s="356"/>
      <c r="AK79" s="357"/>
      <c r="AL79" s="357"/>
      <c r="AM79" s="357"/>
      <c r="AN79" s="357"/>
      <c r="AO79" s="356"/>
      <c r="AP79" s="357"/>
      <c r="AQ79" s="357"/>
      <c r="AR79" s="357"/>
      <c r="AS79" s="357"/>
      <c r="AT79" s="356"/>
      <c r="AU79" s="358"/>
      <c r="AV79" s="358"/>
      <c r="AW79" s="358"/>
      <c r="AX79" s="358"/>
      <c r="AY79" s="356"/>
      <c r="AZ79" s="358"/>
      <c r="BA79" s="358"/>
      <c r="BB79" s="358"/>
      <c r="BC79" s="358"/>
      <c r="BD79" s="356"/>
      <c r="BE79" s="358"/>
      <c r="BF79" s="358"/>
      <c r="BG79" s="358"/>
      <c r="BH79" s="358"/>
      <c r="BI79" s="356"/>
      <c r="BJ79" s="358"/>
      <c r="BK79" s="358"/>
      <c r="BL79" s="358"/>
      <c r="BM79" s="358"/>
      <c r="BN79" s="356"/>
      <c r="BO79" s="463"/>
      <c r="BP79" s="463"/>
      <c r="BQ79" s="463"/>
      <c r="BR79" s="463"/>
      <c r="BS79" s="20"/>
      <c r="BT79" s="463">
        <f>BX79/4</f>
        <v>20.229697390141943</v>
      </c>
      <c r="BU79" s="463">
        <f t="shared" si="118"/>
        <v>20.229697390141943</v>
      </c>
      <c r="BV79" s="463">
        <f t="shared" si="118"/>
        <v>20.229697390141943</v>
      </c>
      <c r="BW79" s="463">
        <f t="shared" si="118"/>
        <v>20.229697390141943</v>
      </c>
      <c r="BX79" s="20">
        <f>'Onyx Products (exKyprolis)'!K153</f>
        <v>80.918789560567774</v>
      </c>
      <c r="BY79" s="463">
        <f>CC79/4</f>
        <v>22.246477164703677</v>
      </c>
      <c r="BZ79" s="463">
        <f>BY79</f>
        <v>22.246477164703677</v>
      </c>
      <c r="CA79" s="463">
        <f>BZ79</f>
        <v>22.246477164703677</v>
      </c>
      <c r="CB79" s="463">
        <f>CC79-BY79-BZ79-CA79</f>
        <v>22.246477164703677</v>
      </c>
      <c r="CC79" s="20">
        <f>'Onyx Products (exKyprolis)'!L153</f>
        <v>88.985908658814708</v>
      </c>
      <c r="CD79" s="463">
        <f>CH79/4</f>
        <v>24.294234842157707</v>
      </c>
      <c r="CE79" s="463">
        <f>CD79</f>
        <v>24.294234842157707</v>
      </c>
      <c r="CF79" s="463">
        <f>CE79</f>
        <v>24.294234842157707</v>
      </c>
      <c r="CG79" s="463">
        <f>CH79-CD79-CE79-CF79</f>
        <v>24.294234842157707</v>
      </c>
      <c r="CH79" s="20">
        <f>'Onyx Products (exKyprolis)'!M153</f>
        <v>97.176939368630826</v>
      </c>
      <c r="CI79" s="463">
        <f>CM79/4</f>
        <v>26.37422192978088</v>
      </c>
      <c r="CJ79" s="463">
        <f>CI79</f>
        <v>26.37422192978088</v>
      </c>
      <c r="CK79" s="463">
        <f>CJ79</f>
        <v>26.37422192978088</v>
      </c>
      <c r="CL79" s="463">
        <f>CM79-CI79-CJ79-CK79</f>
        <v>26.374221929780887</v>
      </c>
      <c r="CM79" s="20">
        <f>'Onyx Products (exKyprolis)'!N153</f>
        <v>105.49688771912352</v>
      </c>
      <c r="CN79" s="463">
        <f>CR79/4</f>
        <v>27.487740495744028</v>
      </c>
      <c r="CO79" s="463">
        <f>CN79</f>
        <v>27.487740495744028</v>
      </c>
      <c r="CP79" s="463">
        <f>CO79</f>
        <v>27.487740495744028</v>
      </c>
      <c r="CQ79" s="463">
        <f t="shared" si="119"/>
        <v>27.487740495744035</v>
      </c>
      <c r="CR79" s="20">
        <f>'Onyx Products (exKyprolis)'!O153</f>
        <v>109.95096198297611</v>
      </c>
      <c r="CS79" s="463">
        <f>CW79/4</f>
        <v>28.636145211772078</v>
      </c>
      <c r="CT79" s="463">
        <f>CS79</f>
        <v>28.636145211772078</v>
      </c>
      <c r="CU79" s="463">
        <f>CT79</f>
        <v>28.636145211772078</v>
      </c>
      <c r="CV79" s="463">
        <f>CW79-CS79-CT79-CU79</f>
        <v>28.636145211772085</v>
      </c>
      <c r="CW79" s="20">
        <f>'Onyx Products (exKyprolis)'!P153</f>
        <v>114.54458084708831</v>
      </c>
      <c r="CX79" s="463">
        <f>DB79/4</f>
        <v>29.820845478327684</v>
      </c>
      <c r="CY79" s="463">
        <f>CX79</f>
        <v>29.820845478327684</v>
      </c>
      <c r="CZ79" s="463">
        <f>CY79</f>
        <v>29.820845478327684</v>
      </c>
      <c r="DA79" s="463">
        <f>DB79-CX79-CY79-CZ79</f>
        <v>29.820845478327684</v>
      </c>
      <c r="DB79" s="20">
        <f>'Onyx Products (exKyprolis)'!Q153</f>
        <v>119.28338191331073</v>
      </c>
      <c r="DC79" s="463"/>
      <c r="DD79" s="463"/>
      <c r="DE79" s="463"/>
      <c r="DF79" s="463"/>
      <c r="DG79" s="20">
        <f>DB79*0.3</f>
        <v>35.785014573993216</v>
      </c>
      <c r="DH79" s="20"/>
      <c r="DI79" s="20"/>
      <c r="DJ79" s="20"/>
      <c r="DK79" s="20"/>
      <c r="DL79" s="20">
        <f>DG79*0.1</f>
        <v>3.5785014573993217</v>
      </c>
      <c r="DM79" s="20"/>
      <c r="DN79" s="20"/>
      <c r="DO79" s="20"/>
      <c r="DP79" s="20"/>
      <c r="DQ79" s="20">
        <f>DL79*0.1</f>
        <v>0.35785014573993218</v>
      </c>
      <c r="DR79" s="20"/>
      <c r="DS79" s="20"/>
      <c r="DT79" s="20"/>
      <c r="DU79" s="20"/>
      <c r="DV79" s="20">
        <f>DQ79*0.1</f>
        <v>3.5785014573993218E-2</v>
      </c>
      <c r="DW79" s="20"/>
      <c r="DX79" s="20"/>
      <c r="DY79" s="20"/>
      <c r="DZ79" s="20"/>
      <c r="EA79" s="20">
        <f>DV79*0.1</f>
        <v>3.578501457399322E-3</v>
      </c>
      <c r="EB79" s="20"/>
      <c r="EC79" s="20"/>
      <c r="ED79" s="20"/>
      <c r="EE79" s="20"/>
      <c r="EF79" s="20">
        <f>EA79*0.1</f>
        <v>3.5785014573993222E-4</v>
      </c>
      <c r="EG79" s="20"/>
      <c r="EH79" s="20"/>
      <c r="EI79" s="20"/>
      <c r="EJ79" s="20"/>
      <c r="EK79" s="20">
        <f>EF79*0.1</f>
        <v>3.578501457399322E-5</v>
      </c>
      <c r="EL79" s="20"/>
      <c r="EM79" s="20"/>
      <c r="EN79" s="20"/>
      <c r="EO79" s="20"/>
      <c r="EP79" s="20">
        <f>EK79*0.1</f>
        <v>3.578501457399322E-6</v>
      </c>
      <c r="EQ79" s="20"/>
      <c r="ER79" s="20"/>
      <c r="ES79" s="20"/>
      <c r="ET79" s="20"/>
      <c r="EU79" s="20">
        <f>EP79*0.1</f>
        <v>3.5785014573993224E-7</v>
      </c>
      <c r="EV79" s="20"/>
      <c r="EW79" s="20"/>
      <c r="EX79" s="20"/>
      <c r="EY79" s="20"/>
      <c r="EZ79" s="20">
        <f>EU79*0.1</f>
        <v>3.5785014573993224E-8</v>
      </c>
    </row>
    <row r="80" spans="2:156" hidden="1" outlineLevel="1">
      <c r="B80" s="17" t="s">
        <v>31</v>
      </c>
      <c r="C80" s="355"/>
      <c r="D80" s="355"/>
      <c r="E80" s="355"/>
      <c r="F80" s="355"/>
      <c r="G80" s="355"/>
      <c r="H80" s="355"/>
      <c r="I80" s="355"/>
      <c r="J80" s="355"/>
      <c r="K80" s="356"/>
      <c r="L80" s="357"/>
      <c r="M80" s="357"/>
      <c r="N80" s="357"/>
      <c r="O80" s="357"/>
      <c r="P80" s="356"/>
      <c r="Q80" s="357"/>
      <c r="R80" s="357"/>
      <c r="S80" s="357"/>
      <c r="T80" s="357"/>
      <c r="U80" s="356"/>
      <c r="V80" s="357"/>
      <c r="W80" s="357"/>
      <c r="X80" s="357"/>
      <c r="Y80" s="357"/>
      <c r="Z80" s="356"/>
      <c r="AA80" s="357"/>
      <c r="AB80" s="357"/>
      <c r="AC80" s="357"/>
      <c r="AD80" s="357"/>
      <c r="AE80" s="356"/>
      <c r="AF80" s="357"/>
      <c r="AG80" s="357"/>
      <c r="AH80" s="357"/>
      <c r="AI80" s="357"/>
      <c r="AJ80" s="356"/>
      <c r="AK80" s="357"/>
      <c r="AL80" s="357"/>
      <c r="AM80" s="357"/>
      <c r="AN80" s="357"/>
      <c r="AO80" s="356"/>
      <c r="AP80" s="357"/>
      <c r="AQ80" s="357"/>
      <c r="AR80" s="357"/>
      <c r="AS80" s="357"/>
      <c r="AT80" s="356"/>
      <c r="AU80" s="358"/>
      <c r="AV80" s="358"/>
      <c r="AW80" s="358"/>
      <c r="AX80" s="358"/>
      <c r="AY80" s="356"/>
      <c r="AZ80" s="358"/>
      <c r="BA80" s="358"/>
      <c r="BB80" s="358"/>
      <c r="BC80" s="358"/>
      <c r="BD80" s="356"/>
      <c r="BE80" s="358"/>
      <c r="BF80" s="358"/>
      <c r="BG80" s="358"/>
      <c r="BH80" s="358"/>
      <c r="BI80" s="356"/>
      <c r="BJ80" s="358"/>
      <c r="BK80" s="358"/>
      <c r="BL80" s="358"/>
      <c r="BM80" s="358"/>
      <c r="BN80" s="356"/>
      <c r="BO80" s="467"/>
      <c r="BP80" s="467"/>
      <c r="BQ80" s="467"/>
      <c r="BR80" s="467"/>
      <c r="BS80" s="356"/>
      <c r="BT80" s="467">
        <f>BT83-BT78-BT79</f>
        <v>55.170061183050812</v>
      </c>
      <c r="BU80" s="467">
        <f>BU83-BU78-BU79</f>
        <v>121.17006118305079</v>
      </c>
      <c r="BV80" s="467">
        <f>BV83-BV78-BV79</f>
        <v>73.170061183050819</v>
      </c>
      <c r="BW80" s="467">
        <f>BW83-BW78-BW79</f>
        <v>47.170061183050812</v>
      </c>
      <c r="BX80" s="356">
        <f>SUM(BT80:BW80)</f>
        <v>296.68024473220322</v>
      </c>
      <c r="BY80" s="467">
        <f>BY83-BY78-BY79</f>
        <v>41.88449816358856</v>
      </c>
      <c r="BZ80" s="467">
        <f>BZ83-BZ78-BZ79</f>
        <v>27.88449816358856</v>
      </c>
      <c r="CA80" s="467">
        <f>CA83-CA78-CA79-CA77</f>
        <v>54.88449816358856</v>
      </c>
      <c r="CB80" s="467">
        <v>40</v>
      </c>
      <c r="CC80" s="356">
        <f>SUM(BY80:CB80)</f>
        <v>164.65349449076569</v>
      </c>
      <c r="CD80" s="467">
        <f>CH80/4</f>
        <v>103.87245819085696</v>
      </c>
      <c r="CE80" s="467">
        <f>CH80/4</f>
        <v>103.87245819085696</v>
      </c>
      <c r="CF80" s="467">
        <f>CH80/4</f>
        <v>103.87245819085696</v>
      </c>
      <c r="CG80" s="467">
        <f>CH80/4</f>
        <v>103.87245819085696</v>
      </c>
      <c r="CH80" s="356">
        <f>CH83-CH77-CH78-CH79</f>
        <v>415.48983276342784</v>
      </c>
      <c r="CI80" s="467">
        <f>CM80/4</f>
        <v>37.5</v>
      </c>
      <c r="CJ80" s="467">
        <f>CM80/4</f>
        <v>37.5</v>
      </c>
      <c r="CK80" s="467">
        <f>CM80/4</f>
        <v>37.5</v>
      </c>
      <c r="CL80" s="467">
        <f>CM80/4</f>
        <v>37.5</v>
      </c>
      <c r="CM80" s="356">
        <v>150</v>
      </c>
      <c r="CN80" s="467">
        <v>25</v>
      </c>
      <c r="CO80" s="467">
        <f>CR80/4</f>
        <v>31.25</v>
      </c>
      <c r="CP80" s="467">
        <f>CR80/4</f>
        <v>31.25</v>
      </c>
      <c r="CQ80" s="467">
        <f t="shared" si="119"/>
        <v>37.5</v>
      </c>
      <c r="CR80" s="356">
        <v>125</v>
      </c>
      <c r="CS80" s="467">
        <f>CW80/4</f>
        <v>31.25</v>
      </c>
      <c r="CT80" s="467">
        <f>CW80/4</f>
        <v>31.25</v>
      </c>
      <c r="CU80" s="467">
        <f>CW80/4</f>
        <v>31.25</v>
      </c>
      <c r="CV80" s="467">
        <f>CW80/4</f>
        <v>31.25</v>
      </c>
      <c r="CW80" s="356">
        <f>CR80</f>
        <v>125</v>
      </c>
      <c r="CX80" s="467">
        <f>DB80/4</f>
        <v>31.25</v>
      </c>
      <c r="CY80" s="467">
        <f>DB80/4</f>
        <v>31.25</v>
      </c>
      <c r="CZ80" s="467">
        <f>DB80/4</f>
        <v>31.25</v>
      </c>
      <c r="DA80" s="467">
        <f>DB80/4</f>
        <v>31.25</v>
      </c>
      <c r="DB80" s="356">
        <f>CW80</f>
        <v>125</v>
      </c>
      <c r="DC80" s="467">
        <f>$DG$80/4</f>
        <v>31.25</v>
      </c>
      <c r="DD80" s="467">
        <f>$DG$80/4</f>
        <v>31.25</v>
      </c>
      <c r="DE80" s="467">
        <f>$DG$80/4</f>
        <v>31.25</v>
      </c>
      <c r="DF80" s="467">
        <f>$DG$80/4</f>
        <v>31.25</v>
      </c>
      <c r="DG80" s="356">
        <f>DB80</f>
        <v>125</v>
      </c>
      <c r="DH80" s="467">
        <f>$DL$80/4</f>
        <v>31.25</v>
      </c>
      <c r="DI80" s="467">
        <f>$DL$80/4</f>
        <v>31.25</v>
      </c>
      <c r="DJ80" s="467">
        <f>$DL$80/4</f>
        <v>31.25</v>
      </c>
      <c r="DK80" s="467">
        <f>$DL$80/4</f>
        <v>31.25</v>
      </c>
      <c r="DL80" s="356">
        <f>DG80</f>
        <v>125</v>
      </c>
      <c r="DM80" s="467"/>
      <c r="DN80" s="467"/>
      <c r="DO80" s="467"/>
      <c r="DP80" s="467"/>
      <c r="DQ80" s="356">
        <f>DL80</f>
        <v>125</v>
      </c>
      <c r="DR80" s="467"/>
      <c r="DS80" s="467"/>
      <c r="DT80" s="467"/>
      <c r="DU80" s="467"/>
      <c r="DV80" s="356">
        <f>DQ80</f>
        <v>125</v>
      </c>
      <c r="DW80" s="467"/>
      <c r="DX80" s="467"/>
      <c r="DY80" s="467"/>
      <c r="DZ80" s="467"/>
      <c r="EA80" s="356">
        <f>DV80</f>
        <v>125</v>
      </c>
      <c r="EB80" s="467"/>
      <c r="EC80" s="467"/>
      <c r="ED80" s="467"/>
      <c r="EE80" s="467"/>
      <c r="EF80" s="356">
        <f>EA80</f>
        <v>125</v>
      </c>
      <c r="EG80" s="467"/>
      <c r="EH80" s="467"/>
      <c r="EI80" s="467"/>
      <c r="EJ80" s="467"/>
      <c r="EK80" s="356">
        <f>EF80</f>
        <v>125</v>
      </c>
      <c r="EL80" s="467"/>
      <c r="EM80" s="467"/>
      <c r="EN80" s="467"/>
      <c r="EO80" s="467"/>
      <c r="EP80" s="356">
        <f>EK80</f>
        <v>125</v>
      </c>
      <c r="EQ80" s="467"/>
      <c r="ER80" s="467"/>
      <c r="ES80" s="467"/>
      <c r="ET80" s="467"/>
      <c r="EU80" s="356">
        <f>EP80</f>
        <v>125</v>
      </c>
      <c r="EV80" s="467"/>
      <c r="EW80" s="467"/>
      <c r="EX80" s="467"/>
      <c r="EY80" s="467"/>
      <c r="EZ80" s="356">
        <f>EU80</f>
        <v>125</v>
      </c>
    </row>
    <row r="81" spans="2:156" hidden="1" outlineLevel="1">
      <c r="B81" s="17" t="s">
        <v>935</v>
      </c>
      <c r="C81" s="355"/>
      <c r="D81" s="355"/>
      <c r="E81" s="355"/>
      <c r="F81" s="355"/>
      <c r="G81" s="355"/>
      <c r="H81" s="355"/>
      <c r="I81" s="355"/>
      <c r="J81" s="355"/>
      <c r="K81" s="356"/>
      <c r="L81" s="357"/>
      <c r="M81" s="357"/>
      <c r="N81" s="357"/>
      <c r="O81" s="357"/>
      <c r="P81" s="356"/>
      <c r="Q81" s="357"/>
      <c r="R81" s="357"/>
      <c r="S81" s="357"/>
      <c r="T81" s="357"/>
      <c r="U81" s="356"/>
      <c r="V81" s="357"/>
      <c r="W81" s="357"/>
      <c r="X81" s="357"/>
      <c r="Y81" s="357"/>
      <c r="Z81" s="356"/>
      <c r="AA81" s="357"/>
      <c r="AB81" s="357"/>
      <c r="AC81" s="357"/>
      <c r="AD81" s="357"/>
      <c r="AE81" s="356"/>
      <c r="AF81" s="357"/>
      <c r="AG81" s="357"/>
      <c r="AH81" s="357"/>
      <c r="AI81" s="357"/>
      <c r="AJ81" s="356"/>
      <c r="AK81" s="357"/>
      <c r="AL81" s="357"/>
      <c r="AM81" s="357"/>
      <c r="AN81" s="357"/>
      <c r="AO81" s="356"/>
      <c r="AP81" s="357"/>
      <c r="AQ81" s="357"/>
      <c r="AR81" s="357"/>
      <c r="AS81" s="357"/>
      <c r="AT81" s="356"/>
      <c r="AU81" s="358"/>
      <c r="AV81" s="358"/>
      <c r="AW81" s="358"/>
      <c r="AX81" s="358"/>
      <c r="AY81" s="356"/>
      <c r="AZ81" s="358"/>
      <c r="BA81" s="358"/>
      <c r="BB81" s="358"/>
      <c r="BC81" s="358"/>
      <c r="BD81" s="356"/>
      <c r="BE81" s="358"/>
      <c r="BF81" s="358"/>
      <c r="BG81" s="358"/>
      <c r="BH81" s="358"/>
      <c r="BI81" s="356"/>
      <c r="BJ81" s="358"/>
      <c r="BK81" s="358"/>
      <c r="BL81" s="358"/>
      <c r="BM81" s="358"/>
      <c r="BN81" s="356"/>
      <c r="BO81" s="467"/>
      <c r="BP81" s="467"/>
      <c r="BQ81" s="467"/>
      <c r="BR81" s="467"/>
      <c r="BS81" s="356"/>
      <c r="BT81" s="467"/>
      <c r="BU81" s="467"/>
      <c r="BV81" s="467"/>
      <c r="BW81" s="467"/>
      <c r="BX81" s="356"/>
      <c r="BY81" s="467"/>
      <c r="BZ81" s="467"/>
      <c r="CA81" s="467"/>
      <c r="CB81" s="467"/>
      <c r="CC81" s="356"/>
      <c r="CD81" s="467"/>
      <c r="CE81" s="467"/>
      <c r="CF81" s="467"/>
      <c r="CG81" s="467"/>
      <c r="CH81" s="356"/>
      <c r="CI81" s="467">
        <f>CM81/4</f>
        <v>0</v>
      </c>
      <c r="CJ81" s="467">
        <f>CM81/4</f>
        <v>0</v>
      </c>
      <c r="CK81" s="467">
        <f>CM81/4</f>
        <v>0</v>
      </c>
      <c r="CL81" s="467">
        <f>CM81/4</f>
        <v>0</v>
      </c>
      <c r="CM81" s="356">
        <f>'AMG334'!F42</f>
        <v>0</v>
      </c>
      <c r="CN81" s="467">
        <v>0</v>
      </c>
      <c r="CO81" s="467">
        <v>0</v>
      </c>
      <c r="CP81" s="467">
        <v>2</v>
      </c>
      <c r="CQ81" s="467">
        <f t="shared" si="119"/>
        <v>0.98178809938811273</v>
      </c>
      <c r="CR81" s="356">
        <f>'AMG334'!G42</f>
        <v>2.9817880993881127</v>
      </c>
      <c r="CS81" s="467"/>
      <c r="CT81" s="467"/>
      <c r="CU81" s="467"/>
      <c r="CV81" s="467"/>
      <c r="CW81" s="356">
        <f>'AMG334'!H42</f>
        <v>14.588107165917439</v>
      </c>
      <c r="CX81" s="467"/>
      <c r="CY81" s="467"/>
      <c r="CZ81" s="467"/>
      <c r="DA81" s="467"/>
      <c r="DB81" s="356">
        <f>'AMG334'!I42</f>
        <v>41.112707255116788</v>
      </c>
      <c r="DC81" s="467"/>
      <c r="DD81" s="467"/>
      <c r="DE81" s="467"/>
      <c r="DF81" s="467"/>
      <c r="DG81" s="356">
        <f>'AMG334'!J42</f>
        <v>77.0575978101256</v>
      </c>
      <c r="DH81" s="467"/>
      <c r="DI81" s="467"/>
      <c r="DJ81" s="467"/>
      <c r="DK81" s="467"/>
      <c r="DL81" s="356">
        <f>'AMG334'!K42</f>
        <v>116.76244714367303</v>
      </c>
      <c r="DM81" s="467"/>
      <c r="DN81" s="467"/>
      <c r="DO81" s="467"/>
      <c r="DP81" s="467"/>
      <c r="DQ81" s="356">
        <f>'AMG334'!L42</f>
        <v>151.20871577032673</v>
      </c>
      <c r="DR81" s="467"/>
      <c r="DS81" s="467"/>
      <c r="DT81" s="467"/>
      <c r="DU81" s="467"/>
      <c r="DV81" s="356">
        <f>'AMG334'!M42</f>
        <v>157.31754788744792</v>
      </c>
      <c r="DW81" s="467"/>
      <c r="DX81" s="467"/>
      <c r="DY81" s="467"/>
      <c r="DZ81" s="467"/>
      <c r="EA81" s="356">
        <f>'AMG334'!N42</f>
        <v>163.67317682210086</v>
      </c>
      <c r="EB81" s="467"/>
      <c r="EC81" s="467"/>
      <c r="ED81" s="467"/>
      <c r="EE81" s="467"/>
      <c r="EF81" s="356">
        <f>'AMG334'!O42</f>
        <v>170.28557316571374</v>
      </c>
      <c r="EG81" s="467"/>
      <c r="EH81" s="467"/>
      <c r="EI81" s="467"/>
      <c r="EJ81" s="467"/>
      <c r="EK81" s="356">
        <f>'AMG334'!P42</f>
        <v>177.16511032160861</v>
      </c>
      <c r="EL81" s="467"/>
      <c r="EM81" s="467"/>
      <c r="EN81" s="467"/>
      <c r="EO81" s="467"/>
      <c r="EP81" s="356">
        <f>'AMG334'!Q42</f>
        <v>184.32258077860155</v>
      </c>
      <c r="EQ81" s="467"/>
      <c r="ER81" s="467"/>
      <c r="ES81" s="467"/>
      <c r="ET81" s="467"/>
      <c r="EU81" s="356">
        <f>'AMG334'!R42</f>
        <v>191.76921304205709</v>
      </c>
      <c r="EV81" s="467"/>
      <c r="EW81" s="467"/>
      <c r="EX81" s="467"/>
      <c r="EY81" s="467"/>
      <c r="EZ81" s="356">
        <f>'AMG334'!S42</f>
        <v>199.51668924895614</v>
      </c>
    </row>
    <row r="82" spans="2:156" hidden="1" outlineLevel="1">
      <c r="B82" s="17" t="s">
        <v>936</v>
      </c>
      <c r="C82" s="355"/>
      <c r="D82" s="355"/>
      <c r="E82" s="355"/>
      <c r="F82" s="355"/>
      <c r="G82" s="355"/>
      <c r="H82" s="355"/>
      <c r="I82" s="355"/>
      <c r="J82" s="355"/>
      <c r="K82" s="356"/>
      <c r="L82" s="357"/>
      <c r="M82" s="357"/>
      <c r="N82" s="357"/>
      <c r="O82" s="357"/>
      <c r="P82" s="356"/>
      <c r="Q82" s="357"/>
      <c r="R82" s="357"/>
      <c r="S82" s="357"/>
      <c r="T82" s="357"/>
      <c r="U82" s="356"/>
      <c r="V82" s="357"/>
      <c r="W82" s="357"/>
      <c r="X82" s="357"/>
      <c r="Y82" s="357"/>
      <c r="Z82" s="356"/>
      <c r="AA82" s="357"/>
      <c r="AB82" s="357"/>
      <c r="AC82" s="357"/>
      <c r="AD82" s="357"/>
      <c r="AE82" s="356"/>
      <c r="AF82" s="357"/>
      <c r="AG82" s="357"/>
      <c r="AH82" s="357"/>
      <c r="AI82" s="357"/>
      <c r="AJ82" s="356"/>
      <c r="AK82" s="357"/>
      <c r="AL82" s="357"/>
      <c r="AM82" s="357"/>
      <c r="AN82" s="357"/>
      <c r="AO82" s="356"/>
      <c r="AP82" s="357"/>
      <c r="AQ82" s="357"/>
      <c r="AR82" s="357"/>
      <c r="AS82" s="357"/>
      <c r="AT82" s="356"/>
      <c r="AU82" s="358"/>
      <c r="AV82" s="358"/>
      <c r="AW82" s="358"/>
      <c r="AX82" s="358"/>
      <c r="AY82" s="356"/>
      <c r="AZ82" s="358"/>
      <c r="BA82" s="358"/>
      <c r="BB82" s="358"/>
      <c r="BC82" s="358"/>
      <c r="BD82" s="356"/>
      <c r="BE82" s="358"/>
      <c r="BF82" s="358"/>
      <c r="BG82" s="358"/>
      <c r="BH82" s="358"/>
      <c r="BI82" s="356"/>
      <c r="BJ82" s="358"/>
      <c r="BK82" s="358"/>
      <c r="BL82" s="358"/>
      <c r="BM82" s="358"/>
      <c r="BN82" s="356"/>
      <c r="BO82" s="467"/>
      <c r="BP82" s="467"/>
      <c r="BQ82" s="467"/>
      <c r="BR82" s="467"/>
      <c r="BS82" s="356"/>
      <c r="BT82" s="467"/>
      <c r="BU82" s="467"/>
      <c r="BV82" s="467"/>
      <c r="BW82" s="467"/>
      <c r="BX82" s="356"/>
      <c r="BY82" s="467"/>
      <c r="BZ82" s="467"/>
      <c r="CA82" s="467"/>
      <c r="CB82" s="467"/>
      <c r="CC82" s="356"/>
      <c r="CD82" s="467"/>
      <c r="CE82" s="467"/>
      <c r="CF82" s="467"/>
      <c r="CG82" s="467"/>
      <c r="CH82" s="356"/>
      <c r="CI82" s="467">
        <v>0</v>
      </c>
      <c r="CJ82" s="467">
        <v>0</v>
      </c>
      <c r="CK82" s="467">
        <f>CM82/2</f>
        <v>125</v>
      </c>
      <c r="CL82" s="467">
        <f>CM82-SUM(CI82:CK82)</f>
        <v>125</v>
      </c>
      <c r="CM82" s="356">
        <f>'AMG334'!F44</f>
        <v>250</v>
      </c>
      <c r="CN82" s="467">
        <f>CN83-CN77-CN78-CN79-CN80-CN81</f>
        <v>-0.48774049574402767</v>
      </c>
      <c r="CO82" s="467">
        <v>75</v>
      </c>
      <c r="CP82" s="467">
        <v>0</v>
      </c>
      <c r="CQ82" s="467">
        <f t="shared" si="119"/>
        <v>0.48774049574402056</v>
      </c>
      <c r="CR82" s="356">
        <f>'AMG334'!G44</f>
        <v>75</v>
      </c>
      <c r="CS82" s="467"/>
      <c r="CT82" s="467"/>
      <c r="CU82" s="467"/>
      <c r="CV82" s="467"/>
      <c r="CW82" s="356">
        <f>'AMG334'!H44</f>
        <v>100</v>
      </c>
      <c r="CX82" s="467"/>
      <c r="CY82" s="467"/>
      <c r="CZ82" s="467"/>
      <c r="DA82" s="467"/>
      <c r="DB82" s="356">
        <f>'AMG334'!I44</f>
        <v>0</v>
      </c>
      <c r="DC82" s="467"/>
      <c r="DD82" s="467"/>
      <c r="DE82" s="467"/>
      <c r="DF82" s="467"/>
      <c r="DG82" s="356">
        <f>'AMG334'!J44</f>
        <v>0</v>
      </c>
      <c r="DH82" s="467"/>
      <c r="DI82" s="467"/>
      <c r="DJ82" s="467"/>
      <c r="DK82" s="467"/>
      <c r="DL82" s="356">
        <f>'AMG334'!K44</f>
        <v>0</v>
      </c>
      <c r="DM82" s="467"/>
      <c r="DN82" s="467"/>
      <c r="DO82" s="467"/>
      <c r="DP82" s="467"/>
      <c r="DQ82" s="356">
        <f>'AMG334'!L44</f>
        <v>0</v>
      </c>
      <c r="DR82" s="467"/>
      <c r="DS82" s="467"/>
      <c r="DT82" s="467"/>
      <c r="DU82" s="467"/>
      <c r="DV82" s="356">
        <f>'AMG334'!M44</f>
        <v>0</v>
      </c>
      <c r="DW82" s="467"/>
      <c r="DX82" s="467"/>
      <c r="DY82" s="467"/>
      <c r="DZ82" s="467"/>
      <c r="EA82" s="356">
        <f>'AMG334'!N44</f>
        <v>0</v>
      </c>
      <c r="EB82" s="467"/>
      <c r="EC82" s="467"/>
      <c r="ED82" s="467"/>
      <c r="EE82" s="467"/>
      <c r="EF82" s="356">
        <f>'AMG334'!O44</f>
        <v>0</v>
      </c>
      <c r="EG82" s="467"/>
      <c r="EH82" s="467"/>
      <c r="EI82" s="467"/>
      <c r="EJ82" s="467"/>
      <c r="EK82" s="356">
        <f>'AMG334'!P44</f>
        <v>0</v>
      </c>
      <c r="EL82" s="467"/>
      <c r="EM82" s="467"/>
      <c r="EN82" s="467"/>
      <c r="EO82" s="467"/>
      <c r="EP82" s="356">
        <f>'AMG334'!Q44</f>
        <v>0</v>
      </c>
      <c r="EQ82" s="467"/>
      <c r="ER82" s="467"/>
      <c r="ES82" s="467"/>
      <c r="ET82" s="467"/>
      <c r="EU82" s="356">
        <f>'AMG334'!R44</f>
        <v>0</v>
      </c>
      <c r="EV82" s="467"/>
      <c r="EW82" s="467"/>
      <c r="EX82" s="467"/>
      <c r="EY82" s="467"/>
      <c r="EZ82" s="356">
        <f>'AMG334'!S44</f>
        <v>0</v>
      </c>
    </row>
    <row r="83" spans="2:156" collapsed="1">
      <c r="B83" s="354" t="s">
        <v>107</v>
      </c>
      <c r="C83" s="450">
        <v>18.888999999999999</v>
      </c>
      <c r="D83" s="355">
        <v>27.9</v>
      </c>
      <c r="E83" s="355">
        <v>36.1</v>
      </c>
      <c r="F83" s="355">
        <v>41.7</v>
      </c>
      <c r="G83" s="355">
        <v>55.3</v>
      </c>
      <c r="H83" s="450">
        <v>75.900000000000006</v>
      </c>
      <c r="I83" s="450">
        <v>135.9</v>
      </c>
      <c r="J83" s="450">
        <v>181</v>
      </c>
      <c r="K83" s="450">
        <v>252.7</v>
      </c>
      <c r="L83" s="357">
        <v>68.400000000000006</v>
      </c>
      <c r="M83" s="357">
        <v>80</v>
      </c>
      <c r="N83" s="357">
        <v>90.7</v>
      </c>
      <c r="O83" s="357">
        <v>92.4</v>
      </c>
      <c r="P83" s="356">
        <f>SUM(L83:O83)</f>
        <v>331.5</v>
      </c>
      <c r="Q83" s="448">
        <v>91.4</v>
      </c>
      <c r="R83" s="448">
        <v>91.9</v>
      </c>
      <c r="S83" s="448">
        <v>100.5</v>
      </c>
      <c r="T83" s="448">
        <v>99</v>
      </c>
      <c r="U83" s="356">
        <f>SUM(Q83:T83)</f>
        <v>382.8</v>
      </c>
      <c r="V83" s="448">
        <v>100.2</v>
      </c>
      <c r="W83" s="448">
        <v>110</v>
      </c>
      <c r="X83" s="448">
        <v>115</v>
      </c>
      <c r="Y83" s="448">
        <v>110</v>
      </c>
      <c r="Z83" s="356">
        <f>SUM(V83:Y83)</f>
        <v>435.2</v>
      </c>
      <c r="AA83" s="448">
        <v>98</v>
      </c>
      <c r="AB83" s="448">
        <v>100</v>
      </c>
      <c r="AC83" s="448">
        <v>107</v>
      </c>
      <c r="AD83" s="448">
        <v>103</v>
      </c>
      <c r="AE83" s="356">
        <f>SUM(AA83:AD83)</f>
        <v>408</v>
      </c>
      <c r="AF83" s="448">
        <v>90</v>
      </c>
      <c r="AG83" s="448">
        <v>113</v>
      </c>
      <c r="AH83" s="448">
        <v>109</v>
      </c>
      <c r="AI83" s="448">
        <v>98</v>
      </c>
      <c r="AJ83" s="356">
        <f>SUM(AF83:AI83)</f>
        <v>410</v>
      </c>
      <c r="AK83" s="448">
        <v>122</v>
      </c>
      <c r="AL83" s="448">
        <v>124</v>
      </c>
      <c r="AM83" s="448">
        <v>87</v>
      </c>
      <c r="AN83" s="448">
        <v>127</v>
      </c>
      <c r="AO83" s="356">
        <f>SUM(AK83:AN83)</f>
        <v>460</v>
      </c>
      <c r="AP83" s="448">
        <v>76</v>
      </c>
      <c r="AQ83" s="448">
        <v>72</v>
      </c>
      <c r="AR83" s="448">
        <v>91</v>
      </c>
      <c r="AS83" s="448">
        <v>77</v>
      </c>
      <c r="AT83" s="356">
        <f>SUM(AP83:AS83)</f>
        <v>316</v>
      </c>
      <c r="AU83" s="358">
        <v>70</v>
      </c>
      <c r="AV83" s="358">
        <v>79</v>
      </c>
      <c r="AW83" s="358">
        <v>76</v>
      </c>
      <c r="AX83" s="358">
        <v>66</v>
      </c>
      <c r="AY83" s="356">
        <f>SUM(AU83:AX83)</f>
        <v>291</v>
      </c>
      <c r="AZ83" s="358">
        <v>64</v>
      </c>
      <c r="BA83" s="358">
        <v>191</v>
      </c>
      <c r="BB83" s="358">
        <v>57</v>
      </c>
      <c r="BC83" s="358">
        <v>81</v>
      </c>
      <c r="BD83" s="356">
        <f>SUM(AZ83:BC83)</f>
        <v>393</v>
      </c>
      <c r="BE83" s="358">
        <v>88</v>
      </c>
      <c r="BF83" s="358">
        <v>66</v>
      </c>
      <c r="BG83" s="358">
        <v>67</v>
      </c>
      <c r="BH83" s="358">
        <v>66</v>
      </c>
      <c r="BI83" s="356">
        <f>SUM(BE83:BH83)</f>
        <v>287</v>
      </c>
      <c r="BJ83" s="358">
        <v>147</v>
      </c>
      <c r="BK83" s="358">
        <v>277</v>
      </c>
      <c r="BL83" s="358">
        <v>118</v>
      </c>
      <c r="BM83" s="358">
        <v>84</v>
      </c>
      <c r="BN83" s="356">
        <f>SUM(BJ83:BM83)</f>
        <v>626</v>
      </c>
      <c r="BO83" s="467">
        <v>87</v>
      </c>
      <c r="BP83" s="467">
        <v>84</v>
      </c>
      <c r="BQ83" s="467">
        <v>101</v>
      </c>
      <c r="BR83" s="474">
        <v>212</v>
      </c>
      <c r="BS83" s="356">
        <f>SUM(BO83:BR83)</f>
        <v>484</v>
      </c>
      <c r="BT83" s="474">
        <v>165</v>
      </c>
      <c r="BU83" s="474">
        <v>231</v>
      </c>
      <c r="BV83" s="474">
        <v>183</v>
      </c>
      <c r="BW83" s="474">
        <v>157</v>
      </c>
      <c r="BX83" s="356">
        <f>SUM(BT83:BW83)</f>
        <v>736</v>
      </c>
      <c r="BY83" s="474">
        <v>159</v>
      </c>
      <c r="BZ83" s="474">
        <v>145</v>
      </c>
      <c r="CA83" s="474">
        <v>207</v>
      </c>
      <c r="CB83" s="474">
        <v>207</v>
      </c>
      <c r="CC83" s="356">
        <f>SUM(BY83:CB83)</f>
        <v>718</v>
      </c>
      <c r="CD83" s="474">
        <v>288</v>
      </c>
      <c r="CE83" s="474">
        <v>214</v>
      </c>
      <c r="CF83" s="474">
        <v>295</v>
      </c>
      <c r="CG83" s="474">
        <v>302</v>
      </c>
      <c r="CH83" s="356">
        <f>SUM(CD83:CG83)</f>
        <v>1099</v>
      </c>
      <c r="CI83" s="474">
        <v>265</v>
      </c>
      <c r="CJ83" s="474">
        <v>236</v>
      </c>
      <c r="CK83" s="474">
        <v>320</v>
      </c>
      <c r="CL83" s="474">
        <v>233</v>
      </c>
      <c r="CM83" s="356">
        <f>SUM(CI83:CL83)</f>
        <v>1054</v>
      </c>
      <c r="CN83" s="474">
        <v>211</v>
      </c>
      <c r="CO83" s="467">
        <f t="shared" ref="CO83:CQ83" si="120">CO80+CO79+CO78+CO77+CO81+CO82</f>
        <v>333.73774049574399</v>
      </c>
      <c r="CP83" s="467">
        <f t="shared" si="120"/>
        <v>260.73774049574399</v>
      </c>
      <c r="CQ83" s="467">
        <f t="shared" si="120"/>
        <v>276.77726909087619</v>
      </c>
      <c r="CR83" s="356">
        <f>CR80+CR79+CR78+CR77+CR81+CR82</f>
        <v>1082.2527500823644</v>
      </c>
      <c r="CS83" s="467">
        <f>CS80+CS79+CS78+CS77</f>
        <v>281.6787606015348</v>
      </c>
      <c r="CT83" s="467">
        <f>CT80+CT79+CT78+CT77</f>
        <v>281.6787606015348</v>
      </c>
      <c r="CU83" s="467">
        <f>CU80+CU79+CU78+CU77</f>
        <v>281.6787606015348</v>
      </c>
      <c r="CV83" s="467">
        <f>CV80+CV79+CV78+CV77</f>
        <v>281.6787606015348</v>
      </c>
      <c r="CW83" s="356">
        <f>CW80+CW79+CW78+CW77+CW81+CW82</f>
        <v>1241.3031495720566</v>
      </c>
      <c r="CX83" s="467">
        <f>CX80+CX79+CX78+CX77</f>
        <v>324.95983520725883</v>
      </c>
      <c r="CY83" s="467">
        <f>CY80+CY79+CY78+CY77</f>
        <v>324.95983520725883</v>
      </c>
      <c r="CZ83" s="467">
        <f>CZ80+CZ79+CZ78+CZ77</f>
        <v>324.95983520725883</v>
      </c>
      <c r="DA83" s="467">
        <f>DA80+DA79+DA78+DA77</f>
        <v>324.95983520725872</v>
      </c>
      <c r="DB83" s="356">
        <f>DB80+DB79+DB78+DB77+DB81+DB82</f>
        <v>1340.952048084152</v>
      </c>
      <c r="DC83" s="467">
        <f>DC80+DC79+DC78+DC77</f>
        <v>31.25</v>
      </c>
      <c r="DD83" s="467">
        <f>DD80+DD79+DD78+DD77</f>
        <v>31.25</v>
      </c>
      <c r="DE83" s="467">
        <f>DE80+DE79+DE78+DE77</f>
        <v>31.25</v>
      </c>
      <c r="DF83" s="467">
        <f>DF80+DF79+DF78+DF77</f>
        <v>31.25</v>
      </c>
      <c r="DG83" s="356">
        <f>DG80+DG79+DG78+DG77+DG81+DG82</f>
        <v>923.00540005883602</v>
      </c>
      <c r="DH83" s="467">
        <f>DH80+DH79+DH78+DH77</f>
        <v>31.25</v>
      </c>
      <c r="DI83" s="467">
        <f>DI80+DI79+DI78+DI77</f>
        <v>31.25</v>
      </c>
      <c r="DJ83" s="467">
        <f>DJ80+DJ79+DJ78+DJ77</f>
        <v>31.25</v>
      </c>
      <c r="DK83" s="467">
        <f>DK80+DK79+DK78+DK77</f>
        <v>31.25</v>
      </c>
      <c r="DL83" s="356">
        <f>DL80+DL79+DL78+DL77+DL81+DL82</f>
        <v>779.59522736854399</v>
      </c>
      <c r="DM83" s="467">
        <f>DM80+DM79+DM78+DM77</f>
        <v>0</v>
      </c>
      <c r="DN83" s="467">
        <f>DN80+DN79+DN78+DN77</f>
        <v>0</v>
      </c>
      <c r="DO83" s="467">
        <f>DO80+DO79+DO78+DO77</f>
        <v>0</v>
      </c>
      <c r="DP83" s="467">
        <f>DP80+DP79+DP78+DP77</f>
        <v>0</v>
      </c>
      <c r="DQ83" s="356">
        <f>DQ80+DQ79+DQ78+DQ77+DQ81+DQ82</f>
        <v>784.0865437928137</v>
      </c>
      <c r="DR83" s="467">
        <f>DR80+DR79+DR78+DR77</f>
        <v>0</v>
      </c>
      <c r="DS83" s="467">
        <f>DS80+DS79+DS78+DS77</f>
        <v>0</v>
      </c>
      <c r="DT83" s="467">
        <f>DT80+DT79+DT78+DT77</f>
        <v>0</v>
      </c>
      <c r="DU83" s="467">
        <f>DU80+DU79+DU78+DU77</f>
        <v>0</v>
      </c>
      <c r="DV83" s="356">
        <f>DV80+DV79+DV78+DV77+DV81+DV82</f>
        <v>687.29907968969655</v>
      </c>
      <c r="DW83" s="467">
        <f>DW80+DW79+DW78+DW77</f>
        <v>0</v>
      </c>
      <c r="DX83" s="467">
        <f>DX80+DX79+DX78+DX77</f>
        <v>0</v>
      </c>
      <c r="DY83" s="467">
        <f>DY80+DY79+DY78+DY77</f>
        <v>0</v>
      </c>
      <c r="DZ83" s="467">
        <f>DZ80+DZ79+DZ78+DZ77</f>
        <v>0</v>
      </c>
      <c r="EA83" s="356">
        <f>EA80+EA79+EA78+EA77+EA81+EA82</f>
        <v>369.65061560232573</v>
      </c>
      <c r="EB83" s="467">
        <f>EB80+EB79+EB78+EB77</f>
        <v>0</v>
      </c>
      <c r="EC83" s="467">
        <f>EC80+EC79+EC78+EC77</f>
        <v>0</v>
      </c>
      <c r="ED83" s="467">
        <f>ED80+ED79+ED78+ED77</f>
        <v>0</v>
      </c>
      <c r="EE83" s="467">
        <f>EE80+EE79+EE78+EE77</f>
        <v>0</v>
      </c>
      <c r="EF83" s="356">
        <f>EF80+EF79+EF78+EF77+EF81+EF82</f>
        <v>303.38331704373627</v>
      </c>
      <c r="EG83" s="467">
        <f>EG80+EG79+EG78+EG77</f>
        <v>0</v>
      </c>
      <c r="EH83" s="467">
        <f>EH80+EH79+EH78+EH77</f>
        <v>0</v>
      </c>
      <c r="EI83" s="467">
        <f>EI80+EI79+EI78+EI77</f>
        <v>0</v>
      </c>
      <c r="EJ83" s="467">
        <f>EJ80+EJ79+EJ78+EJ77</f>
        <v>0</v>
      </c>
      <c r="EK83" s="356">
        <f>EK80+EK79+EK78+EK77+EK81+EK82</f>
        <v>302.97488470941084</v>
      </c>
      <c r="EL83" s="467">
        <f>EL80+EL79+EL78+EL77</f>
        <v>0</v>
      </c>
      <c r="EM83" s="467">
        <f>EM80+EM79+EM78+EM77</f>
        <v>0</v>
      </c>
      <c r="EN83" s="467">
        <f>EN80+EN79+EN78+EN77</f>
        <v>0</v>
      </c>
      <c r="EO83" s="467">
        <f>EO80+EO79+EO78+EO77</f>
        <v>0</v>
      </c>
      <c r="EP83" s="356">
        <f>EP80+EP79+EP78+EP77+EP81+EP82</f>
        <v>309.40355821738177</v>
      </c>
      <c r="EQ83" s="467">
        <f>EQ80+EQ79+EQ78+EQ77</f>
        <v>0</v>
      </c>
      <c r="ER83" s="467">
        <f>ER80+ER79+ER78+ER77</f>
        <v>0</v>
      </c>
      <c r="ES83" s="467">
        <f>ES80+ES79+ES78+ES77</f>
        <v>0</v>
      </c>
      <c r="ET83" s="467">
        <f>ET80+ET79+ET78+ET77</f>
        <v>0</v>
      </c>
      <c r="EU83" s="356">
        <f>EU80+EU79+EU78+EU77+EU81+EU82</f>
        <v>316.77731078593513</v>
      </c>
      <c r="EV83" s="467">
        <f>EV80+EV79+EV78+EV77</f>
        <v>0</v>
      </c>
      <c r="EW83" s="467">
        <f>EW80+EW79+EW78+EW77</f>
        <v>0</v>
      </c>
      <c r="EX83" s="467">
        <f>EX80+EX79+EX78+EX77</f>
        <v>0</v>
      </c>
      <c r="EY83" s="467">
        <f>EY80+EY79+EY78+EY77</f>
        <v>0</v>
      </c>
      <c r="EZ83" s="356">
        <f>EZ80+EZ79+EZ78+EZ77+EZ81+EZ82</f>
        <v>324.51749902334393</v>
      </c>
    </row>
    <row r="84" spans="2:156" ht="13.5" thickBot="1">
      <c r="B84" s="344" t="s">
        <v>110</v>
      </c>
      <c r="C84" s="8">
        <f t="shared" ref="C84:AH84" si="121">C83+C76+C75+C77</f>
        <v>1373.8419999999999</v>
      </c>
      <c r="D84" s="8">
        <f t="shared" si="121"/>
        <v>1647.8999999999999</v>
      </c>
      <c r="E84" s="8">
        <f t="shared" si="121"/>
        <v>1939.8999999999999</v>
      </c>
      <c r="F84" s="8">
        <f t="shared" si="121"/>
        <v>2239.7999999999997</v>
      </c>
      <c r="G84" s="8">
        <f t="shared" si="121"/>
        <v>2401</v>
      </c>
      <c r="H84" s="8">
        <f t="shared" si="121"/>
        <v>2718.2</v>
      </c>
      <c r="I84" s="8">
        <f t="shared" si="121"/>
        <v>3340.1</v>
      </c>
      <c r="J84" s="8">
        <f t="shared" si="121"/>
        <v>3629.3999999999996</v>
      </c>
      <c r="K84" s="8">
        <f t="shared" si="121"/>
        <v>4015.7</v>
      </c>
      <c r="L84" s="9">
        <f t="shared" si="121"/>
        <v>1008.5</v>
      </c>
      <c r="M84" s="9">
        <f t="shared" si="121"/>
        <v>1249.0999999999999</v>
      </c>
      <c r="N84" s="9">
        <f t="shared" si="121"/>
        <v>1499.3000000000002</v>
      </c>
      <c r="O84" s="9">
        <f t="shared" si="121"/>
        <v>1766.1</v>
      </c>
      <c r="P84" s="8">
        <f t="shared" si="121"/>
        <v>5523</v>
      </c>
      <c r="Q84" s="9">
        <f t="shared" si="121"/>
        <v>1761.2</v>
      </c>
      <c r="R84" s="9">
        <f t="shared" si="121"/>
        <v>2041.1</v>
      </c>
      <c r="S84" s="9">
        <f t="shared" si="121"/>
        <v>2208</v>
      </c>
      <c r="T84" s="9">
        <f t="shared" si="121"/>
        <v>2346</v>
      </c>
      <c r="U84" s="8">
        <f t="shared" si="121"/>
        <v>8356.2999999999993</v>
      </c>
      <c r="V84" s="9">
        <f t="shared" si="121"/>
        <v>2343</v>
      </c>
      <c r="W84" s="9">
        <f t="shared" si="121"/>
        <v>2585</v>
      </c>
      <c r="X84" s="9">
        <f t="shared" si="121"/>
        <v>2713</v>
      </c>
      <c r="Y84" s="9">
        <f t="shared" si="121"/>
        <v>2909</v>
      </c>
      <c r="Z84" s="8">
        <f t="shared" si="121"/>
        <v>10550</v>
      </c>
      <c r="AA84" s="9">
        <f t="shared" si="121"/>
        <v>2833</v>
      </c>
      <c r="AB84" s="9">
        <f t="shared" si="121"/>
        <v>3172</v>
      </c>
      <c r="AC84" s="9">
        <f t="shared" si="121"/>
        <v>3154</v>
      </c>
      <c r="AD84" s="9">
        <f t="shared" si="121"/>
        <v>3271</v>
      </c>
      <c r="AE84" s="8">
        <f t="shared" si="121"/>
        <v>12430</v>
      </c>
      <c r="AF84" s="9">
        <f t="shared" si="121"/>
        <v>3217</v>
      </c>
      <c r="AG84" s="9">
        <f t="shared" si="121"/>
        <v>3604</v>
      </c>
      <c r="AH84" s="9">
        <f t="shared" si="121"/>
        <v>3612</v>
      </c>
      <c r="AI84" s="9">
        <f t="shared" ref="AI84:BN84" si="122">AI83+AI76+AI75+AI77</f>
        <v>3835</v>
      </c>
      <c r="AJ84" s="8">
        <f t="shared" si="122"/>
        <v>14268</v>
      </c>
      <c r="AK84" s="9">
        <f t="shared" si="122"/>
        <v>3687</v>
      </c>
      <c r="AL84" s="9">
        <f t="shared" si="122"/>
        <v>3728</v>
      </c>
      <c r="AM84" s="9">
        <f t="shared" si="122"/>
        <v>3611</v>
      </c>
      <c r="AN84" s="9">
        <f t="shared" si="122"/>
        <v>3745</v>
      </c>
      <c r="AO84" s="8">
        <f t="shared" si="122"/>
        <v>14771</v>
      </c>
      <c r="AP84" s="9">
        <f t="shared" si="122"/>
        <v>3613</v>
      </c>
      <c r="AQ84" s="9">
        <f t="shared" si="122"/>
        <v>3764</v>
      </c>
      <c r="AR84" s="9">
        <f t="shared" si="122"/>
        <v>3875</v>
      </c>
      <c r="AS84" s="9">
        <f t="shared" si="122"/>
        <v>3751</v>
      </c>
      <c r="AT84" s="8">
        <f t="shared" si="122"/>
        <v>15003</v>
      </c>
      <c r="AU84" s="9">
        <f t="shared" si="122"/>
        <v>3308</v>
      </c>
      <c r="AV84" s="9">
        <f t="shared" si="122"/>
        <v>3713</v>
      </c>
      <c r="AW84" s="9">
        <f t="shared" si="122"/>
        <v>3812</v>
      </c>
      <c r="AX84" s="9">
        <f t="shared" si="122"/>
        <v>3809</v>
      </c>
      <c r="AY84" s="8">
        <f t="shared" si="122"/>
        <v>14642</v>
      </c>
      <c r="AZ84" s="9">
        <f t="shared" si="122"/>
        <v>3592</v>
      </c>
      <c r="BA84" s="9">
        <f t="shared" si="122"/>
        <v>3804</v>
      </c>
      <c r="BB84" s="9">
        <f t="shared" si="122"/>
        <v>3816</v>
      </c>
      <c r="BC84" s="9">
        <f t="shared" si="122"/>
        <v>3841</v>
      </c>
      <c r="BD84" s="8">
        <f t="shared" si="122"/>
        <v>15053</v>
      </c>
      <c r="BE84" s="9">
        <f t="shared" si="122"/>
        <v>3706</v>
      </c>
      <c r="BF84" s="9">
        <f t="shared" si="122"/>
        <v>3959</v>
      </c>
      <c r="BG84" s="9">
        <f t="shared" si="122"/>
        <v>3944</v>
      </c>
      <c r="BH84" s="9">
        <f t="shared" si="122"/>
        <v>3973</v>
      </c>
      <c r="BI84" s="8">
        <f t="shared" si="122"/>
        <v>15582</v>
      </c>
      <c r="BJ84" s="9">
        <f t="shared" si="122"/>
        <v>4048</v>
      </c>
      <c r="BK84" s="9">
        <f t="shared" si="122"/>
        <v>4477</v>
      </c>
      <c r="BL84" s="9">
        <f t="shared" si="122"/>
        <v>4319</v>
      </c>
      <c r="BM84" s="9">
        <f t="shared" si="122"/>
        <v>4421</v>
      </c>
      <c r="BN84" s="8">
        <f t="shared" si="122"/>
        <v>17265</v>
      </c>
      <c r="BO84" s="471">
        <f>BO83+BO76+BO75+BO77</f>
        <v>4238</v>
      </c>
      <c r="BP84" s="471">
        <f>BP83+BP76+BP75+BP77</f>
        <v>4679</v>
      </c>
      <c r="BQ84" s="471">
        <f>BQ83+BQ76+BQ75+BQ77</f>
        <v>4748</v>
      </c>
      <c r="BR84" s="471">
        <f>BR83+BR76+BR75+BR77</f>
        <v>5011</v>
      </c>
      <c r="BS84" s="8">
        <f>BS83+BS76+BS75+BS77</f>
        <v>18676</v>
      </c>
      <c r="BT84" s="471">
        <f t="shared" ref="BT84:CY84" si="123">BT83+BT76+BT75</f>
        <v>4521</v>
      </c>
      <c r="BU84" s="471">
        <f t="shared" si="123"/>
        <v>5180</v>
      </c>
      <c r="BV84" s="471">
        <f t="shared" si="123"/>
        <v>5031</v>
      </c>
      <c r="BW84" s="471">
        <f t="shared" si="123"/>
        <v>5331</v>
      </c>
      <c r="BX84" s="8">
        <f t="shared" si="123"/>
        <v>20063</v>
      </c>
      <c r="BY84" s="471">
        <f t="shared" si="123"/>
        <v>5033</v>
      </c>
      <c r="BZ84" s="471">
        <f t="shared" si="123"/>
        <v>5370</v>
      </c>
      <c r="CA84" s="471">
        <f t="shared" si="123"/>
        <v>5723</v>
      </c>
      <c r="CB84" s="471">
        <f t="shared" si="123"/>
        <v>5536</v>
      </c>
      <c r="CC84" s="8">
        <f t="shared" si="123"/>
        <v>21662</v>
      </c>
      <c r="CD84" s="471">
        <f t="shared" si="123"/>
        <v>5527</v>
      </c>
      <c r="CE84" s="471">
        <f t="shared" si="123"/>
        <v>5688</v>
      </c>
      <c r="CF84" s="471">
        <f t="shared" si="123"/>
        <v>5811</v>
      </c>
      <c r="CG84" s="471">
        <f t="shared" si="123"/>
        <v>5965</v>
      </c>
      <c r="CH84" s="8">
        <f t="shared" si="123"/>
        <v>22991</v>
      </c>
      <c r="CI84" s="471">
        <f t="shared" si="123"/>
        <v>5464</v>
      </c>
      <c r="CJ84" s="471">
        <f t="shared" si="123"/>
        <v>5810</v>
      </c>
      <c r="CK84" s="471">
        <f t="shared" si="123"/>
        <v>5773</v>
      </c>
      <c r="CL84" s="471">
        <f t="shared" si="123"/>
        <v>5802</v>
      </c>
      <c r="CM84" s="8">
        <f t="shared" si="123"/>
        <v>22849</v>
      </c>
      <c r="CN84" s="471">
        <f t="shared" si="123"/>
        <v>5554</v>
      </c>
      <c r="CO84" s="471">
        <f t="shared" si="123"/>
        <v>5669.9240699868978</v>
      </c>
      <c r="CP84" s="471">
        <f t="shared" si="123"/>
        <v>5732.6927431537943</v>
      </c>
      <c r="CQ84" s="471">
        <f t="shared" si="123"/>
        <v>5676.523149411325</v>
      </c>
      <c r="CR84" s="8">
        <f t="shared" si="123"/>
        <v>22633.13996255201</v>
      </c>
      <c r="CS84" s="471">
        <f t="shared" si="123"/>
        <v>3792.0795960263231</v>
      </c>
      <c r="CT84" s="471">
        <f t="shared" si="123"/>
        <v>3602.6870859563251</v>
      </c>
      <c r="CU84" s="471">
        <f t="shared" si="123"/>
        <v>3381.384739191426</v>
      </c>
      <c r="CV84" s="471">
        <f t="shared" si="123"/>
        <v>3288.005807985096</v>
      </c>
      <c r="CW84" s="8">
        <f t="shared" si="123"/>
        <v>22481.731493730029</v>
      </c>
      <c r="CX84" s="471">
        <f t="shared" si="123"/>
        <v>3475.9901411664619</v>
      </c>
      <c r="CY84" s="471">
        <f t="shared" si="123"/>
        <v>3454.1391214026726</v>
      </c>
      <c r="CZ84" s="471">
        <f t="shared" ref="CZ84:EE84" si="124">CZ83+CZ76+CZ75</f>
        <v>3416.670494056837</v>
      </c>
      <c r="DA84" s="471">
        <f t="shared" si="124"/>
        <v>3464.2265770524418</v>
      </c>
      <c r="DB84" s="8">
        <f t="shared" si="124"/>
        <v>22726.599995831999</v>
      </c>
      <c r="DC84" s="471">
        <f t="shared" si="124"/>
        <v>3244.9089550233157</v>
      </c>
      <c r="DD84" s="471">
        <f t="shared" si="124"/>
        <v>3250.4810433696298</v>
      </c>
      <c r="DE84" s="471">
        <f t="shared" si="124"/>
        <v>3238.0615239902904</v>
      </c>
      <c r="DF84" s="471">
        <f t="shared" si="124"/>
        <v>3309.3749978318883</v>
      </c>
      <c r="DG84" s="8">
        <f t="shared" si="124"/>
        <v>22581.148100015707</v>
      </c>
      <c r="DH84" s="471">
        <f t="shared" si="124"/>
        <v>3454.9580389423327</v>
      </c>
      <c r="DI84" s="471">
        <f t="shared" si="124"/>
        <v>3467.4511457614472</v>
      </c>
      <c r="DJ84" s="471">
        <f t="shared" si="124"/>
        <v>3466.2831308326822</v>
      </c>
      <c r="DK84" s="471">
        <f t="shared" si="124"/>
        <v>3546.4055270192334</v>
      </c>
      <c r="DL84" s="8">
        <f t="shared" si="124"/>
        <v>23413.75697786712</v>
      </c>
      <c r="DM84" s="471">
        <f t="shared" si="124"/>
        <v>3752.5531145771461</v>
      </c>
      <c r="DN84" s="471">
        <f t="shared" si="124"/>
        <v>3764.4103715474198</v>
      </c>
      <c r="DO84" s="471">
        <f t="shared" si="124"/>
        <v>3764.839638746821</v>
      </c>
      <c r="DP84" s="471">
        <f t="shared" si="124"/>
        <v>3845.1749403108802</v>
      </c>
      <c r="DQ84" s="8">
        <f t="shared" si="124"/>
        <v>24591.714242525977</v>
      </c>
      <c r="DR84" s="471">
        <f t="shared" si="124"/>
        <v>3989.8669215027521</v>
      </c>
      <c r="DS84" s="471">
        <f t="shared" si="124"/>
        <v>4000.2554319178921</v>
      </c>
      <c r="DT84" s="471">
        <f t="shared" si="124"/>
        <v>3988.3570790213662</v>
      </c>
      <c r="DU84" s="471">
        <f t="shared" si="124"/>
        <v>4065.0638012114473</v>
      </c>
      <c r="DV84" s="8">
        <f t="shared" si="124"/>
        <v>25332.714467832891</v>
      </c>
      <c r="DW84" s="471">
        <f t="shared" si="124"/>
        <v>4237.8701817394831</v>
      </c>
      <c r="DX84" s="471">
        <f t="shared" si="124"/>
        <v>4228.2860855473846</v>
      </c>
      <c r="DY84" s="471">
        <f t="shared" si="124"/>
        <v>4162.0813849171327</v>
      </c>
      <c r="DZ84" s="471">
        <f t="shared" si="124"/>
        <v>4198.079245589508</v>
      </c>
      <c r="EA84" s="8">
        <f t="shared" si="124"/>
        <v>25723.182500076706</v>
      </c>
      <c r="EB84" s="471">
        <f t="shared" si="124"/>
        <v>4269.8308586177654</v>
      </c>
      <c r="EC84" s="471">
        <f t="shared" si="124"/>
        <v>4239.4177888085251</v>
      </c>
      <c r="ED84" s="471">
        <f t="shared" si="124"/>
        <v>4153.7125589590123</v>
      </c>
      <c r="EE84" s="471">
        <f t="shared" si="124"/>
        <v>4181.1084281678386</v>
      </c>
      <c r="EF84" s="8">
        <f t="shared" ref="EF84:EZ84" si="125">EF83+EF76+EF75</f>
        <v>25589.147068711944</v>
      </c>
      <c r="EG84" s="471">
        <f t="shared" si="125"/>
        <v>4279.5546542377788</v>
      </c>
      <c r="EH84" s="471">
        <f t="shared" si="125"/>
        <v>4256.0348510015019</v>
      </c>
      <c r="EI84" s="471">
        <f t="shared" si="125"/>
        <v>4183.2173729578681</v>
      </c>
      <c r="EJ84" s="471">
        <f t="shared" si="125"/>
        <v>4217.7076818469468</v>
      </c>
      <c r="EK84" s="8">
        <f t="shared" si="125"/>
        <v>25581.577148985907</v>
      </c>
      <c r="EL84" s="471">
        <f t="shared" si="125"/>
        <v>3910.716202391648</v>
      </c>
      <c r="EM84" s="471">
        <f t="shared" si="125"/>
        <v>3872.6477853846027</v>
      </c>
      <c r="EN84" s="471">
        <f t="shared" si="125"/>
        <v>3794.0912984012903</v>
      </c>
      <c r="EO84" s="471">
        <f t="shared" si="125"/>
        <v>3815.9342576827003</v>
      </c>
      <c r="EP84" s="8">
        <f t="shared" si="125"/>
        <v>23802.398936216381</v>
      </c>
      <c r="EQ84" s="471">
        <f t="shared" si="125"/>
        <v>3745.422318064338</v>
      </c>
      <c r="ER84" s="471">
        <f t="shared" si="125"/>
        <v>3693.7844211176134</v>
      </c>
      <c r="ES84" s="471">
        <f t="shared" si="125"/>
        <v>3613.5080336223309</v>
      </c>
      <c r="ET84" s="471">
        <f t="shared" si="125"/>
        <v>3622.5376849851168</v>
      </c>
      <c r="EU84" s="8">
        <f t="shared" si="125"/>
        <v>22858.568434304871</v>
      </c>
      <c r="EV84" s="471">
        <f t="shared" si="125"/>
        <v>3629.377350652665</v>
      </c>
      <c r="EW84" s="471">
        <f t="shared" si="125"/>
        <v>3632.5312555606006</v>
      </c>
      <c r="EX84" s="471">
        <f t="shared" si="125"/>
        <v>3572.1372963911172</v>
      </c>
      <c r="EY84" s="471">
        <f t="shared" si="125"/>
        <v>3633.260105215827</v>
      </c>
      <c r="EZ84" s="8">
        <f t="shared" si="125"/>
        <v>22269.408571665866</v>
      </c>
    </row>
    <row r="85" spans="2:156">
      <c r="AY85" s="477"/>
      <c r="BD85" s="477"/>
      <c r="BE85" s="477"/>
      <c r="BF85" s="477"/>
      <c r="BG85" s="477"/>
      <c r="BH85" s="477"/>
      <c r="BI85" s="477"/>
      <c r="BJ85" s="477"/>
      <c r="BK85" s="477"/>
      <c r="BL85" s="477"/>
      <c r="BM85" s="477"/>
      <c r="BN85" s="477"/>
      <c r="BO85" s="477"/>
      <c r="BP85" s="477"/>
      <c r="BQ85" s="477"/>
      <c r="BR85" s="477"/>
      <c r="BS85" s="477"/>
      <c r="BT85" s="477"/>
      <c r="BU85" s="477"/>
      <c r="BV85" s="477"/>
      <c r="BW85" s="477"/>
      <c r="BX85" s="477"/>
      <c r="BY85" s="477"/>
      <c r="BZ85" s="477"/>
      <c r="CA85" s="477"/>
      <c r="CB85" s="477"/>
      <c r="CC85" s="477"/>
    </row>
    <row r="86" spans="2:156">
      <c r="BN86" s="457"/>
      <c r="BS86" s="458"/>
      <c r="BU86" s="457"/>
      <c r="BX86" s="665"/>
      <c r="BY86" s="457"/>
      <c r="CC86" s="665"/>
      <c r="CH86" s="665"/>
      <c r="CM86" s="665"/>
      <c r="CR86" s="477"/>
      <c r="CW86" s="665"/>
      <c r="DB86" s="665"/>
      <c r="DC86" s="665"/>
      <c r="DD86" s="665"/>
      <c r="DE86" s="665"/>
      <c r="DF86" s="665"/>
    </row>
    <row r="87" spans="2:156">
      <c r="B87" s="4" t="s">
        <v>657</v>
      </c>
      <c r="BC87" s="457"/>
      <c r="BI87" s="457"/>
      <c r="CM87" s="477"/>
      <c r="CO87" s="477"/>
      <c r="CP87" s="477"/>
      <c r="CQ87" s="477"/>
      <c r="CR87" s="477"/>
      <c r="CS87" s="477"/>
      <c r="CT87" s="477"/>
      <c r="CU87" s="477"/>
      <c r="CV87" s="477"/>
      <c r="CW87" s="477"/>
      <c r="CX87" s="477"/>
      <c r="CY87" s="477"/>
      <c r="CZ87" s="477"/>
      <c r="DA87" s="477"/>
      <c r="DB87" s="477"/>
      <c r="DC87" s="477"/>
      <c r="DD87" s="477"/>
      <c r="DE87" s="477"/>
      <c r="DF87" s="477"/>
      <c r="DG87" s="477"/>
      <c r="DH87" s="477"/>
      <c r="DI87" s="477"/>
      <c r="DJ87" s="477"/>
      <c r="DK87" s="477"/>
      <c r="DL87" s="477"/>
      <c r="DM87" s="477"/>
      <c r="DN87" s="477"/>
      <c r="DO87" s="477"/>
      <c r="DP87" s="477"/>
      <c r="DQ87" s="477"/>
      <c r="DR87" s="477"/>
      <c r="DS87" s="477"/>
      <c r="DT87" s="477"/>
      <c r="DU87" s="477"/>
      <c r="DV87" s="477"/>
      <c r="DW87" s="477"/>
      <c r="DX87" s="477"/>
      <c r="DY87" s="477"/>
      <c r="DZ87" s="477"/>
      <c r="EA87" s="477"/>
      <c r="EB87" s="477"/>
      <c r="EC87" s="477"/>
      <c r="ED87" s="477"/>
      <c r="EE87" s="477"/>
      <c r="EF87" s="477"/>
      <c r="EG87" s="477"/>
      <c r="EH87" s="477"/>
      <c r="EI87" s="477"/>
      <c r="EJ87" s="477"/>
      <c r="EK87" s="477"/>
      <c r="EL87" s="477"/>
      <c r="EM87" s="477"/>
      <c r="EN87" s="477"/>
      <c r="EO87" s="477"/>
      <c r="EP87" s="477"/>
      <c r="EQ87" s="477"/>
      <c r="ER87" s="477"/>
      <c r="ES87" s="477"/>
      <c r="ET87" s="477"/>
      <c r="EU87" s="477"/>
      <c r="EV87" s="477"/>
      <c r="EW87" s="477"/>
      <c r="EX87" s="477"/>
      <c r="EY87" s="477"/>
      <c r="EZ87" s="477"/>
    </row>
    <row r="88" spans="2:156" hidden="1" outlineLevel="1"/>
    <row r="89" spans="2:156" hidden="1" outlineLevel="1">
      <c r="B89" s="459" t="s">
        <v>658</v>
      </c>
      <c r="AK89" s="359">
        <v>224</v>
      </c>
      <c r="AL89" s="359">
        <v>250</v>
      </c>
      <c r="AM89" s="359">
        <v>245</v>
      </c>
      <c r="AN89" s="359">
        <v>265</v>
      </c>
      <c r="AO89" s="359">
        <f>SUM(AK89:AN89)</f>
        <v>984</v>
      </c>
      <c r="AP89" s="359">
        <v>305</v>
      </c>
      <c r="AQ89" s="359">
        <v>283</v>
      </c>
      <c r="AR89" s="359">
        <v>298</v>
      </c>
      <c r="AS89" s="359">
        <v>309</v>
      </c>
      <c r="AT89" s="359">
        <f>SUM(AP89:AS89)</f>
        <v>1195</v>
      </c>
      <c r="AU89" s="359">
        <v>248</v>
      </c>
      <c r="AV89" s="359">
        <v>301</v>
      </c>
      <c r="AW89" s="359">
        <v>306</v>
      </c>
      <c r="AX89" s="359">
        <v>308</v>
      </c>
      <c r="AY89" s="359">
        <f>SUM(AU89:AX89)</f>
        <v>1163</v>
      </c>
      <c r="AZ89" s="359">
        <v>269</v>
      </c>
      <c r="BA89" s="359">
        <v>294</v>
      </c>
      <c r="BB89" s="359">
        <v>302</v>
      </c>
      <c r="BC89" s="359">
        <v>319</v>
      </c>
      <c r="BD89" s="359">
        <f>SUM(AZ89:BC89)</f>
        <v>1184</v>
      </c>
      <c r="BE89" s="359">
        <v>299</v>
      </c>
      <c r="BF89" s="359">
        <v>334</v>
      </c>
      <c r="BG89" s="359">
        <v>328</v>
      </c>
      <c r="BH89" s="359">
        <v>327</v>
      </c>
      <c r="BI89" s="359">
        <f>SUM(BE89:BH89)</f>
        <v>1288</v>
      </c>
      <c r="BJ89" s="359">
        <v>324</v>
      </c>
      <c r="BK89" s="359">
        <v>371</v>
      </c>
      <c r="BL89" s="359">
        <v>386</v>
      </c>
      <c r="BM89" s="359">
        <v>414</v>
      </c>
      <c r="BN89" s="359">
        <f>SUM(BJ89:BM89)</f>
        <v>1495</v>
      </c>
      <c r="BO89" s="359">
        <v>378</v>
      </c>
      <c r="BP89" s="359">
        <v>425</v>
      </c>
      <c r="BQ89" s="359">
        <v>432</v>
      </c>
      <c r="BR89" s="460">
        <f>BR19*(1/3*BQ90+2/3*BR91)</f>
        <v>245.6103896103896</v>
      </c>
      <c r="BS89" s="460">
        <f>SUM(BO89:BR89)</f>
        <v>1480.6103896103896</v>
      </c>
      <c r="BT89" s="460">
        <f>BT19*BT91</f>
        <v>118.56</v>
      </c>
      <c r="BU89" s="460">
        <f>BU19*BU91</f>
        <v>149.16</v>
      </c>
      <c r="BV89" s="460">
        <f>BV19*BV91</f>
        <v>134.4</v>
      </c>
      <c r="BW89" s="460">
        <f>BW19*BW91</f>
        <v>151.52666666666667</v>
      </c>
      <c r="BX89" s="460">
        <f>SUM(BT89:BW89)</f>
        <v>553.64666666666665</v>
      </c>
      <c r="BY89" s="460">
        <f>BY19*BY91</f>
        <v>122.76</v>
      </c>
      <c r="BZ89" s="460">
        <f>BZ19*BZ91</f>
        <v>148.28</v>
      </c>
      <c r="CA89" s="460">
        <f>CA19*CA91</f>
        <v>160.49</v>
      </c>
      <c r="CB89" s="460">
        <f>CB19*CB91</f>
        <v>148.90333333333334</v>
      </c>
      <c r="CC89" s="460">
        <f>SUM(BY89:CB89)</f>
        <v>580.43333333333339</v>
      </c>
      <c r="CD89" s="460">
        <f>CD19*CD91</f>
        <v>138.5</v>
      </c>
      <c r="CE89" s="460">
        <f>CE19*CE91</f>
        <v>148.4</v>
      </c>
      <c r="CF89" s="460">
        <f>CF19*CF91</f>
        <v>145.20000000000002</v>
      </c>
      <c r="CG89" s="460">
        <f>CG19*CG91*1/3</f>
        <v>54.800000000000004</v>
      </c>
      <c r="CH89" s="460">
        <f>SUM(CD89:CG89)</f>
        <v>486.90000000000003</v>
      </c>
    </row>
    <row r="90" spans="2:156" hidden="1" outlineLevel="1">
      <c r="B90" s="459" t="s">
        <v>660</v>
      </c>
      <c r="AK90" s="343">
        <f t="shared" ref="AK90:BS90" si="126">AK89/AK19</f>
        <v>0.30684931506849317</v>
      </c>
      <c r="AL90" s="343">
        <f t="shared" si="126"/>
        <v>0.30376670716889431</v>
      </c>
      <c r="AM90" s="343">
        <f t="shared" si="126"/>
        <v>0.2984165651644336</v>
      </c>
      <c r="AN90" s="343">
        <f t="shared" si="126"/>
        <v>0.30957943925233644</v>
      </c>
      <c r="AO90" s="343">
        <f t="shared" si="126"/>
        <v>0.3046439628482972</v>
      </c>
      <c r="AP90" s="343">
        <f t="shared" si="126"/>
        <v>0.32071503680336488</v>
      </c>
      <c r="AQ90" s="343">
        <f t="shared" si="126"/>
        <v>0.33650416171224734</v>
      </c>
      <c r="AR90" s="343">
        <f t="shared" si="126"/>
        <v>0.33370660694288912</v>
      </c>
      <c r="AS90" s="343">
        <f t="shared" si="126"/>
        <v>0.33844468784227821</v>
      </c>
      <c r="AT90" s="343">
        <f t="shared" si="126"/>
        <v>0.33212896053362978</v>
      </c>
      <c r="AU90" s="343">
        <f t="shared" si="126"/>
        <v>0.32717678100263853</v>
      </c>
      <c r="AV90" s="343">
        <f t="shared" si="126"/>
        <v>0.33481646273637372</v>
      </c>
      <c r="AW90" s="343">
        <f t="shared" si="126"/>
        <v>0.33116883116883117</v>
      </c>
      <c r="AX90" s="343">
        <f t="shared" si="126"/>
        <v>0.33771929824561403</v>
      </c>
      <c r="AY90" s="343">
        <f t="shared" si="126"/>
        <v>0.3329516175207558</v>
      </c>
      <c r="AZ90" s="343">
        <f t="shared" si="126"/>
        <v>0.3345771144278607</v>
      </c>
      <c r="BA90" s="343">
        <f t="shared" si="126"/>
        <v>0.33523375142531359</v>
      </c>
      <c r="BB90" s="343">
        <f t="shared" si="126"/>
        <v>0.33041575492341357</v>
      </c>
      <c r="BC90" s="343">
        <f t="shared" si="126"/>
        <v>0.33972310969116082</v>
      </c>
      <c r="BD90" s="343">
        <f t="shared" si="126"/>
        <v>0.33503112620260328</v>
      </c>
      <c r="BE90" s="343">
        <f t="shared" si="126"/>
        <v>0.34171428571428569</v>
      </c>
      <c r="BF90" s="343">
        <f t="shared" si="126"/>
        <v>0.34937238493723849</v>
      </c>
      <c r="BG90" s="343">
        <f t="shared" si="126"/>
        <v>0.35459459459459458</v>
      </c>
      <c r="BH90" s="343">
        <f t="shared" si="126"/>
        <v>0.34603174603174602</v>
      </c>
      <c r="BI90" s="343">
        <f t="shared" si="126"/>
        <v>0.34801405025668736</v>
      </c>
      <c r="BJ90" s="343">
        <f t="shared" si="126"/>
        <v>0.34541577825159914</v>
      </c>
      <c r="BK90" s="343">
        <f t="shared" si="126"/>
        <v>0.35066162570888471</v>
      </c>
      <c r="BL90" s="343">
        <f t="shared" si="126"/>
        <v>0.3577386468952734</v>
      </c>
      <c r="BM90" s="343">
        <f t="shared" si="126"/>
        <v>0.35658914728682173</v>
      </c>
      <c r="BN90" s="343">
        <f t="shared" si="126"/>
        <v>0.35292728989612843</v>
      </c>
      <c r="BO90" s="343">
        <f t="shared" si="126"/>
        <v>0.36381135707410972</v>
      </c>
      <c r="BP90" s="343">
        <f t="shared" si="126"/>
        <v>0.36732929991356955</v>
      </c>
      <c r="BQ90" s="343">
        <f t="shared" si="126"/>
        <v>0.37402597402597404</v>
      </c>
      <c r="BR90" s="343">
        <f t="shared" si="126"/>
        <v>0.20467532467532468</v>
      </c>
      <c r="BS90" s="343">
        <f t="shared" si="126"/>
        <v>0.3253373741178619</v>
      </c>
      <c r="BT90" s="343"/>
      <c r="BU90" s="343"/>
      <c r="BV90" s="343"/>
      <c r="BW90" s="343"/>
      <c r="BX90" s="343">
        <f>BX89/BX19</f>
        <v>0.11809869169510807</v>
      </c>
      <c r="CC90" s="343">
        <f>CC89/CC19</f>
        <v>0.10820904797414865</v>
      </c>
      <c r="CH90" s="343">
        <f>CH89/CH19</f>
        <v>8.1626152556580053E-2</v>
      </c>
    </row>
    <row r="91" spans="2:156" hidden="1" outlineLevel="1">
      <c r="B91" s="459" t="s">
        <v>659</v>
      </c>
      <c r="BR91" s="341">
        <v>0.12</v>
      </c>
      <c r="BS91" s="158"/>
      <c r="BT91" s="341">
        <v>0.12</v>
      </c>
      <c r="BU91" s="341">
        <v>0.12</v>
      </c>
      <c r="BV91" s="341">
        <v>0.12</v>
      </c>
      <c r="BW91" s="342">
        <f>1/3*12%+2/3*11%</f>
        <v>0.11333333333333333</v>
      </c>
      <c r="BX91" s="158"/>
      <c r="BY91" s="341">
        <v>0.11</v>
      </c>
      <c r="BZ91" s="341">
        <v>0.11</v>
      </c>
      <c r="CA91" s="341">
        <v>0.11</v>
      </c>
      <c r="CB91" s="342">
        <f>1/3*11%+2/3*10%</f>
        <v>0.10333333333333333</v>
      </c>
      <c r="CC91" s="158"/>
      <c r="CD91" s="341">
        <v>0.1</v>
      </c>
      <c r="CE91" s="341">
        <v>0.1</v>
      </c>
      <c r="CF91" s="341">
        <v>0.1</v>
      </c>
      <c r="CG91" s="341">
        <v>0.1</v>
      </c>
    </row>
    <row r="92" spans="2:156" s="4" customFormat="1" hidden="1" outlineLevel="1">
      <c r="B92" s="200" t="s">
        <v>661</v>
      </c>
      <c r="BR92" s="161">
        <f>-(BR89-BQ89)</f>
        <v>186.3896103896104</v>
      </c>
      <c r="BS92" s="345">
        <f>SUM(BO92:BR92)</f>
        <v>186.3896103896104</v>
      </c>
      <c r="BT92" s="345">
        <f>-(BT89-BO89)</f>
        <v>259.44</v>
      </c>
      <c r="BU92" s="345">
        <f>-(BU89-BP89)</f>
        <v>275.84000000000003</v>
      </c>
      <c r="BV92" s="345">
        <f>-(BV89-BQ89)</f>
        <v>297.60000000000002</v>
      </c>
      <c r="BW92" s="345">
        <f>-(BW89-BR89)</f>
        <v>94.083722943722933</v>
      </c>
      <c r="BX92" s="345">
        <f>SUM(BT92:BW92)</f>
        <v>926.96372294372293</v>
      </c>
      <c r="BY92" s="345">
        <f>-(BY89-BT89)</f>
        <v>-4.2000000000000028</v>
      </c>
      <c r="BZ92" s="345">
        <f>-(BZ89-BU89)</f>
        <v>0.87999999999999545</v>
      </c>
      <c r="CA92" s="345">
        <f>-(CA89-BV89)</f>
        <v>-26.090000000000003</v>
      </c>
      <c r="CB92" s="345">
        <f>-(CB89-BW89)</f>
        <v>2.6233333333333348</v>
      </c>
      <c r="CC92" s="345">
        <f>BX89-CC89</f>
        <v>-26.786666666666747</v>
      </c>
      <c r="CD92" s="345"/>
      <c r="CE92" s="345"/>
      <c r="CF92" s="345"/>
      <c r="CG92" s="345"/>
      <c r="CH92" s="345">
        <f>CC89-CH89</f>
        <v>93.53333333333336</v>
      </c>
      <c r="CM92" s="345">
        <f>CH89-CM89</f>
        <v>486.90000000000003</v>
      </c>
    </row>
    <row r="93" spans="2:156" collapsed="1"/>
    <row r="94" spans="2:156">
      <c r="BW94" s="460"/>
      <c r="BX94" s="458">
        <f>BX92/BX75</f>
        <v>4.7962111188685409E-2</v>
      </c>
      <c r="BY94" s="458"/>
      <c r="BZ94" s="458"/>
      <c r="CA94" s="458"/>
      <c r="CB94" s="458"/>
      <c r="CC94" s="458">
        <f>CC92/CC75</f>
        <v>-1.2789661319073122E-3</v>
      </c>
      <c r="CD94" s="458"/>
      <c r="CE94" s="458"/>
      <c r="CF94" s="458"/>
      <c r="CG94" s="458"/>
      <c r="CH94" s="458">
        <f>CH92/CH75</f>
        <v>4.2724891893537982E-3</v>
      </c>
      <c r="CI94" s="458"/>
      <c r="CJ94" s="458"/>
      <c r="CK94" s="458"/>
      <c r="CL94" s="458"/>
      <c r="CM94" s="458">
        <f>CM92/CM75</f>
        <v>2.2339986235375087E-2</v>
      </c>
      <c r="CN94" s="458"/>
    </row>
    <row r="95" spans="2:156">
      <c r="B95" s="359" t="s">
        <v>686</v>
      </c>
      <c r="J95" s="569"/>
      <c r="BT95" s="461"/>
      <c r="BU95" s="461"/>
      <c r="BV95" s="461"/>
      <c r="BW95" s="461"/>
    </row>
    <row r="96" spans="2:156">
      <c r="B96" s="459" t="s">
        <v>205</v>
      </c>
      <c r="J96" s="571">
        <v>0.125</v>
      </c>
      <c r="K96" s="571">
        <f>J96</f>
        <v>0.125</v>
      </c>
      <c r="P96" s="571">
        <f>K96</f>
        <v>0.125</v>
      </c>
      <c r="U96" s="571">
        <f>P96</f>
        <v>0.125</v>
      </c>
      <c r="Z96" s="571">
        <f>U96</f>
        <v>0.125</v>
      </c>
      <c r="AE96" s="571">
        <f>Z96</f>
        <v>0.125</v>
      </c>
      <c r="AJ96" s="571">
        <v>0.11</v>
      </c>
      <c r="AO96" s="571">
        <v>0.11</v>
      </c>
      <c r="AT96" s="571">
        <v>0.11</v>
      </c>
      <c r="AY96" s="571">
        <v>0.11</v>
      </c>
      <c r="BD96" s="571">
        <v>0.11</v>
      </c>
      <c r="BI96" s="571">
        <v>0.11</v>
      </c>
      <c r="BN96" s="571">
        <v>0.11</v>
      </c>
      <c r="BS96" s="571">
        <v>0.11</v>
      </c>
      <c r="BT96" s="627">
        <f>BS96</f>
        <v>0.11</v>
      </c>
      <c r="BU96" s="627">
        <f>BT96</f>
        <v>0.11</v>
      </c>
      <c r="BV96" s="627">
        <f>BU96</f>
        <v>0.11</v>
      </c>
      <c r="BW96" s="627">
        <f>BV96</f>
        <v>0.11</v>
      </c>
      <c r="BX96" s="571">
        <f>BS96</f>
        <v>0.11</v>
      </c>
      <c r="BY96" s="627">
        <f>BX96</f>
        <v>0.11</v>
      </c>
      <c r="BZ96" s="627">
        <f>BY96</f>
        <v>0.11</v>
      </c>
      <c r="CA96" s="627">
        <f>BZ96</f>
        <v>0.11</v>
      </c>
      <c r="CB96" s="627">
        <f>CA96</f>
        <v>0.11</v>
      </c>
      <c r="CC96" s="571">
        <f>AVERAGE(BY96:CB96)</f>
        <v>0.11</v>
      </c>
      <c r="CD96" s="571">
        <f>BY96</f>
        <v>0.11</v>
      </c>
      <c r="CE96" s="571">
        <f t="shared" ref="CE96:CE101" si="127">CD96</f>
        <v>0.11</v>
      </c>
      <c r="CF96" s="571">
        <f>CE96</f>
        <v>0.11</v>
      </c>
      <c r="CG96" s="571">
        <f>CF96</f>
        <v>0.11</v>
      </c>
      <c r="CH96" s="571">
        <f>CC96</f>
        <v>0.11</v>
      </c>
      <c r="CI96" s="458">
        <f>CD96</f>
        <v>0.11</v>
      </c>
      <c r="CJ96" s="458">
        <f t="shared" ref="CJ96" si="128">CI96</f>
        <v>0.11</v>
      </c>
      <c r="CK96" s="458">
        <f>CJ96</f>
        <v>0.11</v>
      </c>
      <c r="CL96" s="458">
        <f>CK96</f>
        <v>0.11</v>
      </c>
      <c r="CM96" s="571">
        <f>CH96</f>
        <v>0.11</v>
      </c>
      <c r="CN96" s="458">
        <f t="shared" ref="CN96:CN102" si="129">CR96</f>
        <v>0.09</v>
      </c>
      <c r="CO96" s="571">
        <f t="shared" ref="CO96:CO102" si="130">CN96</f>
        <v>0.09</v>
      </c>
      <c r="CP96" s="571">
        <f t="shared" ref="CP96:CQ96" si="131">CO96</f>
        <v>0.09</v>
      </c>
      <c r="CQ96" s="571">
        <f t="shared" si="131"/>
        <v>0.09</v>
      </c>
      <c r="CR96" s="796">
        <v>0.09</v>
      </c>
      <c r="CW96" s="571">
        <f>CR96</f>
        <v>0.09</v>
      </c>
      <c r="DB96" s="571">
        <f>CW96</f>
        <v>0.09</v>
      </c>
      <c r="DC96" s="571"/>
      <c r="DD96" s="571"/>
      <c r="DE96" s="571"/>
      <c r="DF96" s="571"/>
      <c r="DG96" s="571">
        <f>DB96</f>
        <v>0.09</v>
      </c>
      <c r="DH96" s="571"/>
      <c r="DI96" s="571"/>
      <c r="DJ96" s="571"/>
      <c r="DK96" s="571"/>
      <c r="DL96" s="571">
        <f t="shared" ref="DL96:DL103" si="132">DG96</f>
        <v>0.09</v>
      </c>
      <c r="DM96" s="571"/>
      <c r="DN96" s="571"/>
      <c r="DO96" s="571"/>
      <c r="DP96" s="571"/>
      <c r="DQ96" s="571">
        <f t="shared" ref="DQ96:DQ103" si="133">DL96</f>
        <v>0.09</v>
      </c>
      <c r="DR96" s="571"/>
      <c r="DS96" s="571"/>
      <c r="DT96" s="571"/>
      <c r="DU96" s="571"/>
      <c r="DV96" s="571">
        <f t="shared" ref="DV96:DV103" si="134">DQ96</f>
        <v>0.09</v>
      </c>
      <c r="DW96" s="571"/>
      <c r="DX96" s="571"/>
      <c r="DY96" s="571"/>
      <c r="DZ96" s="571"/>
      <c r="EA96" s="571">
        <f t="shared" ref="EA96:EA103" si="135">DV96</f>
        <v>0.09</v>
      </c>
      <c r="EB96" s="571"/>
      <c r="EC96" s="571"/>
      <c r="ED96" s="571"/>
      <c r="EE96" s="571"/>
      <c r="EF96" s="571">
        <f t="shared" ref="EF96:EF109" si="136">EA96</f>
        <v>0.09</v>
      </c>
      <c r="EG96" s="571"/>
      <c r="EH96" s="571"/>
      <c r="EI96" s="571"/>
      <c r="EJ96" s="571"/>
      <c r="EK96" s="571">
        <f t="shared" ref="EK96:EK109" si="137">EF96</f>
        <v>0.09</v>
      </c>
      <c r="EL96" s="571"/>
      <c r="EM96" s="571"/>
      <c r="EN96" s="571"/>
      <c r="EO96" s="571"/>
      <c r="EP96" s="571">
        <f t="shared" ref="EP96:EP109" si="138">EK96</f>
        <v>0.09</v>
      </c>
      <c r="EQ96" s="571"/>
      <c r="ER96" s="571"/>
      <c r="ES96" s="571"/>
      <c r="ET96" s="571"/>
      <c r="EU96" s="571">
        <f t="shared" ref="EU96:EU109" si="139">EP96</f>
        <v>0.09</v>
      </c>
      <c r="EV96" s="571"/>
      <c r="EW96" s="571"/>
      <c r="EX96" s="571"/>
      <c r="EY96" s="571"/>
      <c r="EZ96" s="571">
        <f t="shared" ref="EZ96:EZ109" si="140">EU96</f>
        <v>0.09</v>
      </c>
    </row>
    <row r="97" spans="2:156">
      <c r="B97" s="459" t="s">
        <v>123</v>
      </c>
      <c r="K97" s="571">
        <v>0.13500000000000001</v>
      </c>
      <c r="P97" s="458">
        <f>P116/P7</f>
        <v>0.13210298363811351</v>
      </c>
      <c r="U97" s="458">
        <f>U116/U7</f>
        <v>0.13059021703919665</v>
      </c>
      <c r="Z97" s="458">
        <f>Z116/Z7</f>
        <v>0.13228759755752351</v>
      </c>
      <c r="AE97" s="458">
        <f>AE116/AE7</f>
        <v>0.13208524289642529</v>
      </c>
      <c r="AJ97" s="458">
        <f>AJ116/AJ7</f>
        <v>0.11730162581897594</v>
      </c>
      <c r="AO97" s="458">
        <f>AO116/AO7</f>
        <v>0.13151632540121744</v>
      </c>
      <c r="AT97" s="458">
        <f>AT116/AT7</f>
        <v>0.11901817022633084</v>
      </c>
      <c r="AY97" s="458">
        <f>AY116/AY7</f>
        <v>0.11616138763197585</v>
      </c>
      <c r="BD97" s="458">
        <f>BD116/BD7</f>
        <v>0.11981496379726467</v>
      </c>
      <c r="BI97" s="458">
        <f>BI116/BI7</f>
        <v>0.11899913156752062</v>
      </c>
      <c r="BN97" s="458">
        <f>BN116/BN7</f>
        <v>0.11934803921568621</v>
      </c>
      <c r="BS97" s="458">
        <f t="shared" ref="BS97:CF97" si="141">BS116/BS7</f>
        <v>0.11857927786499207</v>
      </c>
      <c r="BT97" s="458">
        <f t="shared" si="141"/>
        <v>0.11776086956521743</v>
      </c>
      <c r="BU97" s="458">
        <f t="shared" si="141"/>
        <v>0.13182785299806568</v>
      </c>
      <c r="BV97" s="658">
        <f t="shared" si="141"/>
        <v>0.10837552742616029</v>
      </c>
      <c r="BW97" s="658">
        <f t="shared" si="141"/>
        <v>0.12543841336116918</v>
      </c>
      <c r="BX97" s="458">
        <f t="shared" si="141"/>
        <v>0.12112953367875647</v>
      </c>
      <c r="BY97" s="658">
        <f t="shared" si="141"/>
        <v>0.11524999999999995</v>
      </c>
      <c r="BZ97" s="658">
        <f t="shared" si="141"/>
        <v>0.10755741127348635</v>
      </c>
      <c r="CA97" s="658">
        <f t="shared" si="141"/>
        <v>8.2900608519269753E-2</v>
      </c>
      <c r="CB97" s="658">
        <f t="shared" si="141"/>
        <v>0.11753507014028046</v>
      </c>
      <c r="CC97" s="658">
        <f t="shared" si="141"/>
        <v>0.1057713992824192</v>
      </c>
      <c r="CD97" s="658">
        <f t="shared" si="141"/>
        <v>5.3405075187969879E-2</v>
      </c>
      <c r="CE97" s="658">
        <f t="shared" si="141"/>
        <v>5.0491071428571364E-2</v>
      </c>
      <c r="CF97" s="658">
        <f t="shared" si="141"/>
        <v>4.4354990583804071E-2</v>
      </c>
      <c r="CG97" s="571">
        <f>CF97</f>
        <v>4.4354990583804071E-2</v>
      </c>
      <c r="CH97" s="658">
        <f>CH116/CH7</f>
        <v>4.8132931221729978E-2</v>
      </c>
      <c r="CI97" s="658">
        <f t="shared" ref="CI97:CN97" si="142">CI116/CI7</f>
        <v>1.87965688630513E-2</v>
      </c>
      <c r="CJ97" s="658">
        <f t="shared" si="142"/>
        <v>-1.3055490047081522E-2</v>
      </c>
      <c r="CK97" s="658">
        <f t="shared" si="142"/>
        <v>5.8606502400956571E-2</v>
      </c>
      <c r="CL97" s="658">
        <f t="shared" si="142"/>
        <v>1.2740777584108161E-2</v>
      </c>
      <c r="CM97" s="571">
        <f>CM116/CM7</f>
        <v>1.9053597928164294E-2</v>
      </c>
      <c r="CN97" s="658">
        <f t="shared" si="142"/>
        <v>2.5638566195612056E-2</v>
      </c>
      <c r="CO97" s="571">
        <v>0.03</v>
      </c>
      <c r="CP97" s="571">
        <f t="shared" ref="CP97:CQ97" si="143">CO97</f>
        <v>0.03</v>
      </c>
      <c r="CQ97" s="571">
        <f t="shared" si="143"/>
        <v>0.03</v>
      </c>
      <c r="CR97" s="571">
        <f>CR116/CR7</f>
        <v>2.8841872207210739E-2</v>
      </c>
      <c r="CW97" s="571">
        <f>CR97</f>
        <v>2.8841872207210739E-2</v>
      </c>
      <c r="DB97" s="571">
        <f>CW97</f>
        <v>2.8841872207210739E-2</v>
      </c>
      <c r="DC97" s="571"/>
      <c r="DD97" s="571"/>
      <c r="DE97" s="571"/>
      <c r="DF97" s="571"/>
      <c r="DG97" s="571">
        <f>DB97</f>
        <v>2.8841872207210739E-2</v>
      </c>
      <c r="DL97" s="571">
        <f t="shared" si="132"/>
        <v>2.8841872207210739E-2</v>
      </c>
      <c r="DQ97" s="571">
        <f t="shared" si="133"/>
        <v>2.8841872207210739E-2</v>
      </c>
      <c r="DV97" s="571">
        <f t="shared" si="134"/>
        <v>2.8841872207210739E-2</v>
      </c>
      <c r="EA97" s="571">
        <f t="shared" si="135"/>
        <v>2.8841872207210739E-2</v>
      </c>
      <c r="EF97" s="571">
        <f t="shared" si="136"/>
        <v>2.8841872207210739E-2</v>
      </c>
      <c r="EK97" s="571">
        <f t="shared" si="137"/>
        <v>2.8841872207210739E-2</v>
      </c>
      <c r="EP97" s="571">
        <f t="shared" si="138"/>
        <v>2.8841872207210739E-2</v>
      </c>
      <c r="EU97" s="571">
        <f t="shared" si="139"/>
        <v>2.8841872207210739E-2</v>
      </c>
      <c r="EZ97" s="571">
        <f t="shared" si="140"/>
        <v>2.8841872207210739E-2</v>
      </c>
    </row>
    <row r="98" spans="2:156">
      <c r="B98" s="459" t="s">
        <v>121</v>
      </c>
      <c r="J98" s="458">
        <f>J117/J11</f>
        <v>0.1303567050747732</v>
      </c>
      <c r="K98" s="571">
        <v>0.13</v>
      </c>
      <c r="P98" s="571">
        <f>K98</f>
        <v>0.13</v>
      </c>
      <c r="U98" s="571">
        <f>P98</f>
        <v>0.13</v>
      </c>
      <c r="Z98" s="571">
        <f>U98</f>
        <v>0.13</v>
      </c>
      <c r="AE98" s="571">
        <f>Z98</f>
        <v>0.13</v>
      </c>
      <c r="AJ98" s="571">
        <f>AE98</f>
        <v>0.13</v>
      </c>
      <c r="AO98" s="571">
        <f>AJ98</f>
        <v>0.13</v>
      </c>
      <c r="AT98" s="571">
        <v>0.12</v>
      </c>
      <c r="AY98" s="571">
        <f>AT98</f>
        <v>0.12</v>
      </c>
      <c r="BD98" s="571">
        <f>AY98</f>
        <v>0.12</v>
      </c>
      <c r="BI98" s="571">
        <f>BD98</f>
        <v>0.12</v>
      </c>
      <c r="BN98" s="571">
        <f>BI98</f>
        <v>0.12</v>
      </c>
      <c r="BS98" s="571">
        <f>BN98</f>
        <v>0.12</v>
      </c>
      <c r="BT98" s="627">
        <f t="shared" ref="BT98:BT106" si="144">BS98</f>
        <v>0.12</v>
      </c>
      <c r="BU98" s="627">
        <f t="shared" ref="BU98:BU105" si="145">BT98</f>
        <v>0.12</v>
      </c>
      <c r="BV98" s="627">
        <f t="shared" ref="BV98:BW106" si="146">BU98</f>
        <v>0.12</v>
      </c>
      <c r="BW98" s="627">
        <f t="shared" si="146"/>
        <v>0.12</v>
      </c>
      <c r="BX98" s="571">
        <f t="shared" ref="BX98:BX106" si="147">BS98</f>
        <v>0.12</v>
      </c>
      <c r="BY98" s="627">
        <f>BX98</f>
        <v>0.12</v>
      </c>
      <c r="BZ98" s="627">
        <f t="shared" ref="BZ98:BZ105" si="148">BY98</f>
        <v>0.12</v>
      </c>
      <c r="CA98" s="627">
        <f t="shared" ref="CA98:CA106" si="149">BZ98</f>
        <v>0.12</v>
      </c>
      <c r="CB98" s="627">
        <v>0.13</v>
      </c>
      <c r="CC98" s="571">
        <f t="shared" ref="CC98:CC112" si="150">AVERAGE(BY98:CB98)</f>
        <v>0.1225</v>
      </c>
      <c r="CD98" s="571">
        <f>CC98</f>
        <v>0.1225</v>
      </c>
      <c r="CE98" s="571">
        <f t="shared" si="127"/>
        <v>0.1225</v>
      </c>
      <c r="CF98" s="571">
        <f>CE98</f>
        <v>0.1225</v>
      </c>
      <c r="CG98" s="571">
        <f>CF98</f>
        <v>0.1225</v>
      </c>
      <c r="CH98" s="571">
        <f>CC98</f>
        <v>0.1225</v>
      </c>
      <c r="CI98" s="571">
        <f>CD98</f>
        <v>0.1225</v>
      </c>
      <c r="CJ98" s="571">
        <f>CE98</f>
        <v>0.1225</v>
      </c>
      <c r="CK98" s="458">
        <f t="shared" ref="CK98:CL98" si="151">CF98</f>
        <v>0.1225</v>
      </c>
      <c r="CL98" s="458">
        <f t="shared" si="151"/>
        <v>0.1225</v>
      </c>
      <c r="CM98" s="571">
        <f>CH98</f>
        <v>0.1225</v>
      </c>
      <c r="CN98" s="458">
        <f t="shared" si="129"/>
        <v>0.105</v>
      </c>
      <c r="CO98" s="571">
        <f t="shared" si="130"/>
        <v>0.105</v>
      </c>
      <c r="CP98" s="571">
        <f t="shared" ref="CP98:CQ102" si="152">CO98</f>
        <v>0.105</v>
      </c>
      <c r="CQ98" s="571">
        <f t="shared" si="152"/>
        <v>0.105</v>
      </c>
      <c r="CR98" s="796">
        <v>0.105</v>
      </c>
      <c r="CW98" s="571">
        <f>CR98</f>
        <v>0.105</v>
      </c>
      <c r="DB98" s="571">
        <f>CW98</f>
        <v>0.105</v>
      </c>
      <c r="DC98" s="571"/>
      <c r="DD98" s="571"/>
      <c r="DE98" s="571"/>
      <c r="DF98" s="571"/>
      <c r="DG98" s="571">
        <f>DB98</f>
        <v>0.105</v>
      </c>
      <c r="DL98" s="571">
        <f t="shared" si="132"/>
        <v>0.105</v>
      </c>
      <c r="DQ98" s="571">
        <f t="shared" si="133"/>
        <v>0.105</v>
      </c>
      <c r="DV98" s="571">
        <f t="shared" si="134"/>
        <v>0.105</v>
      </c>
      <c r="EA98" s="571">
        <f t="shared" si="135"/>
        <v>0.105</v>
      </c>
      <c r="EF98" s="571">
        <f t="shared" si="136"/>
        <v>0.105</v>
      </c>
      <c r="EK98" s="571">
        <f t="shared" si="137"/>
        <v>0.105</v>
      </c>
      <c r="EP98" s="571">
        <f t="shared" si="138"/>
        <v>0.105</v>
      </c>
      <c r="EU98" s="571">
        <f t="shared" si="139"/>
        <v>0.105</v>
      </c>
      <c r="EZ98" s="571">
        <f t="shared" si="140"/>
        <v>0.105</v>
      </c>
    </row>
    <row r="99" spans="2:156">
      <c r="B99" s="459" t="s">
        <v>122</v>
      </c>
      <c r="P99" s="571">
        <v>0.17</v>
      </c>
      <c r="U99" s="571">
        <v>0.25</v>
      </c>
      <c r="Z99" s="571">
        <f>U99</f>
        <v>0.25</v>
      </c>
      <c r="AE99" s="571">
        <v>0.23</v>
      </c>
      <c r="AJ99" s="571">
        <v>0.2</v>
      </c>
      <c r="AO99" s="571">
        <v>0.2</v>
      </c>
      <c r="AT99" s="571">
        <v>0.18</v>
      </c>
      <c r="AY99" s="571">
        <v>0.17</v>
      </c>
      <c r="BD99" s="571">
        <v>0.18</v>
      </c>
      <c r="BI99" s="571">
        <v>0.18</v>
      </c>
      <c r="BN99" s="571">
        <v>0.2</v>
      </c>
      <c r="BS99" s="571">
        <v>0.18</v>
      </c>
      <c r="BT99" s="627">
        <f t="shared" si="144"/>
        <v>0.18</v>
      </c>
      <c r="BU99" s="627">
        <f t="shared" si="145"/>
        <v>0.18</v>
      </c>
      <c r="BV99" s="627">
        <f t="shared" si="146"/>
        <v>0.18</v>
      </c>
      <c r="BW99" s="627">
        <f t="shared" si="146"/>
        <v>0.18</v>
      </c>
      <c r="BX99" s="571">
        <f t="shared" si="147"/>
        <v>0.18</v>
      </c>
      <c r="BY99" s="627">
        <v>0.2</v>
      </c>
      <c r="BZ99" s="627">
        <v>0.2</v>
      </c>
      <c r="CA99" s="627">
        <v>0.17</v>
      </c>
      <c r="CB99" s="627">
        <v>0.18</v>
      </c>
      <c r="CC99" s="571">
        <f t="shared" si="150"/>
        <v>0.1875</v>
      </c>
      <c r="CD99" s="571">
        <v>0.17</v>
      </c>
      <c r="CE99" s="571">
        <f t="shared" si="127"/>
        <v>0.17</v>
      </c>
      <c r="CF99" s="571">
        <f t="shared" ref="CF99:CG101" si="153">CE99</f>
        <v>0.17</v>
      </c>
      <c r="CG99" s="571">
        <f t="shared" si="153"/>
        <v>0.17</v>
      </c>
      <c r="CH99" s="458">
        <f>CC99-0.3%</f>
        <v>0.1845</v>
      </c>
      <c r="CI99" s="571">
        <f>CM99</f>
        <v>0.18149999999999999</v>
      </c>
      <c r="CJ99" s="571">
        <f>CI99</f>
        <v>0.18149999999999999</v>
      </c>
      <c r="CK99" s="571">
        <f>CJ99</f>
        <v>0.18149999999999999</v>
      </c>
      <c r="CL99" s="571">
        <f>CK99</f>
        <v>0.18149999999999999</v>
      </c>
      <c r="CM99" s="458">
        <f>CH99-0.3%</f>
        <v>0.18149999999999999</v>
      </c>
      <c r="CN99" s="571">
        <f t="shared" si="129"/>
        <v>0.17399999999999999</v>
      </c>
      <c r="CO99" s="571">
        <f t="shared" si="130"/>
        <v>0.17399999999999999</v>
      </c>
      <c r="CP99" s="571">
        <f t="shared" si="152"/>
        <v>0.17399999999999999</v>
      </c>
      <c r="CQ99" s="571">
        <f t="shared" si="152"/>
        <v>0.17399999999999999</v>
      </c>
      <c r="CR99" s="458">
        <f>CM99-0.75%</f>
        <v>0.17399999999999999</v>
      </c>
      <c r="CS99" s="571"/>
      <c r="CT99" s="571"/>
      <c r="CU99" s="571"/>
      <c r="CV99" s="571"/>
      <c r="CW99" s="458">
        <f>CR99-0.5%</f>
        <v>0.16899999999999998</v>
      </c>
      <c r="CX99" s="571"/>
      <c r="CY99" s="571"/>
      <c r="CZ99" s="571"/>
      <c r="DA99" s="571"/>
      <c r="DB99" s="458">
        <f>CW99-0.5%</f>
        <v>0.16399999999999998</v>
      </c>
      <c r="DC99" s="458"/>
      <c r="DD99" s="458"/>
      <c r="DE99" s="458"/>
      <c r="DF99" s="458"/>
      <c r="DG99" s="458">
        <f>DB99-0.5%</f>
        <v>0.15899999999999997</v>
      </c>
      <c r="DL99" s="571">
        <f t="shared" si="132"/>
        <v>0.15899999999999997</v>
      </c>
      <c r="DQ99" s="571">
        <f t="shared" si="133"/>
        <v>0.15899999999999997</v>
      </c>
      <c r="DV99" s="571">
        <f t="shared" si="134"/>
        <v>0.15899999999999997</v>
      </c>
      <c r="EA99" s="571">
        <f t="shared" si="135"/>
        <v>0.15899999999999997</v>
      </c>
      <c r="EF99" s="571">
        <f t="shared" si="136"/>
        <v>0.15899999999999997</v>
      </c>
      <c r="EK99" s="571">
        <f t="shared" si="137"/>
        <v>0.15899999999999997</v>
      </c>
      <c r="EP99" s="571">
        <f t="shared" si="138"/>
        <v>0.15899999999999997</v>
      </c>
      <c r="EU99" s="571">
        <f t="shared" si="139"/>
        <v>0.15899999999999997</v>
      </c>
      <c r="EZ99" s="571">
        <f t="shared" si="140"/>
        <v>0.15899999999999997</v>
      </c>
    </row>
    <row r="100" spans="2:156">
      <c r="B100" s="459" t="s">
        <v>235</v>
      </c>
      <c r="P100" s="571">
        <v>0.2</v>
      </c>
      <c r="U100" s="571">
        <v>0.25</v>
      </c>
      <c r="Z100" s="571">
        <v>0.25</v>
      </c>
      <c r="AE100" s="571">
        <v>0.23</v>
      </c>
      <c r="AJ100" s="571">
        <v>0.2</v>
      </c>
      <c r="AO100" s="571">
        <v>0.2</v>
      </c>
      <c r="AT100" s="571">
        <v>0.19</v>
      </c>
      <c r="AY100" s="571">
        <v>0.18</v>
      </c>
      <c r="BD100" s="571">
        <v>0.185</v>
      </c>
      <c r="BI100" s="571">
        <v>0.185</v>
      </c>
      <c r="BN100" s="571">
        <v>0.19500000000000001</v>
      </c>
      <c r="BS100" s="571">
        <v>0.185</v>
      </c>
      <c r="BT100" s="571">
        <f t="shared" si="144"/>
        <v>0.185</v>
      </c>
      <c r="BU100" s="571">
        <f t="shared" si="145"/>
        <v>0.185</v>
      </c>
      <c r="BV100" s="571">
        <f t="shared" si="146"/>
        <v>0.185</v>
      </c>
      <c r="BW100" s="571">
        <f t="shared" si="146"/>
        <v>0.185</v>
      </c>
      <c r="BX100" s="571">
        <f t="shared" si="147"/>
        <v>0.185</v>
      </c>
      <c r="BY100" s="627">
        <v>0.18</v>
      </c>
      <c r="BZ100" s="571">
        <v>0.18</v>
      </c>
      <c r="CA100" s="571">
        <v>0.15</v>
      </c>
      <c r="CB100" s="571">
        <v>0.16</v>
      </c>
      <c r="CC100" s="571">
        <f t="shared" si="150"/>
        <v>0.16750000000000001</v>
      </c>
      <c r="CD100" s="571">
        <v>0.16600000000000001</v>
      </c>
      <c r="CE100" s="571">
        <f t="shared" si="127"/>
        <v>0.16600000000000001</v>
      </c>
      <c r="CF100" s="571">
        <v>0.15</v>
      </c>
      <c r="CG100" s="571">
        <f t="shared" si="153"/>
        <v>0.15</v>
      </c>
      <c r="CH100" s="458">
        <f>CH119/CH19</f>
        <v>0.15769555741827326</v>
      </c>
      <c r="CI100" s="571">
        <f>CM100</f>
        <v>0.15619555741827326</v>
      </c>
      <c r="CJ100" s="571">
        <f>CI100</f>
        <v>0.15619555741827326</v>
      </c>
      <c r="CK100" s="458">
        <f t="shared" ref="CK100:CL100" si="154">CJ100</f>
        <v>0.15619555741827326</v>
      </c>
      <c r="CL100" s="458">
        <f t="shared" si="154"/>
        <v>0.15619555741827326</v>
      </c>
      <c r="CM100" s="458">
        <f>CH100-0.15%</f>
        <v>0.15619555741827326</v>
      </c>
      <c r="CN100" s="458">
        <f t="shared" si="129"/>
        <v>0.15469555741827326</v>
      </c>
      <c r="CO100" s="458">
        <f t="shared" si="130"/>
        <v>0.15469555741827326</v>
      </c>
      <c r="CP100" s="458">
        <f t="shared" si="152"/>
        <v>0.15469555741827326</v>
      </c>
      <c r="CQ100" s="458">
        <f t="shared" si="152"/>
        <v>0.15469555741827326</v>
      </c>
      <c r="CR100" s="458">
        <f>CM100-0.15%</f>
        <v>0.15469555741827326</v>
      </c>
      <c r="CW100" s="458">
        <f>CR100-0.15%</f>
        <v>0.15319555741827326</v>
      </c>
      <c r="DB100" s="458">
        <f>CW100-0.15%</f>
        <v>0.15169555741827326</v>
      </c>
      <c r="DC100" s="458"/>
      <c r="DD100" s="458"/>
      <c r="DE100" s="458"/>
      <c r="DF100" s="458"/>
      <c r="DG100" s="571">
        <f>DB100</f>
        <v>0.15169555741827326</v>
      </c>
      <c r="DL100" s="571">
        <f t="shared" si="132"/>
        <v>0.15169555741827326</v>
      </c>
      <c r="DQ100" s="571">
        <f t="shared" si="133"/>
        <v>0.15169555741827326</v>
      </c>
      <c r="DV100" s="571">
        <f t="shared" si="134"/>
        <v>0.15169555741827326</v>
      </c>
      <c r="EA100" s="571">
        <f t="shared" si="135"/>
        <v>0.15169555741827326</v>
      </c>
      <c r="EF100" s="571">
        <f t="shared" si="136"/>
        <v>0.15169555741827326</v>
      </c>
      <c r="EK100" s="571">
        <f t="shared" si="137"/>
        <v>0.15169555741827326</v>
      </c>
      <c r="EP100" s="571">
        <f t="shared" si="138"/>
        <v>0.15169555741827326</v>
      </c>
      <c r="EU100" s="571">
        <f t="shared" si="139"/>
        <v>0.15169555741827326</v>
      </c>
      <c r="EZ100" s="571">
        <f t="shared" si="140"/>
        <v>0.15169555741827326</v>
      </c>
    </row>
    <row r="101" spans="2:156">
      <c r="B101" s="459" t="s">
        <v>47</v>
      </c>
      <c r="Z101" s="569">
        <v>0.1</v>
      </c>
      <c r="AE101" s="569">
        <f>Z101</f>
        <v>0.1</v>
      </c>
      <c r="AJ101" s="569">
        <f>AE101</f>
        <v>0.1</v>
      </c>
      <c r="AO101" s="569">
        <f>AJ101</f>
        <v>0.1</v>
      </c>
      <c r="AT101" s="569">
        <f>AO101</f>
        <v>0.1</v>
      </c>
      <c r="AY101" s="569">
        <f>AT101</f>
        <v>0.1</v>
      </c>
      <c r="BD101" s="569">
        <f>AY101</f>
        <v>0.1</v>
      </c>
      <c r="BI101" s="569">
        <f>BD101</f>
        <v>0.1</v>
      </c>
      <c r="BN101" s="569">
        <f>BI101</f>
        <v>0.1</v>
      </c>
      <c r="BS101" s="569">
        <f>BN101</f>
        <v>0.1</v>
      </c>
      <c r="BT101" s="569">
        <f t="shared" si="144"/>
        <v>0.1</v>
      </c>
      <c r="BU101" s="569">
        <f t="shared" si="145"/>
        <v>0.1</v>
      </c>
      <c r="BV101" s="569">
        <f t="shared" si="146"/>
        <v>0.1</v>
      </c>
      <c r="BW101" s="569">
        <f t="shared" si="146"/>
        <v>0.1</v>
      </c>
      <c r="BX101" s="569">
        <f t="shared" si="147"/>
        <v>0.1</v>
      </c>
      <c r="BY101" s="569">
        <f>BX101</f>
        <v>0.1</v>
      </c>
      <c r="BZ101" s="569">
        <f t="shared" si="148"/>
        <v>0.1</v>
      </c>
      <c r="CA101" s="569">
        <f t="shared" si="149"/>
        <v>0.1</v>
      </c>
      <c r="CB101" s="569">
        <f t="shared" ref="CB101:CB108" si="155">CA101</f>
        <v>0.1</v>
      </c>
      <c r="CC101" s="571">
        <f t="shared" si="150"/>
        <v>0.1</v>
      </c>
      <c r="CD101" s="571">
        <f>CH101</f>
        <v>0.1</v>
      </c>
      <c r="CE101" s="571">
        <f t="shared" si="127"/>
        <v>0.1</v>
      </c>
      <c r="CF101" s="571">
        <f t="shared" si="153"/>
        <v>0.1</v>
      </c>
      <c r="CG101" s="571">
        <f t="shared" si="153"/>
        <v>0.1</v>
      </c>
      <c r="CH101" s="458">
        <f>CC101</f>
        <v>0.1</v>
      </c>
      <c r="CI101" s="458">
        <f>CD101</f>
        <v>0.1</v>
      </c>
      <c r="CJ101" s="458">
        <f>CE101</f>
        <v>0.1</v>
      </c>
      <c r="CK101" s="458">
        <f t="shared" ref="CK101" si="156">CF101</f>
        <v>0.1</v>
      </c>
      <c r="CL101" s="458">
        <f t="shared" ref="CL101" si="157">CG101</f>
        <v>0.1</v>
      </c>
      <c r="CM101" s="458">
        <f>CH101</f>
        <v>0.1</v>
      </c>
      <c r="CN101" s="458">
        <f t="shared" si="129"/>
        <v>0.1</v>
      </c>
      <c r="CO101" s="458">
        <f t="shared" si="130"/>
        <v>0.1</v>
      </c>
      <c r="CP101" s="458">
        <f t="shared" si="152"/>
        <v>0.1</v>
      </c>
      <c r="CQ101" s="458">
        <f t="shared" si="152"/>
        <v>0.1</v>
      </c>
      <c r="CR101" s="458">
        <f>CM101</f>
        <v>0.1</v>
      </c>
      <c r="CW101" s="458">
        <f>CR101</f>
        <v>0.1</v>
      </c>
      <c r="DB101" s="458">
        <f>CW101</f>
        <v>0.1</v>
      </c>
      <c r="DC101" s="458"/>
      <c r="DD101" s="458"/>
      <c r="DE101" s="458"/>
      <c r="DF101" s="458"/>
      <c r="DG101" s="571">
        <f>DB101</f>
        <v>0.1</v>
      </c>
      <c r="DL101" s="571">
        <f t="shared" si="132"/>
        <v>0.1</v>
      </c>
      <c r="DQ101" s="571">
        <f t="shared" si="133"/>
        <v>0.1</v>
      </c>
      <c r="DV101" s="571">
        <f t="shared" si="134"/>
        <v>0.1</v>
      </c>
      <c r="EA101" s="571">
        <f t="shared" si="135"/>
        <v>0.1</v>
      </c>
      <c r="EF101" s="571">
        <f t="shared" si="136"/>
        <v>0.1</v>
      </c>
      <c r="EK101" s="571">
        <f t="shared" si="137"/>
        <v>0.1</v>
      </c>
      <c r="EP101" s="571">
        <f t="shared" si="138"/>
        <v>0.1</v>
      </c>
      <c r="EU101" s="571">
        <f t="shared" si="139"/>
        <v>0.1</v>
      </c>
      <c r="EZ101" s="571">
        <f t="shared" si="140"/>
        <v>0.1</v>
      </c>
    </row>
    <row r="102" spans="2:156">
      <c r="B102" s="459" t="s">
        <v>894</v>
      </c>
      <c r="Z102" s="569"/>
      <c r="AE102" s="569"/>
      <c r="AJ102" s="569"/>
      <c r="AO102" s="569"/>
      <c r="AT102" s="569"/>
      <c r="AY102" s="569"/>
      <c r="BD102" s="569"/>
      <c r="BI102" s="569"/>
      <c r="BN102" s="569"/>
      <c r="BS102" s="569"/>
      <c r="BT102" s="569"/>
      <c r="BU102" s="569"/>
      <c r="BV102" s="569"/>
      <c r="BW102" s="569"/>
      <c r="BX102" s="569"/>
      <c r="BY102" s="569"/>
      <c r="BZ102" s="569"/>
      <c r="CA102" s="569"/>
      <c r="CB102" s="569"/>
      <c r="CC102" s="571"/>
      <c r="CD102" s="571"/>
      <c r="CE102" s="571"/>
      <c r="CF102" s="571"/>
      <c r="CG102" s="571"/>
      <c r="CH102" s="458"/>
      <c r="CI102" s="458"/>
      <c r="CJ102" s="458"/>
      <c r="CK102" s="458"/>
      <c r="CL102" s="458"/>
      <c r="CM102" s="458"/>
      <c r="CN102" s="458">
        <f t="shared" si="129"/>
        <v>0.15</v>
      </c>
      <c r="CO102" s="458">
        <f t="shared" si="130"/>
        <v>0.15</v>
      </c>
      <c r="CP102" s="458">
        <f t="shared" si="152"/>
        <v>0.15</v>
      </c>
      <c r="CQ102" s="458">
        <f t="shared" si="152"/>
        <v>0.15</v>
      </c>
      <c r="CR102" s="458">
        <v>0.15</v>
      </c>
      <c r="CW102" s="458">
        <f>CR102-0.25%</f>
        <v>0.14749999999999999</v>
      </c>
      <c r="DB102" s="458">
        <f>CW102-0.25%</f>
        <v>0.14499999999999999</v>
      </c>
      <c r="DC102" s="458"/>
      <c r="DD102" s="458"/>
      <c r="DE102" s="458"/>
      <c r="DF102" s="458"/>
      <c r="DG102" s="571">
        <f>DB102-0.25%</f>
        <v>0.14249999999999999</v>
      </c>
      <c r="DL102" s="571">
        <f>DG102-0.25%</f>
        <v>0.13999999999999999</v>
      </c>
      <c r="DQ102" s="571">
        <f>DL102-0.25%</f>
        <v>0.13749999999999998</v>
      </c>
      <c r="DV102" s="571">
        <f>DQ102-0.25%</f>
        <v>0.13499999999999998</v>
      </c>
      <c r="EA102" s="571">
        <f>DV102-0.25%</f>
        <v>0.13249999999999998</v>
      </c>
      <c r="EF102" s="571">
        <f>EA102-0.25%</f>
        <v>0.12999999999999998</v>
      </c>
      <c r="EK102" s="571">
        <f>EF102</f>
        <v>0.12999999999999998</v>
      </c>
      <c r="EP102" s="571">
        <f t="shared" si="138"/>
        <v>0.12999999999999998</v>
      </c>
      <c r="EU102" s="571">
        <f t="shared" si="139"/>
        <v>0.12999999999999998</v>
      </c>
      <c r="EZ102" s="571">
        <f t="shared" si="140"/>
        <v>0.12999999999999998</v>
      </c>
    </row>
    <row r="103" spans="2:156">
      <c r="B103" s="459" t="s">
        <v>120</v>
      </c>
      <c r="AJ103" s="569">
        <v>0.2</v>
      </c>
      <c r="AO103" s="569">
        <v>0.2</v>
      </c>
      <c r="AT103" s="569">
        <v>0.2</v>
      </c>
      <c r="AY103" s="569">
        <v>0.2</v>
      </c>
      <c r="BD103" s="569">
        <v>0.2</v>
      </c>
      <c r="BI103" s="569">
        <v>0.2</v>
      </c>
      <c r="BN103" s="569">
        <v>0.2</v>
      </c>
      <c r="BS103" s="569">
        <v>0.2</v>
      </c>
      <c r="BT103" s="569">
        <f t="shared" si="144"/>
        <v>0.2</v>
      </c>
      <c r="BU103" s="569">
        <f t="shared" si="145"/>
        <v>0.2</v>
      </c>
      <c r="BV103" s="569">
        <f t="shared" si="146"/>
        <v>0.2</v>
      </c>
      <c r="BW103" s="569">
        <f t="shared" si="146"/>
        <v>0.2</v>
      </c>
      <c r="BX103" s="569">
        <f t="shared" si="147"/>
        <v>0.2</v>
      </c>
      <c r="BY103" s="569">
        <v>0.11</v>
      </c>
      <c r="BZ103" s="569">
        <f t="shared" si="148"/>
        <v>0.11</v>
      </c>
      <c r="CA103" s="569">
        <f t="shared" si="149"/>
        <v>0.11</v>
      </c>
      <c r="CB103" s="569">
        <f t="shared" si="155"/>
        <v>0.11</v>
      </c>
      <c r="CC103" s="571">
        <f t="shared" si="150"/>
        <v>0.11</v>
      </c>
      <c r="CD103" s="571">
        <f t="shared" ref="CD103:CD112" si="158">CH103</f>
        <v>0.109</v>
      </c>
      <c r="CE103" s="571">
        <f t="shared" ref="CE103:CG112" si="159">CD103</f>
        <v>0.109</v>
      </c>
      <c r="CF103" s="571">
        <f t="shared" si="159"/>
        <v>0.109</v>
      </c>
      <c r="CG103" s="571">
        <f t="shared" si="159"/>
        <v>0.109</v>
      </c>
      <c r="CH103" s="458">
        <f>CC103-0.1%</f>
        <v>0.109</v>
      </c>
      <c r="CI103" s="571">
        <f t="shared" ref="CI103:CI111" si="160">CM103</f>
        <v>0.108</v>
      </c>
      <c r="CJ103" s="571">
        <f t="shared" ref="CJ103:CJ111" si="161">CI103</f>
        <v>0.108</v>
      </c>
      <c r="CK103" s="571">
        <f t="shared" ref="CK103:CL103" si="162">CJ103</f>
        <v>0.108</v>
      </c>
      <c r="CL103" s="571">
        <f t="shared" si="162"/>
        <v>0.108</v>
      </c>
      <c r="CM103" s="458">
        <f>CH103-0.1%</f>
        <v>0.108</v>
      </c>
      <c r="CN103" s="571">
        <f t="shared" ref="CN103:CN111" si="163">CR103</f>
        <v>0.107</v>
      </c>
      <c r="CO103" s="458">
        <f t="shared" ref="CO103:CQ103" si="164">CN103</f>
        <v>0.107</v>
      </c>
      <c r="CP103" s="458">
        <f t="shared" si="164"/>
        <v>0.107</v>
      </c>
      <c r="CQ103" s="458">
        <f t="shared" si="164"/>
        <v>0.107</v>
      </c>
      <c r="CR103" s="458">
        <f>CM103-0.1%</f>
        <v>0.107</v>
      </c>
      <c r="CW103" s="458">
        <f>CR103-0.1%</f>
        <v>0.106</v>
      </c>
      <c r="DB103" s="458">
        <f>CW103-0.1%</f>
        <v>0.105</v>
      </c>
      <c r="DC103" s="458"/>
      <c r="DD103" s="458"/>
      <c r="DE103" s="458"/>
      <c r="DF103" s="458"/>
      <c r="DG103" s="571">
        <f>DB103</f>
        <v>0.105</v>
      </c>
      <c r="DL103" s="571">
        <f t="shared" si="132"/>
        <v>0.105</v>
      </c>
      <c r="DQ103" s="571">
        <f t="shared" si="133"/>
        <v>0.105</v>
      </c>
      <c r="DV103" s="571">
        <f t="shared" si="134"/>
        <v>0.105</v>
      </c>
      <c r="EA103" s="571">
        <f t="shared" si="135"/>
        <v>0.105</v>
      </c>
      <c r="EF103" s="571">
        <f t="shared" si="136"/>
        <v>0.105</v>
      </c>
      <c r="EK103" s="571">
        <f t="shared" si="137"/>
        <v>0.105</v>
      </c>
      <c r="EP103" s="571">
        <f t="shared" si="138"/>
        <v>0.105</v>
      </c>
      <c r="EU103" s="571">
        <f t="shared" si="139"/>
        <v>0.105</v>
      </c>
      <c r="EZ103" s="571">
        <f t="shared" si="140"/>
        <v>0.105</v>
      </c>
    </row>
    <row r="104" spans="2:156">
      <c r="B104" s="459" t="s">
        <v>118</v>
      </c>
      <c r="BD104" s="569">
        <v>0.15</v>
      </c>
      <c r="BI104" s="569">
        <v>0.15</v>
      </c>
      <c r="BN104" s="569">
        <v>0.17</v>
      </c>
      <c r="BS104" s="569">
        <v>0.17</v>
      </c>
      <c r="BT104" s="569">
        <f t="shared" si="144"/>
        <v>0.17</v>
      </c>
      <c r="BU104" s="569">
        <f t="shared" si="145"/>
        <v>0.17</v>
      </c>
      <c r="BV104" s="569">
        <f t="shared" si="146"/>
        <v>0.17</v>
      </c>
      <c r="BW104" s="569">
        <f t="shared" si="146"/>
        <v>0.17</v>
      </c>
      <c r="BX104" s="569">
        <f t="shared" si="147"/>
        <v>0.17</v>
      </c>
      <c r="BY104" s="569">
        <v>0.11</v>
      </c>
      <c r="BZ104" s="569">
        <f t="shared" si="148"/>
        <v>0.11</v>
      </c>
      <c r="CA104" s="569">
        <f t="shared" si="149"/>
        <v>0.11</v>
      </c>
      <c r="CB104" s="569">
        <f t="shared" si="155"/>
        <v>0.11</v>
      </c>
      <c r="CC104" s="571">
        <f t="shared" si="150"/>
        <v>0.11</v>
      </c>
      <c r="CD104" s="571">
        <f t="shared" si="158"/>
        <v>0.108</v>
      </c>
      <c r="CE104" s="571">
        <f t="shared" si="159"/>
        <v>0.108</v>
      </c>
      <c r="CF104" s="571">
        <f t="shared" si="159"/>
        <v>0.108</v>
      </c>
      <c r="CG104" s="571">
        <f t="shared" si="159"/>
        <v>0.108</v>
      </c>
      <c r="CH104" s="458">
        <f>CC104-0.2%</f>
        <v>0.108</v>
      </c>
      <c r="CI104" s="571">
        <f t="shared" si="160"/>
        <v>0.106</v>
      </c>
      <c r="CJ104" s="571">
        <f t="shared" si="161"/>
        <v>0.106</v>
      </c>
      <c r="CK104" s="571">
        <f t="shared" ref="CK104:CL111" si="165">CJ104</f>
        <v>0.106</v>
      </c>
      <c r="CL104" s="571">
        <f t="shared" si="165"/>
        <v>0.106</v>
      </c>
      <c r="CM104" s="458">
        <f>CH104-0.2%</f>
        <v>0.106</v>
      </c>
      <c r="CN104" s="571">
        <f t="shared" si="163"/>
        <v>0.104</v>
      </c>
      <c r="CO104" s="458">
        <f t="shared" ref="CO104:CQ104" si="166">CN104</f>
        <v>0.104</v>
      </c>
      <c r="CP104" s="458">
        <f t="shared" si="166"/>
        <v>0.104</v>
      </c>
      <c r="CQ104" s="458">
        <f t="shared" si="166"/>
        <v>0.104</v>
      </c>
      <c r="CR104" s="458">
        <f>CM104-0.2%</f>
        <v>0.104</v>
      </c>
      <c r="CW104" s="458">
        <f>CR104-0.2%</f>
        <v>0.10199999999999999</v>
      </c>
      <c r="DB104" s="458">
        <f>CW104-0.2%</f>
        <v>9.9999999999999992E-2</v>
      </c>
      <c r="DC104" s="458"/>
      <c r="DD104" s="458"/>
      <c r="DE104" s="458"/>
      <c r="DF104" s="458"/>
      <c r="DG104" s="571">
        <f>DB104-0.2%</f>
        <v>9.799999999999999E-2</v>
      </c>
      <c r="DH104" s="571"/>
      <c r="DI104" s="571"/>
      <c r="DJ104" s="571"/>
      <c r="DK104" s="571"/>
      <c r="DL104" s="571">
        <f>DG104-0.2%</f>
        <v>9.5999999999999988E-2</v>
      </c>
      <c r="DM104" s="571"/>
      <c r="DN104" s="571"/>
      <c r="DO104" s="571"/>
      <c r="DP104" s="571"/>
      <c r="DQ104" s="571">
        <f>DL104-0.2%</f>
        <v>9.3999999999999986E-2</v>
      </c>
      <c r="DR104" s="571"/>
      <c r="DS104" s="571"/>
      <c r="DT104" s="571"/>
      <c r="DU104" s="571"/>
      <c r="DV104" s="571">
        <f>DQ104-0.2%</f>
        <v>9.1999999999999985E-2</v>
      </c>
      <c r="DW104" s="571"/>
      <c r="DX104" s="571"/>
      <c r="DY104" s="571"/>
      <c r="DZ104" s="571"/>
      <c r="EA104" s="571">
        <f>DV104-0.2%</f>
        <v>8.9999999999999983E-2</v>
      </c>
      <c r="EB104" s="571"/>
      <c r="EC104" s="571"/>
      <c r="ED104" s="571"/>
      <c r="EE104" s="571"/>
      <c r="EF104" s="571">
        <f t="shared" si="136"/>
        <v>8.9999999999999983E-2</v>
      </c>
      <c r="EG104" s="571"/>
      <c r="EH104" s="571"/>
      <c r="EI104" s="571"/>
      <c r="EJ104" s="571"/>
      <c r="EK104" s="571">
        <f t="shared" si="137"/>
        <v>8.9999999999999983E-2</v>
      </c>
      <c r="EL104" s="571"/>
      <c r="EM104" s="571"/>
      <c r="EN104" s="571"/>
      <c r="EO104" s="571"/>
      <c r="EP104" s="571">
        <f t="shared" si="138"/>
        <v>8.9999999999999983E-2</v>
      </c>
      <c r="EQ104" s="571"/>
      <c r="ER104" s="571"/>
      <c r="ES104" s="571"/>
      <c r="ET104" s="571"/>
      <c r="EU104" s="571">
        <f t="shared" si="139"/>
        <v>8.9999999999999983E-2</v>
      </c>
      <c r="EV104" s="571"/>
      <c r="EW104" s="571"/>
      <c r="EX104" s="571"/>
      <c r="EY104" s="571"/>
      <c r="EZ104" s="571">
        <f t="shared" si="140"/>
        <v>8.9999999999999983E-2</v>
      </c>
    </row>
    <row r="105" spans="2:156">
      <c r="B105" s="459" t="s">
        <v>119</v>
      </c>
      <c r="BD105" s="569">
        <v>0.15</v>
      </c>
      <c r="BI105" s="569">
        <v>0.15</v>
      </c>
      <c r="BN105" s="569">
        <v>0.17</v>
      </c>
      <c r="BS105" s="569">
        <v>0.17</v>
      </c>
      <c r="BT105" s="569">
        <f t="shared" si="144"/>
        <v>0.17</v>
      </c>
      <c r="BU105" s="569">
        <f t="shared" si="145"/>
        <v>0.17</v>
      </c>
      <c r="BV105" s="569">
        <f t="shared" si="146"/>
        <v>0.17</v>
      </c>
      <c r="BW105" s="569">
        <f t="shared" si="146"/>
        <v>0.17</v>
      </c>
      <c r="BX105" s="569">
        <f t="shared" si="147"/>
        <v>0.17</v>
      </c>
      <c r="BY105" s="569">
        <v>0.11</v>
      </c>
      <c r="BZ105" s="569">
        <f t="shared" si="148"/>
        <v>0.11</v>
      </c>
      <c r="CA105" s="569">
        <f t="shared" si="149"/>
        <v>0.11</v>
      </c>
      <c r="CB105" s="569">
        <f t="shared" si="155"/>
        <v>0.11</v>
      </c>
      <c r="CC105" s="571">
        <f t="shared" si="150"/>
        <v>0.11</v>
      </c>
      <c r="CD105" s="571">
        <f t="shared" si="158"/>
        <v>0.108</v>
      </c>
      <c r="CE105" s="571">
        <f t="shared" si="159"/>
        <v>0.108</v>
      </c>
      <c r="CF105" s="571">
        <f t="shared" si="159"/>
        <v>0.108</v>
      </c>
      <c r="CG105" s="571">
        <f t="shared" si="159"/>
        <v>0.108</v>
      </c>
      <c r="CH105" s="458">
        <f>CC105-0.2%</f>
        <v>0.108</v>
      </c>
      <c r="CI105" s="571">
        <f t="shared" si="160"/>
        <v>0.106</v>
      </c>
      <c r="CJ105" s="571">
        <f t="shared" si="161"/>
        <v>0.106</v>
      </c>
      <c r="CK105" s="571">
        <f t="shared" si="165"/>
        <v>0.106</v>
      </c>
      <c r="CL105" s="571">
        <f t="shared" si="165"/>
        <v>0.106</v>
      </c>
      <c r="CM105" s="458">
        <f>CH105-0.2%</f>
        <v>0.106</v>
      </c>
      <c r="CN105" s="571">
        <f t="shared" si="163"/>
        <v>0.104</v>
      </c>
      <c r="CO105" s="458">
        <f t="shared" ref="CO105:CQ105" si="167">CN105</f>
        <v>0.104</v>
      </c>
      <c r="CP105" s="458">
        <f t="shared" si="167"/>
        <v>0.104</v>
      </c>
      <c r="CQ105" s="458">
        <f t="shared" si="167"/>
        <v>0.104</v>
      </c>
      <c r="CR105" s="458">
        <f>CM105-0.2%</f>
        <v>0.104</v>
      </c>
      <c r="CW105" s="458">
        <f>CR105-0.2%</f>
        <v>0.10199999999999999</v>
      </c>
      <c r="DB105" s="458">
        <f>CW105-0.2%</f>
        <v>9.9999999999999992E-2</v>
      </c>
      <c r="DC105" s="458"/>
      <c r="DD105" s="458"/>
      <c r="DE105" s="458"/>
      <c r="DF105" s="458"/>
      <c r="DG105" s="571">
        <f>DB105-0.2%</f>
        <v>9.799999999999999E-2</v>
      </c>
      <c r="DH105" s="571"/>
      <c r="DI105" s="571"/>
      <c r="DJ105" s="571"/>
      <c r="DK105" s="571"/>
      <c r="DL105" s="571">
        <f>DG105-0.2%</f>
        <v>9.5999999999999988E-2</v>
      </c>
      <c r="DM105" s="571"/>
      <c r="DN105" s="571"/>
      <c r="DO105" s="571"/>
      <c r="DP105" s="571"/>
      <c r="DQ105" s="571">
        <f>DL105-0.2%</f>
        <v>9.3999999999999986E-2</v>
      </c>
      <c r="DR105" s="571"/>
      <c r="DS105" s="571"/>
      <c r="DT105" s="571"/>
      <c r="DU105" s="571"/>
      <c r="DV105" s="571">
        <f>DQ105-0.2%</f>
        <v>9.1999999999999985E-2</v>
      </c>
      <c r="DW105" s="571"/>
      <c r="DX105" s="571"/>
      <c r="DY105" s="571"/>
      <c r="DZ105" s="571"/>
      <c r="EA105" s="571">
        <f>DV105-0.2%</f>
        <v>8.9999999999999983E-2</v>
      </c>
      <c r="EB105" s="571"/>
      <c r="EC105" s="571"/>
      <c r="ED105" s="571"/>
      <c r="EE105" s="571"/>
      <c r="EF105" s="571">
        <f t="shared" si="136"/>
        <v>8.9999999999999983E-2</v>
      </c>
      <c r="EG105" s="571"/>
      <c r="EH105" s="571"/>
      <c r="EI105" s="571"/>
      <c r="EJ105" s="571"/>
      <c r="EK105" s="571">
        <f t="shared" si="137"/>
        <v>8.9999999999999983E-2</v>
      </c>
      <c r="EL105" s="571"/>
      <c r="EM105" s="571"/>
      <c r="EN105" s="571"/>
      <c r="EO105" s="571"/>
      <c r="EP105" s="571">
        <f t="shared" si="138"/>
        <v>8.9999999999999983E-2</v>
      </c>
      <c r="EQ105" s="571"/>
      <c r="ER105" s="571"/>
      <c r="ES105" s="571"/>
      <c r="ET105" s="571"/>
      <c r="EU105" s="571">
        <f t="shared" si="139"/>
        <v>8.9999999999999983E-2</v>
      </c>
      <c r="EV105" s="571"/>
      <c r="EW105" s="571"/>
      <c r="EX105" s="571"/>
      <c r="EY105" s="571"/>
      <c r="EZ105" s="571">
        <f t="shared" si="140"/>
        <v>8.9999999999999983E-2</v>
      </c>
    </row>
    <row r="106" spans="2:156">
      <c r="B106" s="459" t="s">
        <v>46</v>
      </c>
      <c r="AT106" s="569">
        <v>0.2</v>
      </c>
      <c r="AY106" s="569">
        <v>0.2</v>
      </c>
      <c r="BD106" s="569">
        <v>0.2</v>
      </c>
      <c r="BI106" s="569">
        <v>0.2</v>
      </c>
      <c r="BN106" s="569">
        <v>0.2</v>
      </c>
      <c r="BS106" s="569">
        <v>0.2</v>
      </c>
      <c r="BT106" s="569">
        <f t="shared" si="144"/>
        <v>0.2</v>
      </c>
      <c r="BU106" s="569">
        <f>BT106</f>
        <v>0.2</v>
      </c>
      <c r="BV106" s="569">
        <f t="shared" si="146"/>
        <v>0.2</v>
      </c>
      <c r="BW106" s="569">
        <f t="shared" si="146"/>
        <v>0.2</v>
      </c>
      <c r="BX106" s="569">
        <f t="shared" si="147"/>
        <v>0.2</v>
      </c>
      <c r="BY106" s="569">
        <f>BX106</f>
        <v>0.2</v>
      </c>
      <c r="BZ106" s="569">
        <f>BY106</f>
        <v>0.2</v>
      </c>
      <c r="CA106" s="569">
        <f t="shared" si="149"/>
        <v>0.2</v>
      </c>
      <c r="CB106" s="569">
        <f t="shared" si="155"/>
        <v>0.2</v>
      </c>
      <c r="CC106" s="571">
        <f t="shared" si="150"/>
        <v>0.2</v>
      </c>
      <c r="CD106" s="571">
        <v>0.17</v>
      </c>
      <c r="CE106" s="571">
        <f t="shared" si="159"/>
        <v>0.17</v>
      </c>
      <c r="CF106" s="571">
        <f t="shared" si="159"/>
        <v>0.17</v>
      </c>
      <c r="CG106" s="571">
        <f t="shared" si="159"/>
        <v>0.17</v>
      </c>
      <c r="CH106" s="458">
        <f>CC106</f>
        <v>0.2</v>
      </c>
      <c r="CI106" s="571">
        <f t="shared" si="160"/>
        <v>0.2</v>
      </c>
      <c r="CJ106" s="571">
        <f t="shared" si="161"/>
        <v>0.2</v>
      </c>
      <c r="CK106" s="571">
        <f t="shared" si="165"/>
        <v>0.2</v>
      </c>
      <c r="CL106" s="571">
        <f t="shared" si="165"/>
        <v>0.2</v>
      </c>
      <c r="CM106" s="458">
        <f>CH106</f>
        <v>0.2</v>
      </c>
      <c r="CN106" s="571">
        <f t="shared" si="163"/>
        <v>0.17</v>
      </c>
      <c r="CO106" s="458">
        <f t="shared" ref="CO106:CQ106" si="168">CN106</f>
        <v>0.17</v>
      </c>
      <c r="CP106" s="458">
        <f t="shared" si="168"/>
        <v>0.17</v>
      </c>
      <c r="CQ106" s="458">
        <f t="shared" si="168"/>
        <v>0.17</v>
      </c>
      <c r="CR106" s="797">
        <v>0.17</v>
      </c>
      <c r="CW106" s="458">
        <f>CR106</f>
        <v>0.17</v>
      </c>
      <c r="DB106" s="458">
        <f>CW106</f>
        <v>0.17</v>
      </c>
      <c r="DC106" s="458"/>
      <c r="DD106" s="458"/>
      <c r="DE106" s="458"/>
      <c r="DF106" s="458"/>
      <c r="DG106" s="458">
        <f>DB106</f>
        <v>0.17</v>
      </c>
      <c r="DL106" s="458">
        <f>DG106</f>
        <v>0.17</v>
      </c>
      <c r="DQ106" s="458">
        <f>DL106</f>
        <v>0.17</v>
      </c>
      <c r="DV106" s="458">
        <f>DQ106</f>
        <v>0.17</v>
      </c>
      <c r="EA106" s="458">
        <f>DV106</f>
        <v>0.17</v>
      </c>
      <c r="EF106" s="458">
        <f t="shared" si="136"/>
        <v>0.17</v>
      </c>
      <c r="EK106" s="458">
        <f t="shared" si="137"/>
        <v>0.17</v>
      </c>
      <c r="EP106" s="458">
        <f t="shared" si="138"/>
        <v>0.17</v>
      </c>
      <c r="EU106" s="458">
        <f t="shared" si="139"/>
        <v>0.17</v>
      </c>
      <c r="EZ106" s="458">
        <f t="shared" si="140"/>
        <v>0.17</v>
      </c>
    </row>
    <row r="107" spans="2:156">
      <c r="B107" s="459" t="s">
        <v>729</v>
      </c>
      <c r="BY107" s="571">
        <v>0.11</v>
      </c>
      <c r="BZ107" s="571">
        <f>BY107</f>
        <v>0.11</v>
      </c>
      <c r="CA107" s="569">
        <f>BZ107</f>
        <v>0.11</v>
      </c>
      <c r="CB107" s="569">
        <f t="shared" si="155"/>
        <v>0.11</v>
      </c>
      <c r="CC107" s="571">
        <f t="shared" si="150"/>
        <v>0.11</v>
      </c>
      <c r="CD107" s="571">
        <f t="shared" si="158"/>
        <v>0.1075</v>
      </c>
      <c r="CE107" s="571">
        <f t="shared" si="159"/>
        <v>0.1075</v>
      </c>
      <c r="CF107" s="571">
        <f t="shared" si="159"/>
        <v>0.1075</v>
      </c>
      <c r="CG107" s="571">
        <f t="shared" si="159"/>
        <v>0.1075</v>
      </c>
      <c r="CH107" s="571">
        <f>CC107-0.25%</f>
        <v>0.1075</v>
      </c>
      <c r="CI107" s="571">
        <f t="shared" si="160"/>
        <v>0.105</v>
      </c>
      <c r="CJ107" s="571">
        <f t="shared" si="161"/>
        <v>0.105</v>
      </c>
      <c r="CK107" s="571">
        <f t="shared" si="165"/>
        <v>0.105</v>
      </c>
      <c r="CL107" s="571">
        <f t="shared" si="165"/>
        <v>0.105</v>
      </c>
      <c r="CM107" s="571">
        <f>CH107-0.25%</f>
        <v>0.105</v>
      </c>
      <c r="CN107" s="571">
        <f t="shared" si="163"/>
        <v>0.10249999999999999</v>
      </c>
      <c r="CO107" s="458">
        <f t="shared" ref="CO107:CQ107" si="169">CN107</f>
        <v>0.10249999999999999</v>
      </c>
      <c r="CP107" s="458">
        <f t="shared" si="169"/>
        <v>0.10249999999999999</v>
      </c>
      <c r="CQ107" s="458">
        <f t="shared" si="169"/>
        <v>0.10249999999999999</v>
      </c>
      <c r="CR107" s="571">
        <f>CM107-0.25%</f>
        <v>0.10249999999999999</v>
      </c>
      <c r="CS107" s="571"/>
      <c r="CT107" s="571"/>
      <c r="CU107" s="571"/>
      <c r="CV107" s="571"/>
      <c r="CW107" s="571">
        <f>CR107-0.25%</f>
        <v>9.9999999999999992E-2</v>
      </c>
      <c r="CX107" s="571"/>
      <c r="CY107" s="571"/>
      <c r="CZ107" s="571"/>
      <c r="DA107" s="571"/>
      <c r="DB107" s="571">
        <f>CW107-0.25%</f>
        <v>9.7499999999999989E-2</v>
      </c>
      <c r="DC107" s="571"/>
      <c r="DD107" s="571"/>
      <c r="DE107" s="571"/>
      <c r="DF107" s="571"/>
      <c r="DG107" s="571">
        <f>DB107-0.25%</f>
        <v>9.4999999999999987E-2</v>
      </c>
      <c r="DL107" s="571">
        <f>DG107-0.25%</f>
        <v>9.2499999999999985E-2</v>
      </c>
      <c r="DQ107" s="571">
        <f>DL107-0.25%</f>
        <v>8.9999999999999983E-2</v>
      </c>
      <c r="DV107" s="571">
        <f>DQ107</f>
        <v>8.9999999999999983E-2</v>
      </c>
      <c r="EA107" s="571">
        <f>DV107</f>
        <v>8.9999999999999983E-2</v>
      </c>
      <c r="EF107" s="571">
        <f t="shared" si="136"/>
        <v>8.9999999999999983E-2</v>
      </c>
      <c r="EK107" s="571">
        <f t="shared" si="137"/>
        <v>8.9999999999999983E-2</v>
      </c>
      <c r="EP107" s="571">
        <f t="shared" si="138"/>
        <v>8.9999999999999983E-2</v>
      </c>
      <c r="EU107" s="571">
        <f t="shared" si="139"/>
        <v>8.9999999999999983E-2</v>
      </c>
      <c r="EZ107" s="571">
        <f t="shared" si="140"/>
        <v>8.9999999999999983E-2</v>
      </c>
    </row>
    <row r="108" spans="2:156">
      <c r="B108" s="459" t="s">
        <v>5</v>
      </c>
      <c r="BS108" s="571">
        <v>0.1</v>
      </c>
      <c r="BT108" s="571">
        <f>BS108</f>
        <v>0.1</v>
      </c>
      <c r="BU108" s="571">
        <f>BT108</f>
        <v>0.1</v>
      </c>
      <c r="BV108" s="571">
        <f>BU108</f>
        <v>0.1</v>
      </c>
      <c r="BW108" s="571">
        <f>BV108</f>
        <v>0.1</v>
      </c>
      <c r="BX108" s="571">
        <f>BS108</f>
        <v>0.1</v>
      </c>
      <c r="BY108" s="571">
        <f>BX108</f>
        <v>0.1</v>
      </c>
      <c r="BZ108" s="571">
        <f>BY108</f>
        <v>0.1</v>
      </c>
      <c r="CA108" s="571">
        <f>BZ108</f>
        <v>0.1</v>
      </c>
      <c r="CB108" s="571">
        <f t="shared" si="155"/>
        <v>0.1</v>
      </c>
      <c r="CC108" s="571">
        <f t="shared" si="150"/>
        <v>0.1</v>
      </c>
      <c r="CD108" s="571">
        <f t="shared" si="158"/>
        <v>0.1</v>
      </c>
      <c r="CE108" s="571">
        <f t="shared" si="159"/>
        <v>0.1</v>
      </c>
      <c r="CF108" s="571">
        <f t="shared" si="159"/>
        <v>0.1</v>
      </c>
      <c r="CG108" s="571">
        <f t="shared" si="159"/>
        <v>0.1</v>
      </c>
      <c r="CH108" s="571">
        <f>CC108</f>
        <v>0.1</v>
      </c>
      <c r="CI108" s="571">
        <f t="shared" si="160"/>
        <v>0.1</v>
      </c>
      <c r="CJ108" s="571">
        <f t="shared" si="161"/>
        <v>0.1</v>
      </c>
      <c r="CK108" s="571">
        <f t="shared" si="165"/>
        <v>0.1</v>
      </c>
      <c r="CL108" s="571">
        <f t="shared" si="165"/>
        <v>0.1</v>
      </c>
      <c r="CM108" s="571">
        <f>CH108</f>
        <v>0.1</v>
      </c>
      <c r="CN108" s="571">
        <f t="shared" si="163"/>
        <v>0.1</v>
      </c>
      <c r="CO108" s="458">
        <f t="shared" ref="CO108:CQ108" si="170">CN108</f>
        <v>0.1</v>
      </c>
      <c r="CP108" s="458">
        <f t="shared" si="170"/>
        <v>0.1</v>
      </c>
      <c r="CQ108" s="458">
        <f t="shared" si="170"/>
        <v>0.1</v>
      </c>
      <c r="CR108" s="571">
        <f>CM108</f>
        <v>0.1</v>
      </c>
      <c r="CW108" s="571">
        <f>CR108</f>
        <v>0.1</v>
      </c>
      <c r="DB108" s="571">
        <f>CW108</f>
        <v>0.1</v>
      </c>
      <c r="DC108" s="571"/>
      <c r="DD108" s="571"/>
      <c r="DE108" s="571"/>
      <c r="DF108" s="571"/>
      <c r="DG108" s="571">
        <f>DB108</f>
        <v>0.1</v>
      </c>
      <c r="DL108" s="571">
        <f>DG108</f>
        <v>0.1</v>
      </c>
      <c r="DM108" s="477"/>
      <c r="DN108" s="477"/>
      <c r="DO108" s="477"/>
      <c r="DP108" s="477"/>
      <c r="DQ108" s="571">
        <f>DL108</f>
        <v>0.1</v>
      </c>
      <c r="DR108" s="477"/>
      <c r="DS108" s="477"/>
      <c r="DT108" s="477"/>
      <c r="DU108" s="477"/>
      <c r="DV108" s="571">
        <f>DQ108</f>
        <v>0.1</v>
      </c>
      <c r="DW108" s="477"/>
      <c r="DX108" s="477"/>
      <c r="DY108" s="477"/>
      <c r="DZ108" s="477"/>
      <c r="EA108" s="571">
        <f>DV108</f>
        <v>0.1</v>
      </c>
      <c r="EB108" s="477"/>
      <c r="EC108" s="477"/>
      <c r="ED108" s="477"/>
      <c r="EE108" s="477"/>
      <c r="EF108" s="571">
        <f t="shared" si="136"/>
        <v>0.1</v>
      </c>
      <c r="EG108" s="477"/>
      <c r="EH108" s="477"/>
      <c r="EI108" s="477"/>
      <c r="EJ108" s="477"/>
      <c r="EK108" s="571">
        <f t="shared" si="137"/>
        <v>0.1</v>
      </c>
      <c r="EL108" s="477"/>
      <c r="EM108" s="477"/>
      <c r="EN108" s="477"/>
      <c r="EO108" s="477"/>
      <c r="EP108" s="571">
        <f t="shared" si="138"/>
        <v>0.1</v>
      </c>
      <c r="EQ108" s="477"/>
      <c r="ER108" s="477"/>
      <c r="ES108" s="477"/>
      <c r="ET108" s="477"/>
      <c r="EU108" s="571">
        <f t="shared" si="139"/>
        <v>0.1</v>
      </c>
      <c r="EV108" s="477"/>
      <c r="EW108" s="477"/>
      <c r="EX108" s="477"/>
      <c r="EY108" s="477"/>
      <c r="EZ108" s="571">
        <f t="shared" si="140"/>
        <v>0.1</v>
      </c>
    </row>
    <row r="109" spans="2:156">
      <c r="B109" s="459" t="s">
        <v>717</v>
      </c>
      <c r="BS109" s="571"/>
      <c r="BT109" s="571"/>
      <c r="BU109" s="571"/>
      <c r="BV109" s="571"/>
      <c r="BW109" s="571"/>
      <c r="BX109" s="571"/>
      <c r="BY109" s="571">
        <v>0.28000000000000003</v>
      </c>
      <c r="BZ109" s="571">
        <v>0.25</v>
      </c>
      <c r="CA109" s="571">
        <v>0.25</v>
      </c>
      <c r="CB109" s="571">
        <v>0.25</v>
      </c>
      <c r="CC109" s="571">
        <f t="shared" si="150"/>
        <v>0.25750000000000001</v>
      </c>
      <c r="CD109" s="571">
        <f t="shared" si="158"/>
        <v>0.25</v>
      </c>
      <c r="CE109" s="571">
        <f t="shared" si="159"/>
        <v>0.25</v>
      </c>
      <c r="CF109" s="571">
        <f t="shared" si="159"/>
        <v>0.25</v>
      </c>
      <c r="CG109" s="571">
        <f t="shared" si="159"/>
        <v>0.25</v>
      </c>
      <c r="CH109" s="571">
        <v>0.25</v>
      </c>
      <c r="CI109" s="571">
        <f t="shared" si="160"/>
        <v>0.25</v>
      </c>
      <c r="CJ109" s="571">
        <f t="shared" si="161"/>
        <v>0.25</v>
      </c>
      <c r="CK109" s="571">
        <f t="shared" si="165"/>
        <v>0.25</v>
      </c>
      <c r="CL109" s="571">
        <f t="shared" si="165"/>
        <v>0.25</v>
      </c>
      <c r="CM109" s="571">
        <v>0.25</v>
      </c>
      <c r="CN109" s="571">
        <f t="shared" si="163"/>
        <v>0.25</v>
      </c>
      <c r="CO109" s="458">
        <f t="shared" ref="CO109:CQ109" si="171">CN109</f>
        <v>0.25</v>
      </c>
      <c r="CP109" s="458">
        <f t="shared" si="171"/>
        <v>0.25</v>
      </c>
      <c r="CQ109" s="458">
        <f t="shared" si="171"/>
        <v>0.25</v>
      </c>
      <c r="CR109" s="571">
        <v>0.25</v>
      </c>
      <c r="CW109" s="571">
        <v>0.25</v>
      </c>
      <c r="DB109" s="571">
        <v>0.25</v>
      </c>
      <c r="DC109" s="571"/>
      <c r="DD109" s="571"/>
      <c r="DE109" s="571"/>
      <c r="DF109" s="571"/>
      <c r="DG109" s="571">
        <f>DB109</f>
        <v>0.25</v>
      </c>
      <c r="DL109" s="571">
        <f>DG109</f>
        <v>0.25</v>
      </c>
      <c r="DQ109" s="571">
        <f>DL109</f>
        <v>0.25</v>
      </c>
      <c r="DV109" s="571">
        <f>DQ109</f>
        <v>0.25</v>
      </c>
      <c r="EA109" s="571">
        <f>DV109</f>
        <v>0.25</v>
      </c>
      <c r="EF109" s="571">
        <f t="shared" si="136"/>
        <v>0.25</v>
      </c>
      <c r="EK109" s="571">
        <f t="shared" si="137"/>
        <v>0.25</v>
      </c>
      <c r="EP109" s="571">
        <f t="shared" si="138"/>
        <v>0.25</v>
      </c>
      <c r="EU109" s="571">
        <f t="shared" si="139"/>
        <v>0.25</v>
      </c>
      <c r="EZ109" s="571">
        <f t="shared" si="140"/>
        <v>0.25</v>
      </c>
    </row>
    <row r="110" spans="2:156">
      <c r="B110" s="459" t="s">
        <v>683</v>
      </c>
      <c r="BY110" s="569">
        <v>0.11</v>
      </c>
      <c r="BZ110" s="569">
        <f t="shared" ref="BZ110:CB111" si="172">BY110</f>
        <v>0.11</v>
      </c>
      <c r="CA110" s="569">
        <f t="shared" si="172"/>
        <v>0.11</v>
      </c>
      <c r="CB110" s="569">
        <f t="shared" si="172"/>
        <v>0.11</v>
      </c>
      <c r="CC110" s="571">
        <f t="shared" si="150"/>
        <v>0.11</v>
      </c>
      <c r="CD110" s="571">
        <f t="shared" si="158"/>
        <v>0</v>
      </c>
      <c r="CE110" s="571">
        <f t="shared" si="159"/>
        <v>0</v>
      </c>
      <c r="CF110" s="571">
        <f t="shared" si="159"/>
        <v>0</v>
      </c>
      <c r="CG110" s="571">
        <f t="shared" si="159"/>
        <v>0</v>
      </c>
      <c r="CH110" s="458">
        <f>IFERROR(CH129/CH62,0)</f>
        <v>0</v>
      </c>
      <c r="CI110" s="571">
        <f t="shared" si="160"/>
        <v>0</v>
      </c>
      <c r="CJ110" s="571">
        <f t="shared" si="161"/>
        <v>0</v>
      </c>
      <c r="CK110" s="571">
        <f t="shared" si="165"/>
        <v>0</v>
      </c>
      <c r="CL110" s="571">
        <f t="shared" si="165"/>
        <v>0</v>
      </c>
      <c r="CM110" s="458">
        <f>IFERROR(CM129/CM62,0)</f>
        <v>0</v>
      </c>
      <c r="CN110" s="571">
        <f t="shared" si="163"/>
        <v>0.28016346233548917</v>
      </c>
      <c r="CO110" s="458">
        <f t="shared" ref="CO110:CQ110" si="173">CN110</f>
        <v>0.28016346233548917</v>
      </c>
      <c r="CP110" s="458">
        <f t="shared" si="173"/>
        <v>0.28016346233548917</v>
      </c>
      <c r="CQ110" s="458">
        <f t="shared" si="173"/>
        <v>0.28016346233548917</v>
      </c>
      <c r="CR110" s="458">
        <f>IFERROR(CR129/CR62,0)</f>
        <v>0.28016346233548917</v>
      </c>
      <c r="CS110" s="571"/>
      <c r="CT110" s="571"/>
      <c r="CU110" s="571"/>
      <c r="CV110" s="571"/>
      <c r="CW110" s="458">
        <f>IFERROR(CW129/CW62,0)</f>
        <v>0.29625644414661806</v>
      </c>
      <c r="CX110" s="571"/>
      <c r="CY110" s="571"/>
      <c r="CZ110" s="571"/>
      <c r="DA110" s="571"/>
      <c r="DB110" s="458">
        <f>IFERROR(DB129/DB62,0)</f>
        <v>0.32049327212211903</v>
      </c>
      <c r="DC110" s="458"/>
      <c r="DD110" s="458"/>
      <c r="DE110" s="458"/>
      <c r="DF110" s="458"/>
      <c r="DG110" s="458">
        <f>IFERROR(DG129/DG62,0)</f>
        <v>0.33257444266896524</v>
      </c>
      <c r="DH110" s="458"/>
      <c r="DI110" s="458"/>
      <c r="DJ110" s="458"/>
      <c r="DK110" s="458"/>
      <c r="DL110" s="458">
        <f>IFERROR(DL129/DL62,0)</f>
        <v>0.34854936477049858</v>
      </c>
      <c r="DM110" s="458"/>
      <c r="DN110" s="458"/>
      <c r="DO110" s="458"/>
      <c r="DP110" s="458"/>
      <c r="DQ110" s="458">
        <f>IFERROR(DQ129/DQ62,0)</f>
        <v>0.34762111982844635</v>
      </c>
      <c r="DR110" s="458"/>
      <c r="DS110" s="458"/>
      <c r="DT110" s="458"/>
      <c r="DU110" s="458"/>
      <c r="DV110" s="458">
        <f>IFERROR(DV129/DV62,0)</f>
        <v>0.35025917130705353</v>
      </c>
      <c r="DW110" s="458"/>
      <c r="DX110" s="458"/>
      <c r="DY110" s="458"/>
      <c r="DZ110" s="458"/>
      <c r="EA110" s="458">
        <f>IFERROR(EA129/EA62,0)</f>
        <v>0.35200221170340351</v>
      </c>
      <c r="EB110" s="458"/>
      <c r="EC110" s="458"/>
      <c r="ED110" s="458"/>
      <c r="EE110" s="458"/>
      <c r="EF110" s="458">
        <f>IFERROR(EF129/EF62,0)</f>
        <v>0.34995910081348275</v>
      </c>
      <c r="EG110" s="458"/>
      <c r="EH110" s="458"/>
      <c r="EI110" s="458"/>
      <c r="EJ110" s="458"/>
      <c r="EK110" s="458">
        <f>IFERROR(EK129/EK62,0)</f>
        <v>0.34802966361167326</v>
      </c>
      <c r="EL110" s="458"/>
      <c r="EM110" s="458"/>
      <c r="EN110" s="458"/>
      <c r="EO110" s="458"/>
      <c r="EP110" s="458">
        <f>IFERROR(EP129/EP62,0)</f>
        <v>0.3516167763656623</v>
      </c>
      <c r="EQ110" s="458"/>
      <c r="ER110" s="458"/>
      <c r="ES110" s="458"/>
      <c r="ET110" s="458"/>
      <c r="EU110" s="458">
        <f>IFERROR(EU129/EU62,0)</f>
        <v>0.35522032237024215</v>
      </c>
      <c r="EV110" s="458"/>
      <c r="EW110" s="458"/>
      <c r="EX110" s="458"/>
      <c r="EY110" s="458"/>
      <c r="EZ110" s="458">
        <f>IFERROR(EZ129/EZ62,0)</f>
        <v>0.35882878525984019</v>
      </c>
    </row>
    <row r="111" spans="2:156">
      <c r="B111" s="459" t="s">
        <v>107</v>
      </c>
      <c r="J111" s="569">
        <v>0.2</v>
      </c>
      <c r="K111" s="569">
        <f>J111</f>
        <v>0.2</v>
      </c>
      <c r="P111" s="569">
        <f>K111</f>
        <v>0.2</v>
      </c>
      <c r="U111" s="569">
        <f>P111</f>
        <v>0.2</v>
      </c>
      <c r="Z111" s="569">
        <f>U111</f>
        <v>0.2</v>
      </c>
      <c r="AE111" s="569">
        <f>Z111</f>
        <v>0.2</v>
      </c>
      <c r="AJ111" s="569">
        <f>AE111</f>
        <v>0.2</v>
      </c>
      <c r="AO111" s="569">
        <f>AJ111</f>
        <v>0.2</v>
      </c>
      <c r="AT111" s="569">
        <v>0.2</v>
      </c>
      <c r="AY111" s="569">
        <v>0.2</v>
      </c>
      <c r="BD111" s="569">
        <v>0.2</v>
      </c>
      <c r="BI111" s="569">
        <v>0.2</v>
      </c>
      <c r="BN111" s="569">
        <v>0.2</v>
      </c>
      <c r="BS111" s="569">
        <v>0.2</v>
      </c>
      <c r="BT111" s="569">
        <f>BS111</f>
        <v>0.2</v>
      </c>
      <c r="BU111" s="569">
        <f>BT111</f>
        <v>0.2</v>
      </c>
      <c r="BV111" s="569">
        <f>BU111</f>
        <v>0.2</v>
      </c>
      <c r="BW111" s="569">
        <f>BV111</f>
        <v>0.2</v>
      </c>
      <c r="BX111" s="569">
        <f>BS111</f>
        <v>0.2</v>
      </c>
      <c r="BY111" s="569">
        <f>BX111</f>
        <v>0.2</v>
      </c>
      <c r="BZ111" s="569">
        <f t="shared" si="172"/>
        <v>0.2</v>
      </c>
      <c r="CA111" s="569">
        <f t="shared" si="172"/>
        <v>0.2</v>
      </c>
      <c r="CB111" s="569">
        <f t="shared" si="172"/>
        <v>0.2</v>
      </c>
      <c r="CC111" s="571">
        <f t="shared" si="150"/>
        <v>0.2</v>
      </c>
      <c r="CD111" s="571">
        <f t="shared" si="158"/>
        <v>0.2</v>
      </c>
      <c r="CE111" s="571">
        <f t="shared" si="159"/>
        <v>0.2</v>
      </c>
      <c r="CF111" s="571">
        <v>0.2</v>
      </c>
      <c r="CG111" s="571">
        <f t="shared" si="159"/>
        <v>0.2</v>
      </c>
      <c r="CH111" s="571">
        <f>CC111</f>
        <v>0.2</v>
      </c>
      <c r="CI111" s="571">
        <f t="shared" si="160"/>
        <v>0.2</v>
      </c>
      <c r="CJ111" s="571">
        <f t="shared" si="161"/>
        <v>0.2</v>
      </c>
      <c r="CK111" s="571">
        <f t="shared" si="165"/>
        <v>0.2</v>
      </c>
      <c r="CL111" s="571">
        <f t="shared" si="165"/>
        <v>0.2</v>
      </c>
      <c r="CM111" s="571">
        <f>CH111</f>
        <v>0.2</v>
      </c>
      <c r="CN111" s="571">
        <f t="shared" si="163"/>
        <v>0.2</v>
      </c>
      <c r="CO111" s="458">
        <f t="shared" ref="CO111:CQ111" si="174">CN111</f>
        <v>0.2</v>
      </c>
      <c r="CP111" s="458">
        <f t="shared" si="174"/>
        <v>0.2</v>
      </c>
      <c r="CQ111" s="458">
        <f t="shared" si="174"/>
        <v>0.2</v>
      </c>
      <c r="CR111" s="571">
        <f>CM111</f>
        <v>0.2</v>
      </c>
      <c r="CS111" s="571"/>
      <c r="CT111" s="571"/>
      <c r="CU111" s="571"/>
      <c r="CV111" s="571"/>
      <c r="CW111" s="571">
        <f>CR111</f>
        <v>0.2</v>
      </c>
      <c r="CX111" s="571"/>
      <c r="CY111" s="571"/>
      <c r="CZ111" s="571"/>
      <c r="DA111" s="571"/>
      <c r="DB111" s="571">
        <f>CW111</f>
        <v>0.2</v>
      </c>
      <c r="DC111" s="571"/>
      <c r="DD111" s="571"/>
      <c r="DE111" s="571"/>
      <c r="DF111" s="571"/>
      <c r="DG111" s="571">
        <f>DB111</f>
        <v>0.2</v>
      </c>
      <c r="DH111" s="571"/>
      <c r="DI111" s="571"/>
      <c r="DJ111" s="571"/>
      <c r="DK111" s="571"/>
      <c r="DL111" s="571">
        <f>DG111</f>
        <v>0.2</v>
      </c>
      <c r="DM111" s="571"/>
      <c r="DN111" s="571"/>
      <c r="DO111" s="571"/>
      <c r="DP111" s="571"/>
      <c r="DQ111" s="571">
        <f>DL111</f>
        <v>0.2</v>
      </c>
      <c r="DR111" s="571"/>
      <c r="DS111" s="571"/>
      <c r="DT111" s="571"/>
      <c r="DU111" s="571"/>
      <c r="DV111" s="571">
        <f>DQ111</f>
        <v>0.2</v>
      </c>
      <c r="DW111" s="571"/>
      <c r="DX111" s="571"/>
      <c r="DY111" s="571"/>
      <c r="DZ111" s="571"/>
      <c r="EA111" s="571">
        <f>DV111</f>
        <v>0.2</v>
      </c>
      <c r="EB111" s="571"/>
      <c r="EC111" s="571"/>
      <c r="ED111" s="571"/>
      <c r="EE111" s="571"/>
      <c r="EF111" s="571">
        <f>EA111</f>
        <v>0.2</v>
      </c>
      <c r="EG111" s="571"/>
      <c r="EH111" s="571"/>
      <c r="EI111" s="571"/>
      <c r="EJ111" s="571"/>
      <c r="EK111" s="571">
        <f>EF111</f>
        <v>0.2</v>
      </c>
      <c r="EL111" s="571"/>
      <c r="EM111" s="571"/>
      <c r="EN111" s="571"/>
      <c r="EO111" s="571"/>
      <c r="EP111" s="571">
        <f>EK111</f>
        <v>0.2</v>
      </c>
      <c r="EQ111" s="571"/>
      <c r="ER111" s="571"/>
      <c r="ES111" s="571"/>
      <c r="ET111" s="571"/>
      <c r="EU111" s="571">
        <f>EP111</f>
        <v>0.2</v>
      </c>
      <c r="EV111" s="571"/>
      <c r="EW111" s="571"/>
      <c r="EX111" s="571"/>
      <c r="EY111" s="571"/>
      <c r="EZ111" s="571">
        <f>EU111</f>
        <v>0.2</v>
      </c>
    </row>
    <row r="112" spans="2:156">
      <c r="B112" s="377" t="s">
        <v>684</v>
      </c>
      <c r="C112" s="477">
        <f t="shared" ref="C112:K112" si="175">C131/C75</f>
        <v>0.16841176983928927</v>
      </c>
      <c r="D112" s="477">
        <f t="shared" si="175"/>
        <v>0.15358802271553951</v>
      </c>
      <c r="E112" s="477">
        <f t="shared" si="175"/>
        <v>0.15011547344110857</v>
      </c>
      <c r="F112" s="477">
        <f t="shared" si="175"/>
        <v>0.13552341729719378</v>
      </c>
      <c r="G112" s="477">
        <f t="shared" si="175"/>
        <v>0.13559780160374807</v>
      </c>
      <c r="H112" s="477">
        <f t="shared" si="175"/>
        <v>0.13720967228762332</v>
      </c>
      <c r="I112" s="477">
        <f t="shared" si="175"/>
        <v>0.13211515709215196</v>
      </c>
      <c r="J112" s="477">
        <f t="shared" si="175"/>
        <v>0.12741240397226908</v>
      </c>
      <c r="K112" s="477">
        <f t="shared" si="175"/>
        <v>0.12617487895186558</v>
      </c>
      <c r="P112" s="477">
        <f>P131/P75</f>
        <v>0.13824330822247155</v>
      </c>
      <c r="U112" s="477">
        <f>U131/U75</f>
        <v>0.16814091810279091</v>
      </c>
      <c r="Z112" s="477">
        <f>Z131/Z75</f>
        <v>0.17330206078101196</v>
      </c>
      <c r="AE112" s="477">
        <f>AE131/AE75</f>
        <v>0.16927299950091498</v>
      </c>
      <c r="AJ112" s="477">
        <f>AJ131/AJ75</f>
        <v>0.15009380863039401</v>
      </c>
      <c r="AO112" s="477">
        <f>AO131/AO75</f>
        <v>0.15757109915449655</v>
      </c>
      <c r="AT112" s="477">
        <f>AT131/AT75</f>
        <v>0.14931572138625995</v>
      </c>
      <c r="AY112" s="477">
        <f>AY131/AY75</f>
        <v>0.14479827189742875</v>
      </c>
      <c r="BD112" s="477">
        <f>BD131/BD75</f>
        <v>0.15040927694406547</v>
      </c>
      <c r="BI112" s="477">
        <f>BI131/BI75</f>
        <v>0.15331807780320367</v>
      </c>
      <c r="BN112" s="477">
        <f>BN131/BN75</f>
        <v>0.1643728589458501</v>
      </c>
      <c r="BS112" s="477">
        <f t="shared" ref="BS112:CB112" si="176">BS131/BS75</f>
        <v>0.15776165347405452</v>
      </c>
      <c r="BT112" s="477">
        <f t="shared" si="176"/>
        <v>0.15702479338842976</v>
      </c>
      <c r="BU112" s="458">
        <f t="shared" si="176"/>
        <v>0.15942614669630228</v>
      </c>
      <c r="BV112" s="458">
        <f t="shared" si="176"/>
        <v>0.15697194719471946</v>
      </c>
      <c r="BW112" s="458">
        <f t="shared" si="176"/>
        <v>0.15945110166215695</v>
      </c>
      <c r="BX112" s="458">
        <f t="shared" si="176"/>
        <v>0.15827598696124595</v>
      </c>
      <c r="BY112" s="477">
        <f t="shared" si="176"/>
        <v>0.15080016413623307</v>
      </c>
      <c r="BZ112" s="458">
        <f t="shared" si="176"/>
        <v>0.15100478468899522</v>
      </c>
      <c r="CA112" s="458">
        <f t="shared" si="176"/>
        <v>0.13506163886874548</v>
      </c>
      <c r="CB112" s="458">
        <f t="shared" si="176"/>
        <v>0.14336648526928128</v>
      </c>
      <c r="CC112" s="571">
        <f t="shared" si="150"/>
        <v>0.14505826824081378</v>
      </c>
      <c r="CD112" s="571">
        <f t="shared" si="158"/>
        <v>0.13612749977375665</v>
      </c>
      <c r="CE112" s="571">
        <f t="shared" si="159"/>
        <v>0.13612749977375665</v>
      </c>
      <c r="CF112" s="571">
        <f t="shared" si="159"/>
        <v>0.13612749977375665</v>
      </c>
      <c r="CG112" s="571">
        <f t="shared" si="159"/>
        <v>0.13612749977375665</v>
      </c>
      <c r="CH112" s="458">
        <f>CH131/CH75</f>
        <v>0.13612749977375665</v>
      </c>
      <c r="CI112" s="571">
        <f>CI131/CI75</f>
        <v>0.13117907289863434</v>
      </c>
      <c r="CJ112" s="571">
        <f t="shared" ref="CJ112:CQ112" si="177">CJ131/CJ75</f>
        <v>0.12737710800143523</v>
      </c>
      <c r="CK112" s="571">
        <f t="shared" si="177"/>
        <v>0.13478818998716302</v>
      </c>
      <c r="CL112" s="571">
        <f t="shared" si="177"/>
        <v>0.14652540851140242</v>
      </c>
      <c r="CM112" s="458">
        <f>CM131/CM75</f>
        <v>0.13503097040605641</v>
      </c>
      <c r="CN112" s="571">
        <f t="shared" si="177"/>
        <v>0.12689500280741156</v>
      </c>
      <c r="CO112" s="458">
        <f t="shared" si="177"/>
        <v>0.12933554786756565</v>
      </c>
      <c r="CP112" s="458">
        <f t="shared" si="177"/>
        <v>0.13073880042748612</v>
      </c>
      <c r="CQ112" s="458">
        <f t="shared" si="177"/>
        <v>0.13077357873785264</v>
      </c>
      <c r="CR112" s="458">
        <f>CR131/CR75</f>
        <v>0.12944708405875602</v>
      </c>
      <c r="CS112" s="571"/>
      <c r="CT112" s="571"/>
      <c r="CU112" s="571"/>
      <c r="CV112" s="571"/>
      <c r="CW112" s="458">
        <f>CW131/CW75</f>
        <v>0.13204045373196002</v>
      </c>
      <c r="CX112" s="571"/>
      <c r="CY112" s="571"/>
      <c r="CZ112" s="571"/>
      <c r="DA112" s="571"/>
      <c r="DB112" s="458">
        <f>DB131/DB75</f>
        <v>0.13417125983564962</v>
      </c>
      <c r="DC112" s="458"/>
      <c r="DD112" s="458"/>
      <c r="DE112" s="458"/>
      <c r="DF112" s="458"/>
      <c r="DG112" s="458">
        <f>DG131/DG75</f>
        <v>0.13772642841080951</v>
      </c>
      <c r="DH112" s="458"/>
      <c r="DI112" s="458"/>
      <c r="DJ112" s="458"/>
      <c r="DK112" s="458"/>
      <c r="DL112" s="458">
        <f>DL131/DL75</f>
        <v>0.14320447942637071</v>
      </c>
      <c r="DM112" s="458"/>
      <c r="DN112" s="458"/>
      <c r="DO112" s="458"/>
      <c r="DP112" s="458"/>
      <c r="DQ112" s="458">
        <f>DQ131/DQ75</f>
        <v>0.15088035008765852</v>
      </c>
      <c r="DR112" s="458"/>
      <c r="DS112" s="458"/>
      <c r="DT112" s="458"/>
      <c r="DU112" s="458"/>
      <c r="DV112" s="458">
        <f>DV131/DV75</f>
        <v>0.15568691583091404</v>
      </c>
      <c r="DW112" s="458"/>
      <c r="DX112" s="458"/>
      <c r="DY112" s="458"/>
      <c r="DZ112" s="458"/>
      <c r="EA112" s="458">
        <f>EA131/EA75</f>
        <v>0.16229153244740302</v>
      </c>
      <c r="EB112" s="458"/>
      <c r="EC112" s="458"/>
      <c r="ED112" s="458"/>
      <c r="EE112" s="458"/>
      <c r="EF112" s="458">
        <f>EF131/EF75</f>
        <v>0.17020932989900825</v>
      </c>
      <c r="EG112" s="458"/>
      <c r="EH112" s="458"/>
      <c r="EI112" s="458"/>
      <c r="EJ112" s="458"/>
      <c r="EK112" s="458">
        <f>EK131/EK75</f>
        <v>0.17894155362661154</v>
      </c>
      <c r="EL112" s="458"/>
      <c r="EM112" s="458"/>
      <c r="EN112" s="458"/>
      <c r="EO112" s="458"/>
      <c r="EP112" s="458">
        <f>EP131/EP75</f>
        <v>0.18857443454123524</v>
      </c>
      <c r="EQ112" s="458"/>
      <c r="ER112" s="458"/>
      <c r="ES112" s="458"/>
      <c r="ET112" s="458"/>
      <c r="EU112" s="458">
        <f>EU131/EU75</f>
        <v>0.19692515955562984</v>
      </c>
      <c r="EV112" s="458"/>
      <c r="EW112" s="458"/>
      <c r="EX112" s="458"/>
      <c r="EY112" s="458"/>
      <c r="EZ112" s="458">
        <f>EZ131/EZ75</f>
        <v>0.20428984169642664</v>
      </c>
    </row>
    <row r="114" spans="2:157">
      <c r="B114" s="359" t="s">
        <v>685</v>
      </c>
    </row>
    <row r="115" spans="2:157">
      <c r="B115" s="459" t="s">
        <v>205</v>
      </c>
      <c r="J115" s="570">
        <f>J96*J5</f>
        <v>245.36250000000001</v>
      </c>
      <c r="K115" s="570">
        <f>K96*K5</f>
        <v>263.5625</v>
      </c>
      <c r="P115" s="570">
        <f>P96*P5</f>
        <v>282.57499999999999</v>
      </c>
      <c r="U115" s="570">
        <f>U96*U5</f>
        <v>304.39999999999998</v>
      </c>
      <c r="Z115" s="570">
        <f>Z96*Z5</f>
        <v>325.07499999999999</v>
      </c>
      <c r="AE115" s="570">
        <f>AE96*AE5</f>
        <v>306.875</v>
      </c>
      <c r="AJ115" s="570">
        <f>AJ96*AJ5</f>
        <v>276.20999999999998</v>
      </c>
      <c r="AO115" s="570">
        <f>AO96*AO5</f>
        <v>273.79000000000002</v>
      </c>
      <c r="AT115" s="570">
        <f>AT96*AT5</f>
        <v>270.16000000000003</v>
      </c>
      <c r="AY115" s="570">
        <f>AY96*AY5</f>
        <v>282.58999999999997</v>
      </c>
      <c r="AZ115" s="570"/>
      <c r="BA115" s="570"/>
      <c r="BB115" s="570"/>
      <c r="BC115" s="570"/>
      <c r="BD115" s="570">
        <f>BD96*BD5</f>
        <v>277.64</v>
      </c>
      <c r="BE115" s="570"/>
      <c r="BF115" s="570"/>
      <c r="BG115" s="570"/>
      <c r="BH115" s="570"/>
      <c r="BI115" s="570">
        <f>BI96*BI5</f>
        <v>224.4</v>
      </c>
      <c r="BJ115" s="570"/>
      <c r="BK115" s="570"/>
      <c r="BL115" s="570"/>
      <c r="BM115" s="570"/>
      <c r="BN115" s="570">
        <f>BN96*BN5</f>
        <v>213.51</v>
      </c>
      <c r="BO115" s="570"/>
      <c r="BP115" s="570"/>
      <c r="BQ115" s="570"/>
      <c r="BR115" s="570"/>
      <c r="BS115" s="570">
        <f>BS96*BS5</f>
        <v>214.83</v>
      </c>
      <c r="BT115" s="570">
        <f>BT96*BT5</f>
        <v>50.82</v>
      </c>
      <c r="BU115" s="570">
        <f>BU96*BU5</f>
        <v>56.32</v>
      </c>
      <c r="BV115" s="570">
        <f>BV96*BV5</f>
        <v>56.98</v>
      </c>
      <c r="BW115" s="570">
        <f>BW96*BW5</f>
        <v>59.29</v>
      </c>
      <c r="BX115" s="570">
        <f>SUM(BT115:BW115)</f>
        <v>223.41</v>
      </c>
      <c r="BY115" s="570">
        <f>BY96*BY5</f>
        <v>58.74</v>
      </c>
      <c r="BZ115" s="570">
        <f>BZ96*BZ5</f>
        <v>54.01</v>
      </c>
      <c r="CA115" s="570">
        <f>CA96*CA5</f>
        <v>53.79</v>
      </c>
      <c r="CB115" s="570">
        <f>CB96*CB5</f>
        <v>37.619999999999997</v>
      </c>
      <c r="CC115" s="570">
        <f>SUM(BY115:CB115)</f>
        <v>204.16</v>
      </c>
      <c r="CD115" s="570">
        <f>CD96*CD5</f>
        <v>33</v>
      </c>
      <c r="CE115" s="570">
        <f>CE96*CE5</f>
        <v>36.410000000000004</v>
      </c>
      <c r="CF115" s="570">
        <f>CF96*CF5</f>
        <v>36.85</v>
      </c>
      <c r="CG115" s="570">
        <f>CH115-SUM(CD115:CF115)</f>
        <v>34.760000000000019</v>
      </c>
      <c r="CH115" s="570">
        <f t="shared" ref="CH115:CM115" si="178">CH96*CH5</f>
        <v>141.02000000000001</v>
      </c>
      <c r="CI115" s="570">
        <f t="shared" si="178"/>
        <v>29.7</v>
      </c>
      <c r="CJ115" s="570">
        <f t="shared" si="178"/>
        <v>32.119999999999997</v>
      </c>
      <c r="CK115" s="570">
        <f t="shared" si="178"/>
        <v>29.04</v>
      </c>
      <c r="CL115" s="570">
        <f t="shared" si="178"/>
        <v>29.7</v>
      </c>
      <c r="CM115" s="570">
        <f t="shared" si="178"/>
        <v>120.56</v>
      </c>
      <c r="CN115" s="570">
        <f t="shared" ref="CN115:CQ115" si="179">CN96*CN5</f>
        <v>21.96</v>
      </c>
      <c r="CO115" s="570">
        <f t="shared" si="179"/>
        <v>21.566264756792101</v>
      </c>
      <c r="CP115" s="570">
        <f t="shared" si="179"/>
        <v>21.720754210399544</v>
      </c>
      <c r="CQ115" s="570">
        <f t="shared" si="179"/>
        <v>23.867341313793297</v>
      </c>
      <c r="CR115" s="570">
        <f>CR96*CR5</f>
        <v>89.114360280984954</v>
      </c>
      <c r="CS115" s="570"/>
      <c r="CT115" s="570"/>
      <c r="CU115" s="570"/>
      <c r="CV115" s="570"/>
      <c r="CW115" s="570">
        <f>CW96*CW5</f>
        <v>86.667348544089265</v>
      </c>
      <c r="CX115" s="570"/>
      <c r="CY115" s="570"/>
      <c r="CZ115" s="570"/>
      <c r="DA115" s="570"/>
      <c r="DB115" s="570">
        <f>DB96*DB5</f>
        <v>81.48760833087627</v>
      </c>
      <c r="DC115" s="570"/>
      <c r="DD115" s="570"/>
      <c r="DE115" s="570"/>
      <c r="DF115" s="570"/>
      <c r="DG115" s="570">
        <f>DG96*DG5</f>
        <v>74.430632391541991</v>
      </c>
      <c r="DH115" s="570"/>
      <c r="DI115" s="570"/>
      <c r="DJ115" s="570"/>
      <c r="DK115" s="570"/>
      <c r="DL115" s="570">
        <f>DL96*DL5</f>
        <v>71.916907307496942</v>
      </c>
      <c r="DM115" s="570"/>
      <c r="DN115" s="570"/>
      <c r="DO115" s="570"/>
      <c r="DP115" s="570"/>
      <c r="DQ115" s="570">
        <f>DQ96*DQ5</f>
        <v>69.130712011391168</v>
      </c>
      <c r="DR115" s="570"/>
      <c r="DS115" s="570"/>
      <c r="DT115" s="570"/>
      <c r="DU115" s="570"/>
      <c r="DV115" s="570">
        <f>DV96*DV5</f>
        <v>66.656786394651533</v>
      </c>
      <c r="DW115" s="570"/>
      <c r="DX115" s="570"/>
      <c r="DY115" s="570"/>
      <c r="DZ115" s="570"/>
      <c r="EA115" s="570">
        <f>EA96*EA5</f>
        <v>64.751643497776371</v>
      </c>
      <c r="EB115" s="570"/>
      <c r="EC115" s="570"/>
      <c r="ED115" s="570"/>
      <c r="EE115" s="570"/>
      <c r="EF115" s="570">
        <f>EF96*EF5</f>
        <v>63.8539967995928</v>
      </c>
      <c r="EG115" s="570"/>
      <c r="EH115" s="570"/>
      <c r="EI115" s="570"/>
      <c r="EJ115" s="570"/>
      <c r="EK115" s="570">
        <f>EK96*EK5</f>
        <v>63.446849791698561</v>
      </c>
      <c r="EL115" s="570"/>
      <c r="EM115" s="570"/>
      <c r="EN115" s="570"/>
      <c r="EO115" s="570"/>
      <c r="EP115" s="570">
        <f>EP96*EP5</f>
        <v>63.159584657258733</v>
      </c>
      <c r="EQ115" s="570"/>
      <c r="ER115" s="570"/>
      <c r="ES115" s="570"/>
      <c r="ET115" s="570"/>
      <c r="EU115" s="570">
        <f>EU96*EU5</f>
        <v>62.868464416859098</v>
      </c>
      <c r="EV115" s="570"/>
      <c r="EW115" s="570"/>
      <c r="EX115" s="570"/>
      <c r="EY115" s="570"/>
      <c r="EZ115" s="570">
        <f>EZ96*EZ5</f>
        <v>62.577468147177747</v>
      </c>
    </row>
    <row r="116" spans="2:157">
      <c r="B116" s="459" t="s">
        <v>123</v>
      </c>
      <c r="K116" s="570">
        <f>K131-K117-K115-K130</f>
        <v>1.4855000000000174</v>
      </c>
      <c r="P116" s="570">
        <f>P131-P117-P115-P118-P119-P130</f>
        <v>54.90199999999998</v>
      </c>
      <c r="U116" s="570">
        <f>U131-U117-U115-U118-U119-U130</f>
        <v>201.56600000000003</v>
      </c>
      <c r="Z116" s="570">
        <f>Z131-Z117-Z115-Z118-Z119-Z130-Z120</f>
        <v>327.1339999999999</v>
      </c>
      <c r="AE116" s="570">
        <f>AE131-AE117-AE115-AE118-AE119-AE130-AE120</f>
        <v>432.315</v>
      </c>
      <c r="AJ116" s="570">
        <f>AJ131-AJ117-AJ115-AJ118-AJ119-AJ130-AJ120-AJ122</f>
        <v>483.39999999999981</v>
      </c>
      <c r="AO116" s="570">
        <f>AO131-AO117-AO115-AO118-AO119-AO130-AO120-AO122</f>
        <v>475.29999999999978</v>
      </c>
      <c r="AT116" s="570">
        <f>AT131-AT117-AT115-AT118-AT119-AT130-AT120-AT122-AT125</f>
        <v>373.35999999999984</v>
      </c>
      <c r="AY116" s="570">
        <f>AY131-AY117-AY115-AY118-AY119-AY130-AY120-AY122-AY125</f>
        <v>308.05999999999995</v>
      </c>
      <c r="AZ116" s="570"/>
      <c r="BA116" s="570"/>
      <c r="BB116" s="570"/>
      <c r="BC116" s="570"/>
      <c r="BD116" s="570">
        <f>BD131-BD117-BD115-BD118-BD119-BD130-BD120-BD122-BD125-BD123-BD124</f>
        <v>297.85999999999996</v>
      </c>
      <c r="BE116" s="570"/>
      <c r="BF116" s="570"/>
      <c r="BG116" s="570"/>
      <c r="BH116" s="570"/>
      <c r="BI116" s="570">
        <f>BI131-BI117-BI115-BI118-BI119-BI130-BI120-BI122-BI125-BI123-BI124</f>
        <v>274.05500000000001</v>
      </c>
      <c r="BJ116" s="570"/>
      <c r="BK116" s="570"/>
      <c r="BL116" s="570"/>
      <c r="BM116" s="570"/>
      <c r="BN116" s="570">
        <f>BN131-BN117-BN115-BN118-BN119-BN130-BN120-BN122-BN125-BN123-BN124</f>
        <v>243.46999999999986</v>
      </c>
      <c r="BO116" s="570"/>
      <c r="BP116" s="570"/>
      <c r="BQ116" s="570"/>
      <c r="BR116" s="570"/>
      <c r="BS116" s="570">
        <f>BS131-BS117-BS115-BS118-BS119-BS130-BS120-BS122-BS125-BS123-BS124-BS127</f>
        <v>226.60499999999985</v>
      </c>
      <c r="BT116" s="570">
        <f>BT131-BT117-BT115-BT118-BT119-BT130-BT120-BT122-BT125-BT123-BT124-BT127</f>
        <v>54.170000000000016</v>
      </c>
      <c r="BU116" s="570">
        <f>BU131-BU117-BU115-BU118-BU119-BU130-BU120-BU122-BU125-BU123-BU124-BU127</f>
        <v>68.154999999999959</v>
      </c>
      <c r="BV116" s="659">
        <f>BV131-BV117-BV115-BV118-BV119-BV130-BV120-BV122-BV125-BV123-BV124-BV127</f>
        <v>51.369999999999976</v>
      </c>
      <c r="BW116" s="659">
        <f>BW131-BW117-BW115-BW118-BW119-BW130-BW120-BW122-BW125-BW123-BW124-BW127</f>
        <v>60.085000000000029</v>
      </c>
      <c r="BX116" s="570">
        <f>SUM(BT116:BW116)</f>
        <v>233.77999999999997</v>
      </c>
      <c r="BY116" s="659">
        <f>BY131-BY117-BY115-BY118-BY119-BY130-BY120-BY122-BY125-BY123-BY124-BY127-BY128</f>
        <v>55.319999999999979</v>
      </c>
      <c r="BZ116" s="659">
        <f>BZ131-BZ117-BZ115-BZ118-BZ119-BZ130-BZ120-BZ122-BZ125-BZ123-BZ124-BZ127-BZ128</f>
        <v>51.51999999999996</v>
      </c>
      <c r="CA116" s="659">
        <f>CA131-CA117-CA115-CA118-CA119-CA130-CA120-CA122-CA125-CA123-CA124-CA127-CA128-CA126-CA129</f>
        <v>40.86999999999999</v>
      </c>
      <c r="CB116" s="659">
        <f>CB131-CB117-CB115-CB118-CB119-CB130-CB120-CB122-CB125-CB123-CB124-CB127-CB128-CB126-CB129</f>
        <v>58.649999999999949</v>
      </c>
      <c r="CC116" s="570">
        <f>SUM(BY116:CB116)</f>
        <v>206.35999999999987</v>
      </c>
      <c r="CD116" s="659">
        <f>CD131-CD117-CD115-CD118-CD119-CD130-CD120-CD122-CD125-CD123-CD124-CD127-CD128-CD126-CD129</f>
        <v>28.411499999999975</v>
      </c>
      <c r="CE116" s="659">
        <f>CE131-CE117-CE115-CE118-CE119-CE130-CE120-CE122-CE125-CE123-CE124-CE127-CE128-CE126-CE129</f>
        <v>25.447499999999966</v>
      </c>
      <c r="CF116" s="659">
        <f>CF131-CF117-CF115-CF118-CF119-CF130-CF120-CF122-CF125-CF123-CF124-CF127-CF128-CF126-CF129</f>
        <v>23.552499999999963</v>
      </c>
      <c r="CG116" s="570">
        <f>CG97*CG7</f>
        <v>23.330725047080943</v>
      </c>
      <c r="CH116" s="570">
        <f>SUM(CD116:CG116)</f>
        <v>100.74222504708085</v>
      </c>
      <c r="CI116" s="659">
        <f>CI131-CI117-CI115-CI118-CI119-CI130-CI120-CI122-CI125-CI123-CI124-CI127-CI128-CI126-CI129</f>
        <v>9.6050466890192148</v>
      </c>
      <c r="CJ116" s="659">
        <f>CJ131-CJ117-CJ115-CJ118-CJ119-CJ130-CJ120-CJ122-CJ125-CJ123-CJ124-CJ127-CJ128-CJ126-CJ129</f>
        <v>-6.9846871751886148</v>
      </c>
      <c r="CK116" s="659">
        <f>CK131-CK117-CK115-CK118-CK119-CK130-CK120-CK122-CK125-CK123-CK124-CK127-CK128-CK126-CK129</f>
        <v>30.240955238893591</v>
      </c>
      <c r="CL116" s="659">
        <f>CL131-CL117-CL115-CL118-CL119-CL130-CL120-CL122-CL125-CL123-CL124-CL127-CL128-CL126-CL129</f>
        <v>6.2557217937971075</v>
      </c>
      <c r="CM116" s="570">
        <f>SUM(CI116:CL116)</f>
        <v>39.117036546521298</v>
      </c>
      <c r="CN116" s="659">
        <f>CN131-CN117-CN115-CN118-CN119-CN130-CN120-CN122-CN125-CN123-CN124-CN127-CN128-CN126-CN129-CN121</f>
        <v>11.639909052807873</v>
      </c>
      <c r="CO116" s="570">
        <f t="shared" ref="CO116:CQ116" si="180">CO97*CO7</f>
        <v>12.124246197946169</v>
      </c>
      <c r="CP116" s="570">
        <f t="shared" si="180"/>
        <v>12.189195494066231</v>
      </c>
      <c r="CQ116" s="570">
        <f t="shared" si="180"/>
        <v>13.358590832910336</v>
      </c>
      <c r="CR116" s="570">
        <f>SUM(CN116:CQ116)</f>
        <v>49.311941577730614</v>
      </c>
      <c r="CS116" s="570"/>
      <c r="CT116" s="570"/>
      <c r="CU116" s="570"/>
      <c r="CV116" s="570"/>
      <c r="CW116" s="570">
        <f>CW97*CW7</f>
        <v>43.006786691396968</v>
      </c>
      <c r="CX116" s="570"/>
      <c r="CY116" s="570"/>
      <c r="CZ116" s="570"/>
      <c r="DA116" s="570"/>
      <c r="DB116" s="570">
        <f>DB97*DB7</f>
        <v>41.329713766939854</v>
      </c>
      <c r="DC116" s="570"/>
      <c r="DD116" s="570"/>
      <c r="DE116" s="570"/>
      <c r="DF116" s="570"/>
      <c r="DG116" s="570">
        <f>DG97*DG7</f>
        <v>38.126548970316215</v>
      </c>
      <c r="DH116" s="570"/>
      <c r="DI116" s="570"/>
      <c r="DJ116" s="570"/>
      <c r="DK116" s="570"/>
      <c r="DL116" s="570">
        <f>DL97*DL7</f>
        <v>36.515456998280655</v>
      </c>
      <c r="DM116" s="570"/>
      <c r="DN116" s="570"/>
      <c r="DO116" s="570"/>
      <c r="DP116" s="570"/>
      <c r="DQ116" s="570">
        <f>DQ97*DQ7</f>
        <v>35.321854747918408</v>
      </c>
      <c r="DR116" s="570"/>
      <c r="DS116" s="570"/>
      <c r="DT116" s="570"/>
      <c r="DU116" s="570"/>
      <c r="DV116" s="570">
        <f>DV97*DV7</f>
        <v>33.34781727869666</v>
      </c>
      <c r="DW116" s="570"/>
      <c r="DX116" s="570"/>
      <c r="DY116" s="570"/>
      <c r="DZ116" s="570"/>
      <c r="EA116" s="570">
        <f>EA97*EA7</f>
        <v>27.015418388240594</v>
      </c>
      <c r="EB116" s="570"/>
      <c r="EC116" s="570"/>
      <c r="ED116" s="570"/>
      <c r="EE116" s="570"/>
      <c r="EF116" s="570">
        <f>EF97*EF7</f>
        <v>18.724837107235512</v>
      </c>
      <c r="EG116" s="570"/>
      <c r="EH116" s="570"/>
      <c r="EI116" s="570"/>
      <c r="EJ116" s="570"/>
      <c r="EK116" s="570">
        <f>EK97*EK7</f>
        <v>15.045319797142664</v>
      </c>
      <c r="EL116" s="570"/>
      <c r="EM116" s="570"/>
      <c r="EN116" s="570"/>
      <c r="EO116" s="570"/>
      <c r="EP116" s="570">
        <f>EP97*EP7</f>
        <v>14.903954544551224</v>
      </c>
      <c r="EQ116" s="570"/>
      <c r="ER116" s="570"/>
      <c r="ES116" s="570"/>
      <c r="ET116" s="570"/>
      <c r="EU116" s="570">
        <f>EU97*EU7</f>
        <v>14.750191951271944</v>
      </c>
      <c r="EV116" s="570"/>
      <c r="EW116" s="570"/>
      <c r="EX116" s="570"/>
      <c r="EY116" s="570"/>
      <c r="EZ116" s="570">
        <f>EZ97*EZ7</f>
        <v>14.585235570021798</v>
      </c>
    </row>
    <row r="117" spans="2:157">
      <c r="B117" s="459" t="s">
        <v>121</v>
      </c>
      <c r="J117" s="572">
        <f>J131-J115-J130</f>
        <v>159.51749999999998</v>
      </c>
      <c r="K117" s="570">
        <f>K98*K11</f>
        <v>175.03199999999998</v>
      </c>
      <c r="P117" s="570">
        <f>P98*P11</f>
        <v>179.34800000000001</v>
      </c>
      <c r="U117" s="570">
        <f>U98*U11</f>
        <v>164.684</v>
      </c>
      <c r="Z117" s="570">
        <f>Z98*Z11</f>
        <v>152.77599999999998</v>
      </c>
      <c r="AE117" s="570">
        <f>AE98*AE11</f>
        <v>158.08000000000001</v>
      </c>
      <c r="AJ117" s="570">
        <f>AJ98*AJ11</f>
        <v>157.69</v>
      </c>
      <c r="AO117" s="570">
        <f>AO98*AO11</f>
        <v>166.01000000000002</v>
      </c>
      <c r="AT117" s="570">
        <f>AT98*AT11</f>
        <v>160.91999999999999</v>
      </c>
      <c r="AY117" s="570">
        <f>AY98*AY11</f>
        <v>154.56</v>
      </c>
      <c r="AZ117" s="570"/>
      <c r="BA117" s="570"/>
      <c r="BB117" s="570"/>
      <c r="BC117" s="570"/>
      <c r="BD117" s="570">
        <f>BD98*BD11</f>
        <v>154.32</v>
      </c>
      <c r="BE117" s="570"/>
      <c r="BF117" s="570"/>
      <c r="BG117" s="570"/>
      <c r="BH117" s="570"/>
      <c r="BI117" s="570">
        <f>BI98*BI11</f>
        <v>151.19999999999999</v>
      </c>
      <c r="BJ117" s="570"/>
      <c r="BK117" s="570"/>
      <c r="BL117" s="570"/>
      <c r="BM117" s="570"/>
      <c r="BN117" s="570">
        <f>BN98*BN11</f>
        <v>151.19999999999999</v>
      </c>
      <c r="BO117" s="570"/>
      <c r="BP117" s="570"/>
      <c r="BQ117" s="570"/>
      <c r="BR117" s="570"/>
      <c r="BS117" s="570">
        <f>BS98*BS11</f>
        <v>167.76</v>
      </c>
      <c r="BT117" s="570">
        <f>BT98*BT11</f>
        <v>34.68</v>
      </c>
      <c r="BU117" s="570">
        <f>BU98*BU11</f>
        <v>35.519999999999996</v>
      </c>
      <c r="BV117" s="570">
        <f>BV98*BV11</f>
        <v>36</v>
      </c>
      <c r="BW117" s="570">
        <f>BW98*BW11</f>
        <v>32.879999999999995</v>
      </c>
      <c r="BX117" s="570">
        <f t="shared" ref="BX117:BX127" si="181">SUM(BT117:BW117)</f>
        <v>139.07999999999998</v>
      </c>
      <c r="BY117" s="570">
        <f>BY98*BY11</f>
        <v>29.52</v>
      </c>
      <c r="BZ117" s="570">
        <f>BZ98*BZ11</f>
        <v>30.72</v>
      </c>
      <c r="CA117" s="570">
        <f>CA98*CA11</f>
        <v>34.08</v>
      </c>
      <c r="CB117" s="570">
        <f>CB98*CB11</f>
        <v>34.19</v>
      </c>
      <c r="CC117" s="570">
        <f>SUM(BY117:CB117)</f>
        <v>128.51</v>
      </c>
      <c r="CD117" s="570">
        <f>CD98*CD11</f>
        <v>26.092500000000001</v>
      </c>
      <c r="CE117" s="570">
        <f>CE98*CE11</f>
        <v>24.009999999999998</v>
      </c>
      <c r="CF117" s="570">
        <f>CF98*CF11</f>
        <v>22.4175</v>
      </c>
      <c r="CG117" s="570">
        <f t="shared" ref="CG117:CG130" si="182">CH117-SUM(CD117:CF117)</f>
        <v>21.192499999999995</v>
      </c>
      <c r="CH117" s="570">
        <f t="shared" ref="CH117:CM117" si="183">CH98*CH11</f>
        <v>93.712499999999991</v>
      </c>
      <c r="CI117" s="570">
        <f t="shared" si="183"/>
        <v>18.13</v>
      </c>
      <c r="CJ117" s="570">
        <f t="shared" si="183"/>
        <v>16.782499999999999</v>
      </c>
      <c r="CK117" s="570">
        <f t="shared" si="183"/>
        <v>16.905000000000001</v>
      </c>
      <c r="CL117" s="570">
        <f t="shared" si="183"/>
        <v>15.435</v>
      </c>
      <c r="CM117" s="570">
        <f t="shared" si="183"/>
        <v>67.252499999999998</v>
      </c>
      <c r="CN117" s="570">
        <f t="shared" ref="CN117:CQ117" si="184">CN98*CN11</f>
        <v>10.815</v>
      </c>
      <c r="CO117" s="570">
        <f t="shared" si="184"/>
        <v>10.371531877826992</v>
      </c>
      <c r="CP117" s="570">
        <f t="shared" si="184"/>
        <v>9.422481827521727</v>
      </c>
      <c r="CQ117" s="570">
        <f t="shared" si="184"/>
        <v>8.2338522925545572</v>
      </c>
      <c r="CR117" s="570">
        <f>CR98*CR11</f>
        <v>38.842865997903274</v>
      </c>
      <c r="CS117" s="570"/>
      <c r="CT117" s="570"/>
      <c r="CU117" s="570"/>
      <c r="CV117" s="570"/>
      <c r="CW117" s="570">
        <f>CW98*CW11</f>
        <v>27.90776576731685</v>
      </c>
      <c r="CX117" s="570"/>
      <c r="CY117" s="570"/>
      <c r="CZ117" s="570"/>
      <c r="DA117" s="570"/>
      <c r="DB117" s="570">
        <f>DB98*DB11</f>
        <v>23.997156711160635</v>
      </c>
      <c r="DC117" s="570"/>
      <c r="DD117" s="570"/>
      <c r="DE117" s="570"/>
      <c r="DF117" s="570"/>
      <c r="DG117" s="570">
        <f>DG98*DG11</f>
        <v>21.394793739402321</v>
      </c>
      <c r="DH117" s="570"/>
      <c r="DI117" s="570"/>
      <c r="DJ117" s="570"/>
      <c r="DK117" s="570"/>
      <c r="DL117" s="570">
        <f>DL98*DL11</f>
        <v>18.907857840578714</v>
      </c>
      <c r="DM117" s="570"/>
      <c r="DN117" s="570"/>
      <c r="DO117" s="570"/>
      <c r="DP117" s="570"/>
      <c r="DQ117" s="570">
        <f>DQ98*DQ11</f>
        <v>16.62850994985067</v>
      </c>
      <c r="DR117" s="570"/>
      <c r="DS117" s="570"/>
      <c r="DT117" s="570"/>
      <c r="DU117" s="570"/>
      <c r="DV117" s="570">
        <f>DV98*DV11</f>
        <v>14.769103803102022</v>
      </c>
      <c r="DW117" s="570"/>
      <c r="DX117" s="570"/>
      <c r="DY117" s="570"/>
      <c r="DZ117" s="570"/>
      <c r="EA117" s="570">
        <f>EA98*EA11</f>
        <v>13.286561017848074</v>
      </c>
      <c r="EB117" s="570"/>
      <c r="EC117" s="570"/>
      <c r="ED117" s="570"/>
      <c r="EE117" s="570"/>
      <c r="EF117" s="570">
        <f>EF98*EF11</f>
        <v>12.318739589302371</v>
      </c>
      <c r="EG117" s="570"/>
      <c r="EH117" s="570"/>
      <c r="EI117" s="570"/>
      <c r="EJ117" s="570"/>
      <c r="EK117" s="570">
        <f>EK98*EK11</f>
        <v>11.369888188147177</v>
      </c>
      <c r="EL117" s="570"/>
      <c r="EM117" s="570"/>
      <c r="EN117" s="570"/>
      <c r="EO117" s="570"/>
      <c r="EP117" s="570">
        <f>EP98*EP11</f>
        <v>10.341204166411668</v>
      </c>
      <c r="EQ117" s="570"/>
      <c r="ER117" s="570"/>
      <c r="ES117" s="570"/>
      <c r="ET117" s="570"/>
      <c r="EU117" s="570">
        <f>EU98*EU11</f>
        <v>9.4028671268781565</v>
      </c>
      <c r="EV117" s="570"/>
      <c r="EW117" s="570"/>
      <c r="EX117" s="570"/>
      <c r="EY117" s="570"/>
      <c r="EZ117" s="570">
        <f>EZ98*EZ11</f>
        <v>8.5471113698386088</v>
      </c>
    </row>
    <row r="118" spans="2:157">
      <c r="B118" s="459" t="s">
        <v>122</v>
      </c>
      <c r="P118" s="359">
        <f>P99*P15</f>
        <v>78.795000000000002</v>
      </c>
      <c r="U118" s="359">
        <f>U99*U15</f>
        <v>313.85000000000002</v>
      </c>
      <c r="Z118" s="359">
        <f>Z99*Z15</f>
        <v>434.9</v>
      </c>
      <c r="AE118" s="359">
        <f>AE99*AE15</f>
        <v>526.24</v>
      </c>
      <c r="AJ118" s="359">
        <f>AJ99*AJ15</f>
        <v>542</v>
      </c>
      <c r="AO118" s="359">
        <f>AO99*AO15</f>
        <v>600</v>
      </c>
      <c r="AT118" s="359">
        <f>AT99*AT15</f>
        <v>597.24</v>
      </c>
      <c r="AY118" s="570">
        <f>AY99*AY15</f>
        <v>570.35</v>
      </c>
      <c r="AZ118" s="570"/>
      <c r="BA118" s="570"/>
      <c r="BB118" s="570"/>
      <c r="BC118" s="570"/>
      <c r="BD118" s="570">
        <f>BD99*BD15</f>
        <v>640.43999999999994</v>
      </c>
      <c r="BE118" s="570"/>
      <c r="BF118" s="570"/>
      <c r="BG118" s="570"/>
      <c r="BH118" s="570"/>
      <c r="BI118" s="570">
        <f>BI99*BI15</f>
        <v>711.36</v>
      </c>
      <c r="BJ118" s="570"/>
      <c r="BK118" s="570"/>
      <c r="BL118" s="570"/>
      <c r="BM118" s="570"/>
      <c r="BN118" s="570">
        <f>BN99*BN15</f>
        <v>818.40000000000009</v>
      </c>
      <c r="BO118" s="570"/>
      <c r="BP118" s="570"/>
      <c r="BQ118" s="570"/>
      <c r="BR118" s="570"/>
      <c r="BS118" s="570">
        <f>BS99*BS15</f>
        <v>790.56</v>
      </c>
      <c r="BT118" s="570">
        <f>BT99*BT15</f>
        <v>196.2</v>
      </c>
      <c r="BU118" s="570">
        <f>BU99*BU15</f>
        <v>203.94</v>
      </c>
      <c r="BV118" s="570">
        <f>BV99*BV15</f>
        <v>214.73999999999998</v>
      </c>
      <c r="BW118" s="570">
        <f>BW99*BW15</f>
        <v>212.4</v>
      </c>
      <c r="BX118" s="570">
        <f t="shared" si="181"/>
        <v>827.28</v>
      </c>
      <c r="BY118" s="570">
        <f>BY99*BY15</f>
        <v>226.8</v>
      </c>
      <c r="BZ118" s="570">
        <f>BZ99*BZ15</f>
        <v>231.60000000000002</v>
      </c>
      <c r="CA118" s="570">
        <f>CA99*CA15</f>
        <v>215.39000000000001</v>
      </c>
      <c r="CB118" s="570">
        <f>CB99*CB15</f>
        <v>208.07999999999998</v>
      </c>
      <c r="CC118" s="570">
        <f t="shared" ref="CC118:CC130" si="185">SUM(BY118:CB118)</f>
        <v>881.87000000000012</v>
      </c>
      <c r="CD118" s="570">
        <f>CD99*CD15</f>
        <v>201.11</v>
      </c>
      <c r="CE118" s="570">
        <f>CE99*CE15</f>
        <v>195.33</v>
      </c>
      <c r="CF118" s="570">
        <f>CF99*CF15</f>
        <v>204.00000000000003</v>
      </c>
      <c r="CG118" s="570">
        <f t="shared" si="182"/>
        <v>257.11599999999999</v>
      </c>
      <c r="CH118" s="570">
        <f t="shared" ref="CH118:CM118" si="186">CH99*CH15</f>
        <v>857.55600000000004</v>
      </c>
      <c r="CI118" s="570">
        <f t="shared" si="186"/>
        <v>219.61499999999998</v>
      </c>
      <c r="CJ118" s="570">
        <f t="shared" si="186"/>
        <v>197.29049999999998</v>
      </c>
      <c r="CK118" s="570">
        <f t="shared" si="186"/>
        <v>203.8245</v>
      </c>
      <c r="CL118" s="570">
        <f t="shared" si="186"/>
        <v>202.191</v>
      </c>
      <c r="CM118" s="570">
        <f t="shared" si="186"/>
        <v>822.92099999999994</v>
      </c>
      <c r="CN118" s="570">
        <f t="shared" ref="CN118:CQ118" si="187">CN99*CN15</f>
        <v>200.97</v>
      </c>
      <c r="CO118" s="570">
        <f t="shared" si="187"/>
        <v>189.00231292804077</v>
      </c>
      <c r="CP118" s="570">
        <f t="shared" si="187"/>
        <v>181.49745355498879</v>
      </c>
      <c r="CQ118" s="570">
        <f t="shared" si="187"/>
        <v>165.17109259841567</v>
      </c>
      <c r="CR118" s="570">
        <f>CR99*CR15</f>
        <v>736.64085908144534</v>
      </c>
      <c r="CS118" s="570"/>
      <c r="CT118" s="570"/>
      <c r="CU118" s="570"/>
      <c r="CV118" s="570"/>
      <c r="CW118" s="570">
        <f>CW99*CW15</f>
        <v>639.60489417787539</v>
      </c>
      <c r="CX118" s="570"/>
      <c r="CY118" s="570"/>
      <c r="CZ118" s="570"/>
      <c r="DA118" s="570"/>
      <c r="DB118" s="570">
        <f>DB99*DB15</f>
        <v>546.78164697974466</v>
      </c>
      <c r="DC118" s="570"/>
      <c r="DD118" s="570"/>
      <c r="DE118" s="570"/>
      <c r="DF118" s="570"/>
      <c r="DG118" s="570">
        <f>DG99*DG15</f>
        <v>452.71790085349539</v>
      </c>
      <c r="DH118" s="570"/>
      <c r="DI118" s="570"/>
      <c r="DJ118" s="570"/>
      <c r="DK118" s="570"/>
      <c r="DL118" s="570">
        <f>DL99*DL15</f>
        <v>376.92113090785813</v>
      </c>
      <c r="DM118" s="570"/>
      <c r="DN118" s="570"/>
      <c r="DO118" s="570"/>
      <c r="DP118" s="570"/>
      <c r="DQ118" s="570">
        <f>DQ99*DQ15</f>
        <v>327.69066803979587</v>
      </c>
      <c r="DR118" s="570"/>
      <c r="DS118" s="570"/>
      <c r="DT118" s="570"/>
      <c r="DU118" s="570"/>
      <c r="DV118" s="570">
        <f>DV99*DV15</f>
        <v>303.27939039698174</v>
      </c>
      <c r="DW118" s="570"/>
      <c r="DX118" s="570"/>
      <c r="DY118" s="570"/>
      <c r="DZ118" s="570"/>
      <c r="EA118" s="570">
        <f>EA99*EA15</f>
        <v>282.86129667203289</v>
      </c>
      <c r="EB118" s="570"/>
      <c r="EC118" s="570"/>
      <c r="ED118" s="570"/>
      <c r="EE118" s="570"/>
      <c r="EF118" s="570">
        <f>EF99*EF15</f>
        <v>268.64206150578309</v>
      </c>
      <c r="EG118" s="570"/>
      <c r="EH118" s="570"/>
      <c r="EI118" s="570"/>
      <c r="EJ118" s="570"/>
      <c r="EK118" s="570">
        <f>EK99*EK15</f>
        <v>255.23838037660715</v>
      </c>
      <c r="EL118" s="570"/>
      <c r="EM118" s="570"/>
      <c r="EN118" s="570"/>
      <c r="EO118" s="570"/>
      <c r="EP118" s="570">
        <f>EP99*EP15</f>
        <v>242.61622846999475</v>
      </c>
      <c r="EQ118" s="570"/>
      <c r="ER118" s="570"/>
      <c r="ES118" s="570"/>
      <c r="ET118" s="570"/>
      <c r="EU118" s="570">
        <f>EU99*EU15</f>
        <v>230.74275540628949</v>
      </c>
      <c r="EV118" s="570"/>
      <c r="EW118" s="570"/>
      <c r="EX118" s="570"/>
      <c r="EY118" s="570"/>
      <c r="EZ118" s="570">
        <f>EZ99*EZ15</f>
        <v>219.5862491223742</v>
      </c>
    </row>
    <row r="119" spans="2:157">
      <c r="B119" s="459" t="s">
        <v>235</v>
      </c>
      <c r="P119" s="359">
        <f>P100*P19</f>
        <v>72.42</v>
      </c>
      <c r="U119" s="359">
        <f>U100*U19</f>
        <v>325</v>
      </c>
      <c r="Z119" s="359">
        <f>Z100*Z19</f>
        <v>475.07499999999999</v>
      </c>
      <c r="AE119" s="359">
        <f>AE100*AE19</f>
        <v>591.79000000000008</v>
      </c>
      <c r="AJ119" s="359">
        <f>AJ100*AJ19</f>
        <v>575.80000000000007</v>
      </c>
      <c r="AO119" s="359">
        <f>AO100*AO19</f>
        <v>646</v>
      </c>
      <c r="AT119" s="359">
        <f>AT100*AT19</f>
        <v>683.62</v>
      </c>
      <c r="AY119" s="570">
        <f>AY100*AY19</f>
        <v>628.74</v>
      </c>
      <c r="AZ119" s="570"/>
      <c r="BA119" s="570"/>
      <c r="BB119" s="570"/>
      <c r="BC119" s="570"/>
      <c r="BD119" s="570">
        <f>BD100*BD19</f>
        <v>653.79</v>
      </c>
      <c r="BE119" s="570"/>
      <c r="BF119" s="570"/>
      <c r="BG119" s="570"/>
      <c r="BH119" s="570"/>
      <c r="BI119" s="570">
        <f>BI100*BI19</f>
        <v>684.68499999999995</v>
      </c>
      <c r="BJ119" s="570"/>
      <c r="BK119" s="570"/>
      <c r="BL119" s="570"/>
      <c r="BM119" s="570"/>
      <c r="BN119" s="570">
        <f>BN100*BN19</f>
        <v>826.02</v>
      </c>
      <c r="BO119" s="570"/>
      <c r="BP119" s="570"/>
      <c r="BQ119" s="570"/>
      <c r="BR119" s="570"/>
      <c r="BS119" s="570">
        <f>BS100*BS19</f>
        <v>841.93499999999995</v>
      </c>
      <c r="BT119" s="570">
        <f>BT100*BT19</f>
        <v>182.78</v>
      </c>
      <c r="BU119" s="570">
        <f>BU100*BU19</f>
        <v>229.95499999999998</v>
      </c>
      <c r="BV119" s="570">
        <f>BV100*BV19</f>
        <v>207.2</v>
      </c>
      <c r="BW119" s="570">
        <f>BW100*BW19</f>
        <v>247.345</v>
      </c>
      <c r="BX119" s="570">
        <f t="shared" si="181"/>
        <v>867.28</v>
      </c>
      <c r="BY119" s="570">
        <f>BY100*BY19</f>
        <v>200.88</v>
      </c>
      <c r="BZ119" s="570">
        <f>BZ100*BZ19</f>
        <v>242.64</v>
      </c>
      <c r="CA119" s="570">
        <f>CA100*CA19</f>
        <v>218.85</v>
      </c>
      <c r="CB119" s="570">
        <f>CB100*CB19</f>
        <v>230.56</v>
      </c>
      <c r="CC119" s="570">
        <f t="shared" si="185"/>
        <v>892.93000000000006</v>
      </c>
      <c r="CD119" s="570">
        <f>CD100*CD19</f>
        <v>229.91000000000003</v>
      </c>
      <c r="CE119" s="570">
        <f>CE100*CE19</f>
        <v>246.34400000000002</v>
      </c>
      <c r="CF119" s="570">
        <f>CF100*CF19</f>
        <v>217.79999999999998</v>
      </c>
      <c r="CG119" s="570">
        <f>CG100*CG19</f>
        <v>246.6</v>
      </c>
      <c r="CH119" s="570">
        <f>SUM(CD119:CG119)</f>
        <v>940.654</v>
      </c>
      <c r="CI119" s="570">
        <f t="shared" ref="CI119:CR119" si="188">CI100*CI19</f>
        <v>184.46695331098073</v>
      </c>
      <c r="CJ119" s="570">
        <f t="shared" si="188"/>
        <v>228.9826871751886</v>
      </c>
      <c r="CK119" s="570">
        <f t="shared" si="188"/>
        <v>212.89454476110646</v>
      </c>
      <c r="CL119" s="570">
        <f t="shared" si="188"/>
        <v>222.26627820620286</v>
      </c>
      <c r="CM119" s="570">
        <f t="shared" si="188"/>
        <v>848.61046345347859</v>
      </c>
      <c r="CN119" s="570">
        <f t="shared" si="188"/>
        <v>170.93859094719195</v>
      </c>
      <c r="CO119" s="570">
        <f t="shared" si="188"/>
        <v>202.11068102746719</v>
      </c>
      <c r="CP119" s="570">
        <f t="shared" si="188"/>
        <v>204.78185737480294</v>
      </c>
      <c r="CQ119" s="570">
        <f t="shared" si="188"/>
        <v>200.00420488711745</v>
      </c>
      <c r="CR119" s="570">
        <f t="shared" si="188"/>
        <v>777.83533423657957</v>
      </c>
      <c r="CS119" s="570"/>
      <c r="CT119" s="570"/>
      <c r="CU119" s="570"/>
      <c r="CV119" s="570"/>
      <c r="CW119" s="570">
        <f>CW100*CW19</f>
        <v>727.74811405240735</v>
      </c>
      <c r="CX119" s="570"/>
      <c r="CY119" s="570"/>
      <c r="CZ119" s="570"/>
      <c r="DA119" s="570"/>
      <c r="DB119" s="570">
        <f>DB100*DB19</f>
        <v>622.44709205017182</v>
      </c>
      <c r="DC119" s="570"/>
      <c r="DD119" s="570"/>
      <c r="DE119" s="570"/>
      <c r="DF119" s="570"/>
      <c r="DG119" s="570">
        <f>DG100*DG19</f>
        <v>538.78150846560209</v>
      </c>
      <c r="DH119" s="570"/>
      <c r="DI119" s="570"/>
      <c r="DJ119" s="570"/>
      <c r="DK119" s="570"/>
      <c r="DL119" s="570">
        <f>DL100*DL19</f>
        <v>489.42564718887093</v>
      </c>
      <c r="DM119" s="570"/>
      <c r="DN119" s="570"/>
      <c r="DO119" s="570"/>
      <c r="DP119" s="570"/>
      <c r="DQ119" s="570">
        <f>DQ100*DQ19</f>
        <v>451.12809362814249</v>
      </c>
      <c r="DR119" s="570"/>
      <c r="DS119" s="570"/>
      <c r="DT119" s="570"/>
      <c r="DU119" s="570"/>
      <c r="DV119" s="570">
        <f>DV100*DV19</f>
        <v>411.55870400323272</v>
      </c>
      <c r="DW119" s="570"/>
      <c r="DX119" s="570"/>
      <c r="DY119" s="570"/>
      <c r="DZ119" s="570"/>
      <c r="EA119" s="570">
        <f>EA100*EA19</f>
        <v>387.47988268798406</v>
      </c>
      <c r="EB119" s="570"/>
      <c r="EC119" s="570"/>
      <c r="ED119" s="570"/>
      <c r="EE119" s="570"/>
      <c r="EF119" s="570">
        <f>EF100*EF19</f>
        <v>365.08985886812343</v>
      </c>
      <c r="EG119" s="570"/>
      <c r="EH119" s="570"/>
      <c r="EI119" s="570"/>
      <c r="EJ119" s="570"/>
      <c r="EK119" s="570">
        <f>EK100*EK19</f>
        <v>341.32881939983605</v>
      </c>
      <c r="EL119" s="570"/>
      <c r="EM119" s="570"/>
      <c r="EN119" s="570"/>
      <c r="EO119" s="570"/>
      <c r="EP119" s="570">
        <f>EP100*EP19</f>
        <v>293.82606562309661</v>
      </c>
      <c r="EQ119" s="570"/>
      <c r="ER119" s="570"/>
      <c r="ES119" s="570"/>
      <c r="ET119" s="570"/>
      <c r="EU119" s="570">
        <f>EU100*EU19</f>
        <v>246.22804014152189</v>
      </c>
      <c r="EV119" s="570"/>
      <c r="EW119" s="570"/>
      <c r="EX119" s="570"/>
      <c r="EY119" s="570"/>
      <c r="EZ119" s="570">
        <f>EZ100*EZ19</f>
        <v>177.82835038417409</v>
      </c>
    </row>
    <row r="120" spans="2:157">
      <c r="B120" s="459" t="s">
        <v>47</v>
      </c>
      <c r="Z120" s="359">
        <f>Z101*Z23</f>
        <v>3.6</v>
      </c>
      <c r="AE120" s="359">
        <f>AE101*AE23</f>
        <v>15.700000000000001</v>
      </c>
      <c r="AJ120" s="359">
        <f>AJ101*AJ23</f>
        <v>32.1</v>
      </c>
      <c r="AO120" s="359">
        <f>AO101*AO23</f>
        <v>46.300000000000004</v>
      </c>
      <c r="AT120" s="359">
        <f>AT101*AT23</f>
        <v>59.7</v>
      </c>
      <c r="AY120" s="570">
        <f>AY101*AY23</f>
        <v>65.100000000000009</v>
      </c>
      <c r="AZ120" s="570"/>
      <c r="BA120" s="570"/>
      <c r="BB120" s="570"/>
      <c r="BC120" s="570"/>
      <c r="BD120" s="570">
        <f>BD101*BD23</f>
        <v>71.400000000000006</v>
      </c>
      <c r="BE120" s="570"/>
      <c r="BF120" s="570"/>
      <c r="BG120" s="570"/>
      <c r="BH120" s="570"/>
      <c r="BI120" s="570">
        <f>BI101*BI23</f>
        <v>80.800000000000011</v>
      </c>
      <c r="BJ120" s="570"/>
      <c r="BK120" s="570"/>
      <c r="BL120" s="570"/>
      <c r="BM120" s="570"/>
      <c r="BN120" s="570">
        <f>BN101*BN23</f>
        <v>95</v>
      </c>
      <c r="BO120" s="570"/>
      <c r="BP120" s="570"/>
      <c r="BQ120" s="570"/>
      <c r="BR120" s="570"/>
      <c r="BS120" s="570">
        <f>BS101*BS23</f>
        <v>108.9</v>
      </c>
      <c r="BT120" s="570">
        <f>BT101*BT23</f>
        <v>27</v>
      </c>
      <c r="BU120" s="570">
        <f>BU101*BU23</f>
        <v>29.8</v>
      </c>
      <c r="BV120" s="570">
        <f>BV101*BV23</f>
        <v>27.3</v>
      </c>
      <c r="BW120" s="570">
        <f>BW101*BW23</f>
        <v>31.700000000000003</v>
      </c>
      <c r="BX120" s="570">
        <f t="shared" si="181"/>
        <v>115.8</v>
      </c>
      <c r="BY120" s="570">
        <f>BY101*BY23</f>
        <v>33.4</v>
      </c>
      <c r="BZ120" s="570">
        <f>BZ101*BZ23</f>
        <v>34.4</v>
      </c>
      <c r="CA120" s="570">
        <f>CA101*CA23</f>
        <v>35.300000000000004</v>
      </c>
      <c r="CB120" s="570">
        <f>CB101*CB23</f>
        <v>38.400000000000006</v>
      </c>
      <c r="CC120" s="570">
        <f t="shared" si="185"/>
        <v>141.5</v>
      </c>
      <c r="CD120" s="570">
        <f>CD101*CD23</f>
        <v>36.700000000000003</v>
      </c>
      <c r="CE120" s="570">
        <f>CE101*CE23</f>
        <v>38.900000000000006</v>
      </c>
      <c r="CF120" s="570">
        <f>CF101*CF23</f>
        <v>41.5</v>
      </c>
      <c r="CG120" s="570">
        <f t="shared" si="182"/>
        <v>41.100000000000009</v>
      </c>
      <c r="CH120" s="570">
        <f t="shared" ref="CH120:CM120" si="189">CH101*CH23</f>
        <v>158.20000000000002</v>
      </c>
      <c r="CI120" s="570">
        <f t="shared" si="189"/>
        <v>42.1</v>
      </c>
      <c r="CJ120" s="570">
        <f t="shared" si="189"/>
        <v>42.7</v>
      </c>
      <c r="CK120" s="570">
        <f t="shared" si="189"/>
        <v>45.7</v>
      </c>
      <c r="CL120" s="570">
        <f t="shared" si="189"/>
        <v>41.300000000000004</v>
      </c>
      <c r="CM120" s="570">
        <f t="shared" si="189"/>
        <v>171.8</v>
      </c>
      <c r="CN120" s="570">
        <f t="shared" ref="CN120:CQ120" si="190">CN101*CN23</f>
        <v>49.7</v>
      </c>
      <c r="CO120" s="570">
        <f t="shared" si="190"/>
        <v>40.436422706949401</v>
      </c>
      <c r="CP120" s="570">
        <f t="shared" si="190"/>
        <v>37.499252354444451</v>
      </c>
      <c r="CQ120" s="570">
        <f t="shared" si="190"/>
        <v>26.870878399245562</v>
      </c>
      <c r="CR120" s="570">
        <f>CR101*CR23</f>
        <v>154.50655346063942</v>
      </c>
      <c r="CS120" s="570"/>
      <c r="CT120" s="570"/>
      <c r="CU120" s="570"/>
      <c r="CV120" s="570"/>
      <c r="CW120" s="570">
        <f>CW101*CW23</f>
        <v>62.68673335907269</v>
      </c>
      <c r="CX120" s="570"/>
      <c r="CY120" s="570"/>
      <c r="CZ120" s="570"/>
      <c r="DA120" s="570"/>
      <c r="DB120" s="570">
        <f>DB101*DB23</f>
        <v>25.956829952698424</v>
      </c>
      <c r="DC120" s="570"/>
      <c r="DD120" s="570"/>
      <c r="DE120" s="570"/>
      <c r="DF120" s="570"/>
      <c r="DG120" s="570">
        <f>DG101*DG23</f>
        <v>9.721699359534913</v>
      </c>
      <c r="DL120" s="570">
        <f>DL101*DL23</f>
        <v>25.300458154580518</v>
      </c>
      <c r="DQ120" s="570">
        <f>DQ101*DQ23</f>
        <v>11.63483224431333</v>
      </c>
      <c r="DV120" s="570">
        <f>DV101*DV23</f>
        <v>5.2648137453871433</v>
      </c>
      <c r="EA120" s="570">
        <f>EA101*EA23</f>
        <v>2.3714919368141976</v>
      </c>
      <c r="EF120" s="570">
        <f>EF101*EF23</f>
        <v>1.114549185016547</v>
      </c>
      <c r="EK120" s="570">
        <f>EK101*EK23</f>
        <v>0.57937472554495784</v>
      </c>
      <c r="EP120" s="570">
        <f>EP101*EP23</f>
        <v>0.30994026771013955</v>
      </c>
      <c r="EU120" s="570">
        <f>EU101*EU23</f>
        <v>0.16580455672773176</v>
      </c>
      <c r="EZ120" s="570">
        <f>EZ101*EZ23</f>
        <v>8.9594164808261767E-2</v>
      </c>
      <c r="FA120" s="570"/>
    </row>
    <row r="121" spans="2:157">
      <c r="B121" s="459" t="s">
        <v>894</v>
      </c>
      <c r="AY121" s="570"/>
      <c r="AZ121" s="570"/>
      <c r="BA121" s="570"/>
      <c r="BB121" s="570"/>
      <c r="BC121" s="570"/>
      <c r="BD121" s="570"/>
      <c r="BE121" s="570"/>
      <c r="BF121" s="570"/>
      <c r="BG121" s="570"/>
      <c r="BH121" s="570"/>
      <c r="BI121" s="570"/>
      <c r="BJ121" s="570"/>
      <c r="BK121" s="570"/>
      <c r="BL121" s="570"/>
      <c r="BM121" s="570"/>
      <c r="BN121" s="570"/>
      <c r="BO121" s="570"/>
      <c r="BP121" s="570"/>
      <c r="BQ121" s="570"/>
      <c r="BR121" s="570"/>
      <c r="BS121" s="570"/>
      <c r="BT121" s="570"/>
      <c r="BU121" s="570"/>
      <c r="BV121" s="570"/>
      <c r="BW121" s="570"/>
      <c r="BX121" s="570"/>
      <c r="BY121" s="570"/>
      <c r="BZ121" s="570"/>
      <c r="CA121" s="570"/>
      <c r="CB121" s="570"/>
      <c r="CC121" s="570"/>
      <c r="CD121" s="570"/>
      <c r="CE121" s="570"/>
      <c r="CF121" s="570"/>
      <c r="CG121" s="570"/>
      <c r="CH121" s="570"/>
      <c r="CI121" s="570"/>
      <c r="CJ121" s="570"/>
      <c r="CK121" s="570"/>
      <c r="CL121" s="570"/>
      <c r="CM121" s="570"/>
      <c r="CN121" s="570">
        <f>CN102*CN27</f>
        <v>6.1499999999999995</v>
      </c>
      <c r="CO121" s="570">
        <f t="shared" ref="CO121:EZ121" si="191">CO102*CO27</f>
        <v>5.7189155625000048</v>
      </c>
      <c r="CP121" s="570">
        <f t="shared" si="191"/>
        <v>9.6868347187500081</v>
      </c>
      <c r="CQ121" s="570">
        <f t="shared" si="191"/>
        <v>13.819145130000011</v>
      </c>
      <c r="CR121" s="570">
        <f t="shared" si="191"/>
        <v>35.374895411250023</v>
      </c>
      <c r="CS121" s="570">
        <f t="shared" si="191"/>
        <v>0</v>
      </c>
      <c r="CT121" s="570">
        <f t="shared" si="191"/>
        <v>0</v>
      </c>
      <c r="CU121" s="570">
        <f t="shared" si="191"/>
        <v>0</v>
      </c>
      <c r="CV121" s="570">
        <f t="shared" si="191"/>
        <v>0</v>
      </c>
      <c r="CW121" s="570">
        <f t="shared" si="191"/>
        <v>60.970376768318246</v>
      </c>
      <c r="CX121" s="570">
        <f t="shared" si="191"/>
        <v>0</v>
      </c>
      <c r="CY121" s="570">
        <f t="shared" si="191"/>
        <v>0</v>
      </c>
      <c r="CZ121" s="570">
        <f t="shared" si="191"/>
        <v>0</v>
      </c>
      <c r="DA121" s="570">
        <f t="shared" si="191"/>
        <v>0</v>
      </c>
      <c r="DB121" s="570">
        <f t="shared" si="191"/>
        <v>64.949173661564728</v>
      </c>
      <c r="DC121" s="570">
        <f t="shared" si="191"/>
        <v>0</v>
      </c>
      <c r="DD121" s="570">
        <f t="shared" si="191"/>
        <v>0</v>
      </c>
      <c r="DE121" s="570">
        <f t="shared" si="191"/>
        <v>0</v>
      </c>
      <c r="DF121" s="570">
        <f t="shared" si="191"/>
        <v>0</v>
      </c>
      <c r="DG121" s="570">
        <f t="shared" si="191"/>
        <v>73.404739963269165</v>
      </c>
      <c r="DH121" s="359">
        <f t="shared" si="191"/>
        <v>0</v>
      </c>
      <c r="DI121" s="359">
        <f t="shared" si="191"/>
        <v>0</v>
      </c>
      <c r="DJ121" s="359">
        <f t="shared" si="191"/>
        <v>0</v>
      </c>
      <c r="DK121" s="359">
        <f t="shared" si="191"/>
        <v>0</v>
      </c>
      <c r="DL121" s="570">
        <f t="shared" si="191"/>
        <v>79.425955917152706</v>
      </c>
      <c r="DM121" s="359">
        <f t="shared" si="191"/>
        <v>0</v>
      </c>
      <c r="DN121" s="359">
        <f t="shared" si="191"/>
        <v>0</v>
      </c>
      <c r="DO121" s="359">
        <f t="shared" si="191"/>
        <v>0</v>
      </c>
      <c r="DP121" s="359">
        <f t="shared" si="191"/>
        <v>0</v>
      </c>
      <c r="DQ121" s="570">
        <f t="shared" si="191"/>
        <v>82.658767713851816</v>
      </c>
      <c r="DR121" s="359">
        <f t="shared" si="191"/>
        <v>0</v>
      </c>
      <c r="DS121" s="359">
        <f t="shared" si="191"/>
        <v>0</v>
      </c>
      <c r="DT121" s="359">
        <f t="shared" si="191"/>
        <v>0</v>
      </c>
      <c r="DU121" s="359">
        <f t="shared" si="191"/>
        <v>0</v>
      </c>
      <c r="DV121" s="570">
        <f t="shared" si="191"/>
        <v>85.923238690514381</v>
      </c>
      <c r="DW121" s="359">
        <f t="shared" si="191"/>
        <v>0</v>
      </c>
      <c r="DX121" s="359">
        <f t="shared" si="191"/>
        <v>0</v>
      </c>
      <c r="DY121" s="359">
        <f t="shared" si="191"/>
        <v>0</v>
      </c>
      <c r="DZ121" s="359">
        <f t="shared" si="191"/>
        <v>0</v>
      </c>
      <c r="EA121" s="570">
        <f t="shared" si="191"/>
        <v>89.215884415222675</v>
      </c>
      <c r="EB121" s="359">
        <f t="shared" si="191"/>
        <v>0</v>
      </c>
      <c r="EC121" s="359">
        <f t="shared" si="191"/>
        <v>0</v>
      </c>
      <c r="ED121" s="359">
        <f t="shared" si="191"/>
        <v>0</v>
      </c>
      <c r="EE121" s="359">
        <f t="shared" si="191"/>
        <v>0</v>
      </c>
      <c r="EF121" s="570">
        <f t="shared" si="191"/>
        <v>92.129011542716512</v>
      </c>
      <c r="EG121" s="359">
        <f t="shared" si="191"/>
        <v>0</v>
      </c>
      <c r="EH121" s="359">
        <f t="shared" si="191"/>
        <v>0</v>
      </c>
      <c r="EI121" s="359">
        <f t="shared" si="191"/>
        <v>0</v>
      </c>
      <c r="EJ121" s="359">
        <f t="shared" si="191"/>
        <v>0</v>
      </c>
      <c r="EK121" s="570">
        <f t="shared" si="191"/>
        <v>96.273573320482924</v>
      </c>
      <c r="EL121" s="359">
        <f t="shared" si="191"/>
        <v>0</v>
      </c>
      <c r="EM121" s="359">
        <f t="shared" si="191"/>
        <v>0</v>
      </c>
      <c r="EN121" s="359">
        <f t="shared" si="191"/>
        <v>0</v>
      </c>
      <c r="EO121" s="359">
        <f t="shared" si="191"/>
        <v>0</v>
      </c>
      <c r="EP121" s="570">
        <f t="shared" si="191"/>
        <v>101.11526759634334</v>
      </c>
      <c r="EQ121" s="359">
        <f t="shared" si="191"/>
        <v>0</v>
      </c>
      <c r="ER121" s="359">
        <f t="shared" si="191"/>
        <v>0</v>
      </c>
      <c r="ES121" s="359">
        <f t="shared" si="191"/>
        <v>0</v>
      </c>
      <c r="ET121" s="359">
        <f t="shared" si="191"/>
        <v>0</v>
      </c>
      <c r="EU121" s="570">
        <f t="shared" si="191"/>
        <v>106.20045551903104</v>
      </c>
      <c r="EV121" s="359">
        <f t="shared" si="191"/>
        <v>0</v>
      </c>
      <c r="EW121" s="359">
        <f t="shared" si="191"/>
        <v>0</v>
      </c>
      <c r="EX121" s="359">
        <f t="shared" si="191"/>
        <v>0</v>
      </c>
      <c r="EY121" s="359">
        <f t="shared" si="191"/>
        <v>0</v>
      </c>
      <c r="EZ121" s="570">
        <f t="shared" si="191"/>
        <v>112.66806326014004</v>
      </c>
      <c r="FA121" s="570"/>
    </row>
    <row r="122" spans="2:157">
      <c r="B122" s="459" t="s">
        <v>120</v>
      </c>
      <c r="AJ122" s="359">
        <f>AJ103*AJ31</f>
        <v>7.8000000000000007</v>
      </c>
      <c r="AO122" s="359">
        <f>AO103*AO31</f>
        <v>34</v>
      </c>
      <c r="AT122" s="359">
        <f>AT103*AT31</f>
        <v>30.6</v>
      </c>
      <c r="AY122" s="570">
        <f>AY103*AY31</f>
        <v>46.6</v>
      </c>
      <c r="AZ122" s="570"/>
      <c r="BA122" s="570"/>
      <c r="BB122" s="570"/>
      <c r="BC122" s="570"/>
      <c r="BD122" s="570">
        <f>BD103*BD31</f>
        <v>57.6</v>
      </c>
      <c r="BE122" s="570"/>
      <c r="BF122" s="570"/>
      <c r="BG122" s="570"/>
      <c r="BH122" s="570"/>
      <c r="BI122" s="570">
        <f>BI103*BI31</f>
        <v>64.400000000000006</v>
      </c>
      <c r="BJ122" s="570"/>
      <c r="BK122" s="570"/>
      <c r="BL122" s="570"/>
      <c r="BM122" s="570"/>
      <c r="BN122" s="570">
        <f>BN103*BN31</f>
        <v>71.8</v>
      </c>
      <c r="BO122" s="570"/>
      <c r="BP122" s="570"/>
      <c r="BQ122" s="570"/>
      <c r="BR122" s="570"/>
      <c r="BS122" s="570">
        <f>BS103*BS31</f>
        <v>77.800000000000011</v>
      </c>
      <c r="BT122" s="570">
        <f>BT103*BT31</f>
        <v>20.6</v>
      </c>
      <c r="BU122" s="570">
        <f>BU103*BU31</f>
        <v>26.400000000000002</v>
      </c>
      <c r="BV122" s="570">
        <f>BV103*BV31</f>
        <v>27.6</v>
      </c>
      <c r="BW122" s="570">
        <f>BW103*BW31</f>
        <v>26.400000000000002</v>
      </c>
      <c r="BX122" s="570">
        <f t="shared" si="181"/>
        <v>101</v>
      </c>
      <c r="BY122" s="570">
        <f>BY103*BY31</f>
        <v>13.42</v>
      </c>
      <c r="BZ122" s="570">
        <f>BZ103*BZ31</f>
        <v>17.600000000000001</v>
      </c>
      <c r="CA122" s="570">
        <f>CA103*CA31</f>
        <v>14.52</v>
      </c>
      <c r="CB122" s="570">
        <f>CB103*CB31</f>
        <v>14.85</v>
      </c>
      <c r="CC122" s="570">
        <f t="shared" si="185"/>
        <v>60.390000000000008</v>
      </c>
      <c r="CD122" s="570">
        <f>CD103*CD31</f>
        <v>15.696</v>
      </c>
      <c r="CE122" s="570">
        <f>CE103*CE31</f>
        <v>17.440000000000001</v>
      </c>
      <c r="CF122" s="570">
        <f>CF103*CF31</f>
        <v>17.876000000000001</v>
      </c>
      <c r="CG122" s="570">
        <f t="shared" si="182"/>
        <v>15.587000000000003</v>
      </c>
      <c r="CH122" s="570">
        <f t="shared" ref="CH122:CM122" si="192">CH103*CH31</f>
        <v>66.599000000000004</v>
      </c>
      <c r="CI122" s="570">
        <f t="shared" si="192"/>
        <v>15.875999999999999</v>
      </c>
      <c r="CJ122" s="570">
        <f t="shared" si="192"/>
        <v>18.143999999999998</v>
      </c>
      <c r="CK122" s="570">
        <f t="shared" si="192"/>
        <v>18.143999999999998</v>
      </c>
      <c r="CL122" s="570">
        <f t="shared" si="192"/>
        <v>17.172000000000001</v>
      </c>
      <c r="CM122" s="570">
        <f t="shared" si="192"/>
        <v>69.335999999999999</v>
      </c>
      <c r="CN122" s="570">
        <f t="shared" ref="CN122:CQ122" si="193">CN103*CN31</f>
        <v>18.082999999999998</v>
      </c>
      <c r="CO122" s="570">
        <f t="shared" si="193"/>
        <v>18.510999999999999</v>
      </c>
      <c r="CP122" s="570">
        <f t="shared" si="193"/>
        <v>17.869</v>
      </c>
      <c r="CQ122" s="570">
        <f t="shared" si="193"/>
        <v>19.433389866270755</v>
      </c>
      <c r="CR122" s="570">
        <f>CR103*CR31</f>
        <v>73.896389866270752</v>
      </c>
      <c r="CS122" s="570"/>
      <c r="CT122" s="570"/>
      <c r="CU122" s="570"/>
      <c r="CV122" s="570"/>
      <c r="CW122" s="570">
        <f>CW103*CW31</f>
        <v>76.019811308422561</v>
      </c>
      <c r="CX122" s="570"/>
      <c r="CY122" s="570"/>
      <c r="CZ122" s="570"/>
      <c r="DA122" s="570"/>
      <c r="DB122" s="570">
        <f>DB103*DB31</f>
        <v>78.212216188796319</v>
      </c>
      <c r="DC122" s="570"/>
      <c r="DD122" s="570"/>
      <c r="DE122" s="570"/>
      <c r="DF122" s="570"/>
      <c r="DG122" s="570">
        <f>DG103*DG31</f>
        <v>81.249628503632863</v>
      </c>
      <c r="DH122" s="570"/>
      <c r="DI122" s="570"/>
      <c r="DJ122" s="570"/>
      <c r="DK122" s="570"/>
      <c r="DL122" s="570">
        <f>DL103*DL31</f>
        <v>84.420920662522292</v>
      </c>
      <c r="DM122" s="570"/>
      <c r="DN122" s="570"/>
      <c r="DO122" s="570"/>
      <c r="DP122" s="570"/>
      <c r="DQ122" s="570">
        <f>DQ103*DQ31</f>
        <v>82.149745714249661</v>
      </c>
      <c r="DR122" s="570"/>
      <c r="DS122" s="570"/>
      <c r="DT122" s="570"/>
      <c r="DU122" s="570"/>
      <c r="DV122" s="570">
        <f>DV103*DV31</f>
        <v>80.174747243787735</v>
      </c>
      <c r="DW122" s="570"/>
      <c r="DX122" s="570"/>
      <c r="DY122" s="570"/>
      <c r="DZ122" s="570"/>
      <c r="EA122" s="570">
        <f>EA103*EA31</f>
        <v>77.017657604142144</v>
      </c>
      <c r="EB122" s="570"/>
      <c r="EC122" s="570"/>
      <c r="ED122" s="570"/>
      <c r="EE122" s="570"/>
      <c r="EF122" s="570">
        <f>EF103*EF31</f>
        <v>73.178749068726503</v>
      </c>
      <c r="EG122" s="570"/>
      <c r="EH122" s="570"/>
      <c r="EI122" s="570"/>
      <c r="EJ122" s="570"/>
      <c r="EK122" s="570">
        <f>EK103*EK31</f>
        <v>67.206438787841535</v>
      </c>
      <c r="EL122" s="570"/>
      <c r="EM122" s="570"/>
      <c r="EN122" s="570"/>
      <c r="EO122" s="570"/>
      <c r="EP122" s="570">
        <f>EP103*EP31</f>
        <v>60.088054520727511</v>
      </c>
      <c r="EQ122" s="570"/>
      <c r="ER122" s="570"/>
      <c r="ES122" s="570"/>
      <c r="ET122" s="570"/>
      <c r="EU122" s="570">
        <f>EU103*EU31</f>
        <v>57.533854452285098</v>
      </c>
      <c r="EV122" s="570"/>
      <c r="EW122" s="570"/>
      <c r="EX122" s="570"/>
      <c r="EY122" s="570"/>
      <c r="EZ122" s="570">
        <f>EZ103*EZ31</f>
        <v>57.986053296871106</v>
      </c>
    </row>
    <row r="123" spans="2:157">
      <c r="B123" s="459" t="s">
        <v>118</v>
      </c>
      <c r="AY123" s="570"/>
      <c r="AZ123" s="570"/>
      <c r="BA123" s="570"/>
      <c r="BB123" s="570"/>
      <c r="BC123" s="570"/>
      <c r="BD123" s="570">
        <f>BD104*BD35</f>
        <v>1.2</v>
      </c>
      <c r="BE123" s="570"/>
      <c r="BF123" s="570"/>
      <c r="BG123" s="570"/>
      <c r="BH123" s="570"/>
      <c r="BI123" s="570">
        <f>BI104*BI35</f>
        <v>52.65</v>
      </c>
      <c r="BJ123" s="570"/>
      <c r="BK123" s="570"/>
      <c r="BL123" s="570"/>
      <c r="BM123" s="570"/>
      <c r="BN123" s="570">
        <f>BN104*BN35</f>
        <v>127.16000000000001</v>
      </c>
      <c r="BO123" s="570"/>
      <c r="BP123" s="570"/>
      <c r="BQ123" s="570"/>
      <c r="BR123" s="570"/>
      <c r="BS123" s="570">
        <f>BS104*BS35</f>
        <v>173.23000000000002</v>
      </c>
      <c r="BT123" s="570">
        <f>BT104*BT35</f>
        <v>47.430000000000007</v>
      </c>
      <c r="BU123" s="570">
        <f>BU104*BU35</f>
        <v>50.830000000000005</v>
      </c>
      <c r="BV123" s="570">
        <f>BV104*BV35</f>
        <v>54.06</v>
      </c>
      <c r="BW123" s="570">
        <f>BW104*BW35</f>
        <v>55.250000000000007</v>
      </c>
      <c r="BX123" s="570">
        <f t="shared" si="181"/>
        <v>207.57000000000002</v>
      </c>
      <c r="BY123" s="570">
        <f>BY104*BY35</f>
        <v>37.4</v>
      </c>
      <c r="BZ123" s="570">
        <f>BZ104*BZ35</f>
        <v>36.410000000000004</v>
      </c>
      <c r="CA123" s="570">
        <f>CA104*CA35</f>
        <v>41.58</v>
      </c>
      <c r="CB123" s="570">
        <f>CB104*CB35</f>
        <v>39.160000000000004</v>
      </c>
      <c r="CC123" s="570">
        <f t="shared" si="185"/>
        <v>154.55000000000001</v>
      </c>
      <c r="CD123" s="570">
        <f>CD104*CD35</f>
        <v>40.823999999999998</v>
      </c>
      <c r="CE123" s="570">
        <f>CE104*CE35</f>
        <v>41.147999999999996</v>
      </c>
      <c r="CF123" s="570">
        <f>CF104*CF35</f>
        <v>42.552</v>
      </c>
      <c r="CG123" s="570">
        <f t="shared" si="182"/>
        <v>40.608000000000004</v>
      </c>
      <c r="CH123" s="570">
        <f t="shared" ref="CH123:CM123" si="194">CH104*CH35</f>
        <v>165.13200000000001</v>
      </c>
      <c r="CI123" s="570">
        <f t="shared" si="194"/>
        <v>42.612000000000002</v>
      </c>
      <c r="CJ123" s="570">
        <f t="shared" si="194"/>
        <v>41.87</v>
      </c>
      <c r="CK123" s="570">
        <f t="shared" si="194"/>
        <v>41.021999999999998</v>
      </c>
      <c r="CL123" s="570">
        <f t="shared" si="194"/>
        <v>41.445999999999998</v>
      </c>
      <c r="CM123" s="570">
        <f t="shared" si="194"/>
        <v>166.95</v>
      </c>
      <c r="CN123" s="570">
        <f t="shared" ref="CN123:CQ123" si="195">CN104*CN35</f>
        <v>46.28</v>
      </c>
      <c r="CO123" s="570">
        <f t="shared" si="195"/>
        <v>37.739166781143354</v>
      </c>
      <c r="CP123" s="570">
        <f t="shared" si="195"/>
        <v>41.312306692050448</v>
      </c>
      <c r="CQ123" s="570">
        <f t="shared" si="195"/>
        <v>41.77063892404054</v>
      </c>
      <c r="CR123" s="570">
        <f>CR104*CR35</f>
        <v>167.10211239723432</v>
      </c>
      <c r="CS123" s="570"/>
      <c r="CT123" s="570"/>
      <c r="CU123" s="570"/>
      <c r="CV123" s="570"/>
      <c r="CW123" s="570">
        <f>CW104*CW35</f>
        <v>172.75848874961491</v>
      </c>
      <c r="CX123" s="570"/>
      <c r="CY123" s="570"/>
      <c r="CZ123" s="570"/>
      <c r="DA123" s="570"/>
      <c r="DB123" s="570">
        <f>DB104*DB35</f>
        <v>183.4218940767928</v>
      </c>
      <c r="DC123" s="570"/>
      <c r="DD123" s="570"/>
      <c r="DE123" s="570"/>
      <c r="DF123" s="570"/>
      <c r="DG123" s="570">
        <f>DG104*DG35</f>
        <v>195.81952144433757</v>
      </c>
      <c r="DL123" s="570">
        <f>DL104*DL35</f>
        <v>207.39094245746386</v>
      </c>
      <c r="DQ123" s="570">
        <f>DQ104*DQ35</f>
        <v>215.6787057888225</v>
      </c>
      <c r="DV123" s="570">
        <f>DV104*DV35</f>
        <v>222.91209233448168</v>
      </c>
      <c r="EA123" s="570">
        <f>EA104*EA35</f>
        <v>224.52185057652164</v>
      </c>
      <c r="EF123" s="570">
        <f>EF104*EF35</f>
        <v>211.28589353836261</v>
      </c>
      <c r="EK123" s="570">
        <f>EK104*EK35</f>
        <v>192.12624489471992</v>
      </c>
      <c r="EP123" s="570">
        <f>EP104*EP35</f>
        <v>168.28818869657383</v>
      </c>
      <c r="EU123" s="570">
        <f>EU104*EU35</f>
        <v>134.75291252789728</v>
      </c>
      <c r="EZ123" s="570">
        <f>EZ104*EZ35</f>
        <v>115.22979624242267</v>
      </c>
    </row>
    <row r="124" spans="2:157">
      <c r="B124" s="459" t="s">
        <v>119</v>
      </c>
      <c r="AY124" s="570"/>
      <c r="AZ124" s="570"/>
      <c r="BA124" s="570"/>
      <c r="BB124" s="570"/>
      <c r="BC124" s="570"/>
      <c r="BD124" s="570">
        <f>BD105*BD40</f>
        <v>4.95</v>
      </c>
      <c r="BE124" s="570"/>
      <c r="BF124" s="570"/>
      <c r="BG124" s="570"/>
      <c r="BH124" s="570"/>
      <c r="BI124" s="570">
        <f>BI105*BI40</f>
        <v>30.45</v>
      </c>
      <c r="BJ124" s="570"/>
      <c r="BK124" s="570"/>
      <c r="BL124" s="570"/>
      <c r="BM124" s="570"/>
      <c r="BN124" s="570">
        <f>BN105*BN40</f>
        <v>80.240000000000009</v>
      </c>
      <c r="BO124" s="570"/>
      <c r="BP124" s="570"/>
      <c r="BQ124" s="570"/>
      <c r="BR124" s="570"/>
      <c r="BS124" s="570">
        <f>BS105*BS40</f>
        <v>126.48</v>
      </c>
      <c r="BT124" s="570">
        <f>BT105*BT40</f>
        <v>33.32</v>
      </c>
      <c r="BU124" s="570">
        <f>BU105*BU40</f>
        <v>44.88</v>
      </c>
      <c r="BV124" s="570">
        <f>BV105*BV40</f>
        <v>43.35</v>
      </c>
      <c r="BW124" s="570">
        <f>BW105*BW40</f>
        <v>53.550000000000004</v>
      </c>
      <c r="BX124" s="570">
        <f t="shared" si="181"/>
        <v>175.10000000000002</v>
      </c>
      <c r="BY124" s="570">
        <f>BY105*BY40</f>
        <v>29.92</v>
      </c>
      <c r="BZ124" s="570">
        <f>BZ105*BZ40</f>
        <v>37.4</v>
      </c>
      <c r="CA124" s="570">
        <f>CA105*CA40</f>
        <v>35.200000000000003</v>
      </c>
      <c r="CB124" s="570">
        <f>CB105*CB40</f>
        <v>41.8</v>
      </c>
      <c r="CC124" s="570">
        <f t="shared" si="185"/>
        <v>144.32</v>
      </c>
      <c r="CD124" s="570">
        <f>CD105*CD40</f>
        <v>38.015999999999998</v>
      </c>
      <c r="CE124" s="570">
        <f>CE105*CE40</f>
        <v>47.628</v>
      </c>
      <c r="CF124" s="570">
        <f>CF105*CF40</f>
        <v>40.932000000000002</v>
      </c>
      <c r="CG124" s="570">
        <f t="shared" si="182"/>
        <v>50.003999999999976</v>
      </c>
      <c r="CH124" s="570">
        <f t="shared" ref="CH124:CM124" si="196">CH105*CH40</f>
        <v>176.57999999999998</v>
      </c>
      <c r="CI124" s="570">
        <f t="shared" si="196"/>
        <v>45.05</v>
      </c>
      <c r="CJ124" s="570">
        <f t="shared" si="196"/>
        <v>53.53</v>
      </c>
      <c r="CK124" s="570">
        <f t="shared" si="196"/>
        <v>49.183999999999997</v>
      </c>
      <c r="CL124" s="570">
        <f t="shared" si="196"/>
        <v>60.844000000000001</v>
      </c>
      <c r="CM124" s="570">
        <f t="shared" si="196"/>
        <v>208.608</v>
      </c>
      <c r="CN124" s="570">
        <f t="shared" ref="CN124:CQ124" si="197">CN105*CN40</f>
        <v>51.375999999999998</v>
      </c>
      <c r="CO124" s="570">
        <f t="shared" si="197"/>
        <v>57.932105764754176</v>
      </c>
      <c r="CP124" s="570">
        <f t="shared" si="197"/>
        <v>60.260859254586578</v>
      </c>
      <c r="CQ124" s="570">
        <f t="shared" si="197"/>
        <v>63.222601633207397</v>
      </c>
      <c r="CR124" s="570">
        <f>CR105*CR40</f>
        <v>232.79156665254814</v>
      </c>
      <c r="CS124" s="570"/>
      <c r="CT124" s="570"/>
      <c r="CU124" s="570"/>
      <c r="CV124" s="570"/>
      <c r="CW124" s="570">
        <f>CW105*CW40</f>
        <v>260.65341721713139</v>
      </c>
      <c r="CX124" s="570"/>
      <c r="CY124" s="570"/>
      <c r="CZ124" s="570"/>
      <c r="DA124" s="570"/>
      <c r="DB124" s="570">
        <f>DB105*DB40</f>
        <v>278.06605970199394</v>
      </c>
      <c r="DC124" s="570"/>
      <c r="DD124" s="570"/>
      <c r="DE124" s="570"/>
      <c r="DF124" s="570"/>
      <c r="DG124" s="570">
        <f>DG105*DG40</f>
        <v>293.84618876404056</v>
      </c>
      <c r="DL124" s="570">
        <f>DL105*DL40</f>
        <v>307.00583611842745</v>
      </c>
      <c r="DQ124" s="570">
        <f>DQ105*DQ40</f>
        <v>318.04040825506536</v>
      </c>
      <c r="DV124" s="570">
        <f>DV105*DV40</f>
        <v>327.80500600176475</v>
      </c>
      <c r="EA124" s="570">
        <f>EA105*EA40</f>
        <v>331.35655026222923</v>
      </c>
      <c r="EF124" s="570">
        <f>EF105*EF40</f>
        <v>313.58878231100675</v>
      </c>
      <c r="EK124" s="570">
        <f>EK105*EK40</f>
        <v>290.40131231301052</v>
      </c>
      <c r="EP124" s="570">
        <f>EP105*EP40</f>
        <v>261.10240443019285</v>
      </c>
      <c r="EU124" s="570">
        <f>EU105*EU40</f>
        <v>222.50302093219705</v>
      </c>
      <c r="EZ124" s="570">
        <f>EZ105*EZ40</f>
        <v>201.1975596240701</v>
      </c>
    </row>
    <row r="125" spans="2:157">
      <c r="B125" s="459" t="s">
        <v>46</v>
      </c>
      <c r="AT125" s="359">
        <f>AT106*AT45</f>
        <v>3.4000000000000004</v>
      </c>
      <c r="AY125" s="570">
        <f>AY106*AY45</f>
        <v>22</v>
      </c>
      <c r="AZ125" s="570"/>
      <c r="BA125" s="570"/>
      <c r="BB125" s="570"/>
      <c r="BC125" s="570"/>
      <c r="BD125" s="570">
        <f>BD106*BD45</f>
        <v>45.800000000000004</v>
      </c>
      <c r="BE125" s="570"/>
      <c r="BF125" s="570"/>
      <c r="BG125" s="570"/>
      <c r="BH125" s="570"/>
      <c r="BI125" s="570">
        <f>BI106*BI45</f>
        <v>59.400000000000006</v>
      </c>
      <c r="BJ125" s="570"/>
      <c r="BK125" s="570"/>
      <c r="BL125" s="570"/>
      <c r="BM125" s="570"/>
      <c r="BN125" s="570">
        <f>BN106*BN45</f>
        <v>73.600000000000009</v>
      </c>
      <c r="BO125" s="570"/>
      <c r="BP125" s="570"/>
      <c r="BQ125" s="570"/>
      <c r="BR125" s="570"/>
      <c r="BS125" s="570">
        <f>BS106*BS45</f>
        <v>85.4</v>
      </c>
      <c r="BT125" s="570">
        <f>BT106*BT45</f>
        <v>22.6</v>
      </c>
      <c r="BU125" s="570">
        <f>BU106*BU45</f>
        <v>23.6</v>
      </c>
      <c r="BV125" s="570">
        <f>BV106*BV45</f>
        <v>23.8</v>
      </c>
      <c r="BW125" s="570">
        <f>BW106*BW45</f>
        <v>23.8</v>
      </c>
      <c r="BX125" s="570">
        <f t="shared" si="181"/>
        <v>93.8</v>
      </c>
      <c r="BY125" s="570">
        <f>BY106*BY45</f>
        <v>25.200000000000003</v>
      </c>
      <c r="BZ125" s="570">
        <f>BZ106*BZ45</f>
        <v>25</v>
      </c>
      <c r="CA125" s="570">
        <f>CA106*CA45</f>
        <v>27.400000000000002</v>
      </c>
      <c r="CB125" s="570">
        <f>CB106*CB45</f>
        <v>27.400000000000002</v>
      </c>
      <c r="CC125" s="570">
        <f t="shared" si="185"/>
        <v>105.00000000000001</v>
      </c>
      <c r="CD125" s="570">
        <f>CD106*CD45</f>
        <v>23.970000000000002</v>
      </c>
      <c r="CE125" s="570">
        <f>CE106*CE45</f>
        <v>24.14</v>
      </c>
      <c r="CF125" s="570">
        <f>CF106*CF45</f>
        <v>25.67</v>
      </c>
      <c r="CG125" s="570">
        <f t="shared" si="182"/>
        <v>43.02000000000001</v>
      </c>
      <c r="CH125" s="570">
        <f t="shared" ref="CH125:CM125" si="198">CH106*CH45</f>
        <v>116.80000000000001</v>
      </c>
      <c r="CI125" s="570">
        <f t="shared" si="198"/>
        <v>30.8</v>
      </c>
      <c r="CJ125" s="570">
        <f t="shared" si="198"/>
        <v>32.800000000000004</v>
      </c>
      <c r="CK125" s="570">
        <f t="shared" si="198"/>
        <v>31.8</v>
      </c>
      <c r="CL125" s="570">
        <f t="shared" si="198"/>
        <v>33</v>
      </c>
      <c r="CM125" s="570">
        <f t="shared" si="198"/>
        <v>128.4</v>
      </c>
      <c r="CN125" s="570">
        <f t="shared" ref="CN125:CQ125" si="199">CN106*CN45</f>
        <v>30.430000000000003</v>
      </c>
      <c r="CO125" s="570">
        <f t="shared" si="199"/>
        <v>27.062162960275675</v>
      </c>
      <c r="CP125" s="570">
        <f t="shared" si="199"/>
        <v>29.112623585881572</v>
      </c>
      <c r="CQ125" s="570">
        <f t="shared" si="199"/>
        <v>28.655491334739263</v>
      </c>
      <c r="CR125" s="570">
        <f>CR106*CR45</f>
        <v>115.26027788089651</v>
      </c>
      <c r="CS125" s="570"/>
      <c r="CT125" s="570"/>
      <c r="CU125" s="570"/>
      <c r="CV125" s="570"/>
      <c r="CW125" s="570">
        <f>CW106*CW45</f>
        <v>123.60810346875643</v>
      </c>
      <c r="CX125" s="570"/>
      <c r="CY125" s="570"/>
      <c r="CZ125" s="570"/>
      <c r="DA125" s="570"/>
      <c r="DB125" s="570">
        <f>DB106*DB45</f>
        <v>126.60430699488182</v>
      </c>
      <c r="DC125" s="570"/>
      <c r="DD125" s="570"/>
      <c r="DE125" s="570"/>
      <c r="DF125" s="570"/>
      <c r="DG125" s="570">
        <f>DG106*DG45</f>
        <v>125.70645242367112</v>
      </c>
      <c r="DL125" s="570">
        <f>DL106*DL45</f>
        <v>122.96022343555344</v>
      </c>
      <c r="DQ125" s="570">
        <f>DQ106*DQ45</f>
        <v>117.95605124628695</v>
      </c>
      <c r="DV125" s="570">
        <f>DV106*DV45</f>
        <v>105.41289228262403</v>
      </c>
      <c r="EA125" s="570">
        <f>EA106*EA45</f>
        <v>89.426683570301662</v>
      </c>
      <c r="EF125" s="570">
        <f>EF106*EF45</f>
        <v>71.578321756040495</v>
      </c>
      <c r="EK125" s="570">
        <f>EK106*EK45</f>
        <v>51.72155705142746</v>
      </c>
      <c r="EP125" s="570">
        <f>EP106*EP45</f>
        <v>29.897126804962525</v>
      </c>
      <c r="EU125" s="570">
        <f>EU106*EU45</f>
        <v>22.105334043609929</v>
      </c>
      <c r="EZ125" s="570">
        <f>EZ106*EZ45</f>
        <v>10.982533070537139</v>
      </c>
    </row>
    <row r="126" spans="2:157">
      <c r="B126" s="459" t="s">
        <v>729</v>
      </c>
      <c r="AY126" s="570"/>
      <c r="AZ126" s="570"/>
      <c r="BA126" s="570"/>
      <c r="BB126" s="570"/>
      <c r="BC126" s="570"/>
      <c r="BD126" s="570"/>
      <c r="BE126" s="570"/>
      <c r="BF126" s="570"/>
      <c r="BG126" s="570"/>
      <c r="BH126" s="570"/>
      <c r="BI126" s="570"/>
      <c r="BJ126" s="570"/>
      <c r="BK126" s="570"/>
      <c r="BL126" s="570"/>
      <c r="BM126" s="570"/>
      <c r="BN126" s="570"/>
      <c r="BO126" s="570"/>
      <c r="BP126" s="570"/>
      <c r="BQ126" s="570"/>
      <c r="BR126" s="570"/>
      <c r="BS126" s="570"/>
      <c r="BT126" s="570"/>
      <c r="BU126" s="570"/>
      <c r="BV126" s="570"/>
      <c r="BW126" s="570"/>
      <c r="BX126" s="570"/>
      <c r="BY126" s="570">
        <f>BY107*BY50</f>
        <v>0</v>
      </c>
      <c r="BZ126" s="570">
        <f>BZ107*BZ50</f>
        <v>0</v>
      </c>
      <c r="CA126" s="570">
        <f>CA107*CA50</f>
        <v>0.22</v>
      </c>
      <c r="CB126" s="570">
        <f>CB107*CB50</f>
        <v>0.44</v>
      </c>
      <c r="CC126" s="570">
        <f t="shared" si="185"/>
        <v>0.66</v>
      </c>
      <c r="CD126" s="570">
        <f>CD107*CD50</f>
        <v>1.72</v>
      </c>
      <c r="CE126" s="570">
        <f>CE107*CE50</f>
        <v>2.9024999999999999</v>
      </c>
      <c r="CF126" s="570">
        <f>CF107*CF50</f>
        <v>4.3</v>
      </c>
      <c r="CG126" s="570">
        <f t="shared" si="182"/>
        <v>6.2350000000000012</v>
      </c>
      <c r="CH126" s="570">
        <f t="shared" ref="CH126:CM126" si="200">CH107*CH50</f>
        <v>15.157500000000001</v>
      </c>
      <c r="CI126" s="570">
        <f t="shared" si="200"/>
        <v>5.1449999999999996</v>
      </c>
      <c r="CJ126" s="570">
        <f t="shared" si="200"/>
        <v>8.7149999999999999</v>
      </c>
      <c r="CK126" s="570">
        <f t="shared" si="200"/>
        <v>9.3449999999999989</v>
      </c>
      <c r="CL126" s="570">
        <f t="shared" si="200"/>
        <v>10.29</v>
      </c>
      <c r="CM126" s="570">
        <f t="shared" si="200"/>
        <v>33.494999999999997</v>
      </c>
      <c r="CN126" s="570">
        <f t="shared" ref="CN126:CQ126" si="201">CN107*CN50</f>
        <v>12.6075</v>
      </c>
      <c r="CO126" s="570">
        <f t="shared" si="201"/>
        <v>13.789793511101667</v>
      </c>
      <c r="CP126" s="570">
        <f t="shared" si="201"/>
        <v>16.249735548040988</v>
      </c>
      <c r="CQ126" s="570">
        <f t="shared" si="201"/>
        <v>18.567107165022936</v>
      </c>
      <c r="CR126" s="570">
        <f>CR107*CR50</f>
        <v>61.214136224165578</v>
      </c>
      <c r="CS126" s="570"/>
      <c r="CT126" s="570"/>
      <c r="CU126" s="570"/>
      <c r="CV126" s="570"/>
      <c r="CW126" s="570">
        <f>CW107*CW50</f>
        <v>99.020836716944856</v>
      </c>
      <c r="CX126" s="570"/>
      <c r="CY126" s="570"/>
      <c r="CZ126" s="570"/>
      <c r="DA126" s="570"/>
      <c r="DB126" s="570">
        <f>DB107*DB50</f>
        <v>155.05452584586865</v>
      </c>
      <c r="DC126" s="570"/>
      <c r="DD126" s="570"/>
      <c r="DE126" s="570"/>
      <c r="DF126" s="570"/>
      <c r="DG126" s="570">
        <f>DG107*DG50</f>
        <v>191.01161338077557</v>
      </c>
      <c r="DL126" s="570">
        <f>DL107*DL50</f>
        <v>222.12984076767313</v>
      </c>
      <c r="DQ126" s="570">
        <f>DQ107*DQ50</f>
        <v>250.05593229416496</v>
      </c>
      <c r="DV126" s="570">
        <f>DV107*DV50</f>
        <v>276.34874467345776</v>
      </c>
      <c r="EA126" s="570">
        <f>EA107*EA50</f>
        <v>291.39522226630635</v>
      </c>
      <c r="EF126" s="570">
        <f>EF107*EF50</f>
        <v>301.05985556472098</v>
      </c>
      <c r="EK126" s="570">
        <f>EK107*EK50</f>
        <v>310.09165123166264</v>
      </c>
      <c r="EP126" s="570">
        <f>EP107*EP50</f>
        <v>319.39440076861251</v>
      </c>
      <c r="EU126" s="570">
        <f>EU107*EU50</f>
        <v>328.97623279167095</v>
      </c>
      <c r="EZ126" s="570">
        <f>EZ107*EZ50</f>
        <v>335.47305864160148</v>
      </c>
    </row>
    <row r="127" spans="2:157">
      <c r="B127" s="459" t="s">
        <v>5</v>
      </c>
      <c r="AY127" s="570"/>
      <c r="AZ127" s="570"/>
      <c r="BA127" s="570"/>
      <c r="BB127" s="570"/>
      <c r="BC127" s="570"/>
      <c r="BD127" s="570"/>
      <c r="BE127" s="570"/>
      <c r="BF127" s="570"/>
      <c r="BG127" s="570"/>
      <c r="BH127" s="570"/>
      <c r="BI127" s="570"/>
      <c r="BJ127" s="570"/>
      <c r="BK127" s="570"/>
      <c r="BL127" s="570"/>
      <c r="BM127" s="570"/>
      <c r="BN127" s="570"/>
      <c r="BO127" s="570"/>
      <c r="BP127" s="570"/>
      <c r="BQ127" s="570"/>
      <c r="BR127" s="570"/>
      <c r="BS127" s="570">
        <f>BS108*BS54</f>
        <v>7.3000000000000007</v>
      </c>
      <c r="BT127" s="570">
        <f>BT108*BT54</f>
        <v>6.8000000000000007</v>
      </c>
      <c r="BU127" s="570">
        <f>BU108*BU54</f>
        <v>7.8000000000000007</v>
      </c>
      <c r="BV127" s="570">
        <f>BV108*BV54</f>
        <v>9.4</v>
      </c>
      <c r="BW127" s="570">
        <f>BW108*BW54</f>
        <v>9.1</v>
      </c>
      <c r="BX127" s="570">
        <f t="shared" si="181"/>
        <v>33.1</v>
      </c>
      <c r="BY127" s="570">
        <f>BY108*BY54</f>
        <v>10.8</v>
      </c>
      <c r="BZ127" s="570">
        <f>BZ108*BZ54</f>
        <v>11.9</v>
      </c>
      <c r="CA127" s="570">
        <f>CA108*CA54</f>
        <v>13.700000000000001</v>
      </c>
      <c r="CB127" s="570">
        <f>CB108*CB54</f>
        <v>14.8</v>
      </c>
      <c r="CC127" s="570">
        <f t="shared" si="185"/>
        <v>51.2</v>
      </c>
      <c r="CD127" s="570">
        <f>CD108*CD54</f>
        <v>15.4</v>
      </c>
      <c r="CE127" s="570">
        <f>CE108*CE54</f>
        <v>17.2</v>
      </c>
      <c r="CF127" s="570">
        <f>CF108*CF54</f>
        <v>18.3</v>
      </c>
      <c r="CG127" s="570">
        <f t="shared" si="182"/>
        <v>18.299999999999997</v>
      </c>
      <c r="CH127" s="570">
        <f t="shared" ref="CH127:CM127" si="202">CH108*CH54</f>
        <v>69.2</v>
      </c>
      <c r="CI127" s="570">
        <f t="shared" si="202"/>
        <v>19</v>
      </c>
      <c r="CJ127" s="570">
        <f t="shared" si="202"/>
        <v>21.1</v>
      </c>
      <c r="CK127" s="570">
        <f t="shared" si="202"/>
        <v>20.700000000000003</v>
      </c>
      <c r="CL127" s="570">
        <f t="shared" si="202"/>
        <v>22.700000000000003</v>
      </c>
      <c r="CM127" s="570">
        <f t="shared" si="202"/>
        <v>83.5</v>
      </c>
      <c r="CN127" s="570">
        <f t="shared" ref="CN127:CQ127" si="203">CN108*CN54</f>
        <v>22.200000000000003</v>
      </c>
      <c r="CO127" s="570">
        <f t="shared" si="203"/>
        <v>23.865000000000002</v>
      </c>
      <c r="CP127" s="570">
        <f t="shared" si="203"/>
        <v>25.654875000000004</v>
      </c>
      <c r="CQ127" s="570">
        <f t="shared" si="203"/>
        <v>21.87573686935184</v>
      </c>
      <c r="CR127" s="570">
        <f>CR108*CR54</f>
        <v>93.595611869351842</v>
      </c>
      <c r="CS127" s="570"/>
      <c r="CT127" s="570"/>
      <c r="CU127" s="570"/>
      <c r="CV127" s="570"/>
      <c r="CW127" s="570">
        <f>CW108*CW54</f>
        <v>103.62286304495257</v>
      </c>
      <c r="CX127" s="570"/>
      <c r="CY127" s="570"/>
      <c r="CZ127" s="570"/>
      <c r="DA127" s="570"/>
      <c r="DB127" s="570">
        <f>DB108*DB54</f>
        <v>113.42253835058189</v>
      </c>
      <c r="DC127" s="570"/>
      <c r="DD127" s="570"/>
      <c r="DE127" s="570"/>
      <c r="DF127" s="570"/>
      <c r="DG127" s="570">
        <f>DG108*DG54</f>
        <v>124.70744906053773</v>
      </c>
      <c r="DH127" s="570"/>
      <c r="DI127" s="570"/>
      <c r="DJ127" s="570"/>
      <c r="DK127" s="570"/>
      <c r="DL127" s="570">
        <f>DL108*DL54</f>
        <v>136.96847688488475</v>
      </c>
      <c r="DM127" s="570"/>
      <c r="DN127" s="570"/>
      <c r="DO127" s="570"/>
      <c r="DP127" s="570"/>
      <c r="DQ127" s="570">
        <f>DQ108*DQ54</f>
        <v>147.87910590917332</v>
      </c>
      <c r="DR127" s="570"/>
      <c r="DS127" s="570"/>
      <c r="DT127" s="570"/>
      <c r="DU127" s="570"/>
      <c r="DV127" s="570">
        <f>DV108*DV54</f>
        <v>159.42969793308214</v>
      </c>
      <c r="DW127" s="570"/>
      <c r="DX127" s="570"/>
      <c r="DY127" s="570"/>
      <c r="DZ127" s="570"/>
      <c r="EA127" s="570">
        <f>EA108*EA54</f>
        <v>171.67406484429767</v>
      </c>
      <c r="EB127" s="570"/>
      <c r="EC127" s="570"/>
      <c r="ED127" s="570"/>
      <c r="EE127" s="570"/>
      <c r="EF127" s="570">
        <f>EF108*EF54</f>
        <v>172.08455409400827</v>
      </c>
      <c r="EG127" s="570"/>
      <c r="EH127" s="570"/>
      <c r="EI127" s="570"/>
      <c r="EJ127" s="570"/>
      <c r="EK127" s="570">
        <f>EK108*EK54</f>
        <v>164.02781543773236</v>
      </c>
      <c r="EL127" s="570"/>
      <c r="EM127" s="570"/>
      <c r="EN127" s="570"/>
      <c r="EO127" s="570"/>
      <c r="EP127" s="570">
        <f>EP108*EP54</f>
        <v>58.000253600376119</v>
      </c>
      <c r="EQ127" s="570"/>
      <c r="ER127" s="570"/>
      <c r="ES127" s="570"/>
      <c r="ET127" s="570"/>
      <c r="EU127" s="570">
        <f>EU108*EU54</f>
        <v>39.72694288060007</v>
      </c>
      <c r="EV127" s="570"/>
      <c r="EW127" s="570"/>
      <c r="EX127" s="570"/>
      <c r="EY127" s="570"/>
      <c r="EZ127" s="570">
        <f>EZ108*EZ54</f>
        <v>33.904451710908909</v>
      </c>
    </row>
    <row r="128" spans="2:157">
      <c r="B128" s="459" t="s">
        <v>717</v>
      </c>
      <c r="AY128" s="570"/>
      <c r="AZ128" s="570"/>
      <c r="BA128" s="570"/>
      <c r="BB128" s="570"/>
      <c r="BC128" s="570"/>
      <c r="BD128" s="570"/>
      <c r="BE128" s="570"/>
      <c r="BF128" s="570"/>
      <c r="BG128" s="570"/>
      <c r="BH128" s="570"/>
      <c r="BI128" s="570"/>
      <c r="BJ128" s="570"/>
      <c r="BK128" s="570"/>
      <c r="BL128" s="570"/>
      <c r="BM128" s="570"/>
      <c r="BN128" s="570"/>
      <c r="BO128" s="570"/>
      <c r="BP128" s="570"/>
      <c r="BQ128" s="570"/>
      <c r="BR128" s="570"/>
      <c r="BS128" s="570"/>
      <c r="BT128" s="570"/>
      <c r="BU128" s="570"/>
      <c r="BV128" s="570"/>
      <c r="BW128" s="570"/>
      <c r="BX128" s="570"/>
      <c r="BY128" s="570">
        <f>BY109*BY58</f>
        <v>4.2</v>
      </c>
      <c r="BZ128" s="570">
        <f>BZ109*BZ58</f>
        <v>5</v>
      </c>
      <c r="CA128" s="570">
        <f>CA109*CA58</f>
        <v>5.5</v>
      </c>
      <c r="CB128" s="570">
        <f>CB109*CB58</f>
        <v>6.25</v>
      </c>
      <c r="CC128" s="570">
        <f t="shared" si="185"/>
        <v>20.95</v>
      </c>
      <c r="CD128" s="570">
        <f>CD109*CD58</f>
        <v>6.75</v>
      </c>
      <c r="CE128" s="570">
        <f>CE109*CE58</f>
        <v>7.5</v>
      </c>
      <c r="CF128" s="570">
        <f>CF109*CF58</f>
        <v>7.25</v>
      </c>
      <c r="CG128" s="570">
        <f t="shared" si="182"/>
        <v>7.25</v>
      </c>
      <c r="CH128" s="570">
        <f t="shared" ref="CH128:CM128" si="204">CH109*CH58</f>
        <v>28.75</v>
      </c>
      <c r="CI128" s="570">
        <f t="shared" si="204"/>
        <v>8.5</v>
      </c>
      <c r="CJ128" s="570">
        <f t="shared" si="204"/>
        <v>10.75</v>
      </c>
      <c r="CK128" s="570">
        <f t="shared" si="204"/>
        <v>13</v>
      </c>
      <c r="CL128" s="570">
        <f t="shared" si="204"/>
        <v>11.5</v>
      </c>
      <c r="CM128" s="570">
        <f t="shared" si="204"/>
        <v>43.75</v>
      </c>
      <c r="CN128" s="570">
        <f t="shared" ref="CN128:CQ128" si="205">CN109*CN58</f>
        <v>12.25</v>
      </c>
      <c r="CO128" s="570">
        <f t="shared" si="205"/>
        <v>12.5</v>
      </c>
      <c r="CP128" s="570">
        <f t="shared" si="205"/>
        <v>12.5</v>
      </c>
      <c r="CQ128" s="570">
        <f t="shared" si="205"/>
        <v>13.062499999999993</v>
      </c>
      <c r="CR128" s="570">
        <f>CR109*CR58</f>
        <v>50.312499999999993</v>
      </c>
      <c r="CW128" s="570">
        <f>CW109*CW58</f>
        <v>55.34375</v>
      </c>
      <c r="DB128" s="570">
        <f>DB109*DB58</f>
        <v>60.878125000000004</v>
      </c>
      <c r="DC128" s="570"/>
      <c r="DD128" s="570"/>
      <c r="DE128" s="570"/>
      <c r="DF128" s="570"/>
      <c r="DG128" s="570">
        <f>DG109*DG58</f>
        <v>62.704468750000004</v>
      </c>
      <c r="DH128" s="570"/>
      <c r="DI128" s="570"/>
      <c r="DJ128" s="570"/>
      <c r="DK128" s="570"/>
      <c r="DL128" s="570">
        <f>DL109*DL58</f>
        <v>64.597778437500011</v>
      </c>
      <c r="DM128" s="570"/>
      <c r="DN128" s="570"/>
      <c r="DO128" s="570"/>
      <c r="DP128" s="570"/>
      <c r="DQ128" s="570">
        <f>DQ109*DQ58</f>
        <v>66.560915334375011</v>
      </c>
      <c r="DR128" s="570"/>
      <c r="DS128" s="570"/>
      <c r="DT128" s="570"/>
      <c r="DU128" s="570"/>
      <c r="DV128" s="570">
        <f>DV109*DV58</f>
        <v>68.596874035593771</v>
      </c>
      <c r="DW128" s="570"/>
      <c r="DX128" s="570"/>
      <c r="DY128" s="570"/>
      <c r="DZ128" s="570"/>
      <c r="EA128" s="570">
        <f>EA109*EA58</f>
        <v>70.708788930563458</v>
      </c>
      <c r="EB128" s="570"/>
      <c r="EC128" s="570"/>
      <c r="ED128" s="570"/>
      <c r="EE128" s="570"/>
      <c r="EF128" s="570">
        <f>EF109*EF58</f>
        <v>72.899940994145425</v>
      </c>
      <c r="EG128" s="570"/>
      <c r="EH128" s="570"/>
      <c r="EI128" s="570"/>
      <c r="EJ128" s="570"/>
      <c r="EK128" s="570">
        <f>EK109*EK58</f>
        <v>75.173764913247581</v>
      </c>
      <c r="EL128" s="570"/>
      <c r="EM128" s="570"/>
      <c r="EN128" s="570"/>
      <c r="EO128" s="570"/>
      <c r="EP128" s="570">
        <f>EP109*EP58</f>
        <v>77.533856565692744</v>
      </c>
      <c r="EQ128" s="570"/>
      <c r="ER128" s="570"/>
      <c r="ES128" s="570"/>
      <c r="ET128" s="570"/>
      <c r="EU128" s="570">
        <f>EU109*EU58</f>
        <v>79.983980868895813</v>
      </c>
      <c r="EV128" s="570"/>
      <c r="EW128" s="570"/>
      <c r="EX128" s="570"/>
      <c r="EY128" s="570"/>
      <c r="EZ128" s="570">
        <f>EZ109*EZ58</f>
        <v>82.5280800167574</v>
      </c>
    </row>
    <row r="129" spans="2:156">
      <c r="B129" s="459" t="s">
        <v>683</v>
      </c>
      <c r="AY129" s="570"/>
      <c r="AZ129" s="570"/>
      <c r="BA129" s="570"/>
      <c r="BB129" s="570"/>
      <c r="BC129" s="570"/>
      <c r="BD129" s="570"/>
      <c r="BE129" s="570"/>
      <c r="BF129" s="570"/>
      <c r="BG129" s="570"/>
      <c r="BH129" s="570"/>
      <c r="BI129" s="570"/>
      <c r="BJ129" s="570"/>
      <c r="BK129" s="570"/>
      <c r="BL129" s="570"/>
      <c r="BM129" s="570"/>
      <c r="BN129" s="570"/>
      <c r="BO129" s="570"/>
      <c r="BP129" s="570"/>
      <c r="BQ129" s="570"/>
      <c r="BR129" s="570"/>
      <c r="BS129" s="570"/>
      <c r="BT129" s="570"/>
      <c r="BU129" s="570"/>
      <c r="BV129" s="570"/>
      <c r="BX129" s="570"/>
      <c r="BY129" s="359">
        <f>Pipeline!D21</f>
        <v>0</v>
      </c>
      <c r="BZ129" s="359">
        <f>Pipeline!E21</f>
        <v>0</v>
      </c>
      <c r="CA129" s="359">
        <f>Pipeline!F21</f>
        <v>0</v>
      </c>
      <c r="CB129" s="359">
        <f>Pipeline!G21</f>
        <v>0</v>
      </c>
      <c r="CC129" s="570">
        <f t="shared" si="185"/>
        <v>0</v>
      </c>
      <c r="CD129" s="570">
        <f>CD110*CD62</f>
        <v>0</v>
      </c>
      <c r="CE129" s="570">
        <f>CE110*CE62</f>
        <v>0</v>
      </c>
      <c r="CF129" s="570">
        <f>CF110*CF62</f>
        <v>0</v>
      </c>
      <c r="CG129" s="570">
        <f>CG110*CG62</f>
        <v>0</v>
      </c>
      <c r="CH129" s="359">
        <f>Pipeline!I21</f>
        <v>0</v>
      </c>
      <c r="CI129" s="570">
        <f>CI110*CI62</f>
        <v>0</v>
      </c>
      <c r="CJ129" s="570">
        <f>CJ110*CJ62</f>
        <v>0</v>
      </c>
      <c r="CK129" s="570">
        <f>CK110*CK62</f>
        <v>0</v>
      </c>
      <c r="CL129" s="570">
        <f>CL110*CL62</f>
        <v>0</v>
      </c>
      <c r="CM129" s="570">
        <f>Pipeline!J21</f>
        <v>0</v>
      </c>
      <c r="CN129" s="570">
        <f>CN110*CN62</f>
        <v>0</v>
      </c>
      <c r="CO129" s="570">
        <f>CO110*CO62</f>
        <v>2.8016346233548917</v>
      </c>
      <c r="CP129" s="570">
        <f>CP110*CP62</f>
        <v>21.012259675161687</v>
      </c>
      <c r="CQ129" s="570">
        <f>CQ110*CQ62</f>
        <v>31.576834297812095</v>
      </c>
      <c r="CR129" s="570">
        <f>Pipeline!K21</f>
        <v>55.390728596328671</v>
      </c>
      <c r="CS129" s="570"/>
      <c r="CT129" s="570"/>
      <c r="CU129" s="570"/>
      <c r="CV129" s="570"/>
      <c r="CW129" s="570">
        <f>Pipeline!L21</f>
        <v>197.52045928250331</v>
      </c>
      <c r="CX129" s="570"/>
      <c r="CY129" s="570"/>
      <c r="CZ129" s="570"/>
      <c r="DA129" s="570"/>
      <c r="DB129" s="570">
        <f>Pipeline!M21</f>
        <v>389.54235751705596</v>
      </c>
      <c r="DG129" s="570">
        <f>Pipeline!N21</f>
        <v>612.42279343037683</v>
      </c>
      <c r="DH129" s="570"/>
      <c r="DI129" s="570"/>
      <c r="DJ129" s="570"/>
      <c r="DK129" s="570"/>
      <c r="DL129" s="570">
        <f>Pipeline!O21</f>
        <v>905.94303766456278</v>
      </c>
      <c r="DM129" s="570"/>
      <c r="DN129" s="570"/>
      <c r="DO129" s="570"/>
      <c r="DP129" s="570"/>
      <c r="DQ129" s="570">
        <f>Pipeline!P21</f>
        <v>1305.2129320819959</v>
      </c>
      <c r="DR129" s="570"/>
      <c r="DS129" s="570"/>
      <c r="DT129" s="570"/>
      <c r="DU129" s="570"/>
      <c r="DV129" s="570">
        <f>Pipeline!Q21</f>
        <v>1579.5384334347266</v>
      </c>
      <c r="DW129" s="570"/>
      <c r="DX129" s="570"/>
      <c r="DY129" s="570"/>
      <c r="DZ129" s="570"/>
      <c r="EA129" s="570">
        <f>Pipeline!R21</f>
        <v>1894.6168369378111</v>
      </c>
      <c r="EB129" s="570"/>
      <c r="EC129" s="570"/>
      <c r="ED129" s="570"/>
      <c r="EE129" s="570"/>
      <c r="EF129" s="570">
        <f>Pipeline!S21</f>
        <v>2168.2400373328264</v>
      </c>
      <c r="EG129" s="570"/>
      <c r="EH129" s="570"/>
      <c r="EI129" s="570"/>
      <c r="EJ129" s="570"/>
      <c r="EK129" s="570">
        <f>Pipeline!T21</f>
        <v>2490.7278945108856</v>
      </c>
      <c r="EL129" s="570"/>
      <c r="EM129" s="570"/>
      <c r="EN129" s="570"/>
      <c r="EO129" s="570"/>
      <c r="EP129" s="570">
        <f>Pipeline!U21</f>
        <v>2631.6709843099493</v>
      </c>
      <c r="EQ129" s="570"/>
      <c r="ER129" s="570"/>
      <c r="ES129" s="570"/>
      <c r="ET129" s="570"/>
      <c r="EU129" s="570">
        <f>Pipeline!V21</f>
        <v>2785.637622657222</v>
      </c>
      <c r="EV129" s="570"/>
      <c r="EW129" s="570"/>
      <c r="EX129" s="570"/>
      <c r="EY129" s="570"/>
      <c r="EZ129" s="570">
        <f>Pipeline!W21</f>
        <v>2953.8915903244078</v>
      </c>
    </row>
    <row r="130" spans="2:156">
      <c r="B130" s="459" t="s">
        <v>107</v>
      </c>
      <c r="J130" s="570">
        <f>J111*J64</f>
        <v>3.12</v>
      </c>
      <c r="K130" s="570">
        <f>K111*K64</f>
        <v>2.9200000000000004</v>
      </c>
      <c r="L130" s="570"/>
      <c r="M130" s="570"/>
      <c r="N130" s="570"/>
      <c r="O130" s="570"/>
      <c r="P130" s="570">
        <f>P111*P64</f>
        <v>21.96</v>
      </c>
      <c r="Q130" s="570"/>
      <c r="R130" s="570"/>
      <c r="S130" s="570"/>
      <c r="T130" s="570"/>
      <c r="U130" s="570">
        <f>U111*U64</f>
        <v>13.5</v>
      </c>
      <c r="V130" s="570"/>
      <c r="W130" s="570"/>
      <c r="X130" s="570"/>
      <c r="Y130" s="570"/>
      <c r="Z130" s="570">
        <f>Z111*Z64</f>
        <v>10.440000000000001</v>
      </c>
      <c r="AA130" s="570"/>
      <c r="AB130" s="570"/>
      <c r="AC130" s="570"/>
      <c r="AD130" s="570"/>
      <c r="AE130" s="570">
        <f>AE111*AE64</f>
        <v>4</v>
      </c>
      <c r="AF130" s="570"/>
      <c r="AG130" s="570"/>
      <c r="AH130" s="570"/>
      <c r="AI130" s="570"/>
      <c r="AJ130" s="570">
        <f>AJ111*AJ64</f>
        <v>5</v>
      </c>
      <c r="AO130" s="570">
        <f>AO111*AO64</f>
        <v>13.600000000000001</v>
      </c>
      <c r="AT130" s="570">
        <f>AT111*AT64</f>
        <v>14</v>
      </c>
      <c r="AY130" s="570">
        <f>AY111*AY64</f>
        <v>0</v>
      </c>
      <c r="AZ130" s="570"/>
      <c r="BA130" s="570"/>
      <c r="BB130" s="570"/>
      <c r="BC130" s="570"/>
      <c r="BD130" s="570">
        <f>BD111*BD64</f>
        <v>0</v>
      </c>
      <c r="BE130" s="570"/>
      <c r="BF130" s="570"/>
      <c r="BG130" s="570"/>
      <c r="BH130" s="570"/>
      <c r="BI130" s="570">
        <f>BI111*BI64</f>
        <v>11.600000000000001</v>
      </c>
      <c r="BJ130" s="570"/>
      <c r="BK130" s="570"/>
      <c r="BL130" s="570"/>
      <c r="BM130" s="570"/>
      <c r="BN130" s="570">
        <f>BN111*BN64</f>
        <v>34.6</v>
      </c>
      <c r="BO130" s="570"/>
      <c r="BP130" s="570"/>
      <c r="BQ130" s="570"/>
      <c r="BR130" s="570"/>
      <c r="BS130" s="570">
        <f>BS111*BS64</f>
        <v>49.2</v>
      </c>
      <c r="BT130" s="570">
        <f>BT111*BT64</f>
        <v>7.6000000000000005</v>
      </c>
      <c r="BU130" s="570">
        <f>BU111*BU64</f>
        <v>11.8</v>
      </c>
      <c r="BV130" s="570">
        <f>BV111*BV64</f>
        <v>9.2000000000000011</v>
      </c>
      <c r="BW130" s="570">
        <f>BW111*BW64</f>
        <v>13.200000000000001</v>
      </c>
      <c r="BX130" s="570">
        <f>SUM(BT130:BW130)</f>
        <v>41.800000000000004</v>
      </c>
      <c r="BY130" s="570">
        <f>BY111*BY64</f>
        <v>9.4</v>
      </c>
      <c r="BZ130" s="570">
        <f>BZ111*BZ64</f>
        <v>10.8</v>
      </c>
      <c r="CA130" s="570">
        <f>CA111*CA64</f>
        <v>8.6</v>
      </c>
      <c r="CB130" s="570">
        <f>CB111*CB64</f>
        <v>11.8</v>
      </c>
      <c r="CC130" s="570">
        <f t="shared" si="185"/>
        <v>40.600000000000009</v>
      </c>
      <c r="CD130" s="570">
        <f>CD111*CD64</f>
        <v>9.4</v>
      </c>
      <c r="CE130" s="570">
        <f>CE111*CE64</f>
        <v>13.600000000000001</v>
      </c>
      <c r="CF130" s="570">
        <f>CF111*CF64</f>
        <v>12</v>
      </c>
      <c r="CG130" s="570">
        <f t="shared" si="182"/>
        <v>15</v>
      </c>
      <c r="CH130" s="570">
        <f t="shared" ref="CH130:CK130" si="206">CH111*CH64</f>
        <v>50</v>
      </c>
      <c r="CI130" s="570">
        <f t="shared" si="206"/>
        <v>11.4</v>
      </c>
      <c r="CJ130" s="570">
        <f t="shared" si="206"/>
        <v>12.200000000000001</v>
      </c>
      <c r="CK130" s="570">
        <f t="shared" si="206"/>
        <v>13.200000000000001</v>
      </c>
      <c r="CL130" s="570">
        <f>CL111*CL64+(100+75)/2</f>
        <v>101.9</v>
      </c>
      <c r="CM130" s="570">
        <f>SUM(CI130:CL130)</f>
        <v>138.70000000000002</v>
      </c>
      <c r="CN130" s="570">
        <f t="shared" ref="CN130:CQ130" si="207">CN111*CN64</f>
        <v>12.600000000000001</v>
      </c>
      <c r="CO130" s="570">
        <f t="shared" si="207"/>
        <v>14.627343750000001</v>
      </c>
      <c r="CP130" s="570">
        <f t="shared" si="207"/>
        <v>14.627343750000001</v>
      </c>
      <c r="CQ130" s="570">
        <f t="shared" si="207"/>
        <v>16.654687500000005</v>
      </c>
      <c r="CR130" s="570">
        <f>CR111*CR64</f>
        <v>58.509375000000006</v>
      </c>
      <c r="CW130" s="570">
        <f>CW111*CW64</f>
        <v>67.456046875000013</v>
      </c>
      <c r="DB130" s="570">
        <f>DB111*DB64</f>
        <v>77.188082421875009</v>
      </c>
      <c r="DC130" s="570"/>
      <c r="DD130" s="570"/>
      <c r="DE130" s="570"/>
      <c r="DF130" s="570"/>
      <c r="DG130" s="570">
        <f>DG111*DG64</f>
        <v>86.852700576171884</v>
      </c>
      <c r="DH130" s="570"/>
      <c r="DI130" s="570"/>
      <c r="DJ130" s="570"/>
      <c r="DK130" s="570"/>
      <c r="DL130" s="570">
        <f>DL111*DL64</f>
        <v>91.482879989013682</v>
      </c>
      <c r="DM130" s="570"/>
      <c r="DN130" s="570"/>
      <c r="DO130" s="570"/>
      <c r="DP130" s="570"/>
      <c r="DQ130" s="570">
        <f>DQ111*DQ64</f>
        <v>94.375966982098419</v>
      </c>
      <c r="DR130" s="570"/>
      <c r="DS130" s="570"/>
      <c r="DT130" s="570"/>
      <c r="DU130" s="570"/>
      <c r="DV130" s="570">
        <f>DV111*DV64</f>
        <v>95.95036889967821</v>
      </c>
      <c r="DW130" s="570"/>
      <c r="DX130" s="570"/>
      <c r="DY130" s="570"/>
      <c r="DZ130" s="570"/>
      <c r="EA130" s="570">
        <f>EA111*EA64</f>
        <v>96.963708877348878</v>
      </c>
      <c r="EB130" s="570"/>
      <c r="EC130" s="570"/>
      <c r="ED130" s="570"/>
      <c r="EE130" s="570"/>
      <c r="EF130" s="570">
        <f>EF111*EF64</f>
        <v>98.083714898470248</v>
      </c>
      <c r="EG130" s="570"/>
      <c r="EH130" s="570"/>
      <c r="EI130" s="570"/>
      <c r="EJ130" s="570"/>
      <c r="EK130" s="570">
        <f>EK111*EK64</f>
        <v>98.633477938829031</v>
      </c>
      <c r="EL130" s="570"/>
      <c r="EM130" s="570"/>
      <c r="EN130" s="570"/>
      <c r="EO130" s="570"/>
      <c r="EP130" s="570">
        <f>EP111*EP64</f>
        <v>97.930804063560402</v>
      </c>
      <c r="EQ130" s="570"/>
      <c r="ER130" s="570"/>
      <c r="ES130" s="570"/>
      <c r="ET130" s="570"/>
      <c r="EU130" s="570">
        <f>EU111*EU64</f>
        <v>97.467333395688684</v>
      </c>
      <c r="EV130" s="570"/>
      <c r="EW130" s="570"/>
      <c r="EX130" s="570"/>
      <c r="EY130" s="570"/>
      <c r="EZ130" s="570">
        <f>EZ111*EZ64</f>
        <v>96.043128329355127</v>
      </c>
    </row>
    <row r="131" spans="2:156">
      <c r="B131" s="377" t="s">
        <v>684</v>
      </c>
      <c r="C131" s="457">
        <f>IS!C9</f>
        <v>220</v>
      </c>
      <c r="D131" s="457">
        <f>IS!D9</f>
        <v>238</v>
      </c>
      <c r="E131" s="457">
        <f>IS!E9</f>
        <v>273</v>
      </c>
      <c r="F131" s="457">
        <f>IS!F9</f>
        <v>283</v>
      </c>
      <c r="G131" s="457">
        <f>IS!G9</f>
        <v>301</v>
      </c>
      <c r="H131" s="457">
        <f>IS!H9</f>
        <v>345</v>
      </c>
      <c r="I131" s="457">
        <f>IS!I9</f>
        <v>402</v>
      </c>
      <c r="J131" s="457">
        <f>IS!J9</f>
        <v>408</v>
      </c>
      <c r="K131" s="457">
        <f>IS!K9</f>
        <v>443</v>
      </c>
      <c r="P131" s="457">
        <f>IS!P9</f>
        <v>690</v>
      </c>
      <c r="U131" s="457">
        <f>IS!U9</f>
        <v>1323</v>
      </c>
      <c r="Z131" s="457">
        <f>IS!Z9</f>
        <v>1729</v>
      </c>
      <c r="AE131" s="457">
        <f>IS!AE9</f>
        <v>2035</v>
      </c>
      <c r="AJ131" s="457">
        <f>IS!AJ9</f>
        <v>2080</v>
      </c>
      <c r="AO131" s="457">
        <f>IS!AO9</f>
        <v>2255</v>
      </c>
      <c r="AT131" s="457">
        <f>IS!AT9</f>
        <v>2193</v>
      </c>
      <c r="AY131" s="570">
        <f>IS!AY9</f>
        <v>2078</v>
      </c>
      <c r="AZ131" s="570"/>
      <c r="BA131" s="570"/>
      <c r="BB131" s="570"/>
      <c r="BC131" s="570"/>
      <c r="BD131" s="570">
        <f>IS!BD9</f>
        <v>2205</v>
      </c>
      <c r="BE131" s="570"/>
      <c r="BF131" s="570"/>
      <c r="BG131" s="570"/>
      <c r="BH131" s="570"/>
      <c r="BI131" s="570">
        <f>IS!BI9</f>
        <v>2345</v>
      </c>
      <c r="BJ131" s="570"/>
      <c r="BK131" s="570"/>
      <c r="BL131" s="570"/>
      <c r="BM131" s="570"/>
      <c r="BN131" s="570">
        <f>IS!BN9</f>
        <v>2735</v>
      </c>
      <c r="BO131" s="570"/>
      <c r="BP131" s="570"/>
      <c r="BQ131" s="570"/>
      <c r="BR131" s="570"/>
      <c r="BS131" s="570">
        <f>IS!BS9</f>
        <v>2870</v>
      </c>
      <c r="BT131" s="570">
        <f>IS!BT9</f>
        <v>684</v>
      </c>
      <c r="BU131" s="570">
        <f>IS!BU9</f>
        <v>789</v>
      </c>
      <c r="BV131" s="664">
        <f>IS!BV9</f>
        <v>761</v>
      </c>
      <c r="BW131" s="664">
        <f>IS!BW9</f>
        <v>825</v>
      </c>
      <c r="BX131" s="570">
        <f>SUM(BX115:BX130)</f>
        <v>3059.0000000000005</v>
      </c>
      <c r="BY131" s="664">
        <f>IS!BY9</f>
        <v>735</v>
      </c>
      <c r="BZ131" s="664">
        <f>IS!BZ9</f>
        <v>789</v>
      </c>
      <c r="CA131" s="664">
        <f>IS!CA9</f>
        <v>745</v>
      </c>
      <c r="CB131" s="664">
        <f>IS!CB9</f>
        <v>764</v>
      </c>
      <c r="CC131" s="570">
        <f>SUM(CC115:CC130)</f>
        <v>3032.9999999999995</v>
      </c>
      <c r="CD131" s="664">
        <f>IS!CD9</f>
        <v>707</v>
      </c>
      <c r="CE131" s="664">
        <f>IS!CE9</f>
        <v>738</v>
      </c>
      <c r="CF131" s="664">
        <f>IS!CF9</f>
        <v>715</v>
      </c>
      <c r="CG131" s="570">
        <f t="shared" ref="CG131:CM131" si="208">SUM(CG115:CG130)</f>
        <v>820.10322504708097</v>
      </c>
      <c r="CH131" s="570">
        <f t="shared" si="208"/>
        <v>2980.1032250470807</v>
      </c>
      <c r="CI131" s="664">
        <f>IS!CI9</f>
        <v>682</v>
      </c>
      <c r="CJ131" s="664">
        <f>IS!CJ9</f>
        <v>710</v>
      </c>
      <c r="CK131" s="664">
        <f>IS!CK9</f>
        <v>735</v>
      </c>
      <c r="CL131" s="664">
        <f>IS!CL9</f>
        <v>816</v>
      </c>
      <c r="CM131" s="570">
        <f t="shared" si="208"/>
        <v>2942.9999999999995</v>
      </c>
      <c r="CN131" s="664">
        <f>IS!CN9</f>
        <v>678</v>
      </c>
      <c r="CO131" s="570">
        <f t="shared" ref="CO131:CQ131" si="209">SUM(CO115:CO130)</f>
        <v>690.15858244815252</v>
      </c>
      <c r="CP131" s="570">
        <f t="shared" si="209"/>
        <v>715.39683304069501</v>
      </c>
      <c r="CQ131" s="570">
        <f t="shared" si="209"/>
        <v>706.14409304448168</v>
      </c>
      <c r="CR131" s="570">
        <f>SUM(CR115:CR130)</f>
        <v>2789.6995085333288</v>
      </c>
      <c r="CW131" s="570">
        <f>SUM(CW115:CW130)</f>
        <v>2804.5957960238029</v>
      </c>
      <c r="DB131" s="570">
        <f>SUM(DB115:DB130)</f>
        <v>2869.3393275510034</v>
      </c>
      <c r="DC131" s="570"/>
      <c r="DD131" s="570"/>
      <c r="DE131" s="570"/>
      <c r="DF131" s="570"/>
      <c r="DG131" s="570">
        <f>SUM(DG115:DG130)</f>
        <v>2982.8986400767067</v>
      </c>
      <c r="DH131" s="570"/>
      <c r="DI131" s="570"/>
      <c r="DJ131" s="570"/>
      <c r="DK131" s="570"/>
      <c r="DL131" s="570">
        <f>SUM(DL115:DL130)</f>
        <v>3241.3133507324201</v>
      </c>
      <c r="DM131" s="570"/>
      <c r="DN131" s="570"/>
      <c r="DO131" s="570"/>
      <c r="DP131" s="570"/>
      <c r="DQ131" s="570">
        <f>SUM(DQ115:DQ130)</f>
        <v>3592.1032019414956</v>
      </c>
      <c r="DR131" s="570"/>
      <c r="DS131" s="570"/>
      <c r="DT131" s="570"/>
      <c r="DU131" s="570"/>
      <c r="DV131" s="570">
        <f>SUM(DV115:DV130)</f>
        <v>3836.9687111517633</v>
      </c>
      <c r="DW131" s="570"/>
      <c r="DX131" s="570"/>
      <c r="DY131" s="570"/>
      <c r="DZ131" s="570"/>
      <c r="EA131" s="570">
        <f>SUM(EA115:EA130)</f>
        <v>4114.6635424854412</v>
      </c>
      <c r="EB131" s="570"/>
      <c r="EC131" s="570"/>
      <c r="ED131" s="570"/>
      <c r="EE131" s="570"/>
      <c r="EF131" s="570">
        <f>SUM(EF115:EF130)</f>
        <v>4303.8729041560782</v>
      </c>
      <c r="EG131" s="570"/>
      <c r="EH131" s="570"/>
      <c r="EI131" s="570"/>
      <c r="EJ131" s="570"/>
      <c r="EK131" s="570">
        <f>SUM(EK115:EK130)</f>
        <v>4523.3923626788164</v>
      </c>
      <c r="EL131" s="570"/>
      <c r="EM131" s="570"/>
      <c r="EN131" s="570"/>
      <c r="EO131" s="570"/>
      <c r="EP131" s="570">
        <f>SUM(EP115:EP130)</f>
        <v>4430.1783190860142</v>
      </c>
      <c r="EQ131" s="570"/>
      <c r="ER131" s="570"/>
      <c r="ES131" s="570"/>
      <c r="ET131" s="570"/>
      <c r="EU131" s="570">
        <f>SUM(EU115:EU130)</f>
        <v>4439.0458136686466</v>
      </c>
      <c r="EV131" s="570"/>
      <c r="EW131" s="570"/>
      <c r="EX131" s="570"/>
      <c r="EY131" s="570"/>
      <c r="EZ131" s="570">
        <f>SUM(EZ115:EZ130)</f>
        <v>4483.1183232754674</v>
      </c>
    </row>
    <row r="132" spans="2:156">
      <c r="CD132" s="570"/>
      <c r="CF132" s="570"/>
      <c r="CG132" s="570"/>
      <c r="CI132" s="570"/>
      <c r="CJ132" s="570"/>
      <c r="CK132" s="570"/>
      <c r="CL132" s="570"/>
    </row>
    <row r="137" spans="2:156" ht="13.5" thickBot="1">
      <c r="AT137" s="594"/>
      <c r="AU137" s="594"/>
      <c r="AV137" s="594"/>
      <c r="AW137" s="594"/>
      <c r="AX137" s="594"/>
      <c r="AY137" s="594">
        <v>2009</v>
      </c>
      <c r="AZ137" s="594"/>
      <c r="BA137" s="594"/>
      <c r="BB137" s="594"/>
      <c r="BC137" s="594"/>
      <c r="BD137" s="594">
        <f>AY137+1</f>
        <v>2010</v>
      </c>
      <c r="BE137" s="594"/>
      <c r="BF137" s="594"/>
      <c r="BG137" s="594"/>
      <c r="BH137" s="594"/>
      <c r="BI137" s="594">
        <f>BD137+1</f>
        <v>2011</v>
      </c>
      <c r="BJ137" s="594"/>
      <c r="BK137" s="594"/>
      <c r="BL137" s="594"/>
      <c r="BM137" s="594"/>
      <c r="BN137" s="594">
        <f>BI137+1</f>
        <v>2012</v>
      </c>
      <c r="BO137" s="594"/>
      <c r="BP137" s="594"/>
      <c r="BQ137" s="594"/>
      <c r="BR137" s="594"/>
      <c r="BS137" s="594">
        <f>BN137+1</f>
        <v>2013</v>
      </c>
      <c r="BT137" s="594"/>
      <c r="BU137" s="594"/>
      <c r="BV137" s="594"/>
      <c r="BW137" s="594"/>
      <c r="BX137" s="595" t="str">
        <f>BT3</f>
        <v>2014A</v>
      </c>
      <c r="BY137" s="595"/>
      <c r="BZ137" s="595"/>
      <c r="CA137" s="595"/>
      <c r="CB137" s="595"/>
      <c r="CC137" s="595" t="str">
        <f>BY3</f>
        <v>2015A</v>
      </c>
      <c r="CD137" s="595"/>
      <c r="CE137" s="595"/>
      <c r="CF137" s="595"/>
      <c r="CG137" s="595"/>
      <c r="CH137" s="595" t="str">
        <f>CD3</f>
        <v>2016A</v>
      </c>
      <c r="CI137" s="595"/>
      <c r="CJ137" s="595"/>
      <c r="CK137" s="595"/>
      <c r="CL137" s="595"/>
      <c r="CM137" s="595" t="str">
        <f>CI3</f>
        <v>2017A</v>
      </c>
      <c r="CN137" s="595"/>
      <c r="CO137" s="595"/>
      <c r="CP137" s="595"/>
      <c r="CQ137" s="595"/>
      <c r="CR137" s="595" t="str">
        <f>CN3</f>
        <v>2018E</v>
      </c>
      <c r="CS137" s="595"/>
      <c r="CT137" s="595"/>
      <c r="CU137" s="595"/>
      <c r="CV137" s="595"/>
      <c r="CW137" s="595" t="str">
        <f>CS3</f>
        <v>2019E</v>
      </c>
      <c r="CX137" s="595"/>
      <c r="CY137" s="595"/>
      <c r="CZ137" s="595"/>
      <c r="DA137" s="595"/>
      <c r="DB137" s="595" t="str">
        <f>CX3</f>
        <v>2020E</v>
      </c>
      <c r="DC137" s="681"/>
      <c r="DD137" s="681"/>
      <c r="DE137" s="681"/>
      <c r="DF137" s="681"/>
    </row>
    <row r="138" spans="2:156">
      <c r="AT138" s="4" t="s">
        <v>205</v>
      </c>
      <c r="AY138" s="457">
        <f>AY5</f>
        <v>2569</v>
      </c>
      <c r="BD138" s="457">
        <f>BD5</f>
        <v>2524</v>
      </c>
      <c r="BI138" s="457">
        <f>BI5</f>
        <v>2040</v>
      </c>
      <c r="BN138" s="457">
        <f>BN5</f>
        <v>1941</v>
      </c>
      <c r="BS138" s="457">
        <f>BS5</f>
        <v>1953</v>
      </c>
      <c r="BX138" s="457">
        <f>BX5</f>
        <v>2031</v>
      </c>
      <c r="CC138" s="457">
        <f>CC5</f>
        <v>1856</v>
      </c>
      <c r="CH138" s="457">
        <f>CH5</f>
        <v>1282</v>
      </c>
      <c r="CM138" s="457">
        <f>CM5</f>
        <v>1096</v>
      </c>
      <c r="CR138" s="457">
        <f>CR5</f>
        <v>990.15955867761056</v>
      </c>
      <c r="CW138" s="457">
        <f>CW5</f>
        <v>962.97053937876967</v>
      </c>
      <c r="DB138" s="457">
        <f>DB5</f>
        <v>905.41787034306969</v>
      </c>
      <c r="DC138" s="457"/>
      <c r="DD138" s="457"/>
      <c r="DE138" s="457"/>
      <c r="DF138" s="457"/>
    </row>
    <row r="139" spans="2:156">
      <c r="AT139" s="4" t="s">
        <v>123</v>
      </c>
      <c r="AY139" s="457">
        <f>AY7</f>
        <v>2652</v>
      </c>
      <c r="BD139" s="457">
        <f>BD7</f>
        <v>2486</v>
      </c>
      <c r="BI139" s="457">
        <f>BI7</f>
        <v>2303</v>
      </c>
      <c r="BN139" s="457">
        <f>BN7</f>
        <v>2040</v>
      </c>
      <c r="BS139" s="457">
        <f>BS7</f>
        <v>1911</v>
      </c>
      <c r="BX139" s="457">
        <f>BX7</f>
        <v>1930</v>
      </c>
      <c r="CC139" s="457">
        <f>CC7</f>
        <v>1951</v>
      </c>
      <c r="CH139" s="457">
        <f>CH7</f>
        <v>2093</v>
      </c>
      <c r="CM139" s="457">
        <f>CM7</f>
        <v>2053</v>
      </c>
      <c r="CR139" s="457">
        <f>CR7</f>
        <v>1709.7344174974246</v>
      </c>
      <c r="CW139" s="457">
        <f>CW7</f>
        <v>1491.1232662852194</v>
      </c>
      <c r="DB139" s="457">
        <f>DB7</f>
        <v>1432.9761074458625</v>
      </c>
      <c r="DC139" s="457"/>
      <c r="DD139" s="457"/>
      <c r="DE139" s="457"/>
      <c r="DF139" s="457"/>
    </row>
    <row r="140" spans="2:156">
      <c r="AT140" s="4" t="s">
        <v>121</v>
      </c>
      <c r="AY140" s="457">
        <f>AY11</f>
        <v>1288</v>
      </c>
      <c r="BD140" s="457">
        <f>BD11</f>
        <v>1286</v>
      </c>
      <c r="BI140" s="457">
        <f>BI11</f>
        <v>1260</v>
      </c>
      <c r="BN140" s="457">
        <f>BN11</f>
        <v>1260</v>
      </c>
      <c r="BS140" s="457">
        <f>BS11</f>
        <v>1398</v>
      </c>
      <c r="BX140" s="457">
        <f>BX11</f>
        <v>1159</v>
      </c>
      <c r="CC140" s="457">
        <f>CC11</f>
        <v>1049</v>
      </c>
      <c r="CH140" s="457">
        <f>CH11</f>
        <v>765</v>
      </c>
      <c r="CM140" s="457">
        <f>CM11</f>
        <v>549</v>
      </c>
      <c r="CR140" s="457">
        <f>CR11</f>
        <v>369.93205712288835</v>
      </c>
      <c r="CW140" s="457">
        <f>CW11</f>
        <v>265.78824540301764</v>
      </c>
      <c r="DB140" s="457">
        <f>DB11</f>
        <v>228.54434963010129</v>
      </c>
      <c r="DC140" s="457"/>
      <c r="DD140" s="457"/>
      <c r="DE140" s="457"/>
      <c r="DF140" s="457"/>
    </row>
    <row r="141" spans="2:156">
      <c r="AT141" s="4" t="s">
        <v>122</v>
      </c>
      <c r="AY141" s="457">
        <f>AY15</f>
        <v>3355</v>
      </c>
      <c r="BD141" s="457">
        <f>BD15</f>
        <v>3558</v>
      </c>
      <c r="BI141" s="457">
        <f>BI15</f>
        <v>3952</v>
      </c>
      <c r="BN141" s="457">
        <f>BN15</f>
        <v>4092</v>
      </c>
      <c r="BS141" s="457">
        <f>BS15</f>
        <v>4392</v>
      </c>
      <c r="BX141" s="457">
        <f>BX15</f>
        <v>4596</v>
      </c>
      <c r="CC141" s="457">
        <f>CC15</f>
        <v>4715</v>
      </c>
      <c r="CH141" s="457">
        <f>CH15</f>
        <v>4648</v>
      </c>
      <c r="CM141" s="457">
        <f>CM15</f>
        <v>4534</v>
      </c>
      <c r="CR141" s="457">
        <f>CR15</f>
        <v>4233.5681556404907</v>
      </c>
      <c r="CW141" s="457">
        <f>CW15</f>
        <v>3784.6443442477839</v>
      </c>
      <c r="DB141" s="457">
        <f>DB15</f>
        <v>3334.0344328033216</v>
      </c>
      <c r="DC141" s="457"/>
      <c r="DD141" s="457"/>
      <c r="DE141" s="457"/>
      <c r="DF141" s="457"/>
    </row>
    <row r="142" spans="2:156">
      <c r="AT142" s="4" t="s">
        <v>235</v>
      </c>
      <c r="AY142" s="457">
        <f>AY19</f>
        <v>3493</v>
      </c>
      <c r="BD142" s="457">
        <f>BD19</f>
        <v>3534</v>
      </c>
      <c r="BI142" s="457">
        <f>BI19</f>
        <v>3701</v>
      </c>
      <c r="BN142" s="457">
        <f>BN19</f>
        <v>4236</v>
      </c>
      <c r="BS142" s="457">
        <f>BS19</f>
        <v>4551</v>
      </c>
      <c r="BX142" s="457">
        <f>BX19</f>
        <v>4688</v>
      </c>
      <c r="CC142" s="457">
        <f>CC19</f>
        <v>5364</v>
      </c>
      <c r="CH142" s="457">
        <f>CH19</f>
        <v>5965</v>
      </c>
      <c r="CM142" s="457">
        <f>CM19</f>
        <v>5433</v>
      </c>
      <c r="CR142" s="457">
        <f>CR19</f>
        <v>5028.1685344940524</v>
      </c>
      <c r="CW142" s="457">
        <f>CW19</f>
        <v>4750.4518167287342</v>
      </c>
      <c r="DB142" s="457">
        <f>DB19</f>
        <v>4103.2651360638447</v>
      </c>
      <c r="DC142" s="457"/>
      <c r="DD142" s="457"/>
      <c r="DE142" s="457"/>
      <c r="DF142" s="457"/>
    </row>
    <row r="143" spans="2:156">
      <c r="AT143" s="596" t="s">
        <v>207</v>
      </c>
      <c r="AU143" s="597"/>
      <c r="AV143" s="597"/>
      <c r="AW143" s="597"/>
      <c r="AX143" s="597"/>
      <c r="AY143" s="598">
        <f>AY142+AY141+AY140+AY139+AY138</f>
        <v>13357</v>
      </c>
      <c r="AZ143" s="597"/>
      <c r="BA143" s="597"/>
      <c r="BB143" s="597"/>
      <c r="BC143" s="597"/>
      <c r="BD143" s="598">
        <f>BD142+BD141+BD140+BD139+BD138</f>
        <v>13388</v>
      </c>
      <c r="BE143" s="597"/>
      <c r="BF143" s="597"/>
      <c r="BG143" s="597"/>
      <c r="BH143" s="597"/>
      <c r="BI143" s="598">
        <f>BI142+BI141+BI140+BI139+BI138</f>
        <v>13256</v>
      </c>
      <c r="BJ143" s="597"/>
      <c r="BK143" s="597"/>
      <c r="BL143" s="597"/>
      <c r="BM143" s="597"/>
      <c r="BN143" s="598">
        <f>BN142+BN141+BN140+BN139+BN138</f>
        <v>13569</v>
      </c>
      <c r="BO143" s="597"/>
      <c r="BP143" s="597"/>
      <c r="BQ143" s="597"/>
      <c r="BR143" s="597"/>
      <c r="BS143" s="598">
        <f>BS142+BS141+BS140+BS139+BS138</f>
        <v>14205</v>
      </c>
      <c r="BT143" s="597"/>
      <c r="BU143" s="597"/>
      <c r="BV143" s="597"/>
      <c r="BW143" s="597"/>
      <c r="BX143" s="598">
        <f>BX142+BX141+BX140+BX139+BX138</f>
        <v>14404</v>
      </c>
      <c r="BY143" s="597"/>
      <c r="BZ143" s="597"/>
      <c r="CA143" s="597"/>
      <c r="CB143" s="597"/>
      <c r="CC143" s="598">
        <f>CC142+CC141+CC140+CC139+CC138</f>
        <v>14935</v>
      </c>
      <c r="CD143" s="597"/>
      <c r="CE143" s="597"/>
      <c r="CF143" s="597"/>
      <c r="CG143" s="597"/>
      <c r="CH143" s="598">
        <f>CH142+CH141+CH140+CH139+CH138</f>
        <v>14753</v>
      </c>
      <c r="CI143" s="597"/>
      <c r="CJ143" s="597"/>
      <c r="CK143" s="597"/>
      <c r="CL143" s="597"/>
      <c r="CM143" s="598">
        <f>CM142+CM141+CM140+CM139+CM138</f>
        <v>13665</v>
      </c>
      <c r="CN143" s="597"/>
      <c r="CO143" s="597"/>
      <c r="CP143" s="597"/>
      <c r="CQ143" s="597"/>
      <c r="CR143" s="598">
        <f>CR142+CR141+CR140+CR139+CR138</f>
        <v>12331.562723432467</v>
      </c>
      <c r="CS143" s="597"/>
      <c r="CT143" s="597"/>
      <c r="CU143" s="597"/>
      <c r="CV143" s="597"/>
      <c r="CW143" s="598">
        <f>CW142+CW141+CW140+CW139+CW138</f>
        <v>11254.978212043525</v>
      </c>
      <c r="CX143" s="597"/>
      <c r="CY143" s="597"/>
      <c r="CZ143" s="597"/>
      <c r="DA143" s="597"/>
      <c r="DB143" s="598">
        <f>DB142+DB141+DB140+DB139+DB138</f>
        <v>10004.2378962862</v>
      </c>
      <c r="DC143" s="457"/>
      <c r="DD143" s="457"/>
      <c r="DE143" s="457"/>
      <c r="DF143" s="457"/>
    </row>
    <row r="144" spans="2:156">
      <c r="AT144" s="157" t="s">
        <v>208</v>
      </c>
      <c r="AY144" s="343">
        <f>AY143/13850-1</f>
        <v>-3.5595667870036096E-2</v>
      </c>
      <c r="BD144" s="343">
        <f>BD143/AY143-1</f>
        <v>2.3208804372238934E-3</v>
      </c>
      <c r="BI144" s="343">
        <f>BI143/BD143-1</f>
        <v>-9.8595757394681627E-3</v>
      </c>
      <c r="BN144" s="343">
        <f>BN143/BI143-1</f>
        <v>2.3611949305974544E-2</v>
      </c>
      <c r="BS144" s="343">
        <f>BS143/BN143-1</f>
        <v>4.687154543444616E-2</v>
      </c>
      <c r="BX144" s="343">
        <f>BX143/BS143-1</f>
        <v>1.4009151707145451E-2</v>
      </c>
      <c r="CC144" s="343">
        <f>CC143/BX143-1</f>
        <v>3.6864759788947543E-2</v>
      </c>
      <c r="CH144" s="343">
        <f>CH143/CC143-1</f>
        <v>-1.2186139939738827E-2</v>
      </c>
      <c r="CM144" s="343">
        <f>CM143/CH143-1</f>
        <v>-7.374771232969568E-2</v>
      </c>
      <c r="CR144" s="343">
        <f>CR143/CM143-1</f>
        <v>-9.7580481270950092E-2</v>
      </c>
      <c r="CW144" s="343">
        <f>CW143/CR143-1</f>
        <v>-8.7303169560433269E-2</v>
      </c>
      <c r="DB144" s="343">
        <f>DB143/CW143-1</f>
        <v>-0.11112774207052256</v>
      </c>
      <c r="DC144" s="343"/>
      <c r="DD144" s="343"/>
      <c r="DE144" s="343"/>
      <c r="DF144" s="343"/>
    </row>
    <row r="145" spans="2:110">
      <c r="AT145" s="157" t="s">
        <v>698</v>
      </c>
      <c r="AY145" s="343">
        <f>AY143/AY75</f>
        <v>0.93073653403943979</v>
      </c>
      <c r="BD145" s="343">
        <f>BD143/BD75</f>
        <v>0.9132332878581173</v>
      </c>
      <c r="BI145" s="343">
        <f>BI143/BI75</f>
        <v>0.86668846028113766</v>
      </c>
      <c r="BN145" s="343">
        <f>BN143/BN75</f>
        <v>0.81549371957449368</v>
      </c>
      <c r="BS145" s="343">
        <f>BS143/BS75</f>
        <v>0.7808377308707124</v>
      </c>
      <c r="BX145" s="343">
        <f>BX143/BX75</f>
        <v>0.74527862575671344</v>
      </c>
      <c r="CC145" s="343">
        <f>CC143/CC75</f>
        <v>0.71309205500381967</v>
      </c>
      <c r="CH145" s="343">
        <f>CH143/CH75</f>
        <v>0.67389914123880867</v>
      </c>
      <c r="CM145" s="343">
        <f>CM143/CM75</f>
        <v>0.62697866483138331</v>
      </c>
      <c r="CR145" s="343">
        <f>CR143/CR75</f>
        <v>0.57220673106661024</v>
      </c>
      <c r="CW145" s="343">
        <f>CW143/CW75</f>
        <v>0.52988470993519898</v>
      </c>
      <c r="DB145" s="343">
        <f>DB143/DB75</f>
        <v>0.46780148633933544</v>
      </c>
      <c r="DC145" s="343"/>
      <c r="DD145" s="343"/>
      <c r="DE145" s="343"/>
      <c r="DF145" s="343"/>
    </row>
    <row r="149" spans="2:110">
      <c r="B149" s="359" t="s">
        <v>116</v>
      </c>
      <c r="AY149" s="457">
        <f>AY5+AY8+AY12+AY16+AY20+AY24+AY32+AY36+AY41+AY46+AY51+AY55+AY59+AY65</f>
        <v>11135</v>
      </c>
      <c r="BD149" s="457">
        <f>BD5+BD8+BD12+BD16+BD20+BD24+BD32+BD36+BD41+BD46+BD51+BD55+BD59+BD65</f>
        <v>11254</v>
      </c>
      <c r="BI149" s="457">
        <f>BI5+BI8+BI12+BI16+BI20+BI24+BI32+BI36+BI41+BI46+BI51+BI55+BI59+BI65</f>
        <v>11725</v>
      </c>
      <c r="BN149" s="457">
        <f>BN5+BN8+BN12+BN16+BN20+BN24+BN32+BN36+BN41+BN46+BN51+BN55+BN59+BN65</f>
        <v>12815</v>
      </c>
      <c r="BS149" s="457">
        <f>BS5+BS8+BS12+BS16+BS20+BS24+BS32+BS36+BS41+BS46+BS51+BS55+BS59+BS65</f>
        <v>14045</v>
      </c>
      <c r="BX149" s="457">
        <f>BX5+BX8+BX12+BX16+BX20+BX24+BX32+BX36+BX41+BX46+BX51+BX55+BX59+BX65</f>
        <v>14732</v>
      </c>
    </row>
    <row r="150" spans="2:110">
      <c r="B150" s="359" t="s">
        <v>68</v>
      </c>
      <c r="AY150" s="457">
        <f>AY75-AY149</f>
        <v>3216</v>
      </c>
      <c r="BD150" s="457">
        <f>BD75-BD149</f>
        <v>3406</v>
      </c>
      <c r="BI150" s="457">
        <f>BI75-BI149</f>
        <v>3570</v>
      </c>
      <c r="BN150" s="457">
        <f>BN75-BN149</f>
        <v>3824</v>
      </c>
      <c r="BS150" s="457">
        <f>BS75-BS149</f>
        <v>4147</v>
      </c>
      <c r="BX150" s="457">
        <f>BX75-BX149</f>
        <v>4595</v>
      </c>
    </row>
    <row r="151" spans="2:110">
      <c r="BS151" s="359">
        <f>BS150/(BS149+BS150)</f>
        <v>0.22795734388742303</v>
      </c>
    </row>
  </sheetData>
  <mergeCells count="29">
    <mergeCell ref="CS3:CW3"/>
    <mergeCell ref="CX3:DB3"/>
    <mergeCell ref="BT3:BX3"/>
    <mergeCell ref="BY3:CC3"/>
    <mergeCell ref="CD3:CH3"/>
    <mergeCell ref="CI3:CM3"/>
    <mergeCell ref="CN3:CR3"/>
    <mergeCell ref="L3:P3"/>
    <mergeCell ref="Q3:U3"/>
    <mergeCell ref="V3:Z3"/>
    <mergeCell ref="AA3:AE3"/>
    <mergeCell ref="BO3:BS3"/>
    <mergeCell ref="AF3:AJ3"/>
    <mergeCell ref="AK3:AO3"/>
    <mergeCell ref="AP3:AT3"/>
    <mergeCell ref="AU3:AY3"/>
    <mergeCell ref="AZ3:BD3"/>
    <mergeCell ref="BE3:BI3"/>
    <mergeCell ref="BJ3:BN3"/>
    <mergeCell ref="DC3:DG3"/>
    <mergeCell ref="DH3:DL3"/>
    <mergeCell ref="DM3:DQ3"/>
    <mergeCell ref="DR3:DV3"/>
    <mergeCell ref="DW3:EA3"/>
    <mergeCell ref="EB3:EF3"/>
    <mergeCell ref="EG3:EK3"/>
    <mergeCell ref="EL3:EP3"/>
    <mergeCell ref="EQ3:EU3"/>
    <mergeCell ref="EV3:EZ3"/>
  </mergeCells>
  <phoneticPr fontId="24" type="noConversion"/>
  <pageMargins left="0" right="0" top="0" bottom="0" header="0" footer="0"/>
  <pageSetup paperSize="5" scale="33" orientation="landscape" r:id="rId1"/>
  <headerFooter alignWithMargins="0"/>
  <ignoredErrors>
    <ignoredError sqref="DG37:EU37 CH37 BI38:BX38 BI26:BX26 CH21:CH22 BS22:BX22 CW24 CH25 CH107 CH83 BX80 CW36:CW37 CR37 CW41:CW42 CH42 DG42 DL42 DQ42 DV42:EU42 DL25 DQ25 DV25 DB47 DG47 DL47 DQ47 DV47 EA47 EF47 EK47 EP47 EU47 BY97:CA97 CC97 CD98 CW46:CW47 CH47 DB21:EU21 CC22 CC26 CC38 BI43:CC43 BI48:CC48 BS54 CM17 CR17 CW17 DB17 DG17 DL17 DQ17 DV17 EA17 EF17 EK17 EP17 EU17 CH13 CM13 CR13 CW13 DB13 DG13 DL13 DQ13 DV13 EA13 EF13 EK13 EP13 EU13 CH9 CM9 CR9 CW9 DB9 DG9 DL9 DQ9 DV9 EA9 EF9 EK9 EP9 EU9 EK67 DL67 DG107:DQ107 DG110:EZ110 EU25 EP25 EK25 EF25 EA25 CG114:CG118 CG122:CG130 CI101:CL101 CM107 CI98:CL98 DL69 CR83:EU83 CM21 CM25 CM37 CM42 CM47 CI131 CH129 DG99 CR107:DB107 CW75:EU75 DL102:EF102 DG102 CG120 CM83 CO21:CW21 CR25 CO42:CR42 CO47:CR47" formula="1"/>
  </ignoredErrors>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AV183"/>
  <sheetViews>
    <sheetView showGridLines="0" zoomScale="85" zoomScaleNormal="85" workbookViewId="0">
      <pane xSplit="2" ySplit="1" topLeftCell="Y2" activePane="bottomRight" state="frozen"/>
      <selection pane="topRight" activeCell="C1" sqref="C1"/>
      <selection pane="bottomLeft" activeCell="A3" sqref="A3"/>
      <selection pane="bottomRight" activeCell="B1" sqref="B1:AI38"/>
    </sheetView>
  </sheetViews>
  <sheetFormatPr defaultRowHeight="12.75" customHeight="1" outlineLevelRow="1" outlineLevelCol="1"/>
  <cols>
    <col min="1" max="1" width="1.7109375" style="5" customWidth="1"/>
    <col min="2" max="2" width="43.5703125" style="5" bestFit="1" customWidth="1"/>
    <col min="3" max="8" width="10.42578125" style="5" hidden="1" customWidth="1" outlineLevel="1"/>
    <col min="9" max="10" width="9.85546875" style="5" hidden="1" customWidth="1" outlineLevel="1"/>
    <col min="11" max="11" width="10.28515625" style="5" hidden="1" customWidth="1" outlineLevel="1"/>
    <col min="12" max="12" width="10.7109375" style="5" hidden="1" customWidth="1" outlineLevel="1"/>
    <col min="13" max="13" width="10.140625" style="5" hidden="1" customWidth="1" outlineLevel="1"/>
    <col min="14" max="14" width="10.42578125" style="5" hidden="1" customWidth="1" outlineLevel="1"/>
    <col min="15" max="15" width="10" style="5" hidden="1" customWidth="1" outlineLevel="1" collapsed="1"/>
    <col min="16" max="16" width="10.42578125" style="5" hidden="1" customWidth="1" outlineLevel="1" collapsed="1"/>
    <col min="17" max="17" width="9.28515625" style="5" hidden="1" customWidth="1" outlineLevel="1" collapsed="1"/>
    <col min="18" max="18" width="9.28515625" style="5" hidden="1" customWidth="1" outlineLevel="1"/>
    <col min="19" max="19" width="9.28515625" style="148" customWidth="1" collapsed="1"/>
    <col min="20" max="21" width="9.28515625" style="148" customWidth="1"/>
    <col min="22" max="23" width="9.42578125" style="148" bestFit="1" customWidth="1"/>
    <col min="24" max="26" width="8.7109375" style="148" bestFit="1" customWidth="1"/>
    <col min="27" max="27" width="8.42578125" style="148" customWidth="1"/>
    <col min="28" max="28" width="8.7109375" style="148" customWidth="1"/>
    <col min="29" max="39" width="9.140625" style="148"/>
    <col min="40" max="41" width="9.140625" style="5"/>
    <col min="42" max="42" width="9.140625" style="5" customWidth="1"/>
    <col min="43" max="43" width="35.42578125" customWidth="1"/>
    <col min="49" max="16384" width="9.140625" style="5"/>
  </cols>
  <sheetData>
    <row r="1" spans="1:48" ht="12.75" customHeight="1">
      <c r="A1" s="4"/>
      <c r="B1" s="168"/>
      <c r="C1" s="108" t="s">
        <v>124</v>
      </c>
      <c r="D1" s="108" t="s">
        <v>125</v>
      </c>
      <c r="E1" s="108" t="s">
        <v>126</v>
      </c>
      <c r="F1" s="108" t="s">
        <v>127</v>
      </c>
      <c r="G1" s="108" t="s">
        <v>128</v>
      </c>
      <c r="H1" s="108" t="s">
        <v>129</v>
      </c>
      <c r="I1" s="109" t="s">
        <v>130</v>
      </c>
      <c r="J1" s="109" t="s">
        <v>131</v>
      </c>
      <c r="K1" s="109" t="s">
        <v>50</v>
      </c>
      <c r="L1" s="109" t="s">
        <v>98</v>
      </c>
      <c r="M1" s="109" t="s">
        <v>99</v>
      </c>
      <c r="N1" s="109" t="s">
        <v>100</v>
      </c>
      <c r="O1" s="109" t="s">
        <v>101</v>
      </c>
      <c r="P1" s="109" t="s">
        <v>102</v>
      </c>
      <c r="Q1" s="109" t="s">
        <v>103</v>
      </c>
      <c r="R1" s="109" t="s">
        <v>104</v>
      </c>
      <c r="S1" s="163">
        <v>2009</v>
      </c>
      <c r="T1" s="510">
        <v>2010</v>
      </c>
      <c r="U1" s="163">
        <v>2011</v>
      </c>
      <c r="V1" s="163">
        <v>2012</v>
      </c>
      <c r="W1" s="163">
        <v>2013</v>
      </c>
      <c r="X1" s="163">
        <v>2014</v>
      </c>
      <c r="Y1" s="163">
        <v>2015</v>
      </c>
      <c r="Z1" s="163">
        <v>2016</v>
      </c>
      <c r="AA1" s="163">
        <v>2017</v>
      </c>
      <c r="AB1" s="163" t="s">
        <v>114</v>
      </c>
      <c r="AC1" s="163" t="s">
        <v>113</v>
      </c>
      <c r="AD1" s="163" t="s">
        <v>67</v>
      </c>
      <c r="AE1" s="163" t="s">
        <v>787</v>
      </c>
      <c r="AF1" s="163" t="s">
        <v>788</v>
      </c>
      <c r="AG1" s="163" t="s">
        <v>789</v>
      </c>
      <c r="AH1" s="163" t="s">
        <v>790</v>
      </c>
      <c r="AI1" s="163" t="s">
        <v>791</v>
      </c>
      <c r="AJ1" s="163" t="s">
        <v>792</v>
      </c>
      <c r="AK1" s="163" t="s">
        <v>793</v>
      </c>
      <c r="AL1" s="163" t="s">
        <v>794</v>
      </c>
      <c r="AM1" s="163" t="s">
        <v>795</v>
      </c>
      <c r="AN1" s="163" t="s">
        <v>796</v>
      </c>
      <c r="AO1" s="163"/>
    </row>
    <row r="2" spans="1:48" ht="12.75" customHeight="1">
      <c r="A2" s="4"/>
      <c r="B2" s="518"/>
      <c r="C2" s="519"/>
      <c r="D2" s="519"/>
      <c r="E2" s="519"/>
      <c r="F2" s="519"/>
      <c r="G2" s="519"/>
      <c r="H2" s="519"/>
      <c r="I2" s="520"/>
      <c r="J2" s="520"/>
      <c r="K2" s="520"/>
      <c r="L2" s="520"/>
      <c r="M2" s="520"/>
      <c r="N2" s="520"/>
      <c r="O2" s="520"/>
      <c r="P2" s="520"/>
      <c r="Q2" s="520"/>
      <c r="R2" s="520"/>
      <c r="S2" s="521"/>
      <c r="T2" s="521"/>
      <c r="U2" s="521"/>
      <c r="V2" s="521"/>
      <c r="W2" s="521"/>
      <c r="X2" s="521"/>
      <c r="Y2" s="521"/>
      <c r="Z2" s="521"/>
      <c r="AA2" s="521"/>
      <c r="AB2" s="521"/>
      <c r="AC2" s="521"/>
      <c r="AD2" s="521"/>
      <c r="AE2" s="521"/>
      <c r="AF2" s="521"/>
      <c r="AG2" s="521"/>
      <c r="AH2" s="521"/>
      <c r="AI2" s="521"/>
      <c r="AJ2" s="521"/>
      <c r="AK2" s="521"/>
      <c r="AL2" s="521"/>
      <c r="AM2" s="521"/>
    </row>
    <row r="3" spans="1:48" ht="12.75" customHeight="1">
      <c r="A3" s="102"/>
      <c r="B3" s="522" t="s">
        <v>348</v>
      </c>
      <c r="C3" s="169">
        <v>128.505</v>
      </c>
      <c r="D3" s="169">
        <v>211.3</v>
      </c>
      <c r="E3" s="169">
        <v>66.7</v>
      </c>
      <c r="F3" s="169">
        <v>169.3</v>
      </c>
      <c r="G3" s="169">
        <v>239.1</v>
      </c>
      <c r="H3" s="169">
        <v>201.1</v>
      </c>
      <c r="I3" s="169">
        <v>130.9</v>
      </c>
      <c r="J3" s="169">
        <v>226.5</v>
      </c>
      <c r="K3" s="169">
        <v>689.1</v>
      </c>
      <c r="L3" s="169">
        <v>1851.7</v>
      </c>
      <c r="M3" s="169">
        <v>837</v>
      </c>
      <c r="N3" s="169">
        <v>1526</v>
      </c>
      <c r="O3" s="169">
        <v>1840</v>
      </c>
      <c r="P3" s="169">
        <v>1283</v>
      </c>
      <c r="Q3" s="169">
        <v>2024</v>
      </c>
      <c r="R3" s="169">
        <v>1774</v>
      </c>
      <c r="S3" s="536">
        <v>2884</v>
      </c>
      <c r="T3" s="536">
        <v>3287</v>
      </c>
      <c r="U3" s="536">
        <v>6946</v>
      </c>
      <c r="V3" s="536">
        <v>3257</v>
      </c>
      <c r="W3" s="536">
        <v>3805</v>
      </c>
      <c r="X3" s="536">
        <v>3731</v>
      </c>
      <c r="Y3" s="536">
        <v>4144</v>
      </c>
      <c r="Z3" s="536">
        <v>3241</v>
      </c>
      <c r="AA3" s="536">
        <v>3800</v>
      </c>
      <c r="AB3" s="511">
        <f>AA3+CF!AB47</f>
        <v>2440.6128521977207</v>
      </c>
      <c r="AC3" s="511">
        <f>AB3+CF!AC47</f>
        <v>3305.4609143011203</v>
      </c>
      <c r="AD3" s="511">
        <f>AC3+CF!AD47</f>
        <v>4417.0009029715875</v>
      </c>
      <c r="AE3" s="511">
        <f>AD3+CF!AE47</f>
        <v>4574.6209243748872</v>
      </c>
      <c r="AF3" s="511">
        <f>AE3+CF!AF47</f>
        <v>4008.5273574155053</v>
      </c>
      <c r="AG3" s="511">
        <f>AF3+CF!AG47</f>
        <v>5661.8270879800257</v>
      </c>
      <c r="AH3" s="511">
        <f>AG3+CF!AH47</f>
        <v>6754.1542234957815</v>
      </c>
      <c r="AI3" s="511">
        <f>AH3+CF!AI47</f>
        <v>8289.7343077051137</v>
      </c>
      <c r="AJ3" s="511">
        <f>AI3+CF!AJ47</f>
        <v>13081.760096013673</v>
      </c>
      <c r="AK3" s="511">
        <f>AJ3+CF!AK47</f>
        <v>15566.749229540224</v>
      </c>
      <c r="AL3" s="511">
        <f>AK3+CF!AL47</f>
        <v>28699.773388047077</v>
      </c>
      <c r="AM3" s="511">
        <f>AL3+CF!AM47</f>
        <v>29992.609927733181</v>
      </c>
      <c r="AN3" s="511">
        <f>AM3+CF!AN47</f>
        <v>35982.146521870891</v>
      </c>
      <c r="AO3" s="511"/>
    </row>
    <row r="4" spans="1:48" ht="12.75" customHeight="1">
      <c r="A4" s="102"/>
      <c r="B4" s="522" t="s">
        <v>349</v>
      </c>
      <c r="C4" s="169">
        <v>594.67899999999997</v>
      </c>
      <c r="D4" s="169">
        <v>485.4</v>
      </c>
      <c r="E4" s="169">
        <v>983.6</v>
      </c>
      <c r="F4" s="169">
        <v>907.7</v>
      </c>
      <c r="G4" s="169">
        <v>787.4</v>
      </c>
      <c r="H4" s="169">
        <v>1074.9000000000001</v>
      </c>
      <c r="I4" s="169">
        <v>1202.0999999999999</v>
      </c>
      <c r="J4" s="169">
        <v>1801.6</v>
      </c>
      <c r="K4" s="169">
        <v>1973.1</v>
      </c>
      <c r="L4" s="169">
        <v>2812.2</v>
      </c>
      <c r="M4" s="169">
        <v>4286</v>
      </c>
      <c r="N4" s="169">
        <v>4282</v>
      </c>
      <c r="O4" s="169">
        <v>3415</v>
      </c>
      <c r="P4" s="169">
        <v>4994</v>
      </c>
      <c r="Q4" s="169">
        <v>5127</v>
      </c>
      <c r="R4" s="169">
        <v>7778</v>
      </c>
      <c r="S4" s="536">
        <v>10558</v>
      </c>
      <c r="T4" s="536">
        <v>14135</v>
      </c>
      <c r="U4" s="536">
        <v>13695</v>
      </c>
      <c r="V4" s="536">
        <v>20804</v>
      </c>
      <c r="W4" s="536">
        <v>15596</v>
      </c>
      <c r="X4" s="536">
        <v>23295</v>
      </c>
      <c r="Y4" s="536">
        <v>27238</v>
      </c>
      <c r="Z4" s="536">
        <v>34844</v>
      </c>
      <c r="AA4" s="536">
        <v>37878</v>
      </c>
      <c r="AB4" s="511">
        <f>AA4-CF!AB27-CF!AB28-CF!AB29</f>
        <v>32878</v>
      </c>
      <c r="AC4" s="511">
        <f>AB4-CF!AC27-CF!AC28-CF!AC29</f>
        <v>32878</v>
      </c>
      <c r="AD4" s="511">
        <f>AC4-CF!AD27-CF!AD28-CF!AD29</f>
        <v>32878</v>
      </c>
      <c r="AE4" s="511">
        <f>AD4-CF!AE27-CF!AE28-CF!AE29</f>
        <v>32878</v>
      </c>
      <c r="AF4" s="511">
        <f>AE4-CF!AF27-CF!AF28-CF!AF29</f>
        <v>32878</v>
      </c>
      <c r="AG4" s="511">
        <f>AF4-CF!AG27-CF!AG28-CF!AG29</f>
        <v>32878</v>
      </c>
      <c r="AH4" s="511">
        <f>AG4-CF!AH27-CF!AH28-CF!AH29</f>
        <v>32878</v>
      </c>
      <c r="AI4" s="511">
        <f>AH4-CF!AI27-CF!AI28-CF!AI29</f>
        <v>32878</v>
      </c>
      <c r="AJ4" s="511">
        <f>AI4-CF!AJ27-CF!AJ28-CF!AJ29</f>
        <v>27878</v>
      </c>
      <c r="AK4" s="511">
        <f>AJ4-CF!AK27-CF!AK28-CF!AK29</f>
        <v>27878</v>
      </c>
      <c r="AL4" s="511">
        <f>AK4-CF!AL27-CF!AL28-CF!AL29</f>
        <v>17878</v>
      </c>
      <c r="AM4" s="511">
        <f>AL4-CF!AM27-CF!AM28-CF!AM29</f>
        <v>17878</v>
      </c>
      <c r="AN4" s="511">
        <f>AM4-CF!AN27-CF!AN28-CF!AN29</f>
        <v>12878</v>
      </c>
      <c r="AO4" s="511"/>
    </row>
    <row r="5" spans="1:48" ht="12.75" customHeight="1">
      <c r="A5" s="102"/>
      <c r="B5" s="522" t="s">
        <v>350</v>
      </c>
      <c r="C5" s="169">
        <v>164.33699999999999</v>
      </c>
      <c r="D5" s="169">
        <v>194.7</v>
      </c>
      <c r="E5" s="169">
        <v>199.3</v>
      </c>
      <c r="F5" s="169">
        <v>225.4</v>
      </c>
      <c r="G5" s="169">
        <v>269</v>
      </c>
      <c r="H5" s="169">
        <v>319.89999999999998</v>
      </c>
      <c r="I5" s="169">
        <v>412.2</v>
      </c>
      <c r="J5" s="169">
        <v>389.2</v>
      </c>
      <c r="K5" s="169">
        <v>497.2</v>
      </c>
      <c r="L5" s="169">
        <v>752.4</v>
      </c>
      <c r="M5" s="169">
        <v>1008</v>
      </c>
      <c r="N5" s="169">
        <v>1461</v>
      </c>
      <c r="O5" s="169">
        <v>1769</v>
      </c>
      <c r="P5" s="169">
        <v>2124</v>
      </c>
      <c r="Q5" s="169">
        <v>2101</v>
      </c>
      <c r="R5" s="169">
        <v>2073</v>
      </c>
      <c r="S5" s="536">
        <v>2109</v>
      </c>
      <c r="T5" s="536">
        <v>2335</v>
      </c>
      <c r="U5" s="536">
        <v>2896</v>
      </c>
      <c r="V5" s="536">
        <v>2518</v>
      </c>
      <c r="W5" s="536">
        <v>2697</v>
      </c>
      <c r="X5" s="536">
        <v>2546</v>
      </c>
      <c r="Y5" s="536">
        <v>2995</v>
      </c>
      <c r="Z5" s="536">
        <v>3165</v>
      </c>
      <c r="AA5" s="536">
        <v>3237</v>
      </c>
      <c r="AB5" s="511">
        <f t="shared" ref="AB5:AN5" si="0">AB61</f>
        <v>3206.419276939072</v>
      </c>
      <c r="AC5" s="511">
        <f t="shared" si="0"/>
        <v>3184.9693573112218</v>
      </c>
      <c r="AD5" s="511">
        <f t="shared" si="0"/>
        <v>3219.6596869231994</v>
      </c>
      <c r="AE5" s="511">
        <f t="shared" si="0"/>
        <v>3199.0536303449098</v>
      </c>
      <c r="AF5" s="511">
        <f t="shared" si="0"/>
        <v>3317.0086803516942</v>
      </c>
      <c r="AG5" s="511">
        <f t="shared" si="0"/>
        <v>3483.8889668281581</v>
      </c>
      <c r="AH5" s="511">
        <f t="shared" si="0"/>
        <v>3588.865890514905</v>
      </c>
      <c r="AI5" s="511">
        <f t="shared" si="0"/>
        <v>3644.1831919448682</v>
      </c>
      <c r="AJ5" s="511">
        <f t="shared" si="0"/>
        <v>3625.1944969766973</v>
      </c>
      <c r="AK5" s="511">
        <f t="shared" si="0"/>
        <v>3624.1220723562246</v>
      </c>
      <c r="AL5" s="511">
        <f t="shared" si="0"/>
        <v>3372.0672833179756</v>
      </c>
      <c r="AM5" s="511">
        <f t="shared" si="0"/>
        <v>3238.355552621334</v>
      </c>
      <c r="AN5" s="511">
        <f t="shared" si="0"/>
        <v>3154.8897346265662</v>
      </c>
      <c r="AO5" s="511"/>
    </row>
    <row r="6" spans="1:48" ht="12.75" customHeight="1">
      <c r="A6" s="102"/>
      <c r="B6" s="522" t="s">
        <v>275</v>
      </c>
      <c r="C6" s="169">
        <v>74.712000000000003</v>
      </c>
      <c r="D6" s="169">
        <v>98</v>
      </c>
      <c r="E6" s="169">
        <v>88.8</v>
      </c>
      <c r="F6" s="169">
        <v>97.4</v>
      </c>
      <c r="G6" s="169">
        <v>109.2</v>
      </c>
      <c r="H6" s="169">
        <v>110.8</v>
      </c>
      <c r="I6" s="169">
        <v>184.3</v>
      </c>
      <c r="J6" s="169">
        <v>305.2</v>
      </c>
      <c r="K6" s="169">
        <v>355.6</v>
      </c>
      <c r="L6" s="169">
        <v>544.9</v>
      </c>
      <c r="M6" s="169">
        <v>713</v>
      </c>
      <c r="N6" s="169">
        <v>888</v>
      </c>
      <c r="O6" s="169">
        <v>1258</v>
      </c>
      <c r="P6" s="169">
        <v>1903</v>
      </c>
      <c r="Q6" s="169">
        <v>2091</v>
      </c>
      <c r="R6" s="169">
        <v>2075</v>
      </c>
      <c r="S6" s="536">
        <v>2220</v>
      </c>
      <c r="T6" s="536">
        <v>2022</v>
      </c>
      <c r="U6" s="536">
        <v>2484</v>
      </c>
      <c r="V6" s="536">
        <v>2744</v>
      </c>
      <c r="W6" s="536">
        <v>3019</v>
      </c>
      <c r="X6" s="536">
        <v>2647</v>
      </c>
      <c r="Y6" s="536">
        <v>2435</v>
      </c>
      <c r="Z6" s="536">
        <v>2745</v>
      </c>
      <c r="AA6" s="536">
        <v>2834</v>
      </c>
      <c r="AB6" s="511">
        <f t="shared" ref="AB6:AN6" si="1">AB63</f>
        <v>2686.3773045135758</v>
      </c>
      <c r="AC6" s="511">
        <f t="shared" si="1"/>
        <v>2700.7218776525506</v>
      </c>
      <c r="AD6" s="511">
        <f t="shared" si="1"/>
        <v>2763.0675006046699</v>
      </c>
      <c r="AE6" s="511">
        <f t="shared" si="1"/>
        <v>2872.4209126664582</v>
      </c>
      <c r="AF6" s="511">
        <f t="shared" si="1"/>
        <v>3121.2647081127006</v>
      </c>
      <c r="AG6" s="511">
        <f t="shared" si="1"/>
        <v>3459.0623426103289</v>
      </c>
      <c r="AH6" s="511">
        <f t="shared" si="1"/>
        <v>3694.8587588868827</v>
      </c>
      <c r="AI6" s="511">
        <f t="shared" si="1"/>
        <v>3962.2685964674615</v>
      </c>
      <c r="AJ6" s="511">
        <f t="shared" si="1"/>
        <v>4144.4702040021493</v>
      </c>
      <c r="AK6" s="511">
        <f t="shared" si="1"/>
        <v>4355.8593122092307</v>
      </c>
      <c r="AL6" s="511">
        <f t="shared" si="1"/>
        <v>4266.0976406013469</v>
      </c>
      <c r="AM6" s="511">
        <f t="shared" si="1"/>
        <v>4274.6367094586967</v>
      </c>
      <c r="AN6" s="511">
        <f t="shared" si="1"/>
        <v>4317.0769038948938</v>
      </c>
      <c r="AO6" s="511"/>
    </row>
    <row r="7" spans="1:48" ht="12.75" customHeight="1">
      <c r="A7" s="102"/>
      <c r="B7" s="522" t="s">
        <v>351</v>
      </c>
      <c r="C7" s="169">
        <v>58.936999999999998</v>
      </c>
      <c r="D7" s="169">
        <v>70.2</v>
      </c>
      <c r="E7" s="169">
        <v>0</v>
      </c>
      <c r="F7" s="169">
        <v>0</v>
      </c>
      <c r="G7" s="169">
        <v>0</v>
      </c>
      <c r="H7" s="169">
        <v>0</v>
      </c>
      <c r="I7" s="169">
        <v>0</v>
      </c>
      <c r="J7" s="169">
        <v>0</v>
      </c>
      <c r="K7" s="169">
        <v>0</v>
      </c>
      <c r="L7" s="169">
        <v>0</v>
      </c>
      <c r="M7" s="169">
        <v>0</v>
      </c>
      <c r="N7" s="169">
        <v>0</v>
      </c>
      <c r="O7" s="169">
        <v>0</v>
      </c>
      <c r="P7" s="169">
        <v>0</v>
      </c>
      <c r="Q7" s="169">
        <v>0</v>
      </c>
      <c r="R7" s="169">
        <v>0</v>
      </c>
      <c r="S7" s="536">
        <v>0</v>
      </c>
      <c r="T7" s="536">
        <v>0</v>
      </c>
      <c r="U7" s="536">
        <v>0</v>
      </c>
      <c r="V7" s="536">
        <v>0</v>
      </c>
      <c r="W7" s="536">
        <v>0</v>
      </c>
      <c r="X7" s="536">
        <v>0</v>
      </c>
      <c r="Y7" s="536">
        <v>0</v>
      </c>
      <c r="Z7" s="536">
        <v>0</v>
      </c>
      <c r="AA7" s="536">
        <v>0</v>
      </c>
      <c r="AB7" s="511">
        <v>0</v>
      </c>
      <c r="AC7" s="511">
        <v>0</v>
      </c>
      <c r="AD7" s="511">
        <v>0</v>
      </c>
      <c r="AE7" s="511">
        <v>0</v>
      </c>
      <c r="AF7" s="511">
        <v>0</v>
      </c>
      <c r="AG7" s="511">
        <v>0</v>
      </c>
      <c r="AH7" s="511">
        <v>0</v>
      </c>
      <c r="AI7" s="511">
        <v>0</v>
      </c>
      <c r="AJ7" s="511">
        <v>0</v>
      </c>
      <c r="AK7" s="511">
        <v>0</v>
      </c>
      <c r="AL7" s="511">
        <v>0</v>
      </c>
      <c r="AM7" s="511">
        <v>0</v>
      </c>
      <c r="AN7" s="511">
        <v>0</v>
      </c>
      <c r="AO7" s="511"/>
    </row>
    <row r="8" spans="1:48" ht="12.75" customHeight="1">
      <c r="A8" s="102"/>
      <c r="B8" s="522" t="s">
        <v>276</v>
      </c>
      <c r="C8" s="169">
        <v>33.340000000000003</v>
      </c>
      <c r="D8" s="169">
        <v>56</v>
      </c>
      <c r="E8" s="169">
        <v>115.7</v>
      </c>
      <c r="F8" s="169">
        <v>102.8</v>
      </c>
      <c r="G8" s="169">
        <v>138.80000000000001</v>
      </c>
      <c r="H8" s="169">
        <v>156.6</v>
      </c>
      <c r="I8" s="169">
        <v>135.80000000000001</v>
      </c>
      <c r="J8" s="169">
        <v>214.6</v>
      </c>
      <c r="K8" s="169">
        <v>343.6</v>
      </c>
      <c r="L8" s="169">
        <v>442.3</v>
      </c>
      <c r="M8" s="169">
        <v>558</v>
      </c>
      <c r="N8" s="169">
        <v>1013</v>
      </c>
      <c r="O8" s="169">
        <v>953</v>
      </c>
      <c r="P8" s="169">
        <v>1408</v>
      </c>
      <c r="Q8" s="169">
        <v>1698</v>
      </c>
      <c r="R8" s="169">
        <v>1521</v>
      </c>
      <c r="S8" s="536">
        <v>1161</v>
      </c>
      <c r="T8" s="536">
        <v>1350</v>
      </c>
      <c r="U8" s="536">
        <v>1572</v>
      </c>
      <c r="V8" s="536">
        <v>1886</v>
      </c>
      <c r="W8" s="536">
        <v>2250</v>
      </c>
      <c r="X8" s="536">
        <v>2494</v>
      </c>
      <c r="Y8" s="536">
        <v>1706</v>
      </c>
      <c r="Z8" s="536">
        <v>2015</v>
      </c>
      <c r="AA8" s="536">
        <v>1727</v>
      </c>
      <c r="AB8" s="511">
        <f t="shared" ref="AB8:AN8" si="2">AB58</f>
        <v>1710.6846126888408</v>
      </c>
      <c r="AC8" s="511">
        <f t="shared" si="2"/>
        <v>1699.2406796652704</v>
      </c>
      <c r="AD8" s="511">
        <f t="shared" si="2"/>
        <v>1717.7486188805576</v>
      </c>
      <c r="AE8" s="511">
        <f t="shared" si="2"/>
        <v>1706.7549025658509</v>
      </c>
      <c r="AF8" s="511">
        <f t="shared" si="2"/>
        <v>1769.6861263414819</v>
      </c>
      <c r="AG8" s="511">
        <f t="shared" si="2"/>
        <v>1858.7198781934599</v>
      </c>
      <c r="AH8" s="511">
        <f t="shared" si="2"/>
        <v>1914.7270290142853</v>
      </c>
      <c r="AI8" s="511">
        <f t="shared" si="2"/>
        <v>1944.2398432155662</v>
      </c>
      <c r="AJ8" s="511">
        <f t="shared" si="2"/>
        <v>1934.109019548581</v>
      </c>
      <c r="AK8" s="511">
        <f t="shared" si="2"/>
        <v>1933.5368609697871</v>
      </c>
      <c r="AL8" s="511">
        <f t="shared" si="2"/>
        <v>1799.0609200772765</v>
      </c>
      <c r="AM8" s="511">
        <f t="shared" si="2"/>
        <v>1727.7232126589572</v>
      </c>
      <c r="AN8" s="511">
        <f t="shared" si="2"/>
        <v>1683.1926387704912</v>
      </c>
      <c r="AO8" s="511"/>
    </row>
    <row r="9" spans="1:48" s="359" customFormat="1" ht="12.75" customHeight="1">
      <c r="A9" s="517" t="s">
        <v>44</v>
      </c>
      <c r="B9" s="523" t="s">
        <v>352</v>
      </c>
      <c r="C9" s="524">
        <f t="shared" ref="C9:AN9" si="3">SUM(C3:C8)</f>
        <v>1054.51</v>
      </c>
      <c r="D9" s="524">
        <f t="shared" si="3"/>
        <v>1115.6000000000001</v>
      </c>
      <c r="E9" s="524">
        <f t="shared" si="3"/>
        <v>1454.1</v>
      </c>
      <c r="F9" s="524">
        <f t="shared" si="3"/>
        <v>1502.6000000000001</v>
      </c>
      <c r="G9" s="524">
        <f t="shared" si="3"/>
        <v>1543.5</v>
      </c>
      <c r="H9" s="524">
        <f t="shared" si="3"/>
        <v>1863.3</v>
      </c>
      <c r="I9" s="524">
        <f t="shared" si="3"/>
        <v>2065.3000000000002</v>
      </c>
      <c r="J9" s="524">
        <f t="shared" si="3"/>
        <v>2937.0999999999995</v>
      </c>
      <c r="K9" s="524">
        <f t="shared" si="3"/>
        <v>3858.5999999999995</v>
      </c>
      <c r="L9" s="524">
        <f t="shared" si="3"/>
        <v>6403.4999999999991</v>
      </c>
      <c r="M9" s="524">
        <f t="shared" si="3"/>
        <v>7402</v>
      </c>
      <c r="N9" s="524">
        <f t="shared" si="3"/>
        <v>9170</v>
      </c>
      <c r="O9" s="524">
        <f t="shared" si="3"/>
        <v>9235</v>
      </c>
      <c r="P9" s="524">
        <f t="shared" si="3"/>
        <v>11712</v>
      </c>
      <c r="Q9" s="524">
        <f t="shared" si="3"/>
        <v>13041</v>
      </c>
      <c r="R9" s="524">
        <f t="shared" si="3"/>
        <v>15221</v>
      </c>
      <c r="S9" s="525">
        <f t="shared" si="3"/>
        <v>18932</v>
      </c>
      <c r="T9" s="525">
        <f t="shared" si="3"/>
        <v>23129</v>
      </c>
      <c r="U9" s="525">
        <f t="shared" si="3"/>
        <v>27593</v>
      </c>
      <c r="V9" s="525">
        <f t="shared" si="3"/>
        <v>31209</v>
      </c>
      <c r="W9" s="525">
        <f t="shared" si="3"/>
        <v>27367</v>
      </c>
      <c r="X9" s="525">
        <f t="shared" si="3"/>
        <v>34713</v>
      </c>
      <c r="Y9" s="525">
        <f t="shared" si="3"/>
        <v>38518</v>
      </c>
      <c r="Z9" s="525">
        <f t="shared" si="3"/>
        <v>46010</v>
      </c>
      <c r="AA9" s="525">
        <f t="shared" si="3"/>
        <v>49476</v>
      </c>
      <c r="AB9" s="525">
        <f t="shared" si="3"/>
        <v>42922.094046339211</v>
      </c>
      <c r="AC9" s="525">
        <f t="shared" si="3"/>
        <v>43768.392828930162</v>
      </c>
      <c r="AD9" s="525">
        <f t="shared" si="3"/>
        <v>44995.476709380018</v>
      </c>
      <c r="AE9" s="525">
        <f t="shared" si="3"/>
        <v>45230.85036995211</v>
      </c>
      <c r="AF9" s="525">
        <f t="shared" si="3"/>
        <v>45094.486872221387</v>
      </c>
      <c r="AG9" s="525">
        <f t="shared" si="3"/>
        <v>47341.498275611964</v>
      </c>
      <c r="AH9" s="525">
        <f t="shared" si="3"/>
        <v>48830.605901911855</v>
      </c>
      <c r="AI9" s="525">
        <f t="shared" si="3"/>
        <v>50718.425939333007</v>
      </c>
      <c r="AJ9" s="525">
        <f t="shared" si="3"/>
        <v>50663.533816541109</v>
      </c>
      <c r="AK9" s="525">
        <f t="shared" si="3"/>
        <v>53358.267475075467</v>
      </c>
      <c r="AL9" s="525">
        <f t="shared" si="3"/>
        <v>56014.999232043672</v>
      </c>
      <c r="AM9" s="525">
        <f t="shared" si="3"/>
        <v>57111.325402472168</v>
      </c>
      <c r="AN9" s="525">
        <f t="shared" si="3"/>
        <v>58015.305799162838</v>
      </c>
      <c r="AO9" s="531"/>
      <c r="AQ9"/>
      <c r="AR9"/>
      <c r="AS9"/>
      <c r="AT9"/>
      <c r="AU9"/>
      <c r="AV9"/>
    </row>
    <row r="10" spans="1:48" s="359" customFormat="1" ht="6.75" customHeight="1">
      <c r="A10" s="517"/>
      <c r="B10" s="529"/>
      <c r="C10" s="530"/>
      <c r="D10" s="530"/>
      <c r="E10" s="530"/>
      <c r="F10" s="530"/>
      <c r="G10" s="530"/>
      <c r="H10" s="530"/>
      <c r="I10" s="530"/>
      <c r="J10" s="530"/>
      <c r="K10" s="530"/>
      <c r="L10" s="530"/>
      <c r="M10" s="530"/>
      <c r="N10" s="530"/>
      <c r="O10" s="530"/>
      <c r="P10" s="530"/>
      <c r="Q10" s="530"/>
      <c r="R10" s="530"/>
      <c r="S10" s="531"/>
      <c r="T10" s="531"/>
      <c r="U10" s="531"/>
      <c r="V10" s="531"/>
      <c r="W10" s="531"/>
      <c r="X10" s="531"/>
      <c r="Y10" s="531"/>
      <c r="Z10" s="531"/>
      <c r="AA10" s="531"/>
      <c r="AB10" s="531"/>
      <c r="AC10" s="531"/>
      <c r="AD10" s="531"/>
      <c r="AE10" s="531"/>
      <c r="AF10" s="531"/>
      <c r="AG10" s="531"/>
      <c r="AH10" s="531"/>
      <c r="AI10" s="531"/>
      <c r="AJ10" s="531"/>
      <c r="AK10" s="531"/>
      <c r="AL10" s="531"/>
      <c r="AM10" s="531"/>
      <c r="AN10" s="531"/>
      <c r="AO10" s="531"/>
      <c r="AQ10"/>
      <c r="AR10"/>
      <c r="AS10"/>
      <c r="AT10"/>
      <c r="AU10"/>
      <c r="AV10"/>
    </row>
    <row r="11" spans="1:48" ht="12.75" customHeight="1">
      <c r="A11" s="102"/>
      <c r="B11" s="532" t="s">
        <v>672</v>
      </c>
      <c r="C11" s="169">
        <v>586.91200000000003</v>
      </c>
      <c r="D11" s="169">
        <v>665.3</v>
      </c>
      <c r="E11" s="169">
        <v>743.8</v>
      </c>
      <c r="F11" s="169">
        <v>910.5</v>
      </c>
      <c r="G11" s="169">
        <v>1186.2</v>
      </c>
      <c r="H11" s="169">
        <v>1450.2</v>
      </c>
      <c r="I11" s="169">
        <v>1553.6</v>
      </c>
      <c r="J11" s="169">
        <v>1781.5</v>
      </c>
      <c r="K11" s="169">
        <v>1946.1</v>
      </c>
      <c r="L11" s="169">
        <v>2813.5</v>
      </c>
      <c r="M11" s="169">
        <v>3799</v>
      </c>
      <c r="N11" s="169">
        <v>4712</v>
      </c>
      <c r="O11" s="169">
        <v>5038</v>
      </c>
      <c r="P11" s="169">
        <v>5921</v>
      </c>
      <c r="Q11" s="169">
        <v>5941</v>
      </c>
      <c r="R11" s="169">
        <v>5879</v>
      </c>
      <c r="S11" s="536">
        <v>5738</v>
      </c>
      <c r="T11" s="536">
        <v>5522</v>
      </c>
      <c r="U11" s="536">
        <v>5420</v>
      </c>
      <c r="V11" s="536">
        <v>5326</v>
      </c>
      <c r="W11" s="536">
        <v>5349</v>
      </c>
      <c r="X11" s="536">
        <v>5223</v>
      </c>
      <c r="Y11" s="536">
        <v>4907</v>
      </c>
      <c r="Z11" s="536">
        <v>4961</v>
      </c>
      <c r="AA11" s="536">
        <v>4989</v>
      </c>
      <c r="AB11" s="511">
        <f t="shared" ref="AB11:AN11" si="4">+AB100</f>
        <v>4779.9549822033305</v>
      </c>
      <c r="AC11" s="511">
        <f t="shared" si="4"/>
        <v>4524.5817780708439</v>
      </c>
      <c r="AD11" s="511">
        <f t="shared" si="4"/>
        <v>4234.0671243449688</v>
      </c>
      <c r="AE11" s="511">
        <f t="shared" si="4"/>
        <v>3896.7945998574423</v>
      </c>
      <c r="AF11" s="511">
        <f t="shared" si="4"/>
        <v>3540.2562779084014</v>
      </c>
      <c r="AG11" s="511">
        <f t="shared" si="4"/>
        <v>3172.284465562173</v>
      </c>
      <c r="AH11" s="511">
        <f t="shared" si="4"/>
        <v>2778.1277031777113</v>
      </c>
      <c r="AI11" s="511">
        <f t="shared" si="4"/>
        <v>2346.3390574227542</v>
      </c>
      <c r="AJ11" s="511">
        <f t="shared" si="4"/>
        <v>1861.311465874285</v>
      </c>
      <c r="AK11" s="511">
        <f t="shared" si="4"/>
        <v>1804.246113082997</v>
      </c>
      <c r="AL11" s="511">
        <f t="shared" si="4"/>
        <v>1580.5882559184288</v>
      </c>
      <c r="AM11" s="511">
        <f t="shared" si="4"/>
        <v>1448.4841712465263</v>
      </c>
      <c r="AN11" s="511">
        <f t="shared" si="4"/>
        <v>2024.8317417220637</v>
      </c>
      <c r="AO11" s="511"/>
    </row>
    <row r="12" spans="1:48" ht="12.75" customHeight="1">
      <c r="A12" s="102"/>
      <c r="B12" s="522" t="s">
        <v>353</v>
      </c>
      <c r="C12" s="169"/>
      <c r="D12" s="169">
        <v>0</v>
      </c>
      <c r="E12" s="169">
        <v>0</v>
      </c>
      <c r="F12" s="169">
        <v>0</v>
      </c>
      <c r="G12" s="169">
        <v>0</v>
      </c>
      <c r="H12" s="169">
        <v>0</v>
      </c>
      <c r="I12" s="169">
        <v>0</v>
      </c>
      <c r="J12" s="169">
        <v>0</v>
      </c>
      <c r="K12" s="169">
        <v>34.1</v>
      </c>
      <c r="L12" s="169">
        <v>4801.8999999999996</v>
      </c>
      <c r="M12" s="169">
        <v>4288</v>
      </c>
      <c r="N12" s="169">
        <v>4033</v>
      </c>
      <c r="O12" s="169">
        <v>3742</v>
      </c>
      <c r="P12" s="169">
        <v>3747</v>
      </c>
      <c r="Q12" s="169">
        <v>3332</v>
      </c>
      <c r="R12" s="169">
        <v>2988</v>
      </c>
      <c r="S12" s="536">
        <v>2567</v>
      </c>
      <c r="T12" s="536">
        <v>2230</v>
      </c>
      <c r="U12" s="536">
        <v>2584</v>
      </c>
      <c r="V12" s="536">
        <v>3968</v>
      </c>
      <c r="W12" s="536">
        <v>13262</v>
      </c>
      <c r="X12" s="536">
        <v>12693</v>
      </c>
      <c r="Y12" s="536">
        <v>11641</v>
      </c>
      <c r="Z12" s="536">
        <v>10279</v>
      </c>
      <c r="AA12" s="536">
        <v>8609</v>
      </c>
      <c r="AB12" s="511">
        <f t="shared" ref="AB12:AN12" si="5">+AB154</f>
        <v>7163.15</v>
      </c>
      <c r="AC12" s="511">
        <f t="shared" si="5"/>
        <v>5645.0074999999997</v>
      </c>
      <c r="AD12" s="511">
        <f t="shared" si="5"/>
        <v>4088.9114374999999</v>
      </c>
      <c r="AE12" s="511">
        <f t="shared" si="5"/>
        <v>2493.9129734375001</v>
      </c>
      <c r="AF12" s="511">
        <f t="shared" si="5"/>
        <v>859.03954777343802</v>
      </c>
      <c r="AG12" s="511">
        <f t="shared" si="5"/>
        <v>0</v>
      </c>
      <c r="AH12" s="511">
        <f t="shared" si="5"/>
        <v>0</v>
      </c>
      <c r="AI12" s="511">
        <f t="shared" si="5"/>
        <v>0</v>
      </c>
      <c r="AJ12" s="511">
        <f t="shared" si="5"/>
        <v>0</v>
      </c>
      <c r="AK12" s="511">
        <f t="shared" si="5"/>
        <v>0</v>
      </c>
      <c r="AL12" s="511">
        <f t="shared" si="5"/>
        <v>0</v>
      </c>
      <c r="AM12" s="511">
        <f t="shared" si="5"/>
        <v>0</v>
      </c>
      <c r="AN12" s="511">
        <f t="shared" si="5"/>
        <v>0</v>
      </c>
      <c r="AO12" s="511"/>
    </row>
    <row r="13" spans="1:48" ht="12.75" customHeight="1">
      <c r="A13" s="102"/>
      <c r="B13" s="522" t="s">
        <v>354</v>
      </c>
      <c r="C13" s="169"/>
      <c r="D13" s="169">
        <v>0</v>
      </c>
      <c r="E13" s="169">
        <v>0</v>
      </c>
      <c r="F13" s="169">
        <v>0</v>
      </c>
      <c r="G13" s="169">
        <v>0</v>
      </c>
      <c r="H13" s="169">
        <v>0</v>
      </c>
      <c r="I13" s="169">
        <v>0</v>
      </c>
      <c r="J13" s="169">
        <v>0</v>
      </c>
      <c r="K13" s="169">
        <v>97.2</v>
      </c>
      <c r="L13" s="169">
        <v>9871.1</v>
      </c>
      <c r="M13" s="169">
        <v>9820</v>
      </c>
      <c r="N13" s="169">
        <f>10525</f>
        <v>10525</v>
      </c>
      <c r="O13" s="169">
        <v>10495</v>
      </c>
      <c r="P13" s="169">
        <v>11302</v>
      </c>
      <c r="Q13" s="169">
        <v>11240</v>
      </c>
      <c r="R13" s="169">
        <v>11339</v>
      </c>
      <c r="S13" s="536">
        <v>11335</v>
      </c>
      <c r="T13" s="536">
        <v>11334</v>
      </c>
      <c r="U13" s="536">
        <v>11750</v>
      </c>
      <c r="V13" s="536">
        <v>12662</v>
      </c>
      <c r="W13" s="536">
        <v>14968</v>
      </c>
      <c r="X13" s="536">
        <v>14788</v>
      </c>
      <c r="Y13" s="536">
        <v>14787</v>
      </c>
      <c r="Z13" s="536">
        <v>14751</v>
      </c>
      <c r="AA13" s="536">
        <v>14761</v>
      </c>
      <c r="AB13" s="511">
        <f t="shared" ref="AB13:AN13" si="6">+AB153</f>
        <v>14761</v>
      </c>
      <c r="AC13" s="511">
        <f t="shared" si="6"/>
        <v>14761</v>
      </c>
      <c r="AD13" s="511">
        <f t="shared" si="6"/>
        <v>14761</v>
      </c>
      <c r="AE13" s="511">
        <f t="shared" si="6"/>
        <v>14761</v>
      </c>
      <c r="AF13" s="511">
        <f t="shared" si="6"/>
        <v>14761</v>
      </c>
      <c r="AG13" s="511">
        <f t="shared" si="6"/>
        <v>14761</v>
      </c>
      <c r="AH13" s="511">
        <f t="shared" si="6"/>
        <v>14761</v>
      </c>
      <c r="AI13" s="511">
        <f t="shared" si="6"/>
        <v>14761</v>
      </c>
      <c r="AJ13" s="511">
        <f t="shared" si="6"/>
        <v>14761</v>
      </c>
      <c r="AK13" s="511">
        <f t="shared" si="6"/>
        <v>14761</v>
      </c>
      <c r="AL13" s="511">
        <f t="shared" si="6"/>
        <v>14761</v>
      </c>
      <c r="AM13" s="511">
        <f t="shared" si="6"/>
        <v>14761</v>
      </c>
      <c r="AN13" s="511">
        <f t="shared" si="6"/>
        <v>14761</v>
      </c>
      <c r="AO13" s="511"/>
    </row>
    <row r="14" spans="1:48" ht="12.75" customHeight="1">
      <c r="A14" s="102"/>
      <c r="B14" s="532" t="s">
        <v>673</v>
      </c>
      <c r="C14" s="169"/>
      <c r="D14" s="169"/>
      <c r="E14" s="169"/>
      <c r="F14" s="169"/>
      <c r="G14" s="169"/>
      <c r="H14" s="169"/>
      <c r="I14" s="169"/>
      <c r="J14" s="169"/>
      <c r="K14" s="169"/>
      <c r="L14" s="169"/>
      <c r="M14" s="169"/>
      <c r="N14" s="169"/>
      <c r="O14" s="169"/>
      <c r="P14" s="169"/>
      <c r="Q14" s="169"/>
      <c r="R14" s="169"/>
      <c r="S14" s="536">
        <v>0</v>
      </c>
      <c r="T14" s="536">
        <v>0</v>
      </c>
      <c r="U14" s="536">
        <v>0</v>
      </c>
      <c r="V14" s="536">
        <v>0</v>
      </c>
      <c r="W14" s="536">
        <v>3412</v>
      </c>
      <c r="X14" s="536">
        <v>0</v>
      </c>
      <c r="Y14" s="536">
        <v>0</v>
      </c>
      <c r="Z14" s="536">
        <v>0</v>
      </c>
      <c r="AA14" s="536">
        <v>0</v>
      </c>
      <c r="AB14" s="511">
        <f t="shared" ref="AB14:AN14" si="7">AA14</f>
        <v>0</v>
      </c>
      <c r="AC14" s="511">
        <f t="shared" si="7"/>
        <v>0</v>
      </c>
      <c r="AD14" s="511">
        <f t="shared" si="7"/>
        <v>0</v>
      </c>
      <c r="AE14" s="511">
        <f t="shared" si="7"/>
        <v>0</v>
      </c>
      <c r="AF14" s="511">
        <f t="shared" si="7"/>
        <v>0</v>
      </c>
      <c r="AG14" s="511">
        <f t="shared" si="7"/>
        <v>0</v>
      </c>
      <c r="AH14" s="511">
        <f t="shared" si="7"/>
        <v>0</v>
      </c>
      <c r="AI14" s="511">
        <f t="shared" si="7"/>
        <v>0</v>
      </c>
      <c r="AJ14" s="511">
        <f t="shared" si="7"/>
        <v>0</v>
      </c>
      <c r="AK14" s="511">
        <f t="shared" si="7"/>
        <v>0</v>
      </c>
      <c r="AL14" s="511">
        <f t="shared" si="7"/>
        <v>0</v>
      </c>
      <c r="AM14" s="511">
        <f t="shared" si="7"/>
        <v>0</v>
      </c>
      <c r="AN14" s="511">
        <f t="shared" si="7"/>
        <v>0</v>
      </c>
      <c r="AO14" s="511"/>
    </row>
    <row r="15" spans="1:48" ht="12.75" customHeight="1">
      <c r="A15" s="102"/>
      <c r="B15" s="522" t="s">
        <v>355</v>
      </c>
      <c r="C15" s="169">
        <f>59.276+64.825</f>
        <v>124.101</v>
      </c>
      <c r="D15" s="169">
        <f>82.3+130.9</f>
        <v>213.2</v>
      </c>
      <c r="E15" s="169">
        <f>95.7+139.2</f>
        <v>234.89999999999998</v>
      </c>
      <c r="F15" s="169">
        <f>109.6+242.9</f>
        <v>352.5</v>
      </c>
      <c r="G15" s="169">
        <f>116.9+263.6</f>
        <v>380.5</v>
      </c>
      <c r="H15" s="169">
        <f>120.9+237.8</f>
        <v>358.70000000000005</v>
      </c>
      <c r="I15" s="169">
        <v>458.7</v>
      </c>
      <c r="J15" s="169">
        <v>681</v>
      </c>
      <c r="K15" s="169">
        <v>507.1</v>
      </c>
      <c r="L15" s="169">
        <v>566.29999999999995</v>
      </c>
      <c r="M15" s="169">
        <v>804</v>
      </c>
      <c r="N15" s="169">
        <v>781</v>
      </c>
      <c r="O15" s="169">
        <v>787</v>
      </c>
      <c r="P15" s="169">
        <v>1106</v>
      </c>
      <c r="Q15" s="169">
        <v>1085</v>
      </c>
      <c r="R15" s="169">
        <v>1000</v>
      </c>
      <c r="S15" s="536">
        <v>1057</v>
      </c>
      <c r="T15" s="536">
        <v>1271</v>
      </c>
      <c r="U15" s="536">
        <v>1524</v>
      </c>
      <c r="V15" s="536">
        <v>1133</v>
      </c>
      <c r="W15" s="536">
        <v>1767</v>
      </c>
      <c r="X15" s="536">
        <v>1592</v>
      </c>
      <c r="Y15" s="536">
        <v>1723</v>
      </c>
      <c r="Z15" s="536">
        <v>1625</v>
      </c>
      <c r="AA15" s="536">
        <v>2119</v>
      </c>
      <c r="AB15" s="511">
        <f>+AA15-CF!AB13-CF!AB31</f>
        <v>2119</v>
      </c>
      <c r="AC15" s="511">
        <f>+AB15-CF!AC13-CF!AC31</f>
        <v>2119</v>
      </c>
      <c r="AD15" s="511">
        <f>+AC15-CF!AD13-CF!AD31</f>
        <v>2119</v>
      </c>
      <c r="AE15" s="511">
        <f>+AD15-CF!AE13-CF!AE31</f>
        <v>2119</v>
      </c>
      <c r="AF15" s="511">
        <f>+AE15-CF!AF13-CF!AF31</f>
        <v>2119</v>
      </c>
      <c r="AG15" s="511">
        <f>+AF15-CF!AG13-CF!AG31</f>
        <v>2119</v>
      </c>
      <c r="AH15" s="511">
        <f>+AG15-CF!AH13-CF!AH31</f>
        <v>2119</v>
      </c>
      <c r="AI15" s="511">
        <f>+AH15-CF!AI13-CF!AI31</f>
        <v>2119</v>
      </c>
      <c r="AJ15" s="511">
        <f>+AI15-CF!AJ13-CF!AJ31</f>
        <v>2119</v>
      </c>
      <c r="AK15" s="511">
        <f>+AJ15-CF!AK13-CF!AK31</f>
        <v>2119</v>
      </c>
      <c r="AL15" s="511">
        <f>+AK15-CF!AL13-CF!AL31</f>
        <v>2119</v>
      </c>
      <c r="AM15" s="511">
        <f>+AL15-CF!AM13-CF!AM31</f>
        <v>2119</v>
      </c>
      <c r="AN15" s="511">
        <f>+AM15-CF!AN13-CF!AN31</f>
        <v>2119</v>
      </c>
      <c r="AO15" s="511"/>
    </row>
    <row r="16" spans="1:48" ht="12.75" customHeight="1" thickBot="1">
      <c r="A16" s="129" t="s">
        <v>44</v>
      </c>
      <c r="B16" s="533" t="s">
        <v>356</v>
      </c>
      <c r="C16" s="534">
        <f t="shared" ref="C16:Q16" si="8">C9+C11+C12+C13+C15</f>
        <v>1765.5230000000001</v>
      </c>
      <c r="D16" s="534">
        <f t="shared" si="8"/>
        <v>1994.1000000000001</v>
      </c>
      <c r="E16" s="534">
        <f t="shared" si="8"/>
        <v>2432.7999999999997</v>
      </c>
      <c r="F16" s="534">
        <f t="shared" si="8"/>
        <v>2765.6000000000004</v>
      </c>
      <c r="G16" s="534">
        <f t="shared" si="8"/>
        <v>3110.2</v>
      </c>
      <c r="H16" s="534">
        <f t="shared" si="8"/>
        <v>3672.2</v>
      </c>
      <c r="I16" s="534">
        <f t="shared" si="8"/>
        <v>4077.6</v>
      </c>
      <c r="J16" s="534">
        <f t="shared" si="8"/>
        <v>5399.5999999999995</v>
      </c>
      <c r="K16" s="534">
        <f t="shared" si="8"/>
        <v>6443.0999999999995</v>
      </c>
      <c r="L16" s="534">
        <f t="shared" si="8"/>
        <v>24456.3</v>
      </c>
      <c r="M16" s="534">
        <f t="shared" si="8"/>
        <v>26113</v>
      </c>
      <c r="N16" s="534">
        <f t="shared" si="8"/>
        <v>29221</v>
      </c>
      <c r="O16" s="534">
        <f t="shared" si="8"/>
        <v>29297</v>
      </c>
      <c r="P16" s="534">
        <f t="shared" si="8"/>
        <v>33788</v>
      </c>
      <c r="Q16" s="534">
        <f t="shared" si="8"/>
        <v>34639</v>
      </c>
      <c r="R16" s="534">
        <f t="shared" ref="R16:AN16" si="9">SUM(R9:R15)</f>
        <v>36427</v>
      </c>
      <c r="S16" s="535">
        <f t="shared" si="9"/>
        <v>39629</v>
      </c>
      <c r="T16" s="535">
        <f t="shared" si="9"/>
        <v>43486</v>
      </c>
      <c r="U16" s="535">
        <f t="shared" si="9"/>
        <v>48871</v>
      </c>
      <c r="V16" s="535">
        <f t="shared" si="9"/>
        <v>54298</v>
      </c>
      <c r="W16" s="535">
        <f t="shared" si="9"/>
        <v>66125</v>
      </c>
      <c r="X16" s="535">
        <f>SUM(X9:X15)</f>
        <v>69009</v>
      </c>
      <c r="Y16" s="535">
        <f t="shared" si="9"/>
        <v>71576</v>
      </c>
      <c r="Z16" s="535">
        <f t="shared" si="9"/>
        <v>77626</v>
      </c>
      <c r="AA16" s="535">
        <f t="shared" si="9"/>
        <v>79954</v>
      </c>
      <c r="AB16" s="535">
        <f t="shared" si="9"/>
        <v>71745.199028542542</v>
      </c>
      <c r="AC16" s="535">
        <f t="shared" si="9"/>
        <v>70817.982107001008</v>
      </c>
      <c r="AD16" s="535">
        <f t="shared" si="9"/>
        <v>70198.455271224986</v>
      </c>
      <c r="AE16" s="535">
        <f t="shared" si="9"/>
        <v>68501.557943247055</v>
      </c>
      <c r="AF16" s="535">
        <f t="shared" si="9"/>
        <v>66373.782697903225</v>
      </c>
      <c r="AG16" s="535">
        <f t="shared" si="9"/>
        <v>67393.782741174131</v>
      </c>
      <c r="AH16" s="535">
        <f t="shared" si="9"/>
        <v>68488.733605089568</v>
      </c>
      <c r="AI16" s="535">
        <f t="shared" si="9"/>
        <v>69944.764996755752</v>
      </c>
      <c r="AJ16" s="535">
        <f t="shared" si="9"/>
        <v>69404.845282415394</v>
      </c>
      <c r="AK16" s="535">
        <f t="shared" si="9"/>
        <v>72042.513588158472</v>
      </c>
      <c r="AL16" s="535">
        <f t="shared" si="9"/>
        <v>74475.587487962097</v>
      </c>
      <c r="AM16" s="535">
        <f t="shared" si="9"/>
        <v>75439.809573718696</v>
      </c>
      <c r="AN16" s="535">
        <f t="shared" si="9"/>
        <v>76920.137540884898</v>
      </c>
      <c r="AO16" s="521"/>
    </row>
    <row r="17" spans="1:41" ht="12.75" customHeight="1" thickTop="1">
      <c r="A17" s="129"/>
      <c r="B17" s="526"/>
      <c r="C17" s="520"/>
      <c r="D17" s="520"/>
      <c r="E17" s="520"/>
      <c r="F17" s="520"/>
      <c r="G17" s="520"/>
      <c r="H17" s="520"/>
      <c r="I17" s="520"/>
      <c r="J17" s="520"/>
      <c r="K17" s="520"/>
      <c r="L17" s="520"/>
      <c r="M17" s="520"/>
      <c r="N17" s="520"/>
      <c r="O17" s="520"/>
      <c r="P17" s="520"/>
      <c r="Q17" s="520"/>
      <c r="R17" s="520"/>
      <c r="S17" s="521"/>
      <c r="T17" s="521"/>
      <c r="U17" s="521"/>
      <c r="V17" s="521"/>
      <c r="W17" s="521"/>
      <c r="X17" s="521"/>
      <c r="Y17" s="521"/>
      <c r="Z17" s="521"/>
      <c r="AA17" s="521"/>
      <c r="AB17" s="521"/>
      <c r="AC17" s="521"/>
      <c r="AD17" s="521"/>
      <c r="AE17" s="521"/>
      <c r="AF17" s="521"/>
      <c r="AG17" s="521"/>
      <c r="AH17" s="521"/>
      <c r="AI17" s="521"/>
      <c r="AJ17" s="521"/>
      <c r="AK17" s="521"/>
      <c r="AL17" s="521"/>
      <c r="AM17" s="521"/>
      <c r="AN17" s="521"/>
      <c r="AO17" s="521"/>
    </row>
    <row r="18" spans="1:41" ht="12.75" customHeight="1">
      <c r="A18" s="102"/>
      <c r="B18" s="522" t="s">
        <v>277</v>
      </c>
      <c r="C18" s="169">
        <v>23.056000000000001</v>
      </c>
      <c r="D18" s="169">
        <v>30.5</v>
      </c>
      <c r="E18" s="169">
        <v>54.4</v>
      </c>
      <c r="F18" s="169">
        <v>75</v>
      </c>
      <c r="G18" s="169">
        <v>103.9</v>
      </c>
      <c r="H18" s="169">
        <v>121.6</v>
      </c>
      <c r="I18" s="169">
        <v>83.4</v>
      </c>
      <c r="J18" s="169">
        <v>143.19999999999999</v>
      </c>
      <c r="K18" s="169">
        <v>136.69999999999999</v>
      </c>
      <c r="L18" s="169">
        <v>254.6</v>
      </c>
      <c r="M18" s="169">
        <v>327</v>
      </c>
      <c r="N18" s="169">
        <v>507</v>
      </c>
      <c r="O18" s="169">
        <v>596</v>
      </c>
      <c r="P18" s="169">
        <v>555</v>
      </c>
      <c r="Q18" s="169">
        <v>378</v>
      </c>
      <c r="R18" s="169">
        <v>504</v>
      </c>
      <c r="S18" s="536">
        <v>574</v>
      </c>
      <c r="T18" s="536">
        <v>716</v>
      </c>
      <c r="U18" s="536">
        <v>642</v>
      </c>
      <c r="V18" s="536">
        <v>905</v>
      </c>
      <c r="W18" s="536">
        <v>787</v>
      </c>
      <c r="X18" s="536">
        <v>1212</v>
      </c>
      <c r="Y18" s="536">
        <v>965</v>
      </c>
      <c r="Z18" s="536">
        <v>917</v>
      </c>
      <c r="AA18" s="536">
        <v>1352</v>
      </c>
      <c r="AB18" s="511">
        <f t="shared" ref="AB18:AN18" si="10">AB65</f>
        <v>1344.5398387576679</v>
      </c>
      <c r="AC18" s="511">
        <f t="shared" si="10"/>
        <v>1365.7639841143937</v>
      </c>
      <c r="AD18" s="511">
        <f t="shared" si="10"/>
        <v>1393.4094061477037</v>
      </c>
      <c r="AE18" s="511">
        <f t="shared" si="10"/>
        <v>1396.1113111571312</v>
      </c>
      <c r="AF18" s="511">
        <f t="shared" si="10"/>
        <v>1416.9496972582745</v>
      </c>
      <c r="AG18" s="511">
        <f t="shared" si="10"/>
        <v>1460.7430420477247</v>
      </c>
      <c r="AH18" s="511">
        <f t="shared" si="10"/>
        <v>1478.8735593951023</v>
      </c>
      <c r="AI18" s="511">
        <f t="shared" si="10"/>
        <v>1490.1487103691138</v>
      </c>
      <c r="AJ18" s="511">
        <f t="shared" si="10"/>
        <v>1500.5942195394246</v>
      </c>
      <c r="AK18" s="511">
        <f t="shared" si="10"/>
        <v>1514.8566970764773</v>
      </c>
      <c r="AL18" s="511">
        <f t="shared" si="10"/>
        <v>1482.4270187810794</v>
      </c>
      <c r="AM18" s="511">
        <f t="shared" si="10"/>
        <v>1452.8187948755487</v>
      </c>
      <c r="AN18" s="511">
        <f t="shared" si="10"/>
        <v>1428.7891998604662</v>
      </c>
      <c r="AO18" s="511"/>
    </row>
    <row r="19" spans="1:41" ht="12.75" customHeight="1">
      <c r="A19" s="102"/>
      <c r="B19" s="522" t="s">
        <v>357</v>
      </c>
      <c r="C19" s="169">
        <v>109.767</v>
      </c>
      <c r="D19" s="169">
        <v>99.7</v>
      </c>
      <c r="E19" s="169">
        <v>69.7</v>
      </c>
      <c r="F19" s="169">
        <v>0</v>
      </c>
      <c r="G19" s="169">
        <v>0</v>
      </c>
      <c r="H19" s="169">
        <v>99.7</v>
      </c>
      <c r="I19" s="169">
        <v>99.5</v>
      </c>
      <c r="J19" s="169">
        <v>99.7</v>
      </c>
      <c r="K19" s="169">
        <v>99.9</v>
      </c>
      <c r="L19" s="169">
        <v>0</v>
      </c>
      <c r="M19" s="169">
        <v>0</v>
      </c>
      <c r="N19" s="169">
        <v>0</v>
      </c>
      <c r="O19" s="169">
        <v>0</v>
      </c>
      <c r="P19" s="169">
        <v>0</v>
      </c>
      <c r="Q19" s="169">
        <v>0</v>
      </c>
      <c r="R19" s="169">
        <v>0</v>
      </c>
      <c r="S19" s="536">
        <v>0</v>
      </c>
      <c r="T19" s="536">
        <v>0</v>
      </c>
      <c r="U19" s="536">
        <v>0</v>
      </c>
      <c r="V19" s="536">
        <v>0</v>
      </c>
      <c r="W19" s="536">
        <v>0</v>
      </c>
      <c r="X19" s="536">
        <v>0</v>
      </c>
      <c r="Y19" s="536">
        <v>0</v>
      </c>
      <c r="Z19" s="536">
        <v>0</v>
      </c>
      <c r="AA19" s="536">
        <v>0</v>
      </c>
      <c r="AB19" s="511">
        <v>0</v>
      </c>
      <c r="AC19" s="511">
        <v>0</v>
      </c>
      <c r="AD19" s="511">
        <v>0</v>
      </c>
      <c r="AE19" s="511">
        <v>0</v>
      </c>
      <c r="AF19" s="511">
        <v>0</v>
      </c>
      <c r="AG19" s="511">
        <v>0</v>
      </c>
      <c r="AH19" s="511">
        <v>0</v>
      </c>
      <c r="AI19" s="511">
        <v>0</v>
      </c>
      <c r="AJ19" s="511">
        <v>0</v>
      </c>
      <c r="AK19" s="511">
        <v>0</v>
      </c>
      <c r="AL19" s="511">
        <v>0</v>
      </c>
      <c r="AM19" s="511">
        <v>0</v>
      </c>
      <c r="AN19" s="511">
        <v>0</v>
      </c>
      <c r="AO19" s="511"/>
    </row>
    <row r="20" spans="1:41" ht="12.75" customHeight="1">
      <c r="A20" s="102"/>
      <c r="B20" s="522" t="s">
        <v>278</v>
      </c>
      <c r="C20" s="169">
        <v>279.43799999999999</v>
      </c>
      <c r="D20" s="169">
        <v>406.2</v>
      </c>
      <c r="E20" s="169">
        <v>459.7</v>
      </c>
      <c r="F20" s="169">
        <v>449.7</v>
      </c>
      <c r="G20" s="169">
        <v>608</v>
      </c>
      <c r="H20" s="169">
        <v>659.7</v>
      </c>
      <c r="I20" s="169">
        <v>648.20000000000005</v>
      </c>
      <c r="J20" s="169">
        <v>619.20000000000005</v>
      </c>
      <c r="K20" s="169">
        <v>766.3</v>
      </c>
      <c r="L20" s="169">
        <v>1151.7</v>
      </c>
      <c r="M20" s="169">
        <v>2129</v>
      </c>
      <c r="N20" s="169">
        <v>2477</v>
      </c>
      <c r="O20" s="169">
        <v>2999</v>
      </c>
      <c r="P20" s="169">
        <v>4589</v>
      </c>
      <c r="Q20" s="169">
        <v>3801</v>
      </c>
      <c r="R20" s="169">
        <v>3382</v>
      </c>
      <c r="S20" s="536">
        <v>3299</v>
      </c>
      <c r="T20" s="536">
        <v>3366</v>
      </c>
      <c r="U20" s="536">
        <v>5028</v>
      </c>
      <c r="V20" s="536">
        <v>4791</v>
      </c>
      <c r="W20" s="536">
        <v>4655</v>
      </c>
      <c r="X20" s="536">
        <v>5296</v>
      </c>
      <c r="Y20" s="536">
        <v>5452</v>
      </c>
      <c r="Z20" s="536">
        <v>5884</v>
      </c>
      <c r="AA20" s="536">
        <v>6516</v>
      </c>
      <c r="AB20" s="511">
        <f t="shared" ref="AB20:AN20" si="11">AB67</f>
        <v>6480.0455542492336</v>
      </c>
      <c r="AC20" s="511">
        <f t="shared" si="11"/>
        <v>6582.3358879359384</v>
      </c>
      <c r="AD20" s="511">
        <f t="shared" si="11"/>
        <v>6715.5737355461815</v>
      </c>
      <c r="AE20" s="511">
        <f t="shared" si="11"/>
        <v>6728.5956386833341</v>
      </c>
      <c r="AF20" s="511">
        <f t="shared" si="11"/>
        <v>6829.0267953660623</v>
      </c>
      <c r="AG20" s="511">
        <f t="shared" si="11"/>
        <v>7040.0899866737973</v>
      </c>
      <c r="AH20" s="511">
        <f t="shared" si="11"/>
        <v>7127.4704977947395</v>
      </c>
      <c r="AI20" s="511">
        <f t="shared" si="11"/>
        <v>7181.8113881399004</v>
      </c>
      <c r="AJ20" s="511">
        <f t="shared" si="11"/>
        <v>7232.1537977210728</v>
      </c>
      <c r="AK20" s="511">
        <f t="shared" si="11"/>
        <v>7300.8921879810105</v>
      </c>
      <c r="AL20" s="511">
        <f t="shared" si="11"/>
        <v>7144.5964899241962</v>
      </c>
      <c r="AM20" s="511">
        <f t="shared" si="11"/>
        <v>7001.8988664268318</v>
      </c>
      <c r="AN20" s="511">
        <f t="shared" si="11"/>
        <v>6886.0875934103533</v>
      </c>
      <c r="AO20" s="511"/>
    </row>
    <row r="21" spans="1:41" ht="12.75" customHeight="1">
      <c r="A21" s="102"/>
      <c r="B21" s="522" t="s">
        <v>358</v>
      </c>
      <c r="C21" s="169">
        <v>0</v>
      </c>
      <c r="D21" s="169">
        <v>0</v>
      </c>
      <c r="E21" s="169">
        <v>0</v>
      </c>
      <c r="F21" s="169">
        <v>0</v>
      </c>
      <c r="G21" s="169">
        <v>0</v>
      </c>
      <c r="H21" s="169">
        <v>0</v>
      </c>
      <c r="I21" s="169">
        <v>0</v>
      </c>
      <c r="J21" s="169">
        <v>0</v>
      </c>
      <c r="K21" s="169">
        <v>0</v>
      </c>
      <c r="L21" s="169">
        <v>0</v>
      </c>
      <c r="M21" s="169">
        <v>0</v>
      </c>
      <c r="N21" s="169">
        <v>0</v>
      </c>
      <c r="O21" s="169">
        <v>0</v>
      </c>
      <c r="P21" s="169">
        <v>0</v>
      </c>
      <c r="Q21" s="169">
        <v>0</v>
      </c>
      <c r="R21" s="169">
        <v>0</v>
      </c>
      <c r="S21" s="536">
        <v>0</v>
      </c>
      <c r="T21" s="536">
        <v>0</v>
      </c>
      <c r="U21" s="536">
        <v>0</v>
      </c>
      <c r="V21" s="536">
        <v>0</v>
      </c>
      <c r="W21" s="536">
        <v>0</v>
      </c>
      <c r="X21" s="536">
        <v>0</v>
      </c>
      <c r="Y21" s="536">
        <v>0</v>
      </c>
      <c r="Z21" s="536">
        <v>0</v>
      </c>
      <c r="AA21" s="536">
        <v>0</v>
      </c>
      <c r="AB21" s="511">
        <v>0</v>
      </c>
      <c r="AC21" s="511">
        <v>0</v>
      </c>
      <c r="AD21" s="511">
        <v>0</v>
      </c>
      <c r="AE21" s="511">
        <v>0</v>
      </c>
      <c r="AF21" s="511">
        <v>0</v>
      </c>
      <c r="AG21" s="511">
        <v>0</v>
      </c>
      <c r="AH21" s="511">
        <v>0</v>
      </c>
      <c r="AI21" s="511">
        <v>0</v>
      </c>
      <c r="AJ21" s="511">
        <v>0</v>
      </c>
      <c r="AK21" s="511">
        <v>0</v>
      </c>
      <c r="AL21" s="511">
        <v>0</v>
      </c>
      <c r="AM21" s="511">
        <v>0</v>
      </c>
      <c r="AN21" s="511">
        <v>0</v>
      </c>
      <c r="AO21" s="511"/>
    </row>
    <row r="22" spans="1:41" ht="12.75" customHeight="1">
      <c r="A22" s="102"/>
      <c r="B22" s="522" t="s">
        <v>359</v>
      </c>
      <c r="C22" s="169">
        <v>0</v>
      </c>
      <c r="D22" s="169">
        <v>0</v>
      </c>
      <c r="E22" s="169">
        <v>0</v>
      </c>
      <c r="F22" s="169">
        <v>0</v>
      </c>
      <c r="G22" s="169">
        <v>0</v>
      </c>
      <c r="H22" s="169">
        <v>0</v>
      </c>
      <c r="I22" s="169">
        <v>0</v>
      </c>
      <c r="J22" s="169">
        <v>0</v>
      </c>
      <c r="K22" s="169">
        <v>0</v>
      </c>
      <c r="L22" s="169">
        <v>0</v>
      </c>
      <c r="M22" s="169">
        <v>0</v>
      </c>
      <c r="N22" s="169">
        <v>1173</v>
      </c>
      <c r="O22" s="169">
        <v>0</v>
      </c>
      <c r="P22" s="169">
        <v>1698</v>
      </c>
      <c r="Q22" s="169">
        <v>0</v>
      </c>
      <c r="R22" s="169">
        <v>0</v>
      </c>
      <c r="S22" s="536">
        <v>0</v>
      </c>
      <c r="T22" s="536">
        <v>2488</v>
      </c>
      <c r="U22" s="536">
        <v>84</v>
      </c>
      <c r="V22" s="536">
        <v>2495</v>
      </c>
      <c r="W22" s="536">
        <v>0</v>
      </c>
      <c r="X22" s="536">
        <v>0</v>
      </c>
      <c r="Y22" s="536">
        <v>0</v>
      </c>
      <c r="Z22" s="536">
        <v>0</v>
      </c>
      <c r="AA22" s="536">
        <v>0</v>
      </c>
      <c r="AB22" s="511">
        <f>Debt!AC71</f>
        <v>0</v>
      </c>
      <c r="AC22" s="511">
        <f>Debt!AD71</f>
        <v>0</v>
      </c>
      <c r="AD22" s="511">
        <f>Debt!AE71</f>
        <v>0</v>
      </c>
      <c r="AE22" s="511">
        <f>Debt!AF71</f>
        <v>0</v>
      </c>
      <c r="AF22" s="511">
        <f>Debt!AG71</f>
        <v>0</v>
      </c>
      <c r="AG22" s="511">
        <f>Debt!AH71</f>
        <v>0</v>
      </c>
      <c r="AH22" s="511">
        <f>Debt!AI71</f>
        <v>0</v>
      </c>
      <c r="AI22" s="511">
        <f>Debt!AJ71</f>
        <v>0</v>
      </c>
      <c r="AJ22" s="511">
        <f>Debt!AK71</f>
        <v>0</v>
      </c>
      <c r="AK22" s="511">
        <f>Debt!AL71</f>
        <v>0</v>
      </c>
      <c r="AL22" s="511">
        <f>Debt!AM71</f>
        <v>0</v>
      </c>
      <c r="AM22" s="511">
        <f>Debt!AN71</f>
        <v>0</v>
      </c>
      <c r="AN22" s="511">
        <f>Debt!AO71</f>
        <v>0</v>
      </c>
      <c r="AO22" s="511"/>
    </row>
    <row r="23" spans="1:41" ht="12.75" customHeight="1">
      <c r="A23" s="102"/>
      <c r="B23" s="522" t="s">
        <v>360</v>
      </c>
      <c r="C23" s="169">
        <v>0</v>
      </c>
      <c r="D23" s="169">
        <v>0</v>
      </c>
      <c r="E23" s="169">
        <v>0</v>
      </c>
      <c r="F23" s="169">
        <v>118.2</v>
      </c>
      <c r="G23" s="169">
        <v>30</v>
      </c>
      <c r="H23" s="169">
        <v>6</v>
      </c>
      <c r="I23" s="169">
        <v>0</v>
      </c>
      <c r="J23" s="169">
        <v>0</v>
      </c>
      <c r="K23" s="169">
        <v>0</v>
      </c>
      <c r="L23" s="169">
        <v>122.9</v>
      </c>
      <c r="M23" s="169">
        <v>0</v>
      </c>
      <c r="N23" s="169">
        <v>0</v>
      </c>
      <c r="O23" s="169">
        <v>0</v>
      </c>
      <c r="P23" s="169">
        <f>100</f>
        <v>100</v>
      </c>
      <c r="Q23" s="169">
        <v>2000</v>
      </c>
      <c r="R23" s="169">
        <v>1000</v>
      </c>
      <c r="S23" s="536">
        <v>0</v>
      </c>
      <c r="T23" s="536">
        <f>S23+CF!T40</f>
        <v>0</v>
      </c>
      <c r="U23" s="536">
        <v>0</v>
      </c>
      <c r="V23" s="536">
        <v>0</v>
      </c>
      <c r="W23" s="536">
        <v>2505</v>
      </c>
      <c r="X23" s="536">
        <v>500</v>
      </c>
      <c r="Y23" s="536">
        <v>2250</v>
      </c>
      <c r="Z23" s="536">
        <v>4403</v>
      </c>
      <c r="AA23" s="536">
        <v>1152</v>
      </c>
      <c r="AB23" s="511">
        <f>Debt!AC72+CF!AB40</f>
        <v>3760</v>
      </c>
      <c r="AC23" s="511">
        <f>Debt!AD72+CF!AC40</f>
        <v>1950</v>
      </c>
      <c r="AD23" s="511">
        <f>Debt!AE72+CF!AD40</f>
        <v>3500</v>
      </c>
      <c r="AE23" s="511">
        <f>Debt!AF72+CF!AE40</f>
        <v>2751</v>
      </c>
      <c r="AF23" s="511">
        <f>Debt!AG72+CF!AF40</f>
        <v>1469</v>
      </c>
      <c r="AG23" s="511">
        <f>Debt!AH72+CF!AG40</f>
        <v>1400</v>
      </c>
      <c r="AH23" s="511">
        <f>Debt!AI72+CF!AH40</f>
        <v>1000</v>
      </c>
      <c r="AI23" s="511">
        <f>Debt!AJ72+CF!AI40</f>
        <v>2793</v>
      </c>
      <c r="AJ23" s="511">
        <f>Debt!AK72+CF!AJ40</f>
        <v>0</v>
      </c>
      <c r="AK23" s="511">
        <f>Debt!AL72+CF!AK40</f>
        <v>0</v>
      </c>
      <c r="AL23" s="511">
        <f>Debt!AM72+CF!AL40</f>
        <v>946</v>
      </c>
      <c r="AM23" s="511">
        <f>Debt!AN72+CF!AM40</f>
        <v>0</v>
      </c>
      <c r="AN23" s="511">
        <f>Debt!AO72+CF!AN40</f>
        <v>0</v>
      </c>
      <c r="AO23" s="511"/>
    </row>
    <row r="24" spans="1:41" ht="12.75" customHeight="1">
      <c r="A24" s="517" t="s">
        <v>44</v>
      </c>
      <c r="B24" s="523" t="s">
        <v>361</v>
      </c>
      <c r="C24" s="524">
        <f t="shared" ref="C24:AN24" si="12">SUM(C18:C23)</f>
        <v>412.26099999999997</v>
      </c>
      <c r="D24" s="524">
        <f t="shared" si="12"/>
        <v>536.4</v>
      </c>
      <c r="E24" s="524">
        <f t="shared" si="12"/>
        <v>583.79999999999995</v>
      </c>
      <c r="F24" s="524">
        <f t="shared" si="12"/>
        <v>642.90000000000009</v>
      </c>
      <c r="G24" s="524">
        <f t="shared" si="12"/>
        <v>741.9</v>
      </c>
      <c r="H24" s="524">
        <f t="shared" si="12"/>
        <v>887</v>
      </c>
      <c r="I24" s="524">
        <f t="shared" si="12"/>
        <v>831.1</v>
      </c>
      <c r="J24" s="524">
        <f t="shared" si="12"/>
        <v>862.1</v>
      </c>
      <c r="K24" s="524">
        <f t="shared" si="12"/>
        <v>1002.9</v>
      </c>
      <c r="L24" s="524">
        <f t="shared" si="12"/>
        <v>1529.2</v>
      </c>
      <c r="M24" s="524">
        <f t="shared" si="12"/>
        <v>2456</v>
      </c>
      <c r="N24" s="524">
        <f t="shared" si="12"/>
        <v>4157</v>
      </c>
      <c r="O24" s="524">
        <f t="shared" si="12"/>
        <v>3595</v>
      </c>
      <c r="P24" s="524">
        <f t="shared" si="12"/>
        <v>6942</v>
      </c>
      <c r="Q24" s="524">
        <f t="shared" si="12"/>
        <v>6179</v>
      </c>
      <c r="R24" s="524">
        <f t="shared" si="12"/>
        <v>4886</v>
      </c>
      <c r="S24" s="525">
        <f t="shared" si="12"/>
        <v>3873</v>
      </c>
      <c r="T24" s="525">
        <f t="shared" si="12"/>
        <v>6570</v>
      </c>
      <c r="U24" s="525">
        <f t="shared" si="12"/>
        <v>5754</v>
      </c>
      <c r="V24" s="525">
        <f t="shared" si="12"/>
        <v>8191</v>
      </c>
      <c r="W24" s="525">
        <f t="shared" si="12"/>
        <v>7947</v>
      </c>
      <c r="X24" s="525">
        <f t="shared" si="12"/>
        <v>7008</v>
      </c>
      <c r="Y24" s="525">
        <f t="shared" si="12"/>
        <v>8667</v>
      </c>
      <c r="Z24" s="525">
        <f t="shared" si="12"/>
        <v>11204</v>
      </c>
      <c r="AA24" s="525">
        <f t="shared" si="12"/>
        <v>9020</v>
      </c>
      <c r="AB24" s="525">
        <f t="shared" si="12"/>
        <v>11584.585393006902</v>
      </c>
      <c r="AC24" s="525">
        <f t="shared" si="12"/>
        <v>9898.0998720503321</v>
      </c>
      <c r="AD24" s="525">
        <f t="shared" si="12"/>
        <v>11608.983141693885</v>
      </c>
      <c r="AE24" s="525">
        <f t="shared" si="12"/>
        <v>10875.706949840465</v>
      </c>
      <c r="AF24" s="525">
        <f t="shared" si="12"/>
        <v>9714.976492624337</v>
      </c>
      <c r="AG24" s="525">
        <f t="shared" si="12"/>
        <v>9900.8330287215213</v>
      </c>
      <c r="AH24" s="525">
        <f t="shared" si="12"/>
        <v>9606.3440571898427</v>
      </c>
      <c r="AI24" s="525">
        <f t="shared" si="12"/>
        <v>11464.960098509015</v>
      </c>
      <c r="AJ24" s="525">
        <f t="shared" si="12"/>
        <v>8732.7480172604974</v>
      </c>
      <c r="AK24" s="525">
        <f t="shared" si="12"/>
        <v>8815.7488850574882</v>
      </c>
      <c r="AL24" s="525">
        <f t="shared" si="12"/>
        <v>9573.0235087052752</v>
      </c>
      <c r="AM24" s="525">
        <f t="shared" si="12"/>
        <v>8454.7176613023803</v>
      </c>
      <c r="AN24" s="525">
        <f t="shared" si="12"/>
        <v>8314.8767932708197</v>
      </c>
      <c r="AO24" s="531"/>
    </row>
    <row r="25" spans="1:41" ht="6.75" customHeight="1">
      <c r="A25" s="129"/>
      <c r="B25" s="526"/>
      <c r="C25" s="520"/>
      <c r="D25" s="520"/>
      <c r="E25" s="520"/>
      <c r="F25" s="520"/>
      <c r="G25" s="520"/>
      <c r="H25" s="520"/>
      <c r="I25" s="520"/>
      <c r="J25" s="520"/>
      <c r="K25" s="520"/>
      <c r="L25" s="520"/>
      <c r="M25" s="520"/>
      <c r="N25" s="520"/>
      <c r="O25" s="520"/>
      <c r="P25" s="520"/>
      <c r="Q25" s="520"/>
      <c r="R25" s="520"/>
      <c r="S25" s="521"/>
      <c r="T25" s="521"/>
      <c r="U25" s="521"/>
      <c r="V25" s="521"/>
      <c r="W25" s="521"/>
      <c r="X25" s="521"/>
      <c r="Y25" s="521"/>
      <c r="Z25" s="521"/>
      <c r="AA25" s="521"/>
      <c r="AB25" s="521"/>
      <c r="AC25" s="521"/>
      <c r="AD25" s="521"/>
      <c r="AE25" s="521"/>
      <c r="AF25" s="521"/>
      <c r="AG25" s="521"/>
      <c r="AH25" s="521"/>
      <c r="AI25" s="521"/>
      <c r="AJ25" s="521"/>
      <c r="AK25" s="521"/>
      <c r="AL25" s="521"/>
      <c r="AM25" s="521"/>
      <c r="AN25" s="521"/>
      <c r="AO25" s="521"/>
    </row>
    <row r="26" spans="1:41" ht="12.75" customHeight="1">
      <c r="A26" s="102"/>
      <c r="B26" s="522" t="s">
        <v>362</v>
      </c>
      <c r="C26" s="169">
        <v>0</v>
      </c>
      <c r="D26" s="169">
        <v>0</v>
      </c>
      <c r="E26" s="169">
        <v>0</v>
      </c>
      <c r="F26" s="169">
        <v>0</v>
      </c>
      <c r="G26" s="169">
        <v>0</v>
      </c>
      <c r="H26" s="169">
        <v>0</v>
      </c>
      <c r="I26" s="169">
        <v>0</v>
      </c>
      <c r="J26" s="169">
        <v>0</v>
      </c>
      <c r="K26" s="169">
        <v>0</v>
      </c>
      <c r="L26" s="169">
        <v>1593.4</v>
      </c>
      <c r="M26" s="169">
        <v>1146</v>
      </c>
      <c r="N26" s="169">
        <v>1294</v>
      </c>
      <c r="O26" s="169">
        <v>1163</v>
      </c>
      <c r="P26" s="169">
        <v>367</v>
      </c>
      <c r="Q26" s="169">
        <v>480</v>
      </c>
      <c r="R26" s="169">
        <v>0</v>
      </c>
      <c r="S26" s="511">
        <v>0</v>
      </c>
      <c r="T26" s="511">
        <v>0</v>
      </c>
      <c r="U26" s="511">
        <f t="shared" ref="U26:W26" si="13">T26</f>
        <v>0</v>
      </c>
      <c r="V26" s="511">
        <v>0</v>
      </c>
      <c r="W26" s="536">
        <f t="shared" si="13"/>
        <v>0</v>
      </c>
      <c r="X26" s="536">
        <v>0</v>
      </c>
      <c r="Y26" s="536">
        <v>0</v>
      </c>
      <c r="Z26" s="536">
        <v>0</v>
      </c>
      <c r="AA26" s="536">
        <v>0</v>
      </c>
      <c r="AB26" s="511">
        <f>AA26</f>
        <v>0</v>
      </c>
      <c r="AC26" s="511">
        <f>AB26</f>
        <v>0</v>
      </c>
      <c r="AD26" s="511">
        <f>AC26</f>
        <v>0</v>
      </c>
      <c r="AE26" s="511">
        <f t="shared" ref="AE26:AN26" si="14">AD26</f>
        <v>0</v>
      </c>
      <c r="AF26" s="511">
        <f t="shared" si="14"/>
        <v>0</v>
      </c>
      <c r="AG26" s="511">
        <f t="shared" si="14"/>
        <v>0</v>
      </c>
      <c r="AH26" s="511">
        <f t="shared" si="14"/>
        <v>0</v>
      </c>
      <c r="AI26" s="511">
        <f t="shared" si="14"/>
        <v>0</v>
      </c>
      <c r="AJ26" s="511">
        <f t="shared" si="14"/>
        <v>0</v>
      </c>
      <c r="AK26" s="511">
        <f t="shared" si="14"/>
        <v>0</v>
      </c>
      <c r="AL26" s="511">
        <f t="shared" si="14"/>
        <v>0</v>
      </c>
      <c r="AM26" s="511">
        <f t="shared" si="14"/>
        <v>0</v>
      </c>
      <c r="AN26" s="511">
        <f t="shared" si="14"/>
        <v>0</v>
      </c>
      <c r="AO26" s="511"/>
    </row>
    <row r="27" spans="1:41" ht="12.75" customHeight="1">
      <c r="A27" s="102"/>
      <c r="B27" s="522" t="s">
        <v>363</v>
      </c>
      <c r="C27" s="169">
        <v>0</v>
      </c>
      <c r="D27" s="169">
        <v>0</v>
      </c>
      <c r="E27" s="169">
        <v>0</v>
      </c>
      <c r="F27" s="169">
        <v>0</v>
      </c>
      <c r="G27" s="169">
        <v>0</v>
      </c>
      <c r="H27" s="169">
        <v>0</v>
      </c>
      <c r="I27" s="169">
        <v>0</v>
      </c>
      <c r="J27" s="169">
        <v>0</v>
      </c>
      <c r="K27" s="169">
        <v>0</v>
      </c>
      <c r="L27" s="169">
        <v>0</v>
      </c>
      <c r="M27" s="169">
        <v>0</v>
      </c>
      <c r="N27" s="169">
        <v>0</v>
      </c>
      <c r="O27" s="169">
        <v>0</v>
      </c>
      <c r="P27" s="169">
        <v>0</v>
      </c>
      <c r="Q27" s="169">
        <v>0</v>
      </c>
      <c r="R27" s="169">
        <v>0</v>
      </c>
      <c r="S27" s="511">
        <v>0</v>
      </c>
      <c r="T27" s="511">
        <v>0</v>
      </c>
      <c r="U27" s="511">
        <v>0</v>
      </c>
      <c r="V27" s="511">
        <v>0</v>
      </c>
      <c r="W27" s="536">
        <v>0</v>
      </c>
      <c r="X27" s="536">
        <v>0</v>
      </c>
      <c r="Y27" s="536">
        <v>0</v>
      </c>
      <c r="Z27" s="536">
        <v>0</v>
      </c>
      <c r="AA27" s="536">
        <v>0</v>
      </c>
      <c r="AB27" s="511">
        <v>7.1054273576010019E-15</v>
      </c>
      <c r="AC27" s="511">
        <v>7.1054273576010019E-15</v>
      </c>
      <c r="AD27" s="511">
        <v>7.1054273576010019E-15</v>
      </c>
      <c r="AE27" s="511">
        <f>AD27</f>
        <v>7.1054273576010019E-15</v>
      </c>
      <c r="AF27" s="511">
        <f t="shared" ref="AF27:AN27" si="15">AE27</f>
        <v>7.1054273576010019E-15</v>
      </c>
      <c r="AG27" s="511">
        <f t="shared" si="15"/>
        <v>7.1054273576010019E-15</v>
      </c>
      <c r="AH27" s="511">
        <f t="shared" si="15"/>
        <v>7.1054273576010019E-15</v>
      </c>
      <c r="AI27" s="511">
        <f t="shared" si="15"/>
        <v>7.1054273576010019E-15</v>
      </c>
      <c r="AJ27" s="511">
        <f t="shared" si="15"/>
        <v>7.1054273576010019E-15</v>
      </c>
      <c r="AK27" s="511">
        <f t="shared" si="15"/>
        <v>7.1054273576010019E-15</v>
      </c>
      <c r="AL27" s="511">
        <f t="shared" si="15"/>
        <v>7.1054273576010019E-15</v>
      </c>
      <c r="AM27" s="511">
        <f t="shared" si="15"/>
        <v>7.1054273576010019E-15</v>
      </c>
      <c r="AN27" s="511">
        <f t="shared" si="15"/>
        <v>7.1054273576010019E-15</v>
      </c>
      <c r="AO27" s="511"/>
    </row>
    <row r="28" spans="1:41" ht="12.75" customHeight="1">
      <c r="A28" s="102"/>
      <c r="B28" s="522" t="s">
        <v>364</v>
      </c>
      <c r="C28" s="169">
        <v>0</v>
      </c>
      <c r="D28" s="169">
        <v>0</v>
      </c>
      <c r="E28" s="169">
        <v>0</v>
      </c>
      <c r="F28" s="169">
        <v>0</v>
      </c>
      <c r="G28" s="169">
        <v>0</v>
      </c>
      <c r="H28" s="169">
        <v>0</v>
      </c>
      <c r="I28" s="169">
        <v>0</v>
      </c>
      <c r="J28" s="169">
        <v>0</v>
      </c>
      <c r="K28" s="169">
        <v>0</v>
      </c>
      <c r="L28" s="169">
        <v>0</v>
      </c>
      <c r="M28" s="169">
        <v>2880</v>
      </c>
      <c r="N28" s="169">
        <v>1739</v>
      </c>
      <c r="O28" s="169">
        <v>1759</v>
      </c>
      <c r="P28" s="169">
        <v>5080</v>
      </c>
      <c r="Q28" s="169">
        <f>5080</f>
        <v>5080</v>
      </c>
      <c r="R28" s="169">
        <v>4257</v>
      </c>
      <c r="S28" s="511">
        <v>4512</v>
      </c>
      <c r="T28" s="511">
        <v>2296</v>
      </c>
      <c r="U28" s="511">
        <f>2346+84</f>
        <v>2430</v>
      </c>
      <c r="V28" s="511">
        <v>0</v>
      </c>
      <c r="W28" s="536">
        <f>Debt!X73</f>
        <v>0</v>
      </c>
      <c r="X28" s="536">
        <v>0</v>
      </c>
      <c r="Y28" s="536">
        <v>0</v>
      </c>
      <c r="Z28" s="536">
        <v>0</v>
      </c>
      <c r="AA28" s="536">
        <v>0</v>
      </c>
      <c r="AB28" s="511">
        <f>Debt!AC73</f>
        <v>0</v>
      </c>
      <c r="AC28" s="511">
        <f>Debt!AD73</f>
        <v>0</v>
      </c>
      <c r="AD28" s="511">
        <f>Debt!AE73</f>
        <v>0</v>
      </c>
      <c r="AE28" s="511">
        <f>Debt!AF73</f>
        <v>0</v>
      </c>
      <c r="AF28" s="511">
        <f>Debt!AG73</f>
        <v>0</v>
      </c>
      <c r="AG28" s="511">
        <f>Debt!AH73</f>
        <v>0</v>
      </c>
      <c r="AH28" s="511">
        <f>Debt!AI73</f>
        <v>0</v>
      </c>
      <c r="AI28" s="511">
        <f>Debt!AJ73</f>
        <v>0</v>
      </c>
      <c r="AJ28" s="511">
        <f>Debt!AK73</f>
        <v>0</v>
      </c>
      <c r="AK28" s="511">
        <f>Debt!AL73</f>
        <v>0</v>
      </c>
      <c r="AL28" s="511">
        <f>Debt!AM73</f>
        <v>0</v>
      </c>
      <c r="AM28" s="511">
        <f>Debt!AN73</f>
        <v>0</v>
      </c>
      <c r="AN28" s="511">
        <f>Debt!AO73</f>
        <v>0</v>
      </c>
      <c r="AO28" s="511"/>
    </row>
    <row r="29" spans="1:41" ht="12.75" customHeight="1">
      <c r="A29" s="102"/>
      <c r="B29" s="522" t="s">
        <v>365</v>
      </c>
      <c r="C29" s="169">
        <v>181.24199999999999</v>
      </c>
      <c r="D29" s="169">
        <v>183.4</v>
      </c>
      <c r="E29" s="169">
        <v>177.2</v>
      </c>
      <c r="F29" s="169">
        <v>59</v>
      </c>
      <c r="G29" s="169">
        <v>229</v>
      </c>
      <c r="H29" s="169">
        <v>223</v>
      </c>
      <c r="I29" s="169">
        <v>223</v>
      </c>
      <c r="J29" s="169">
        <v>223</v>
      </c>
      <c r="K29" s="169">
        <v>223</v>
      </c>
      <c r="L29" s="169">
        <v>3047.7</v>
      </c>
      <c r="M29" s="169">
        <v>200</v>
      </c>
      <c r="N29" s="169">
        <v>2198</v>
      </c>
      <c r="O29" s="169">
        <f>2198</f>
        <v>2198</v>
      </c>
      <c r="P29" s="169">
        <f>2134</f>
        <v>2134</v>
      </c>
      <c r="Q29" s="169">
        <f>4097</f>
        <v>4097</v>
      </c>
      <c r="R29" s="169">
        <v>4095</v>
      </c>
      <c r="S29" s="511">
        <v>6089</v>
      </c>
      <c r="T29" s="511">
        <v>8578</v>
      </c>
      <c r="U29" s="511">
        <f>21344-U28</f>
        <v>18914</v>
      </c>
      <c r="V29" s="511">
        <v>24034</v>
      </c>
      <c r="W29" s="536">
        <v>29623</v>
      </c>
      <c r="X29" s="536">
        <v>30215</v>
      </c>
      <c r="Y29" s="536">
        <v>29306</v>
      </c>
      <c r="Z29" s="536">
        <v>30193</v>
      </c>
      <c r="AA29" s="536">
        <v>34190</v>
      </c>
      <c r="AB29" s="511">
        <f>+Debt!AC74</f>
        <v>31358</v>
      </c>
      <c r="AC29" s="511">
        <f>+Debt!AD74</f>
        <v>28708</v>
      </c>
      <c r="AD29" s="511">
        <f>+Debt!AE74</f>
        <v>24208</v>
      </c>
      <c r="AE29" s="511">
        <f>+Debt!AF74</f>
        <v>21457</v>
      </c>
      <c r="AF29" s="511">
        <f>+Debt!AG74</f>
        <v>18488</v>
      </c>
      <c r="AG29" s="511">
        <f>+Debt!AH74</f>
        <v>17088</v>
      </c>
      <c r="AH29" s="511">
        <f>+Debt!AI74</f>
        <v>16088</v>
      </c>
      <c r="AI29" s="511">
        <f>+Debt!AJ74</f>
        <v>13295</v>
      </c>
      <c r="AJ29" s="511">
        <f>+Debt!AK74</f>
        <v>13295</v>
      </c>
      <c r="AK29" s="511">
        <f>+Debt!AL74</f>
        <v>12295</v>
      </c>
      <c r="AL29" s="511">
        <f>+Debt!AM74</f>
        <v>11349</v>
      </c>
      <c r="AM29" s="511">
        <f>+Debt!AN74</f>
        <v>11349</v>
      </c>
      <c r="AN29" s="511">
        <f>+Debt!AO74</f>
        <v>11349</v>
      </c>
      <c r="AO29" s="511"/>
    </row>
    <row r="30" spans="1:41" ht="12.75" customHeight="1">
      <c r="A30" s="102"/>
      <c r="B30" s="522" t="s">
        <v>366</v>
      </c>
      <c r="C30" s="169">
        <v>0</v>
      </c>
      <c r="D30" s="169">
        <v>0</v>
      </c>
      <c r="E30" s="169">
        <v>0</v>
      </c>
      <c r="F30" s="169">
        <v>157.4</v>
      </c>
      <c r="G30" s="169">
        <v>0</v>
      </c>
      <c r="H30" s="169">
        <v>0</v>
      </c>
      <c r="I30" s="169">
        <v>0</v>
      </c>
      <c r="J30" s="169">
        <v>0</v>
      </c>
      <c r="K30" s="169">
        <v>0</v>
      </c>
      <c r="L30" s="169">
        <v>0</v>
      </c>
      <c r="M30" s="169">
        <v>42</v>
      </c>
      <c r="N30" s="169">
        <v>128</v>
      </c>
      <c r="O30" s="169">
        <v>131</v>
      </c>
      <c r="P30" s="169">
        <v>301</v>
      </c>
      <c r="Q30" s="169">
        <v>934</v>
      </c>
      <c r="R30" s="169">
        <v>2304</v>
      </c>
      <c r="S30" s="511">
        <v>2488</v>
      </c>
      <c r="T30" s="511">
        <v>2098</v>
      </c>
      <c r="U30" s="511">
        <v>2744</v>
      </c>
      <c r="V30" s="511">
        <v>3013</v>
      </c>
      <c r="W30" s="536">
        <v>6459</v>
      </c>
      <c r="X30" s="536">
        <f>3461+2547</f>
        <v>6008</v>
      </c>
      <c r="Y30" s="536">
        <f>2239+3281</f>
        <v>5520</v>
      </c>
      <c r="Z30" s="536">
        <f>2436+2419+1499</f>
        <v>6354</v>
      </c>
      <c r="AA30" s="536">
        <f>1166+9099+1238</f>
        <v>11503</v>
      </c>
      <c r="AB30" s="511">
        <f t="shared" ref="AB30:AN30" si="16">AA30</f>
        <v>11503</v>
      </c>
      <c r="AC30" s="511">
        <f t="shared" si="16"/>
        <v>11503</v>
      </c>
      <c r="AD30" s="511">
        <f t="shared" si="16"/>
        <v>11503</v>
      </c>
      <c r="AE30" s="511">
        <f t="shared" si="16"/>
        <v>11503</v>
      </c>
      <c r="AF30" s="511">
        <f t="shared" si="16"/>
        <v>11503</v>
      </c>
      <c r="AG30" s="511">
        <f t="shared" si="16"/>
        <v>11503</v>
      </c>
      <c r="AH30" s="511">
        <f t="shared" si="16"/>
        <v>11503</v>
      </c>
      <c r="AI30" s="511">
        <f t="shared" si="16"/>
        <v>11503</v>
      </c>
      <c r="AJ30" s="511">
        <f t="shared" si="16"/>
        <v>11503</v>
      </c>
      <c r="AK30" s="511">
        <f t="shared" si="16"/>
        <v>11503</v>
      </c>
      <c r="AL30" s="511">
        <f t="shared" si="16"/>
        <v>11503</v>
      </c>
      <c r="AM30" s="511">
        <f t="shared" si="16"/>
        <v>11503</v>
      </c>
      <c r="AN30" s="511">
        <f t="shared" si="16"/>
        <v>11503</v>
      </c>
      <c r="AO30" s="511"/>
    </row>
    <row r="31" spans="1:41" ht="12.75" customHeight="1">
      <c r="A31" s="129" t="s">
        <v>44</v>
      </c>
      <c r="B31" s="537" t="s">
        <v>367</v>
      </c>
      <c r="C31" s="538">
        <f t="shared" ref="C31:AN31" si="17">SUM(C24:C30)</f>
        <v>593.50299999999993</v>
      </c>
      <c r="D31" s="538">
        <f t="shared" si="17"/>
        <v>719.8</v>
      </c>
      <c r="E31" s="538">
        <f t="shared" si="17"/>
        <v>761</v>
      </c>
      <c r="F31" s="538">
        <f t="shared" si="17"/>
        <v>859.30000000000007</v>
      </c>
      <c r="G31" s="538">
        <f t="shared" si="17"/>
        <v>970.9</v>
      </c>
      <c r="H31" s="538">
        <f t="shared" si="17"/>
        <v>1110</v>
      </c>
      <c r="I31" s="538">
        <f t="shared" si="17"/>
        <v>1054.0999999999999</v>
      </c>
      <c r="J31" s="538">
        <f t="shared" si="17"/>
        <v>1085.0999999999999</v>
      </c>
      <c r="K31" s="538">
        <f t="shared" si="17"/>
        <v>1225.9000000000001</v>
      </c>
      <c r="L31" s="538">
        <f t="shared" si="17"/>
        <v>6170.3</v>
      </c>
      <c r="M31" s="538">
        <f t="shared" si="17"/>
        <v>6724</v>
      </c>
      <c r="N31" s="538">
        <f t="shared" si="17"/>
        <v>9516</v>
      </c>
      <c r="O31" s="538">
        <f t="shared" si="17"/>
        <v>8846</v>
      </c>
      <c r="P31" s="538">
        <f t="shared" si="17"/>
        <v>14824</v>
      </c>
      <c r="Q31" s="538">
        <f t="shared" si="17"/>
        <v>16770</v>
      </c>
      <c r="R31" s="538">
        <f t="shared" si="17"/>
        <v>15542</v>
      </c>
      <c r="S31" s="539">
        <f t="shared" si="17"/>
        <v>16962</v>
      </c>
      <c r="T31" s="539">
        <f t="shared" si="17"/>
        <v>19542</v>
      </c>
      <c r="U31" s="539">
        <f t="shared" si="17"/>
        <v>29842</v>
      </c>
      <c r="V31" s="539">
        <f t="shared" si="17"/>
        <v>35238</v>
      </c>
      <c r="W31" s="539">
        <f t="shared" si="17"/>
        <v>44029</v>
      </c>
      <c r="X31" s="539">
        <f t="shared" si="17"/>
        <v>43231</v>
      </c>
      <c r="Y31" s="539">
        <f t="shared" si="17"/>
        <v>43493</v>
      </c>
      <c r="Z31" s="539">
        <f t="shared" si="17"/>
        <v>47751</v>
      </c>
      <c r="AA31" s="539">
        <f t="shared" si="17"/>
        <v>54713</v>
      </c>
      <c r="AB31" s="539">
        <f t="shared" si="17"/>
        <v>54445.585393006899</v>
      </c>
      <c r="AC31" s="539">
        <f t="shared" si="17"/>
        <v>50109.099872050334</v>
      </c>
      <c r="AD31" s="539">
        <f t="shared" si="17"/>
        <v>47319.983141693883</v>
      </c>
      <c r="AE31" s="539">
        <f t="shared" si="17"/>
        <v>43835.706949840467</v>
      </c>
      <c r="AF31" s="539">
        <f t="shared" si="17"/>
        <v>39705.976492624337</v>
      </c>
      <c r="AG31" s="539">
        <f t="shared" si="17"/>
        <v>38491.833028721521</v>
      </c>
      <c r="AH31" s="539">
        <f t="shared" si="17"/>
        <v>37197.344057189839</v>
      </c>
      <c r="AI31" s="539">
        <f t="shared" si="17"/>
        <v>36262.960098509015</v>
      </c>
      <c r="AJ31" s="539">
        <f t="shared" si="17"/>
        <v>33530.748017260499</v>
      </c>
      <c r="AK31" s="539">
        <f t="shared" si="17"/>
        <v>32613.748885057488</v>
      </c>
      <c r="AL31" s="539">
        <f t="shared" si="17"/>
        <v>32425.023508705275</v>
      </c>
      <c r="AM31" s="539">
        <f t="shared" si="17"/>
        <v>31306.71766130238</v>
      </c>
      <c r="AN31" s="539">
        <f t="shared" si="17"/>
        <v>31166.876793270822</v>
      </c>
      <c r="AO31" s="521"/>
    </row>
    <row r="32" spans="1:41" ht="12.75" customHeight="1">
      <c r="A32" s="129"/>
      <c r="B32" s="526"/>
      <c r="C32" s="520"/>
      <c r="D32" s="520"/>
      <c r="E32" s="520"/>
      <c r="F32" s="520"/>
      <c r="G32" s="520"/>
      <c r="H32" s="520"/>
      <c r="I32" s="520"/>
      <c r="J32" s="520"/>
      <c r="K32" s="520"/>
      <c r="L32" s="520"/>
      <c r="M32" s="520"/>
      <c r="N32" s="520"/>
      <c r="O32" s="520"/>
      <c r="P32" s="520"/>
      <c r="Q32" s="520"/>
      <c r="R32" s="520"/>
      <c r="S32" s="521"/>
      <c r="T32" s="521"/>
      <c r="U32" s="521"/>
      <c r="V32" s="521"/>
      <c r="W32" s="521"/>
      <c r="X32" s="521"/>
      <c r="Y32" s="521"/>
      <c r="Z32" s="521"/>
      <c r="AA32" s="521"/>
      <c r="AB32" s="521"/>
      <c r="AC32" s="521"/>
      <c r="AD32" s="521"/>
      <c r="AE32" s="521"/>
      <c r="AF32" s="521"/>
      <c r="AG32" s="521"/>
      <c r="AH32" s="521"/>
      <c r="AI32" s="521"/>
      <c r="AJ32" s="521"/>
      <c r="AK32" s="521"/>
      <c r="AL32" s="521"/>
      <c r="AM32" s="521"/>
      <c r="AN32" s="521"/>
      <c r="AO32" s="521"/>
    </row>
    <row r="33" spans="1:48" ht="12.75" customHeight="1">
      <c r="A33" s="102"/>
      <c r="B33" s="522" t="s">
        <v>368</v>
      </c>
      <c r="C33" s="527">
        <v>0</v>
      </c>
      <c r="D33" s="527">
        <v>0</v>
      </c>
      <c r="E33" s="527">
        <v>0</v>
      </c>
      <c r="F33" s="527">
        <v>0</v>
      </c>
      <c r="G33" s="527">
        <v>0</v>
      </c>
      <c r="H33" s="527">
        <v>0</v>
      </c>
      <c r="I33" s="169">
        <v>0</v>
      </c>
      <c r="J33" s="169">
        <v>0</v>
      </c>
      <c r="K33" s="169">
        <v>0</v>
      </c>
      <c r="L33" s="169">
        <v>0</v>
      </c>
      <c r="M33" s="169">
        <v>0</v>
      </c>
      <c r="N33" s="169">
        <v>0</v>
      </c>
      <c r="O33" s="169">
        <v>0</v>
      </c>
      <c r="P33" s="169">
        <v>0</v>
      </c>
      <c r="Q33" s="169">
        <v>0</v>
      </c>
      <c r="R33" s="169">
        <v>0</v>
      </c>
      <c r="S33" s="511">
        <v>0</v>
      </c>
      <c r="T33" s="511">
        <v>0</v>
      </c>
      <c r="U33" s="511">
        <v>0</v>
      </c>
      <c r="V33" s="511">
        <v>0</v>
      </c>
      <c r="W33" s="511">
        <v>0</v>
      </c>
      <c r="X33" s="511">
        <v>0</v>
      </c>
      <c r="Y33" s="511">
        <v>0</v>
      </c>
      <c r="Z33" s="511">
        <v>0</v>
      </c>
      <c r="AA33" s="536">
        <v>0</v>
      </c>
      <c r="AB33" s="511">
        <v>0</v>
      </c>
      <c r="AC33" s="511">
        <v>0</v>
      </c>
      <c r="AD33" s="511">
        <v>0</v>
      </c>
      <c r="AE33" s="511">
        <v>0</v>
      </c>
      <c r="AF33" s="511">
        <v>0</v>
      </c>
      <c r="AG33" s="511">
        <v>0</v>
      </c>
      <c r="AH33" s="511">
        <v>0</v>
      </c>
      <c r="AI33" s="511">
        <v>0</v>
      </c>
      <c r="AJ33" s="511">
        <v>0</v>
      </c>
      <c r="AK33" s="511">
        <v>0</v>
      </c>
      <c r="AL33" s="511">
        <v>0</v>
      </c>
      <c r="AM33" s="511">
        <v>0</v>
      </c>
      <c r="AN33" s="511">
        <v>0</v>
      </c>
      <c r="AO33" s="511"/>
    </row>
    <row r="34" spans="1:48" ht="12.75" customHeight="1">
      <c r="A34" s="102"/>
      <c r="B34" s="522" t="s">
        <v>369</v>
      </c>
      <c r="C34" s="169">
        <f>0.013+636.217</f>
        <v>636.23</v>
      </c>
      <c r="D34" s="169">
        <v>719.3</v>
      </c>
      <c r="E34" s="169">
        <v>864.8</v>
      </c>
      <c r="F34" s="169">
        <v>1026.9000000000001</v>
      </c>
      <c r="G34" s="169">
        <v>1218.2</v>
      </c>
      <c r="H34" s="169">
        <v>1671.9</v>
      </c>
      <c r="I34" s="169">
        <v>2072.3000000000002</v>
      </c>
      <c r="J34" s="169">
        <v>2947.3</v>
      </c>
      <c r="K34" s="169">
        <v>3474.1</v>
      </c>
      <c r="L34" s="169">
        <v>19344.3</v>
      </c>
      <c r="M34" s="169">
        <v>19995</v>
      </c>
      <c r="N34" s="169">
        <v>22078</v>
      </c>
      <c r="O34" s="169">
        <v>23561</v>
      </c>
      <c r="P34" s="169">
        <v>24155</v>
      </c>
      <c r="Q34" s="169">
        <v>24976</v>
      </c>
      <c r="R34" s="169">
        <v>26441</v>
      </c>
      <c r="S34" s="511">
        <v>26944</v>
      </c>
      <c r="T34" s="511">
        <v>27299</v>
      </c>
      <c r="U34" s="511">
        <v>27777</v>
      </c>
      <c r="V34" s="511">
        <v>29337</v>
      </c>
      <c r="W34" s="511">
        <v>29891</v>
      </c>
      <c r="X34" s="511">
        <v>30410</v>
      </c>
      <c r="Y34" s="536">
        <v>30649</v>
      </c>
      <c r="Z34" s="536">
        <v>30784</v>
      </c>
      <c r="AA34" s="536">
        <v>30992</v>
      </c>
      <c r="AB34" s="511">
        <f>AA34+CF!AB85</f>
        <v>17092.724445607135</v>
      </c>
      <c r="AC34" s="511">
        <f>AB34+CF!AC85</f>
        <v>14666.648168511005</v>
      </c>
      <c r="AD34" s="511">
        <f>AC34+CF!AD85</f>
        <v>10984.667328605432</v>
      </c>
      <c r="AE34" s="511">
        <f>AD34+CF!AE85</f>
        <v>6974.7013114646634</v>
      </c>
      <c r="AF34" s="511">
        <f>AE34+CF!AF85</f>
        <v>2858.9702078063001</v>
      </c>
      <c r="AG34" s="511">
        <f>AF34+CF!AG85</f>
        <v>-1347.9968237860539</v>
      </c>
      <c r="AH34" s="511">
        <f>AG34+CF!AH85</f>
        <v>-5630.726198837745</v>
      </c>
      <c r="AI34" s="511">
        <f>AH34+CF!AI85</f>
        <v>-9972.1252639233262</v>
      </c>
      <c r="AJ34" s="511">
        <f>AI34+CF!AJ85</f>
        <v>-14352.918266040637</v>
      </c>
      <c r="AK34" s="511">
        <f>AJ34+CF!AK85</f>
        <v>-17372.289026823299</v>
      </c>
      <c r="AL34" s="511">
        <f>AK34+CF!AL85</f>
        <v>-20651.124448155453</v>
      </c>
      <c r="AM34" s="511">
        <f>AL34+CF!AM85</f>
        <v>-24208.502479318962</v>
      </c>
      <c r="AN34" s="511">
        <f>AM34+CF!AN85</f>
        <v>-28065.060206560407</v>
      </c>
      <c r="AO34" s="511"/>
    </row>
    <row r="35" spans="1:48" ht="12.75" customHeight="1">
      <c r="A35" s="102"/>
      <c r="B35" s="522" t="s">
        <v>370</v>
      </c>
      <c r="C35" s="169">
        <v>535.79</v>
      </c>
      <c r="D35" s="169">
        <v>555</v>
      </c>
      <c r="E35" s="169">
        <v>807</v>
      </c>
      <c r="F35" s="169">
        <v>879.4</v>
      </c>
      <c r="G35" s="169">
        <v>943.2</v>
      </c>
      <c r="H35" s="169">
        <v>894.3</v>
      </c>
      <c r="I35" s="169">
        <v>966</v>
      </c>
      <c r="J35" s="169">
        <v>1304.5999999999999</v>
      </c>
      <c r="K35" s="169">
        <v>1686.8</v>
      </c>
      <c r="L35" s="169">
        <v>-1125.5</v>
      </c>
      <c r="M35" s="169">
        <v>-667</v>
      </c>
      <c r="N35" s="169">
        <v>-2376</v>
      </c>
      <c r="O35" s="169">
        <v>-3132</v>
      </c>
      <c r="P35" s="169">
        <v>-5203</v>
      </c>
      <c r="Q35" s="169">
        <v>-7160</v>
      </c>
      <c r="R35" s="169">
        <v>-5673</v>
      </c>
      <c r="S35" s="511">
        <v>-4322</v>
      </c>
      <c r="T35" s="511">
        <v>-3508</v>
      </c>
      <c r="U35" s="511">
        <v>-8919</v>
      </c>
      <c r="V35" s="511">
        <v>-10423</v>
      </c>
      <c r="W35" s="511">
        <v>-7634</v>
      </c>
      <c r="X35" s="511">
        <v>-4624</v>
      </c>
      <c r="Y35" s="536">
        <v>-2086</v>
      </c>
      <c r="Z35" s="536">
        <v>-438</v>
      </c>
      <c r="AA35" s="536">
        <v>-5072</v>
      </c>
      <c r="AB35" s="511">
        <f>AA35+CF!AB3+CF!AB38</f>
        <v>885.88918992850586</v>
      </c>
      <c r="AC35" s="511">
        <f>AB35+CF!AC3+CF!AC38</f>
        <v>6721.2340664396725</v>
      </c>
      <c r="AD35" s="511">
        <f>AC35+CF!AD3+CF!AD38</f>
        <v>12572.804800925669</v>
      </c>
      <c r="AE35" s="511">
        <f>AD35+CF!AE3+CF!AE38</f>
        <v>18370.149681941923</v>
      </c>
      <c r="AF35" s="511">
        <f>AE35+CF!AF3+CF!AF38</f>
        <v>24487.83599747259</v>
      </c>
      <c r="AG35" s="511">
        <f>AF35+CF!AG3+CF!AG38</f>
        <v>30928.946536238684</v>
      </c>
      <c r="AH35" s="511">
        <f>AG35+CF!AH3+CF!AH38</f>
        <v>37601.115746737472</v>
      </c>
      <c r="AI35" s="511">
        <f>AH35+CF!AI3+CF!AI38</f>
        <v>44332.930162170072</v>
      </c>
      <c r="AJ35" s="511">
        <f>AI35+CF!AJ3+CF!AJ38</f>
        <v>50906.015531195524</v>
      </c>
      <c r="AK35" s="511">
        <f>AJ35+CF!AK3+CF!AK38</f>
        <v>57480.053729924279</v>
      </c>
      <c r="AL35" s="511">
        <f>AK35+CF!AL3+CF!AL38</f>
        <v>63380.688427412279</v>
      </c>
      <c r="AM35" s="511">
        <f>AL35+CF!AM3+CF!AM38</f>
        <v>69020.594391735271</v>
      </c>
      <c r="AN35" s="511">
        <f>AM35+CF!AN3+CF!AN38</f>
        <v>74497.320954174487</v>
      </c>
      <c r="AO35" s="511"/>
    </row>
    <row r="36" spans="1:48" ht="12.75" customHeight="1">
      <c r="A36" s="102"/>
      <c r="B36" s="522" t="s">
        <v>371</v>
      </c>
      <c r="C36" s="169">
        <v>0</v>
      </c>
      <c r="D36" s="169">
        <v>0</v>
      </c>
      <c r="E36" s="169">
        <v>0</v>
      </c>
      <c r="F36" s="169">
        <v>0</v>
      </c>
      <c r="G36" s="169">
        <v>-22.1</v>
      </c>
      <c r="H36" s="169">
        <v>-4</v>
      </c>
      <c r="I36" s="169">
        <v>-14.8</v>
      </c>
      <c r="J36" s="169">
        <v>62.6</v>
      </c>
      <c r="K36" s="169">
        <v>56.3</v>
      </c>
      <c r="L36" s="169">
        <v>67.2</v>
      </c>
      <c r="M36" s="169">
        <v>61</v>
      </c>
      <c r="N36" s="169">
        <v>3</v>
      </c>
      <c r="O36" s="169">
        <v>22</v>
      </c>
      <c r="P36" s="169">
        <v>12</v>
      </c>
      <c r="Q36" s="169">
        <v>53</v>
      </c>
      <c r="R36" s="169">
        <v>117</v>
      </c>
      <c r="S36" s="511">
        <v>45</v>
      </c>
      <c r="T36" s="511">
        <v>153</v>
      </c>
      <c r="U36" s="511">
        <v>171</v>
      </c>
      <c r="V36" s="511">
        <v>146</v>
      </c>
      <c r="W36" s="511">
        <v>-161</v>
      </c>
      <c r="X36" s="511">
        <v>-8</v>
      </c>
      <c r="Y36" s="536">
        <v>-480</v>
      </c>
      <c r="Z36" s="536">
        <v>-471</v>
      </c>
      <c r="AA36" s="536">
        <v>-679</v>
      </c>
      <c r="AB36" s="511">
        <f t="shared" ref="AB36:AN36" si="18">AA36</f>
        <v>-679</v>
      </c>
      <c r="AC36" s="511">
        <f t="shared" si="18"/>
        <v>-679</v>
      </c>
      <c r="AD36" s="511">
        <f t="shared" si="18"/>
        <v>-679</v>
      </c>
      <c r="AE36" s="511">
        <f t="shared" si="18"/>
        <v>-679</v>
      </c>
      <c r="AF36" s="511">
        <f t="shared" si="18"/>
        <v>-679</v>
      </c>
      <c r="AG36" s="511">
        <f t="shared" si="18"/>
        <v>-679</v>
      </c>
      <c r="AH36" s="511">
        <f t="shared" si="18"/>
        <v>-679</v>
      </c>
      <c r="AI36" s="511">
        <f t="shared" si="18"/>
        <v>-679</v>
      </c>
      <c r="AJ36" s="511">
        <f t="shared" si="18"/>
        <v>-679</v>
      </c>
      <c r="AK36" s="511">
        <f t="shared" si="18"/>
        <v>-679</v>
      </c>
      <c r="AL36" s="511">
        <f t="shared" si="18"/>
        <v>-679</v>
      </c>
      <c r="AM36" s="511">
        <f t="shared" si="18"/>
        <v>-679</v>
      </c>
      <c r="AN36" s="511">
        <f t="shared" si="18"/>
        <v>-679</v>
      </c>
      <c r="AO36" s="511"/>
    </row>
    <row r="37" spans="1:48" ht="12.75" customHeight="1">
      <c r="A37" s="129"/>
      <c r="B37" s="526" t="s">
        <v>372</v>
      </c>
      <c r="C37" s="520">
        <f t="shared" ref="C37:Z37" si="19">SUM(C34:C36)</f>
        <v>1172.02</v>
      </c>
      <c r="D37" s="520">
        <f t="shared" si="19"/>
        <v>1274.3</v>
      </c>
      <c r="E37" s="520">
        <f t="shared" si="19"/>
        <v>1671.8</v>
      </c>
      <c r="F37" s="520">
        <f t="shared" si="19"/>
        <v>1906.3000000000002</v>
      </c>
      <c r="G37" s="520">
        <f t="shared" si="19"/>
        <v>2139.3000000000002</v>
      </c>
      <c r="H37" s="520">
        <f t="shared" si="19"/>
        <v>2562.1999999999998</v>
      </c>
      <c r="I37" s="520">
        <f t="shared" si="19"/>
        <v>3023.5</v>
      </c>
      <c r="J37" s="520">
        <f t="shared" si="19"/>
        <v>4314.5</v>
      </c>
      <c r="K37" s="520">
        <f t="shared" si="19"/>
        <v>5217.2</v>
      </c>
      <c r="L37" s="520">
        <f t="shared" si="19"/>
        <v>18286</v>
      </c>
      <c r="M37" s="520">
        <f t="shared" si="19"/>
        <v>19389</v>
      </c>
      <c r="N37" s="520">
        <f t="shared" si="19"/>
        <v>19705</v>
      </c>
      <c r="O37" s="520">
        <f t="shared" si="19"/>
        <v>20451</v>
      </c>
      <c r="P37" s="520">
        <f t="shared" si="19"/>
        <v>18964</v>
      </c>
      <c r="Q37" s="520">
        <f t="shared" si="19"/>
        <v>17869</v>
      </c>
      <c r="R37" s="520">
        <f t="shared" si="19"/>
        <v>20885</v>
      </c>
      <c r="S37" s="521">
        <f t="shared" si="19"/>
        <v>22667</v>
      </c>
      <c r="T37" s="521">
        <f t="shared" si="19"/>
        <v>23944</v>
      </c>
      <c r="U37" s="521">
        <f t="shared" si="19"/>
        <v>19029</v>
      </c>
      <c r="V37" s="521">
        <f t="shared" si="19"/>
        <v>19060</v>
      </c>
      <c r="W37" s="521">
        <f t="shared" si="19"/>
        <v>22096</v>
      </c>
      <c r="X37" s="521">
        <f t="shared" si="19"/>
        <v>25778</v>
      </c>
      <c r="Y37" s="521">
        <f t="shared" si="19"/>
        <v>28083</v>
      </c>
      <c r="Z37" s="521">
        <f t="shared" si="19"/>
        <v>29875</v>
      </c>
      <c r="AA37" s="521">
        <f>SUM(AA34:AA36)</f>
        <v>25241</v>
      </c>
      <c r="AB37" s="521">
        <f>SUM(AB34:AB36)</f>
        <v>17299.613635535639</v>
      </c>
      <c r="AC37" s="521">
        <f>SUM(AC34:AC36)</f>
        <v>20708.882234950677</v>
      </c>
      <c r="AD37" s="521">
        <f>SUM(AD34:AD36)</f>
        <v>22878.472129531103</v>
      </c>
      <c r="AE37" s="521">
        <f t="shared" ref="AE37:AN37" si="20">SUM(AE34:AE36)</f>
        <v>24665.850993406588</v>
      </c>
      <c r="AF37" s="521">
        <f t="shared" si="20"/>
        <v>26667.806205278888</v>
      </c>
      <c r="AG37" s="521">
        <f t="shared" si="20"/>
        <v>28901.949712452632</v>
      </c>
      <c r="AH37" s="521">
        <f t="shared" si="20"/>
        <v>31291.389547899729</v>
      </c>
      <c r="AI37" s="521">
        <f t="shared" si="20"/>
        <v>33681.804898246744</v>
      </c>
      <c r="AJ37" s="521">
        <f t="shared" si="20"/>
        <v>35874.097265154887</v>
      </c>
      <c r="AK37" s="521">
        <f t="shared" si="20"/>
        <v>39428.764703100984</v>
      </c>
      <c r="AL37" s="521">
        <f t="shared" si="20"/>
        <v>42050.563979256825</v>
      </c>
      <c r="AM37" s="521">
        <f t="shared" si="20"/>
        <v>44133.091912416305</v>
      </c>
      <c r="AN37" s="521">
        <f t="shared" si="20"/>
        <v>45753.260747614084</v>
      </c>
      <c r="AO37" s="521"/>
    </row>
    <row r="38" spans="1:48" ht="12.75" customHeight="1">
      <c r="A38" s="129"/>
      <c r="B38" s="518" t="s">
        <v>373</v>
      </c>
      <c r="C38" s="520">
        <f t="shared" ref="C38:AN38" si="21">C31+C37+C33</f>
        <v>1765.5229999999999</v>
      </c>
      <c r="D38" s="520">
        <f t="shared" si="21"/>
        <v>1994.1</v>
      </c>
      <c r="E38" s="520">
        <f t="shared" si="21"/>
        <v>2432.8000000000002</v>
      </c>
      <c r="F38" s="520">
        <f t="shared" si="21"/>
        <v>2765.6000000000004</v>
      </c>
      <c r="G38" s="520">
        <f t="shared" si="21"/>
        <v>3110.2000000000003</v>
      </c>
      <c r="H38" s="520">
        <f t="shared" si="21"/>
        <v>3672.2</v>
      </c>
      <c r="I38" s="520">
        <f t="shared" si="21"/>
        <v>4077.6</v>
      </c>
      <c r="J38" s="520">
        <f t="shared" si="21"/>
        <v>5399.6</v>
      </c>
      <c r="K38" s="520">
        <f t="shared" si="21"/>
        <v>6443.1</v>
      </c>
      <c r="L38" s="520">
        <f t="shared" si="21"/>
        <v>24456.3</v>
      </c>
      <c r="M38" s="520">
        <f t="shared" si="21"/>
        <v>26113</v>
      </c>
      <c r="N38" s="520">
        <f t="shared" si="21"/>
        <v>29221</v>
      </c>
      <c r="O38" s="520">
        <f t="shared" si="21"/>
        <v>29297</v>
      </c>
      <c r="P38" s="520">
        <f t="shared" si="21"/>
        <v>33788</v>
      </c>
      <c r="Q38" s="520">
        <f t="shared" si="21"/>
        <v>34639</v>
      </c>
      <c r="R38" s="520">
        <f t="shared" si="21"/>
        <v>36427</v>
      </c>
      <c r="S38" s="521">
        <f t="shared" si="21"/>
        <v>39629</v>
      </c>
      <c r="T38" s="521">
        <f t="shared" si="21"/>
        <v>43486</v>
      </c>
      <c r="U38" s="521">
        <f t="shared" si="21"/>
        <v>48871</v>
      </c>
      <c r="V38" s="521">
        <f t="shared" si="21"/>
        <v>54298</v>
      </c>
      <c r="W38" s="521">
        <f t="shared" si="21"/>
        <v>66125</v>
      </c>
      <c r="X38" s="521">
        <f>X31+X37+X33</f>
        <v>69009</v>
      </c>
      <c r="Y38" s="521">
        <f t="shared" si="21"/>
        <v>71576</v>
      </c>
      <c r="Z38" s="521">
        <f t="shared" si="21"/>
        <v>77626</v>
      </c>
      <c r="AA38" s="521">
        <f t="shared" si="21"/>
        <v>79954</v>
      </c>
      <c r="AB38" s="521">
        <f t="shared" si="21"/>
        <v>71745.199028542542</v>
      </c>
      <c r="AC38" s="521">
        <f t="shared" si="21"/>
        <v>70817.982107001008</v>
      </c>
      <c r="AD38" s="521">
        <f t="shared" si="21"/>
        <v>70198.455271224986</v>
      </c>
      <c r="AE38" s="521">
        <f t="shared" si="21"/>
        <v>68501.557943247055</v>
      </c>
      <c r="AF38" s="521">
        <f t="shared" si="21"/>
        <v>66373.782697903225</v>
      </c>
      <c r="AG38" s="521">
        <f t="shared" si="21"/>
        <v>67393.78274117416</v>
      </c>
      <c r="AH38" s="521">
        <f t="shared" si="21"/>
        <v>68488.733605089568</v>
      </c>
      <c r="AI38" s="521">
        <f t="shared" si="21"/>
        <v>69944.764996755752</v>
      </c>
      <c r="AJ38" s="521">
        <f t="shared" si="21"/>
        <v>69404.845282415394</v>
      </c>
      <c r="AK38" s="521">
        <f t="shared" si="21"/>
        <v>72042.513588158472</v>
      </c>
      <c r="AL38" s="521">
        <f t="shared" si="21"/>
        <v>74475.587487962097</v>
      </c>
      <c r="AM38" s="521">
        <f t="shared" si="21"/>
        <v>75439.809573718681</v>
      </c>
      <c r="AN38" s="521">
        <f t="shared" si="21"/>
        <v>76920.137540884898</v>
      </c>
      <c r="AO38" s="521"/>
    </row>
    <row r="39" spans="1:48" s="604" customFormat="1" ht="12.75" customHeight="1" outlineLevel="1">
      <c r="B39" s="661" t="s">
        <v>188</v>
      </c>
      <c r="C39" s="662">
        <f t="shared" ref="C39:AN39" si="22">C16-C38</f>
        <v>0</v>
      </c>
      <c r="D39" s="662">
        <f t="shared" si="22"/>
        <v>0</v>
      </c>
      <c r="E39" s="662">
        <f t="shared" si="22"/>
        <v>0</v>
      </c>
      <c r="F39" s="662">
        <f t="shared" si="22"/>
        <v>0</v>
      </c>
      <c r="G39" s="662">
        <f t="shared" si="22"/>
        <v>0</v>
      </c>
      <c r="H39" s="662">
        <f t="shared" si="22"/>
        <v>0</v>
      </c>
      <c r="I39" s="662">
        <f t="shared" si="22"/>
        <v>0</v>
      </c>
      <c r="J39" s="662">
        <f t="shared" si="22"/>
        <v>0</v>
      </c>
      <c r="K39" s="662">
        <f t="shared" si="22"/>
        <v>0</v>
      </c>
      <c r="L39" s="662">
        <f t="shared" si="22"/>
        <v>0</v>
      </c>
      <c r="M39" s="662">
        <f t="shared" si="22"/>
        <v>0</v>
      </c>
      <c r="N39" s="662">
        <f t="shared" si="22"/>
        <v>0</v>
      </c>
      <c r="O39" s="662">
        <f t="shared" si="22"/>
        <v>0</v>
      </c>
      <c r="P39" s="662">
        <f t="shared" si="22"/>
        <v>0</v>
      </c>
      <c r="Q39" s="662">
        <f t="shared" si="22"/>
        <v>0</v>
      </c>
      <c r="R39" s="662">
        <f t="shared" si="22"/>
        <v>0</v>
      </c>
      <c r="S39" s="663">
        <f t="shared" si="22"/>
        <v>0</v>
      </c>
      <c r="T39" s="663">
        <f t="shared" si="22"/>
        <v>0</v>
      </c>
      <c r="U39" s="663">
        <f t="shared" si="22"/>
        <v>0</v>
      </c>
      <c r="V39" s="663">
        <f t="shared" si="22"/>
        <v>0</v>
      </c>
      <c r="W39" s="663">
        <f t="shared" si="22"/>
        <v>0</v>
      </c>
      <c r="X39" s="663">
        <f>X16-X38</f>
        <v>0</v>
      </c>
      <c r="Y39" s="663">
        <f t="shared" si="22"/>
        <v>0</v>
      </c>
      <c r="Z39" s="663">
        <f t="shared" si="22"/>
        <v>0</v>
      </c>
      <c r="AA39" s="663">
        <f>AA16-AA38</f>
        <v>0</v>
      </c>
      <c r="AB39" s="663">
        <f t="shared" si="22"/>
        <v>0</v>
      </c>
      <c r="AC39" s="663">
        <f t="shared" si="22"/>
        <v>0</v>
      </c>
      <c r="AD39" s="663">
        <f t="shared" si="22"/>
        <v>0</v>
      </c>
      <c r="AE39" s="698">
        <f t="shared" si="22"/>
        <v>0</v>
      </c>
      <c r="AF39" s="698">
        <f t="shared" si="22"/>
        <v>0</v>
      </c>
      <c r="AG39" s="698">
        <f t="shared" si="22"/>
        <v>0</v>
      </c>
      <c r="AH39" s="698">
        <f t="shared" si="22"/>
        <v>0</v>
      </c>
      <c r="AI39" s="698">
        <f t="shared" si="22"/>
        <v>0</v>
      </c>
      <c r="AJ39" s="698">
        <f t="shared" si="22"/>
        <v>0</v>
      </c>
      <c r="AK39" s="698">
        <f t="shared" si="22"/>
        <v>0</v>
      </c>
      <c r="AL39" s="698">
        <f t="shared" si="22"/>
        <v>0</v>
      </c>
      <c r="AM39" s="698">
        <f t="shared" si="22"/>
        <v>0</v>
      </c>
      <c r="AN39" s="698">
        <f t="shared" si="22"/>
        <v>0</v>
      </c>
      <c r="AO39" s="699"/>
      <c r="AQ39"/>
      <c r="AR39"/>
      <c r="AS39"/>
      <c r="AT39"/>
      <c r="AU39"/>
      <c r="AV39"/>
    </row>
    <row r="40" spans="1:48" ht="12.75" customHeight="1">
      <c r="B40" s="156"/>
      <c r="C40" s="169"/>
      <c r="D40" s="169"/>
      <c r="E40" s="169"/>
      <c r="F40" s="169"/>
      <c r="G40" s="169"/>
      <c r="H40" s="169"/>
      <c r="I40" s="169"/>
      <c r="J40" s="169"/>
      <c r="K40" s="169"/>
      <c r="L40" s="169"/>
      <c r="M40" s="169"/>
      <c r="N40" s="169"/>
      <c r="O40" s="169"/>
      <c r="P40" s="169"/>
      <c r="Q40" s="169"/>
      <c r="R40" s="169"/>
      <c r="S40" s="511"/>
      <c r="T40" s="511"/>
      <c r="U40" s="511"/>
      <c r="V40" s="511"/>
      <c r="W40" s="511"/>
      <c r="X40" s="511"/>
      <c r="Y40" s="511"/>
      <c r="Z40" s="511"/>
      <c r="AA40" s="511"/>
      <c r="AB40" s="511"/>
      <c r="AC40" s="511"/>
      <c r="AD40" s="511"/>
      <c r="AE40" s="511"/>
      <c r="AF40" s="511"/>
      <c r="AG40" s="511"/>
      <c r="AH40" s="511"/>
      <c r="AI40" s="511"/>
      <c r="AJ40" s="511"/>
      <c r="AK40" s="511"/>
      <c r="AL40" s="511"/>
      <c r="AM40" s="511"/>
    </row>
    <row r="41" spans="1:48" ht="12.75" customHeight="1">
      <c r="B41" s="161" t="s">
        <v>374</v>
      </c>
      <c r="C41" s="520"/>
      <c r="D41" s="520"/>
      <c r="E41" s="520"/>
      <c r="F41" s="520"/>
      <c r="G41" s="520"/>
      <c r="H41" s="520"/>
      <c r="I41" s="521"/>
      <c r="J41" s="521"/>
      <c r="K41" s="521"/>
      <c r="L41" s="521"/>
      <c r="M41" s="521"/>
      <c r="N41" s="521"/>
      <c r="O41" s="521"/>
      <c r="P41" s="521"/>
      <c r="Q41" s="521"/>
      <c r="R41" s="521"/>
      <c r="S41" s="521"/>
      <c r="T41" s="521"/>
      <c r="U41" s="521"/>
      <c r="V41" s="521"/>
      <c r="W41" s="521"/>
      <c r="X41" s="521"/>
      <c r="Y41" s="521"/>
      <c r="Z41" s="521"/>
      <c r="AA41" s="528"/>
      <c r="AB41" s="511"/>
      <c r="AC41" s="511"/>
      <c r="AD41" s="511"/>
      <c r="AE41" s="511"/>
      <c r="AF41" s="511"/>
      <c r="AG41" s="511"/>
      <c r="AH41" s="511"/>
      <c r="AI41" s="511"/>
      <c r="AJ41" s="511"/>
      <c r="AK41" s="511"/>
      <c r="AL41" s="511"/>
      <c r="AM41" s="511"/>
    </row>
    <row r="42" spans="1:48" ht="12.75" customHeight="1" outlineLevel="1">
      <c r="A42" s="162"/>
      <c r="B42" s="522" t="s">
        <v>35</v>
      </c>
      <c r="C42" s="156"/>
      <c r="D42" s="156"/>
      <c r="E42" s="156"/>
      <c r="F42" s="156"/>
      <c r="G42" s="156"/>
      <c r="H42" s="156"/>
      <c r="I42" s="156">
        <f>IS!I5</f>
        <v>3340</v>
      </c>
      <c r="J42" s="156">
        <f>IS!J5</f>
        <v>3629</v>
      </c>
      <c r="K42" s="156">
        <f>IS!K5</f>
        <v>4016</v>
      </c>
      <c r="L42" s="156">
        <f>IS!P5</f>
        <v>5523</v>
      </c>
      <c r="M42" s="156">
        <f>IS!U5</f>
        <v>8356</v>
      </c>
      <c r="N42" s="156">
        <f>IS!Z5</f>
        <v>10550</v>
      </c>
      <c r="O42" s="156">
        <f>IS!AE5</f>
        <v>12430</v>
      </c>
      <c r="P42" s="156">
        <f>IS!AJ5</f>
        <v>14268</v>
      </c>
      <c r="Q42" s="156">
        <f>IS!AO5</f>
        <v>14771</v>
      </c>
      <c r="R42" s="156">
        <f>IS!AT5</f>
        <v>15003</v>
      </c>
      <c r="S42" s="531">
        <f>IS!AY5</f>
        <v>14642</v>
      </c>
      <c r="T42" s="531">
        <f>IS!BD5</f>
        <v>15053</v>
      </c>
      <c r="U42" s="531">
        <f>IS!BI5</f>
        <v>15582</v>
      </c>
      <c r="V42" s="531">
        <f>IS!BN5</f>
        <v>17265</v>
      </c>
      <c r="W42" s="531">
        <f>IS!BS5</f>
        <v>18676</v>
      </c>
      <c r="X42" s="511">
        <f>IS!BX5</f>
        <v>20063</v>
      </c>
      <c r="Y42" s="511">
        <f>IS!CC5</f>
        <v>21662</v>
      </c>
      <c r="Z42" s="511">
        <f>IS!CH5</f>
        <v>22991</v>
      </c>
      <c r="AA42" s="511">
        <f>IS!CM5</f>
        <v>22849</v>
      </c>
      <c r="AB42" s="511">
        <f>IS!CR5</f>
        <v>22633.13996255201</v>
      </c>
      <c r="AC42" s="511">
        <f>IS!CW5</f>
        <v>22481.731493730029</v>
      </c>
      <c r="AD42" s="511">
        <f>IS!DB5</f>
        <v>22726.599995831999</v>
      </c>
      <c r="AE42" s="511">
        <f>IS!DG5</f>
        <v>22581.148100015707</v>
      </c>
      <c r="AF42" s="511">
        <f>IS!DL5</f>
        <v>23413.75697786712</v>
      </c>
      <c r="AG42" s="511">
        <f>IS!DQ5</f>
        <v>24591.714242525977</v>
      </c>
      <c r="AH42" s="511">
        <f>IS!DV5</f>
        <v>25332.714467832891</v>
      </c>
      <c r="AI42" s="511">
        <f>IS!EA5</f>
        <v>25723.182500076706</v>
      </c>
      <c r="AJ42" s="511">
        <f>IS!EF5</f>
        <v>25589.147068711944</v>
      </c>
      <c r="AK42" s="511">
        <f>IS!EK5</f>
        <v>25581.577148985907</v>
      </c>
      <c r="AL42" s="511">
        <f>IS!EP5</f>
        <v>23802.398936216381</v>
      </c>
      <c r="AM42" s="511">
        <f>IS!EU5</f>
        <v>22858.568434304871</v>
      </c>
      <c r="AN42" s="511">
        <f>IS!EZ5</f>
        <v>22269.408571665866</v>
      </c>
      <c r="AO42" s="511"/>
    </row>
    <row r="43" spans="1:48" ht="12.75" customHeight="1" outlineLevel="1">
      <c r="A43" s="102"/>
      <c r="B43" s="522" t="s">
        <v>63</v>
      </c>
      <c r="C43" s="156"/>
      <c r="D43" s="156"/>
      <c r="E43" s="156"/>
      <c r="F43" s="156"/>
      <c r="G43" s="156"/>
      <c r="H43" s="156"/>
      <c r="I43" s="156">
        <f>IS!I9</f>
        <v>402</v>
      </c>
      <c r="J43" s="156">
        <f>IS!J9</f>
        <v>408</v>
      </c>
      <c r="K43" s="156">
        <f>IS!K9</f>
        <v>443</v>
      </c>
      <c r="L43" s="156">
        <f>IS!P9</f>
        <v>690</v>
      </c>
      <c r="M43" s="156">
        <f>IS!U9</f>
        <v>1323</v>
      </c>
      <c r="N43" s="156">
        <f>IS!Z9</f>
        <v>1729</v>
      </c>
      <c r="O43" s="156">
        <f>IS!AE9</f>
        <v>2035</v>
      </c>
      <c r="P43" s="156">
        <f>IS!AJ9</f>
        <v>2080</v>
      </c>
      <c r="Q43" s="156">
        <f>IS!AO9</f>
        <v>2255</v>
      </c>
      <c r="R43" s="156">
        <f>IS!AT9</f>
        <v>2193</v>
      </c>
      <c r="S43" s="531">
        <f>IS!AY9</f>
        <v>2078</v>
      </c>
      <c r="T43" s="531">
        <f>IS!BD9</f>
        <v>2205</v>
      </c>
      <c r="U43" s="531">
        <f>IS!BI9</f>
        <v>2345</v>
      </c>
      <c r="V43" s="531">
        <f>IS!BN9</f>
        <v>2735</v>
      </c>
      <c r="W43" s="531">
        <f>IS!BS9</f>
        <v>2870</v>
      </c>
      <c r="X43" s="511">
        <f>IS!BX9</f>
        <v>3059</v>
      </c>
      <c r="Y43" s="511">
        <f>IS!CC9</f>
        <v>3033</v>
      </c>
      <c r="Z43" s="511">
        <f>IS!CH9</f>
        <v>2913</v>
      </c>
      <c r="AA43" s="511">
        <f>IS!CM9</f>
        <v>2943</v>
      </c>
      <c r="AB43" s="511">
        <f>IS!CR9</f>
        <v>2789.6995085333288</v>
      </c>
      <c r="AC43" s="511">
        <f>IS!CW9</f>
        <v>2804.5957960238029</v>
      </c>
      <c r="AD43" s="511">
        <f>IS!DB9</f>
        <v>2869.3393275510034</v>
      </c>
      <c r="AE43" s="511">
        <f>IS!DG9</f>
        <v>2982.8986400767067</v>
      </c>
      <c r="AF43" s="511">
        <f>IS!DL9</f>
        <v>3241.3133507324201</v>
      </c>
      <c r="AG43" s="511">
        <f>IS!DQ9</f>
        <v>3592.1032019414956</v>
      </c>
      <c r="AH43" s="511">
        <f>IS!DV9</f>
        <v>3836.9687111517633</v>
      </c>
      <c r="AI43" s="511">
        <f>IS!EA9</f>
        <v>4114.6635424854412</v>
      </c>
      <c r="AJ43" s="511">
        <f>IS!EF9</f>
        <v>4303.8729041560782</v>
      </c>
      <c r="AK43" s="511">
        <f>IS!EK9</f>
        <v>4523.3923626788164</v>
      </c>
      <c r="AL43" s="511">
        <f>IS!EP9</f>
        <v>4430.1783190860142</v>
      </c>
      <c r="AM43" s="511">
        <f>IS!EU9</f>
        <v>4439.0458136686466</v>
      </c>
      <c r="AN43" s="511">
        <f>IS!EZ9</f>
        <v>4483.1183232754674</v>
      </c>
      <c r="AO43" s="511"/>
    </row>
    <row r="44" spans="1:48" ht="12.75" customHeight="1" outlineLevel="1">
      <c r="A44" s="102"/>
      <c r="B44" s="522" t="s">
        <v>375</v>
      </c>
      <c r="C44" s="156"/>
      <c r="D44" s="156"/>
      <c r="E44" s="156"/>
      <c r="F44" s="156"/>
      <c r="G44" s="156"/>
      <c r="H44" s="156"/>
      <c r="I44" s="156">
        <f>IS!I9+IS!I19+IS!I26</f>
        <v>1879</v>
      </c>
      <c r="J44" s="156">
        <f>IS!J9+IS!J19+IS!J26</f>
        <v>2080</v>
      </c>
      <c r="K44" s="156">
        <f>IS!K9+IS!K19+IS!K26</f>
        <v>2279</v>
      </c>
      <c r="L44" s="156">
        <f>IS!P9+IS!P19+IS!P26</f>
        <v>3228</v>
      </c>
      <c r="M44" s="156">
        <f>IS!U9+IS!U19+IS!U26</f>
        <v>4835</v>
      </c>
      <c r="N44" s="156">
        <f>IS!Z9+IS!Z19+IS!Z26</f>
        <v>6273</v>
      </c>
      <c r="O44" s="156">
        <f>IS!AE9+IS!AE19+IS!AE26</f>
        <v>7129</v>
      </c>
      <c r="P44" s="156">
        <f>IS!AJ9+IS!AJ19+IS!AJ26</f>
        <v>8505</v>
      </c>
      <c r="Q44" s="156">
        <f>IS!AO9+IS!AO19+IS!AO26</f>
        <v>8701</v>
      </c>
      <c r="R44" s="156">
        <f>IS!AT9+IS!AT19+IS!AT26</f>
        <v>8811</v>
      </c>
      <c r="S44" s="531">
        <f>IS!AY9+IS!AY19+IS!AY26</f>
        <v>8554</v>
      </c>
      <c r="T44" s="531">
        <f>IS!BD9+IS!BD19+IS!BD26</f>
        <v>8903</v>
      </c>
      <c r="U44" s="531">
        <f>IS!BI9+IS!BI19+IS!BI26</f>
        <v>9895</v>
      </c>
      <c r="V44" s="531">
        <f>IS!BN9+IS!BN19+IS!BN26</f>
        <v>10748</v>
      </c>
      <c r="W44" s="531">
        <f>IS!BS9+IS!BS19+IS!BS26</f>
        <v>11704</v>
      </c>
      <c r="X44" s="511">
        <f>IS!BX9+IS!BX19+IS!BX26</f>
        <v>11588</v>
      </c>
      <c r="Y44" s="511">
        <f>IS!CC9+IS!CC19+IS!CC26</f>
        <v>11610</v>
      </c>
      <c r="Z44" s="511">
        <f>IS!CH9+IS!CH19+IS!CH26</f>
        <v>11545</v>
      </c>
      <c r="AA44" s="511">
        <f>IS!CM9+IS!CM19+IS!CM26</f>
        <v>11191</v>
      </c>
      <c r="AB44" s="511">
        <f>IS!CR9+IS!CR19+IS!CR26</f>
        <v>11129.249508533328</v>
      </c>
      <c r="AC44" s="511">
        <f>IS!CW9+IS!CW19+IS!CW26</f>
        <v>11304.929546023801</v>
      </c>
      <c r="AD44" s="511">
        <f>IS!DB9+IS!DB19+IS!DB26</f>
        <v>11533.760846301</v>
      </c>
      <c r="AE44" s="511">
        <f>IS!DG9+IS!DG19+IS!DG26</f>
        <v>11556.125505295455</v>
      </c>
      <c r="AF44" s="511">
        <f>IS!DL9+IS!DL19+IS!DL26</f>
        <v>11728.612471906323</v>
      </c>
      <c r="AG44" s="511">
        <f>IS!DQ9+IS!DQ19+IS!DQ26</f>
        <v>12091.106052926099</v>
      </c>
      <c r="AH44" s="511">
        <f>IS!DV9+IS!DV19+IS!DV26</f>
        <v>12241.178996442744</v>
      </c>
      <c r="AI44" s="511">
        <f>IS!EA9+IS!EA19+IS!EA26</f>
        <v>12334.507557500556</v>
      </c>
      <c r="AJ44" s="511">
        <f>IS!EF9+IS!EF19+IS!EF26</f>
        <v>12420.968868983506</v>
      </c>
      <c r="AK44" s="511">
        <f>IS!EK9+IS!EK19+IS!EK26</f>
        <v>12539.024627945901</v>
      </c>
      <c r="AL44" s="511">
        <f>IS!EP9+IS!EP19+IS!EP26</f>
        <v>12270.592283416463</v>
      </c>
      <c r="AM44" s="511">
        <f>IS!EU9+IS!EU19+IS!EU26</f>
        <v>12025.514151961735</v>
      </c>
      <c r="AN44" s="511">
        <f>IS!EZ9+IS!EZ19+IS!EZ26</f>
        <v>11826.612378430826</v>
      </c>
      <c r="AO44" s="511"/>
    </row>
    <row r="45" spans="1:48" ht="12.75" customHeight="1" outlineLevel="1">
      <c r="A45" s="102"/>
      <c r="B45" s="522" t="s">
        <v>65</v>
      </c>
      <c r="C45" s="156"/>
      <c r="D45" s="156"/>
      <c r="E45" s="156"/>
      <c r="F45" s="156"/>
      <c r="G45" s="156"/>
      <c r="H45" s="156"/>
      <c r="I45" s="156">
        <f>IS!I34</f>
        <v>470</v>
      </c>
      <c r="J45" s="156">
        <f>IS!J34</f>
        <v>536</v>
      </c>
      <c r="K45" s="156">
        <f>IS!K34</f>
        <v>567</v>
      </c>
      <c r="L45" s="156">
        <f>IS!P34</f>
        <v>747</v>
      </c>
      <c r="M45" s="156">
        <f>IS!U34</f>
        <v>1063</v>
      </c>
      <c r="N45" s="156">
        <f>IS!Z34</f>
        <v>1176</v>
      </c>
      <c r="O45" s="156">
        <f>IS!AE34</f>
        <v>1298</v>
      </c>
      <c r="P45" s="156">
        <f>IS!AJ34</f>
        <v>1323</v>
      </c>
      <c r="Q45" s="156">
        <f>IS!AO34</f>
        <v>1298</v>
      </c>
      <c r="R45" s="156">
        <f>IS!AT34</f>
        <v>1353</v>
      </c>
      <c r="S45" s="531">
        <f>IS!AY34</f>
        <v>1022</v>
      </c>
      <c r="T45" s="531">
        <f>IS!BD34</f>
        <v>1164</v>
      </c>
      <c r="U45" s="531">
        <f>IS!BI34</f>
        <v>810</v>
      </c>
      <c r="V45" s="531">
        <f>IS!BN34</f>
        <v>970</v>
      </c>
      <c r="W45" s="531">
        <f>IS!BS34</f>
        <v>590</v>
      </c>
      <c r="X45" s="511">
        <f>IS!BX34</f>
        <v>1169</v>
      </c>
      <c r="Y45" s="511">
        <f>IS!CC34</f>
        <v>1606</v>
      </c>
      <c r="Z45" s="511">
        <f>IS!CH34</f>
        <v>2030</v>
      </c>
      <c r="AA45" s="511">
        <f>IS!CM34</f>
        <v>2036</v>
      </c>
      <c r="AB45" s="511">
        <f>IS!CR34</f>
        <v>1544.3141996726631</v>
      </c>
      <c r="AC45" s="511">
        <f>IS!CW34</f>
        <v>1589.3635366566195</v>
      </c>
      <c r="AD45" s="511">
        <f>IS!DB34</f>
        <v>1619.5966972277704</v>
      </c>
      <c r="AE45" s="511">
        <f>IS!DG34</f>
        <v>1631.0046878123633</v>
      </c>
      <c r="AF45" s="511">
        <f>IS!DL34</f>
        <v>1749.9379570863978</v>
      </c>
      <c r="AG45" s="511">
        <f>IS!DQ34</f>
        <v>1873.8174258138026</v>
      </c>
      <c r="AH45" s="511">
        <f>IS!DV34</f>
        <v>1974.6518066536773</v>
      </c>
      <c r="AI45" s="511">
        <f>IS!EA34</f>
        <v>2027.4158716017657</v>
      </c>
      <c r="AJ45" s="511">
        <f>IS!EF34</f>
        <v>2015.1256150356835</v>
      </c>
      <c r="AK45" s="511">
        <f>IS!EK34</f>
        <v>2015.4177261880704</v>
      </c>
      <c r="AL45" s="511">
        <f>IS!EP34</f>
        <v>1808.9708951459045</v>
      </c>
      <c r="AM45" s="511">
        <f>IS!EU34</f>
        <v>1729.0386990340935</v>
      </c>
      <c r="AN45" s="511">
        <f>IS!EZ34</f>
        <v>1679.0124215523267</v>
      </c>
      <c r="AO45" s="511"/>
    </row>
    <row r="46" spans="1:48" ht="12.75" customHeight="1" outlineLevel="1">
      <c r="A46" s="102"/>
      <c r="B46" s="522" t="s">
        <v>376</v>
      </c>
      <c r="C46" s="156"/>
      <c r="D46" s="156"/>
      <c r="E46" s="156"/>
      <c r="F46" s="156"/>
      <c r="G46" s="156"/>
      <c r="H46" s="156"/>
      <c r="I46" s="156">
        <f>IS!I37</f>
        <v>1096</v>
      </c>
      <c r="J46" s="156">
        <f>IS!J37</f>
        <v>1138</v>
      </c>
      <c r="K46" s="156">
        <f>IS!K37</f>
        <v>1119</v>
      </c>
      <c r="L46" s="156">
        <f>IS!P37</f>
        <v>1661</v>
      </c>
      <c r="M46" s="156">
        <f>IS!U37</f>
        <v>2539</v>
      </c>
      <c r="N46" s="156">
        <f>IS!Z37</f>
        <v>3148</v>
      </c>
      <c r="O46" s="156">
        <f>IS!AE37</f>
        <v>4023</v>
      </c>
      <c r="P46" s="156">
        <f>IS!AJ37</f>
        <v>4620</v>
      </c>
      <c r="Q46" s="156">
        <f>IS!AO37</f>
        <v>4804</v>
      </c>
      <c r="R46" s="156">
        <f>IS!AT37</f>
        <v>4885</v>
      </c>
      <c r="S46" s="531">
        <f>IS!AY37</f>
        <v>5014</v>
      </c>
      <c r="T46" s="531">
        <f>IS!BD37</f>
        <v>5024</v>
      </c>
      <c r="U46" s="531">
        <f>IS!BI37</f>
        <v>4858</v>
      </c>
      <c r="V46" s="531">
        <f>IS!BN37</f>
        <v>5119</v>
      </c>
      <c r="W46" s="531">
        <f>IS!BS37</f>
        <v>5814</v>
      </c>
      <c r="X46" s="511">
        <f>IS!BX37</f>
        <v>6700</v>
      </c>
      <c r="Y46" s="511">
        <f>IS!CC37</f>
        <v>7954</v>
      </c>
      <c r="Z46" s="511">
        <f>IS!CH37</f>
        <v>8785</v>
      </c>
      <c r="AA46" s="511">
        <f>IS!CM37</f>
        <v>9246</v>
      </c>
      <c r="AB46" s="511">
        <f>IS!CR37</f>
        <v>9412.1363243460182</v>
      </c>
      <c r="AC46" s="511">
        <f>IS!CW37</f>
        <v>9371.7643023545497</v>
      </c>
      <c r="AD46" s="511">
        <f>IS!DB37</f>
        <v>9550.0356974465085</v>
      </c>
      <c r="AE46" s="511">
        <f>IS!DG37</f>
        <v>9617.30350399704</v>
      </c>
      <c r="AF46" s="511">
        <f>IS!DL37</f>
        <v>10318.599677992208</v>
      </c>
      <c r="AG46" s="511">
        <f>IS!DQ37</f>
        <v>11049.061372902079</v>
      </c>
      <c r="AH46" s="511">
        <f>IS!DV37</f>
        <v>11643.636515095823</v>
      </c>
      <c r="AI46" s="511">
        <f>IS!EA37</f>
        <v>11954.762553237999</v>
      </c>
      <c r="AJ46" s="511">
        <f>IS!EF37</f>
        <v>11882.292419693169</v>
      </c>
      <c r="AK46" s="511">
        <f>IS!EK37</f>
        <v>11884.014868212416</v>
      </c>
      <c r="AL46" s="511">
        <f>IS!EP37</f>
        <v>10666.69045068792</v>
      </c>
      <c r="AM46" s="511">
        <f>IS!EU37</f>
        <v>10195.366121890689</v>
      </c>
      <c r="AN46" s="511">
        <f>IS!EZ37</f>
        <v>9900.3835891533763</v>
      </c>
      <c r="AO46" s="511"/>
    </row>
    <row r="47" spans="1:48" ht="12.75" customHeight="1" outlineLevel="1">
      <c r="A47" s="102"/>
      <c r="B47" s="522" t="s">
        <v>377</v>
      </c>
      <c r="C47" s="156"/>
      <c r="D47" s="156"/>
      <c r="E47" s="156"/>
      <c r="F47" s="156"/>
      <c r="G47" s="156"/>
      <c r="H47" s="156"/>
      <c r="I47" s="156">
        <f>+CF!I23</f>
        <v>1226.5</v>
      </c>
      <c r="J47" s="156">
        <f>+CF!J23</f>
        <v>1634.1</v>
      </c>
      <c r="K47" s="156">
        <f>+CF!K23</f>
        <v>1480.1999999999998</v>
      </c>
      <c r="L47" s="156">
        <f>+CF!L23</f>
        <v>2248.8000000000002</v>
      </c>
      <c r="M47" s="156">
        <f>+CF!M23</f>
        <v>3566.6</v>
      </c>
      <c r="N47" s="156">
        <f>+CF!N23</f>
        <v>3697</v>
      </c>
      <c r="O47" s="156">
        <f>+CF!O23</f>
        <v>4911</v>
      </c>
      <c r="P47" s="156">
        <f>+CF!P23</f>
        <v>5389</v>
      </c>
      <c r="Q47" s="156">
        <f>+CF!Q23</f>
        <v>5401</v>
      </c>
      <c r="R47" s="156">
        <f>+CF!R23</f>
        <v>5988</v>
      </c>
      <c r="S47" s="531">
        <f>+CF!S23</f>
        <v>6336</v>
      </c>
      <c r="T47" s="531">
        <f>+CF!T23</f>
        <v>5787</v>
      </c>
      <c r="U47" s="531">
        <f>+CF!U23</f>
        <v>5119</v>
      </c>
      <c r="V47" s="531">
        <f>+CF!V23</f>
        <v>5882</v>
      </c>
      <c r="W47" s="531">
        <f>+CF!W23</f>
        <v>6291</v>
      </c>
      <c r="X47" s="511">
        <f>+CF!X23</f>
        <v>8555</v>
      </c>
      <c r="Y47" s="511">
        <f>+CF!Y23</f>
        <v>9077</v>
      </c>
      <c r="Z47" s="511">
        <f>+CF!Z23</f>
        <v>10354</v>
      </c>
      <c r="AA47" s="511">
        <f>+CF!AA23</f>
        <v>11177</v>
      </c>
      <c r="AB47" s="511">
        <f>+CF!AB23</f>
        <v>12276.12973988466</v>
      </c>
      <c r="AC47" s="511">
        <f>+CF!AC23</f>
        <v>12361.795709854814</v>
      </c>
      <c r="AD47" s="511">
        <f>+CF!AD23</f>
        <v>12548.783791411512</v>
      </c>
      <c r="AE47" s="511">
        <f>+CF!AE23</f>
        <v>12589.979104525326</v>
      </c>
      <c r="AF47" s="511">
        <f>+CF!AF23</f>
        <v>13128.963608496539</v>
      </c>
      <c r="AG47" s="511">
        <f>+CF!AG23</f>
        <v>13099.969023568639</v>
      </c>
      <c r="AH47" s="511">
        <f>+CF!AH23</f>
        <v>12931.505249199465</v>
      </c>
      <c r="AI47" s="511">
        <f>+CF!AI23</f>
        <v>13296.622762102608</v>
      </c>
      <c r="AJ47" s="511">
        <f>+CF!AJ23</f>
        <v>13467.700253154948</v>
      </c>
      <c r="AK47" s="511">
        <f>+CF!AK23</f>
        <v>13518.415421242176</v>
      </c>
      <c r="AL47" s="511">
        <f>+CF!AL23</f>
        <v>12793.035279849737</v>
      </c>
      <c r="AM47" s="511">
        <f>+CF!AM23</f>
        <v>12148.188834475599</v>
      </c>
      <c r="AN47" s="511">
        <f>+CF!AN23</f>
        <v>11921.692205259902</v>
      </c>
      <c r="AO47" s="511"/>
    </row>
    <row r="48" spans="1:48" ht="12.75" customHeight="1" outlineLevel="1">
      <c r="A48" s="102"/>
      <c r="B48" s="522" t="s">
        <v>378</v>
      </c>
      <c r="C48" s="156"/>
      <c r="D48" s="156"/>
      <c r="E48" s="156"/>
      <c r="F48" s="156"/>
      <c r="G48" s="156"/>
      <c r="H48" s="156"/>
      <c r="I48" s="156">
        <f t="shared" ref="I48:AD48" si="23">-I96</f>
        <v>-304.2</v>
      </c>
      <c r="J48" s="156">
        <f t="shared" si="23"/>
        <v>-437.7</v>
      </c>
      <c r="K48" s="156">
        <f t="shared" si="23"/>
        <v>-441.8</v>
      </c>
      <c r="L48" s="156">
        <f t="shared" si="23"/>
        <v>-658.5</v>
      </c>
      <c r="M48" s="156">
        <f t="shared" si="23"/>
        <v>-1356.8</v>
      </c>
      <c r="N48" s="156">
        <f t="shared" si="23"/>
        <v>-1336</v>
      </c>
      <c r="O48" s="156">
        <f t="shared" si="23"/>
        <v>-867</v>
      </c>
      <c r="P48" s="156">
        <f t="shared" si="23"/>
        <v>-1218</v>
      </c>
      <c r="Q48" s="156">
        <f t="shared" si="23"/>
        <v>-1267</v>
      </c>
      <c r="R48" s="156">
        <f t="shared" si="23"/>
        <v>-672</v>
      </c>
      <c r="S48" s="531">
        <f t="shared" si="23"/>
        <v>-530</v>
      </c>
      <c r="T48" s="531">
        <f t="shared" si="23"/>
        <v>-580</v>
      </c>
      <c r="U48" s="531">
        <f t="shared" si="23"/>
        <v>-567</v>
      </c>
      <c r="V48" s="531">
        <f t="shared" si="23"/>
        <v>-689</v>
      </c>
      <c r="W48" s="531">
        <f>-W96</f>
        <v>-693</v>
      </c>
      <c r="X48" s="511">
        <f t="shared" si="23"/>
        <v>-718</v>
      </c>
      <c r="Y48" s="511">
        <f t="shared" si="23"/>
        <v>-594</v>
      </c>
      <c r="Z48" s="511">
        <f t="shared" si="23"/>
        <v>-738</v>
      </c>
      <c r="AA48" s="511">
        <f t="shared" si="23"/>
        <v>-653</v>
      </c>
      <c r="AB48" s="511">
        <f t="shared" si="23"/>
        <v>-678.99419887656029</v>
      </c>
      <c r="AC48" s="511">
        <f t="shared" si="23"/>
        <v>-674.45194481190083</v>
      </c>
      <c r="AD48" s="511">
        <f t="shared" si="23"/>
        <v>-681.79799987495994</v>
      </c>
      <c r="AE48" s="511">
        <f t="shared" ref="AE48:AN48" si="24">-AE96</f>
        <v>-677.43444300047122</v>
      </c>
      <c r="AF48" s="511">
        <f t="shared" si="24"/>
        <v>-702.41270933601356</v>
      </c>
      <c r="AG48" s="511">
        <f t="shared" si="24"/>
        <v>-737.75142727577929</v>
      </c>
      <c r="AH48" s="511">
        <f t="shared" si="24"/>
        <v>-759.98143403498671</v>
      </c>
      <c r="AI48" s="511">
        <f t="shared" si="24"/>
        <v>-771.69547500230112</v>
      </c>
      <c r="AJ48" s="511">
        <f t="shared" si="24"/>
        <v>-767.67441206135823</v>
      </c>
      <c r="AK48" s="511">
        <f t="shared" si="24"/>
        <v>-1279.0788574492954</v>
      </c>
      <c r="AL48" s="511">
        <f t="shared" si="24"/>
        <v>-1190.1199468108191</v>
      </c>
      <c r="AM48" s="511">
        <f t="shared" si="24"/>
        <v>-1371.5141060582921</v>
      </c>
      <c r="AN48" s="511">
        <f t="shared" si="24"/>
        <v>-2226.9408571665867</v>
      </c>
      <c r="AO48" s="511"/>
    </row>
    <row r="49" spans="1:41" ht="12.75" customHeight="1" outlineLevel="1">
      <c r="A49" s="102"/>
      <c r="B49" s="102"/>
      <c r="C49" s="102"/>
      <c r="D49" s="102"/>
      <c r="E49" s="102"/>
      <c r="F49" s="102"/>
      <c r="G49" s="102"/>
      <c r="H49" s="102"/>
      <c r="I49" s="102"/>
      <c r="J49" s="102"/>
      <c r="K49" s="102"/>
      <c r="L49" s="102"/>
      <c r="M49" s="102"/>
      <c r="N49" s="102"/>
      <c r="O49" s="102"/>
      <c r="P49" s="102"/>
      <c r="Q49" s="102"/>
      <c r="R49" s="102"/>
      <c r="S49" s="127"/>
      <c r="T49" s="127"/>
      <c r="U49" s="127"/>
      <c r="V49" s="127"/>
      <c r="W49" s="127"/>
      <c r="X49" s="127"/>
      <c r="Y49" s="127"/>
      <c r="Z49" s="127"/>
      <c r="AA49" s="127"/>
      <c r="AB49" s="127"/>
      <c r="AC49" s="127"/>
      <c r="AD49" s="127"/>
      <c r="AE49" s="127"/>
      <c r="AF49" s="127"/>
      <c r="AG49" s="127"/>
      <c r="AH49" s="127"/>
      <c r="AI49" s="127"/>
      <c r="AJ49" s="127"/>
      <c r="AK49" s="127"/>
      <c r="AL49" s="127"/>
      <c r="AM49" s="127"/>
    </row>
    <row r="50" spans="1:41" ht="12.75" customHeight="1" outlineLevel="1">
      <c r="B50" s="170" t="s">
        <v>379</v>
      </c>
      <c r="I50" s="171"/>
      <c r="J50" s="171"/>
      <c r="K50" s="171"/>
      <c r="L50" s="171"/>
      <c r="M50" s="171"/>
      <c r="N50" s="171"/>
      <c r="O50" s="171"/>
      <c r="P50" s="171"/>
      <c r="Q50" s="171"/>
      <c r="R50" s="171"/>
      <c r="S50" s="513"/>
      <c r="T50" s="513"/>
      <c r="U50" s="513"/>
      <c r="V50" s="513"/>
      <c r="W50" s="513"/>
      <c r="X50" s="513"/>
      <c r="Y50" s="513"/>
      <c r="Z50" s="513"/>
      <c r="AA50" s="513"/>
    </row>
    <row r="51" spans="1:41" ht="12.75" customHeight="1" outlineLevel="1">
      <c r="A51" s="105"/>
      <c r="B51" s="128" t="s">
        <v>380</v>
      </c>
      <c r="C51" s="105"/>
      <c r="D51" s="105"/>
      <c r="E51" s="105"/>
      <c r="F51" s="105"/>
      <c r="G51" s="105"/>
      <c r="H51" s="105"/>
      <c r="I51" s="105">
        <f t="shared" ref="I51:X51" si="25">I42/I61</f>
        <v>8.1028626880155272</v>
      </c>
      <c r="J51" s="105">
        <f t="shared" si="25"/>
        <v>9.3242548818088391</v>
      </c>
      <c r="K51" s="105">
        <f t="shared" si="25"/>
        <v>8.0772325020112632</v>
      </c>
      <c r="L51" s="105">
        <f t="shared" si="25"/>
        <v>7.3405103668261562</v>
      </c>
      <c r="M51" s="105">
        <f t="shared" si="25"/>
        <v>8.2896825396825395</v>
      </c>
      <c r="N51" s="105">
        <f t="shared" si="25"/>
        <v>7.2210814510609174</v>
      </c>
      <c r="O51" s="105">
        <f t="shared" si="25"/>
        <v>7.0265686828716793</v>
      </c>
      <c r="P51" s="105">
        <f t="shared" si="25"/>
        <v>6.7175141242937855</v>
      </c>
      <c r="Q51" s="105">
        <f t="shared" si="25"/>
        <v>7.0304616849119466</v>
      </c>
      <c r="R51" s="105">
        <f t="shared" si="25"/>
        <v>7.2373371924746746</v>
      </c>
      <c r="S51" s="552">
        <f t="shared" si="25"/>
        <v>6.9426268373636795</v>
      </c>
      <c r="T51" s="552">
        <f t="shared" si="25"/>
        <v>6.4466809421841544</v>
      </c>
      <c r="U51" s="552">
        <f t="shared" si="25"/>
        <v>5.3805248618784534</v>
      </c>
      <c r="V51" s="552">
        <f t="shared" si="25"/>
        <v>6.8566322478157264</v>
      </c>
      <c r="W51" s="552">
        <f t="shared" si="25"/>
        <v>6.924731182795699</v>
      </c>
      <c r="X51" s="552">
        <f t="shared" si="25"/>
        <v>7.8802042419481539</v>
      </c>
      <c r="Y51" s="552">
        <f>Y42/Y61</f>
        <v>7.2327212020033391</v>
      </c>
      <c r="Z51" s="552">
        <f>Z42/Z61</f>
        <v>7.264139020537125</v>
      </c>
      <c r="AA51" s="552">
        <f>AA42/AA61</f>
        <v>7.058696323756565</v>
      </c>
      <c r="AB51" s="140">
        <f t="shared" ref="AB51:AD53" si="26">AA51</f>
        <v>7.058696323756565</v>
      </c>
      <c r="AC51" s="140">
        <f t="shared" si="26"/>
        <v>7.058696323756565</v>
      </c>
      <c r="AD51" s="140">
        <f t="shared" si="26"/>
        <v>7.058696323756565</v>
      </c>
      <c r="AE51" s="140">
        <f t="shared" ref="AE51:AN51" si="27">AD51</f>
        <v>7.058696323756565</v>
      </c>
      <c r="AF51" s="140">
        <f t="shared" si="27"/>
        <v>7.058696323756565</v>
      </c>
      <c r="AG51" s="140">
        <f t="shared" si="27"/>
        <v>7.058696323756565</v>
      </c>
      <c r="AH51" s="140">
        <f t="shared" si="27"/>
        <v>7.058696323756565</v>
      </c>
      <c r="AI51" s="140">
        <f t="shared" si="27"/>
        <v>7.058696323756565</v>
      </c>
      <c r="AJ51" s="140">
        <f t="shared" si="27"/>
        <v>7.058696323756565</v>
      </c>
      <c r="AK51" s="140">
        <f t="shared" si="27"/>
        <v>7.058696323756565</v>
      </c>
      <c r="AL51" s="140">
        <f t="shared" si="27"/>
        <v>7.058696323756565</v>
      </c>
      <c r="AM51" s="140">
        <f t="shared" si="27"/>
        <v>7.058696323756565</v>
      </c>
      <c r="AN51" s="140">
        <f t="shared" si="27"/>
        <v>7.058696323756565</v>
      </c>
      <c r="AO51" s="140"/>
    </row>
    <row r="52" spans="1:41" ht="12.75" customHeight="1" outlineLevel="1">
      <c r="A52" s="105"/>
      <c r="B52" s="128" t="s">
        <v>381</v>
      </c>
      <c r="C52" s="105"/>
      <c r="D52" s="105"/>
      <c r="E52" s="105"/>
      <c r="F52" s="105"/>
      <c r="G52" s="105"/>
      <c r="H52" s="105"/>
      <c r="I52" s="105">
        <f t="shared" ref="I52:X52" si="28">I43/I63</f>
        <v>2.1812262615301137</v>
      </c>
      <c r="J52" s="105">
        <f t="shared" si="28"/>
        <v>1.3368283093053737</v>
      </c>
      <c r="K52" s="105">
        <f t="shared" si="28"/>
        <v>1.2457817772778401</v>
      </c>
      <c r="L52" s="105">
        <f t="shared" si="28"/>
        <v>1.2662873921820519</v>
      </c>
      <c r="M52" s="105">
        <f t="shared" si="28"/>
        <v>1.8555399719495091</v>
      </c>
      <c r="N52" s="105">
        <f t="shared" si="28"/>
        <v>1.947072072072072</v>
      </c>
      <c r="O52" s="105">
        <f t="shared" si="28"/>
        <v>1.6176470588235294</v>
      </c>
      <c r="P52" s="105">
        <f t="shared" si="28"/>
        <v>1.093011035207567</v>
      </c>
      <c r="Q52" s="105">
        <f t="shared" si="28"/>
        <v>1.0784313725490196</v>
      </c>
      <c r="R52" s="105">
        <f t="shared" si="28"/>
        <v>1.056867469879518</v>
      </c>
      <c r="S52" s="552">
        <f t="shared" si="28"/>
        <v>0.93603603603603602</v>
      </c>
      <c r="T52" s="552">
        <f t="shared" si="28"/>
        <v>1.0905044510385757</v>
      </c>
      <c r="U52" s="552">
        <f t="shared" si="28"/>
        <v>0.94404186795491141</v>
      </c>
      <c r="V52" s="552">
        <f t="shared" si="28"/>
        <v>0.9967201166180758</v>
      </c>
      <c r="W52" s="552">
        <f t="shared" si="28"/>
        <v>0.95064590924147063</v>
      </c>
      <c r="X52" s="552">
        <f t="shared" si="28"/>
        <v>1.1556479032867397</v>
      </c>
      <c r="Y52" s="552">
        <f>Y43/Y63</f>
        <v>1.2455852156057494</v>
      </c>
      <c r="Z52" s="552">
        <f>Z43/Z63</f>
        <v>1.0612021857923497</v>
      </c>
      <c r="AA52" s="552">
        <f>AA43/AA63</f>
        <v>1.0384615384615385</v>
      </c>
      <c r="AB52" s="140">
        <f t="shared" si="26"/>
        <v>1.0384615384615385</v>
      </c>
      <c r="AC52" s="140">
        <f t="shared" si="26"/>
        <v>1.0384615384615385</v>
      </c>
      <c r="AD52" s="140">
        <f t="shared" si="26"/>
        <v>1.0384615384615385</v>
      </c>
      <c r="AE52" s="140">
        <f t="shared" ref="AE52:AN52" si="29">AD52</f>
        <v>1.0384615384615385</v>
      </c>
      <c r="AF52" s="140">
        <f t="shared" si="29"/>
        <v>1.0384615384615385</v>
      </c>
      <c r="AG52" s="140">
        <f t="shared" si="29"/>
        <v>1.0384615384615385</v>
      </c>
      <c r="AH52" s="140">
        <f t="shared" si="29"/>
        <v>1.0384615384615385</v>
      </c>
      <c r="AI52" s="140">
        <f t="shared" si="29"/>
        <v>1.0384615384615385</v>
      </c>
      <c r="AJ52" s="140">
        <f t="shared" si="29"/>
        <v>1.0384615384615385</v>
      </c>
      <c r="AK52" s="140">
        <f t="shared" si="29"/>
        <v>1.0384615384615385</v>
      </c>
      <c r="AL52" s="140">
        <f t="shared" si="29"/>
        <v>1.0384615384615385</v>
      </c>
      <c r="AM52" s="140">
        <f t="shared" si="29"/>
        <v>1.0384615384615385</v>
      </c>
      <c r="AN52" s="140">
        <f t="shared" si="29"/>
        <v>1.0384615384615385</v>
      </c>
      <c r="AO52" s="140"/>
    </row>
    <row r="53" spans="1:41" ht="12.75" customHeight="1" outlineLevel="1">
      <c r="A53" s="105"/>
      <c r="B53" s="128" t="s">
        <v>382</v>
      </c>
      <c r="C53" s="105"/>
      <c r="D53" s="105"/>
      <c r="E53" s="105"/>
      <c r="F53" s="105"/>
      <c r="G53" s="105"/>
      <c r="H53" s="105"/>
      <c r="I53" s="105">
        <f t="shared" ref="I53:AA53" si="30">I43/I65</f>
        <v>4.8201438848920857</v>
      </c>
      <c r="J53" s="105">
        <f t="shared" si="30"/>
        <v>2.8491620111731848</v>
      </c>
      <c r="K53" s="105">
        <f t="shared" si="30"/>
        <v>3.2406730065837603</v>
      </c>
      <c r="L53" s="105">
        <f t="shared" si="30"/>
        <v>2.7101335428122546</v>
      </c>
      <c r="M53" s="105">
        <f t="shared" si="30"/>
        <v>4.0458715596330279</v>
      </c>
      <c r="N53" s="105">
        <f t="shared" si="30"/>
        <v>3.4102564102564101</v>
      </c>
      <c r="O53" s="105">
        <f t="shared" si="30"/>
        <v>3.4144295302013421</v>
      </c>
      <c r="P53" s="105">
        <f t="shared" si="30"/>
        <v>3.7477477477477477</v>
      </c>
      <c r="Q53" s="105">
        <f t="shared" si="30"/>
        <v>5.965608465608466</v>
      </c>
      <c r="R53" s="105">
        <f t="shared" si="30"/>
        <v>4.3511904761904763</v>
      </c>
      <c r="S53" s="552">
        <f t="shared" si="30"/>
        <v>3.6202090592334493</v>
      </c>
      <c r="T53" s="552">
        <f t="shared" si="30"/>
        <v>3.0796089385474859</v>
      </c>
      <c r="U53" s="552">
        <f t="shared" si="30"/>
        <v>3.6526479750778815</v>
      </c>
      <c r="V53" s="552">
        <f t="shared" si="30"/>
        <v>3.0220994475138121</v>
      </c>
      <c r="W53" s="552">
        <f t="shared" si="30"/>
        <v>3.6467598475222363</v>
      </c>
      <c r="X53" s="552">
        <f t="shared" si="30"/>
        <v>2.523927392739274</v>
      </c>
      <c r="Y53" s="552">
        <f t="shared" si="30"/>
        <v>3.1430051813471502</v>
      </c>
      <c r="Z53" s="552">
        <f t="shared" si="30"/>
        <v>3.1766630316248636</v>
      </c>
      <c r="AA53" s="552">
        <f t="shared" si="30"/>
        <v>2.1767751479289941</v>
      </c>
      <c r="AB53" s="140">
        <f t="shared" si="26"/>
        <v>2.1767751479289941</v>
      </c>
      <c r="AC53" s="140">
        <f t="shared" si="26"/>
        <v>2.1767751479289941</v>
      </c>
      <c r="AD53" s="140">
        <f t="shared" si="26"/>
        <v>2.1767751479289941</v>
      </c>
      <c r="AE53" s="140">
        <f t="shared" ref="AE53:AN53" si="31">AD53</f>
        <v>2.1767751479289941</v>
      </c>
      <c r="AF53" s="140">
        <f t="shared" si="31"/>
        <v>2.1767751479289941</v>
      </c>
      <c r="AG53" s="140">
        <f t="shared" si="31"/>
        <v>2.1767751479289941</v>
      </c>
      <c r="AH53" s="140">
        <f t="shared" si="31"/>
        <v>2.1767751479289941</v>
      </c>
      <c r="AI53" s="140">
        <f t="shared" si="31"/>
        <v>2.1767751479289941</v>
      </c>
      <c r="AJ53" s="140">
        <f t="shared" si="31"/>
        <v>2.1767751479289941</v>
      </c>
      <c r="AK53" s="140">
        <f t="shared" si="31"/>
        <v>2.1767751479289941</v>
      </c>
      <c r="AL53" s="140">
        <f t="shared" si="31"/>
        <v>2.1767751479289941</v>
      </c>
      <c r="AM53" s="140">
        <f t="shared" si="31"/>
        <v>2.1767751479289941</v>
      </c>
      <c r="AN53" s="140">
        <f t="shared" si="31"/>
        <v>2.1767751479289941</v>
      </c>
      <c r="AO53" s="140"/>
    </row>
    <row r="54" spans="1:41" ht="12.75" customHeight="1" outlineLevel="1">
      <c r="A54" s="102"/>
      <c r="B54" s="128" t="s">
        <v>383</v>
      </c>
      <c r="C54" s="102"/>
      <c r="D54" s="102"/>
      <c r="E54" s="102"/>
      <c r="F54" s="102"/>
      <c r="G54" s="102"/>
      <c r="H54" s="102"/>
      <c r="I54" s="102">
        <f t="shared" ref="I54:AA54" si="32">365/(I42/I61)</f>
        <v>45.045808383233528</v>
      </c>
      <c r="J54" s="102">
        <f t="shared" si="32"/>
        <v>39.14521906861394</v>
      </c>
      <c r="K54" s="102">
        <f t="shared" si="32"/>
        <v>45.188745019920319</v>
      </c>
      <c r="L54" s="102">
        <f t="shared" si="32"/>
        <v>49.724063009234115</v>
      </c>
      <c r="M54" s="102">
        <f t="shared" si="32"/>
        <v>44.030636668262325</v>
      </c>
      <c r="N54" s="102">
        <f t="shared" si="32"/>
        <v>50.54644549763033</v>
      </c>
      <c r="O54" s="102">
        <f t="shared" si="32"/>
        <v>51.945695897023327</v>
      </c>
      <c r="P54" s="102">
        <f t="shared" si="32"/>
        <v>54.33557611438183</v>
      </c>
      <c r="Q54" s="102">
        <f t="shared" si="32"/>
        <v>51.916931825875025</v>
      </c>
      <c r="R54" s="102">
        <f t="shared" si="32"/>
        <v>50.432913417316534</v>
      </c>
      <c r="S54" s="554">
        <f t="shared" si="32"/>
        <v>52.573760415243818</v>
      </c>
      <c r="T54" s="554">
        <f t="shared" si="32"/>
        <v>56.618282070019262</v>
      </c>
      <c r="U54" s="554">
        <f t="shared" si="32"/>
        <v>67.837248106789886</v>
      </c>
      <c r="V54" s="554">
        <f t="shared" si="32"/>
        <v>53.233130611062847</v>
      </c>
      <c r="W54" s="554">
        <f t="shared" si="32"/>
        <v>52.709627329192543</v>
      </c>
      <c r="X54" s="127">
        <f t="shared" si="32"/>
        <v>46.318596421272993</v>
      </c>
      <c r="Y54" s="127">
        <f t="shared" si="32"/>
        <v>50.4651001754224</v>
      </c>
      <c r="Z54" s="127">
        <f t="shared" si="32"/>
        <v>50.246835718324562</v>
      </c>
      <c r="AA54" s="127">
        <f t="shared" si="32"/>
        <v>51.709265175718848</v>
      </c>
      <c r="AB54" s="127">
        <f>365/(AB42/AB61)</f>
        <v>51.709265175718848</v>
      </c>
      <c r="AC54" s="127">
        <f>365/(AC42/AC61)</f>
        <v>51.709265175718855</v>
      </c>
      <c r="AD54" s="127">
        <f>365/(AD42/AD61)</f>
        <v>51.709265175718855</v>
      </c>
      <c r="AE54" s="127">
        <f t="shared" ref="AE54:AN54" si="33">365/(AE42/AE61)</f>
        <v>51.709265175718848</v>
      </c>
      <c r="AF54" s="127">
        <f t="shared" si="33"/>
        <v>51.709265175718848</v>
      </c>
      <c r="AG54" s="127">
        <f t="shared" si="33"/>
        <v>51.709265175718848</v>
      </c>
      <c r="AH54" s="127">
        <f t="shared" si="33"/>
        <v>51.709265175718848</v>
      </c>
      <c r="AI54" s="127">
        <f t="shared" si="33"/>
        <v>51.709265175718848</v>
      </c>
      <c r="AJ54" s="127">
        <f t="shared" si="33"/>
        <v>51.709265175718848</v>
      </c>
      <c r="AK54" s="127">
        <f t="shared" si="33"/>
        <v>51.709265175718848</v>
      </c>
      <c r="AL54" s="127">
        <f t="shared" si="33"/>
        <v>51.709265175718848</v>
      </c>
      <c r="AM54" s="127">
        <f t="shared" si="33"/>
        <v>51.709265175718848</v>
      </c>
      <c r="AN54" s="127">
        <f t="shared" si="33"/>
        <v>51.709265175718848</v>
      </c>
      <c r="AO54" s="127"/>
    </row>
    <row r="55" spans="1:41" ht="12.75" customHeight="1" outlineLevel="1">
      <c r="A55" s="102"/>
      <c r="B55" s="128" t="s">
        <v>384</v>
      </c>
      <c r="C55" s="102"/>
      <c r="D55" s="102"/>
      <c r="E55" s="102"/>
      <c r="F55" s="102"/>
      <c r="G55" s="102"/>
      <c r="H55" s="102"/>
      <c r="I55" s="102">
        <f t="shared" ref="I55:AA55" si="34">365/(I43/I63)</f>
        <v>167.33706467661693</v>
      </c>
      <c r="J55" s="102">
        <f t="shared" si="34"/>
        <v>273.03431372549016</v>
      </c>
      <c r="K55" s="102">
        <f t="shared" si="34"/>
        <v>292.98871331828445</v>
      </c>
      <c r="L55" s="102">
        <f t="shared" si="34"/>
        <v>288.24420289855067</v>
      </c>
      <c r="M55" s="102">
        <f t="shared" si="34"/>
        <v>196.70823885109598</v>
      </c>
      <c r="N55" s="102">
        <f t="shared" si="34"/>
        <v>187.46096009253904</v>
      </c>
      <c r="O55" s="102">
        <f t="shared" si="34"/>
        <v>225.63636363636363</v>
      </c>
      <c r="P55" s="102">
        <f t="shared" si="34"/>
        <v>333.93990384615381</v>
      </c>
      <c r="Q55" s="102">
        <f t="shared" si="34"/>
        <v>338.4545454545455</v>
      </c>
      <c r="R55" s="102">
        <f t="shared" si="34"/>
        <v>345.3602371181031</v>
      </c>
      <c r="S55" s="127">
        <f t="shared" si="34"/>
        <v>389.94225216554378</v>
      </c>
      <c r="T55" s="127">
        <f t="shared" si="34"/>
        <v>334.70748299319723</v>
      </c>
      <c r="U55" s="127">
        <f t="shared" si="34"/>
        <v>386.63539445628999</v>
      </c>
      <c r="V55" s="127">
        <f t="shared" si="34"/>
        <v>366.20109689213893</v>
      </c>
      <c r="W55" s="127">
        <f t="shared" si="34"/>
        <v>383.94947735191641</v>
      </c>
      <c r="X55" s="127">
        <f t="shared" si="34"/>
        <v>315.84014383785552</v>
      </c>
      <c r="Y55" s="127">
        <f t="shared" si="34"/>
        <v>293.03494889548301</v>
      </c>
      <c r="Z55" s="127">
        <f t="shared" si="34"/>
        <v>343.94953656024717</v>
      </c>
      <c r="AA55" s="127">
        <f t="shared" si="34"/>
        <v>351.48148148148147</v>
      </c>
      <c r="AB55" s="127">
        <f>365/(AB43/AB63)</f>
        <v>351.48148148148147</v>
      </c>
      <c r="AC55" s="127">
        <f>365/(AC43/AC63)</f>
        <v>351.48148148148147</v>
      </c>
      <c r="AD55" s="127">
        <f>365/(AD43/AD63)</f>
        <v>351.48148148148147</v>
      </c>
      <c r="AE55" s="127">
        <f t="shared" ref="AE55:AN55" si="35">365/(AE43/AE63)</f>
        <v>351.48148148148147</v>
      </c>
      <c r="AF55" s="127">
        <f t="shared" si="35"/>
        <v>351.48148148148147</v>
      </c>
      <c r="AG55" s="127">
        <f t="shared" si="35"/>
        <v>351.48148148148147</v>
      </c>
      <c r="AH55" s="127">
        <f t="shared" si="35"/>
        <v>351.48148148148147</v>
      </c>
      <c r="AI55" s="127">
        <f t="shared" si="35"/>
        <v>351.48148148148147</v>
      </c>
      <c r="AJ55" s="127">
        <f t="shared" si="35"/>
        <v>351.48148148148147</v>
      </c>
      <c r="AK55" s="127">
        <f t="shared" si="35"/>
        <v>351.48148148148147</v>
      </c>
      <c r="AL55" s="127">
        <f t="shared" si="35"/>
        <v>351.48148148148147</v>
      </c>
      <c r="AM55" s="127">
        <f t="shared" si="35"/>
        <v>351.48148148148147</v>
      </c>
      <c r="AN55" s="127">
        <f t="shared" si="35"/>
        <v>351.48148148148147</v>
      </c>
      <c r="AO55" s="127"/>
    </row>
    <row r="56" spans="1:41" ht="12.75" customHeight="1" outlineLevel="1">
      <c r="A56" s="102"/>
      <c r="B56" s="128" t="s">
        <v>385</v>
      </c>
      <c r="C56" s="102"/>
      <c r="D56" s="102"/>
      <c r="E56" s="102"/>
      <c r="F56" s="102"/>
      <c r="G56" s="102"/>
      <c r="H56" s="102"/>
      <c r="I56" s="102">
        <f t="shared" ref="I56:AA56" si="36">365/I51</f>
        <v>45.045808383233528</v>
      </c>
      <c r="J56" s="102">
        <f t="shared" si="36"/>
        <v>39.14521906861394</v>
      </c>
      <c r="K56" s="102">
        <f t="shared" si="36"/>
        <v>45.188745019920319</v>
      </c>
      <c r="L56" s="102">
        <f t="shared" si="36"/>
        <v>49.724063009234115</v>
      </c>
      <c r="M56" s="102">
        <f t="shared" si="36"/>
        <v>44.030636668262325</v>
      </c>
      <c r="N56" s="102">
        <f t="shared" si="36"/>
        <v>50.54644549763033</v>
      </c>
      <c r="O56" s="102">
        <f t="shared" si="36"/>
        <v>51.945695897023327</v>
      </c>
      <c r="P56" s="102">
        <f t="shared" si="36"/>
        <v>54.33557611438183</v>
      </c>
      <c r="Q56" s="102">
        <f t="shared" si="36"/>
        <v>51.916931825875025</v>
      </c>
      <c r="R56" s="102">
        <f t="shared" si="36"/>
        <v>50.432913417316534</v>
      </c>
      <c r="S56" s="127">
        <f t="shared" si="36"/>
        <v>52.573760415243818</v>
      </c>
      <c r="T56" s="127">
        <f t="shared" si="36"/>
        <v>56.618282070019262</v>
      </c>
      <c r="U56" s="127">
        <f t="shared" si="36"/>
        <v>67.837248106789886</v>
      </c>
      <c r="V56" s="127">
        <f t="shared" si="36"/>
        <v>53.233130611062847</v>
      </c>
      <c r="W56" s="127">
        <f t="shared" si="36"/>
        <v>52.709627329192543</v>
      </c>
      <c r="X56" s="127">
        <f t="shared" si="36"/>
        <v>46.318596421272993</v>
      </c>
      <c r="Y56" s="127">
        <f t="shared" si="36"/>
        <v>50.4651001754224</v>
      </c>
      <c r="Z56" s="127">
        <f t="shared" si="36"/>
        <v>50.246835718324562</v>
      </c>
      <c r="AA56" s="127">
        <f t="shared" si="36"/>
        <v>51.709265175718848</v>
      </c>
      <c r="AB56" s="127">
        <f>365/AB51</f>
        <v>51.709265175718848</v>
      </c>
      <c r="AC56" s="127">
        <f>365/AC51</f>
        <v>51.709265175718848</v>
      </c>
      <c r="AD56" s="127">
        <f>365/AD51</f>
        <v>51.709265175718848</v>
      </c>
      <c r="AE56" s="127">
        <f t="shared" ref="AE56:AN56" si="37">365/AE51</f>
        <v>51.709265175718848</v>
      </c>
      <c r="AF56" s="127">
        <f t="shared" si="37"/>
        <v>51.709265175718848</v>
      </c>
      <c r="AG56" s="127">
        <f t="shared" si="37"/>
        <v>51.709265175718848</v>
      </c>
      <c r="AH56" s="127">
        <f t="shared" si="37"/>
        <v>51.709265175718848</v>
      </c>
      <c r="AI56" s="127">
        <f t="shared" si="37"/>
        <v>51.709265175718848</v>
      </c>
      <c r="AJ56" s="127">
        <f t="shared" si="37"/>
        <v>51.709265175718848</v>
      </c>
      <c r="AK56" s="127">
        <f t="shared" si="37"/>
        <v>51.709265175718848</v>
      </c>
      <c r="AL56" s="127">
        <f t="shared" si="37"/>
        <v>51.709265175718848</v>
      </c>
      <c r="AM56" s="127">
        <f t="shared" si="37"/>
        <v>51.709265175718848</v>
      </c>
      <c r="AN56" s="127">
        <f t="shared" si="37"/>
        <v>51.709265175718848</v>
      </c>
      <c r="AO56" s="127"/>
    </row>
    <row r="57" spans="1:41" ht="12.75" customHeight="1" outlineLevel="1">
      <c r="A57" s="102"/>
      <c r="B57" s="128" t="s">
        <v>386</v>
      </c>
      <c r="C57" s="102"/>
      <c r="D57" s="102"/>
      <c r="E57" s="102"/>
      <c r="F57" s="102"/>
      <c r="G57" s="102"/>
      <c r="H57" s="102"/>
      <c r="I57" s="102">
        <f>365/(I43/I18)</f>
        <v>75.72388059701494</v>
      </c>
      <c r="J57" s="102">
        <f>365/(J43/J18)</f>
        <v>128.10784313725489</v>
      </c>
      <c r="K57" s="102">
        <f t="shared" ref="K57:AN57" si="38">365/(K44/K18)</f>
        <v>21.893593681439228</v>
      </c>
      <c r="L57" s="102">
        <f t="shared" si="38"/>
        <v>28.788413878562576</v>
      </c>
      <c r="M57" s="102">
        <f t="shared" si="38"/>
        <v>24.685625646328852</v>
      </c>
      <c r="N57" s="102">
        <f t="shared" si="38"/>
        <v>29.500239120038259</v>
      </c>
      <c r="O57" s="102">
        <f t="shared" si="38"/>
        <v>30.514798709496421</v>
      </c>
      <c r="P57" s="102">
        <f t="shared" si="38"/>
        <v>23.818342151675484</v>
      </c>
      <c r="Q57" s="102">
        <f t="shared" si="38"/>
        <v>15.85679806918745</v>
      </c>
      <c r="R57" s="102">
        <f t="shared" si="38"/>
        <v>20.878447395301329</v>
      </c>
      <c r="S57" s="127">
        <f t="shared" si="38"/>
        <v>24.492635024549919</v>
      </c>
      <c r="T57" s="127">
        <f t="shared" si="38"/>
        <v>29.354150286420307</v>
      </c>
      <c r="U57" s="127">
        <f t="shared" si="38"/>
        <v>23.68165740272865</v>
      </c>
      <c r="V57" s="127">
        <f t="shared" si="38"/>
        <v>30.733624860439154</v>
      </c>
      <c r="W57" s="127">
        <f t="shared" si="38"/>
        <v>24.543318523581682</v>
      </c>
      <c r="X57" s="127">
        <f t="shared" si="38"/>
        <v>38.17569899896445</v>
      </c>
      <c r="Y57" s="127">
        <f t="shared" si="38"/>
        <v>30.338070628768303</v>
      </c>
      <c r="Z57" s="127">
        <f t="shared" si="38"/>
        <v>28.991338241663058</v>
      </c>
      <c r="AA57" s="127">
        <f t="shared" si="38"/>
        <v>44.096148690912344</v>
      </c>
      <c r="AB57" s="127">
        <f t="shared" si="38"/>
        <v>44.096148690912344</v>
      </c>
      <c r="AC57" s="127">
        <f t="shared" si="38"/>
        <v>44.096148690912344</v>
      </c>
      <c r="AD57" s="127">
        <f t="shared" si="38"/>
        <v>44.096148690912344</v>
      </c>
      <c r="AE57" s="127">
        <f t="shared" si="38"/>
        <v>44.096148690912344</v>
      </c>
      <c r="AF57" s="127">
        <f t="shared" si="38"/>
        <v>44.096148690912344</v>
      </c>
      <c r="AG57" s="127">
        <f t="shared" si="38"/>
        <v>44.096148690912344</v>
      </c>
      <c r="AH57" s="127">
        <f t="shared" si="38"/>
        <v>44.096148690912344</v>
      </c>
      <c r="AI57" s="127">
        <f t="shared" si="38"/>
        <v>44.096148690912344</v>
      </c>
      <c r="AJ57" s="127">
        <f t="shared" si="38"/>
        <v>44.096148690912344</v>
      </c>
      <c r="AK57" s="127">
        <f t="shared" si="38"/>
        <v>44.096148690912344</v>
      </c>
      <c r="AL57" s="127">
        <f t="shared" si="38"/>
        <v>44.096148690912344</v>
      </c>
      <c r="AM57" s="127">
        <f t="shared" si="38"/>
        <v>44.096148690912344</v>
      </c>
      <c r="AN57" s="127">
        <f t="shared" si="38"/>
        <v>44.096148690912344</v>
      </c>
      <c r="AO57" s="127"/>
    </row>
    <row r="58" spans="1:41" ht="12.75" customHeight="1" outlineLevel="1">
      <c r="A58" s="102"/>
      <c r="B58" s="128" t="s">
        <v>387</v>
      </c>
      <c r="C58" s="102"/>
      <c r="D58" s="102"/>
      <c r="E58" s="102"/>
      <c r="F58" s="102"/>
      <c r="G58" s="102"/>
      <c r="H58" s="102"/>
      <c r="I58" s="102">
        <v>135.80000000000001</v>
      </c>
      <c r="J58" s="102">
        <v>214.6</v>
      </c>
      <c r="K58" s="102">
        <v>343.6</v>
      </c>
      <c r="L58" s="102">
        <v>442.3</v>
      </c>
      <c r="M58" s="102">
        <f>M8</f>
        <v>558</v>
      </c>
      <c r="N58" s="102">
        <f>N8</f>
        <v>1013</v>
      </c>
      <c r="O58" s="102">
        <f t="shared" ref="O58:V58" si="39">+O8</f>
        <v>953</v>
      </c>
      <c r="P58" s="102">
        <f t="shared" si="39"/>
        <v>1408</v>
      </c>
      <c r="Q58" s="102">
        <f t="shared" si="39"/>
        <v>1698</v>
      </c>
      <c r="R58" s="102">
        <f t="shared" si="39"/>
        <v>1521</v>
      </c>
      <c r="S58" s="553">
        <f t="shared" si="39"/>
        <v>1161</v>
      </c>
      <c r="T58" s="553">
        <f t="shared" si="39"/>
        <v>1350</v>
      </c>
      <c r="U58" s="553">
        <f t="shared" si="39"/>
        <v>1572</v>
      </c>
      <c r="V58" s="553">
        <f t="shared" si="39"/>
        <v>1886</v>
      </c>
      <c r="W58" s="553">
        <f>+W8</f>
        <v>2250</v>
      </c>
      <c r="X58" s="553">
        <f>+X8</f>
        <v>2494</v>
      </c>
      <c r="Y58" s="553">
        <f>+Y8</f>
        <v>1706</v>
      </c>
      <c r="Z58" s="553">
        <f>+Z8</f>
        <v>2015</v>
      </c>
      <c r="AA58" s="553">
        <f>+AA8</f>
        <v>1727</v>
      </c>
      <c r="AB58" s="127">
        <f t="shared" ref="AB58:AN58" si="40">AB59*AB42</f>
        <v>1710.6846126888408</v>
      </c>
      <c r="AC58" s="127">
        <f t="shared" si="40"/>
        <v>1699.2406796652704</v>
      </c>
      <c r="AD58" s="127">
        <f t="shared" si="40"/>
        <v>1717.7486188805576</v>
      </c>
      <c r="AE58" s="127">
        <f t="shared" si="40"/>
        <v>1706.7549025658509</v>
      </c>
      <c r="AF58" s="127">
        <f t="shared" si="40"/>
        <v>1769.6861263414819</v>
      </c>
      <c r="AG58" s="127">
        <f t="shared" si="40"/>
        <v>1858.7198781934599</v>
      </c>
      <c r="AH58" s="127">
        <f t="shared" si="40"/>
        <v>1914.7270290142853</v>
      </c>
      <c r="AI58" s="127">
        <f t="shared" si="40"/>
        <v>1944.2398432155662</v>
      </c>
      <c r="AJ58" s="127">
        <f t="shared" si="40"/>
        <v>1934.109019548581</v>
      </c>
      <c r="AK58" s="127">
        <f t="shared" si="40"/>
        <v>1933.5368609697871</v>
      </c>
      <c r="AL58" s="127">
        <f t="shared" si="40"/>
        <v>1799.0609200772765</v>
      </c>
      <c r="AM58" s="127">
        <f t="shared" si="40"/>
        <v>1727.7232126589572</v>
      </c>
      <c r="AN58" s="127">
        <f t="shared" si="40"/>
        <v>1683.1926387704912</v>
      </c>
      <c r="AO58" s="127"/>
    </row>
    <row r="59" spans="1:41" ht="12.75" customHeight="1" outlineLevel="1">
      <c r="A59" s="172"/>
      <c r="B59" s="196" t="s">
        <v>388</v>
      </c>
      <c r="C59" s="172"/>
      <c r="D59" s="172"/>
      <c r="E59" s="172"/>
      <c r="F59" s="172"/>
      <c r="G59" s="172"/>
      <c r="H59" s="172"/>
      <c r="I59" s="172">
        <f t="shared" ref="I59:AA59" si="41">I58/I42</f>
        <v>4.0658682634730541E-2</v>
      </c>
      <c r="J59" s="172">
        <f t="shared" si="41"/>
        <v>5.9134747864425463E-2</v>
      </c>
      <c r="K59" s="172">
        <f t="shared" si="41"/>
        <v>8.5557768924302793E-2</v>
      </c>
      <c r="L59" s="172">
        <f t="shared" si="41"/>
        <v>8.0083288068078948E-2</v>
      </c>
      <c r="M59" s="172">
        <f t="shared" si="41"/>
        <v>6.677836285303973E-2</v>
      </c>
      <c r="N59" s="172">
        <f t="shared" si="41"/>
        <v>9.6018957345971559E-2</v>
      </c>
      <c r="O59" s="172">
        <f t="shared" si="41"/>
        <v>7.6669348350764277E-2</v>
      </c>
      <c r="P59" s="172">
        <f t="shared" si="41"/>
        <v>9.8682366134006161E-2</v>
      </c>
      <c r="Q59" s="172">
        <f t="shared" si="41"/>
        <v>0.11495497935143185</v>
      </c>
      <c r="R59" s="172">
        <f t="shared" si="41"/>
        <v>0.10137972405518897</v>
      </c>
      <c r="S59" s="555">
        <f t="shared" si="41"/>
        <v>7.9292446387105586E-2</v>
      </c>
      <c r="T59" s="555">
        <f t="shared" si="41"/>
        <v>8.9683119643924794E-2</v>
      </c>
      <c r="U59" s="555">
        <f t="shared" si="41"/>
        <v>0.10088563727377743</v>
      </c>
      <c r="V59" s="555">
        <f t="shared" si="41"/>
        <v>0.10923834346944686</v>
      </c>
      <c r="W59" s="555">
        <f t="shared" si="41"/>
        <v>0.12047547654744056</v>
      </c>
      <c r="X59" s="555">
        <f t="shared" si="41"/>
        <v>0.1243084284503813</v>
      </c>
      <c r="Y59" s="555">
        <f t="shared" si="41"/>
        <v>7.8755424245222042E-2</v>
      </c>
      <c r="Z59" s="555">
        <f t="shared" si="41"/>
        <v>8.7642990735505202E-2</v>
      </c>
      <c r="AA59" s="555">
        <f t="shared" si="41"/>
        <v>7.5583176506630489E-2</v>
      </c>
      <c r="AB59" s="514">
        <f t="shared" ref="AB59:AN59" si="42">AA59</f>
        <v>7.5583176506630489E-2</v>
      </c>
      <c r="AC59" s="514">
        <f t="shared" si="42"/>
        <v>7.5583176506630489E-2</v>
      </c>
      <c r="AD59" s="514">
        <f t="shared" si="42"/>
        <v>7.5583176506630489E-2</v>
      </c>
      <c r="AE59" s="514">
        <f t="shared" si="42"/>
        <v>7.5583176506630489E-2</v>
      </c>
      <c r="AF59" s="514">
        <f t="shared" si="42"/>
        <v>7.5583176506630489E-2</v>
      </c>
      <c r="AG59" s="514">
        <f t="shared" si="42"/>
        <v>7.5583176506630489E-2</v>
      </c>
      <c r="AH59" s="514">
        <f t="shared" si="42"/>
        <v>7.5583176506630489E-2</v>
      </c>
      <c r="AI59" s="514">
        <f t="shared" si="42"/>
        <v>7.5583176506630489E-2</v>
      </c>
      <c r="AJ59" s="514">
        <f t="shared" si="42"/>
        <v>7.5583176506630489E-2</v>
      </c>
      <c r="AK59" s="514">
        <f t="shared" si="42"/>
        <v>7.5583176506630489E-2</v>
      </c>
      <c r="AL59" s="514">
        <f t="shared" si="42"/>
        <v>7.5583176506630489E-2</v>
      </c>
      <c r="AM59" s="514">
        <f t="shared" si="42"/>
        <v>7.5583176506630489E-2</v>
      </c>
      <c r="AN59" s="514">
        <f t="shared" si="42"/>
        <v>7.5583176506630489E-2</v>
      </c>
      <c r="AO59" s="514"/>
    </row>
    <row r="60" spans="1:41" ht="12.75" customHeight="1" outlineLevel="1">
      <c r="A60" s="172"/>
      <c r="B60" s="196" t="s">
        <v>389</v>
      </c>
      <c r="C60" s="172"/>
      <c r="D60" s="172"/>
      <c r="E60" s="172"/>
      <c r="F60" s="172"/>
      <c r="G60" s="172"/>
      <c r="H60" s="172"/>
      <c r="I60" s="172">
        <f t="shared" ref="I60:Z60" si="43">I58/I44</f>
        <v>7.2272485364555619E-2</v>
      </c>
      <c r="J60" s="172">
        <f t="shared" si="43"/>
        <v>0.10317307692307692</v>
      </c>
      <c r="K60" s="172">
        <f t="shared" si="43"/>
        <v>0.15076788064940763</v>
      </c>
      <c r="L60" s="172">
        <f t="shared" si="43"/>
        <v>0.13701982651796779</v>
      </c>
      <c r="M60" s="172">
        <f t="shared" si="43"/>
        <v>0.11540847983453982</v>
      </c>
      <c r="N60" s="172">
        <f t="shared" si="43"/>
        <v>0.16148573250438386</v>
      </c>
      <c r="O60" s="172">
        <f t="shared" si="43"/>
        <v>0.13367933791555617</v>
      </c>
      <c r="P60" s="172">
        <f t="shared" si="43"/>
        <v>0.16554967666078776</v>
      </c>
      <c r="Q60" s="172">
        <f t="shared" si="43"/>
        <v>0.19514998276060222</v>
      </c>
      <c r="R60" s="172">
        <f t="shared" si="43"/>
        <v>0.17262512768130744</v>
      </c>
      <c r="S60" s="514">
        <f t="shared" si="43"/>
        <v>0.13572597615150805</v>
      </c>
      <c r="T60" s="514">
        <f t="shared" si="43"/>
        <v>0.15163428057957992</v>
      </c>
      <c r="U60" s="514">
        <f t="shared" si="43"/>
        <v>0.15886811520970187</v>
      </c>
      <c r="V60" s="514">
        <f t="shared" si="43"/>
        <v>0.17547450688500185</v>
      </c>
      <c r="W60" s="514">
        <f t="shared" si="43"/>
        <v>0.19224196855775802</v>
      </c>
      <c r="X60" s="514">
        <f t="shared" si="43"/>
        <v>0.21522264411460132</v>
      </c>
      <c r="Y60" s="514">
        <f t="shared" si="43"/>
        <v>0.14694229112833765</v>
      </c>
      <c r="Z60" s="514">
        <f t="shared" si="43"/>
        <v>0.17453443048938935</v>
      </c>
      <c r="AA60" s="514">
        <f>AA58/AA44</f>
        <v>0.15432043606469484</v>
      </c>
      <c r="AB60" s="514">
        <f>AB58/AB44</f>
        <v>0.15371068924074144</v>
      </c>
      <c r="AC60" s="514">
        <f>AC58/AC44</f>
        <v>0.15030970982591677</v>
      </c>
      <c r="AD60" s="514">
        <f>AD58/AD44</f>
        <v>0.14893222096168726</v>
      </c>
      <c r="AE60" s="514">
        <f t="shared" ref="AE60:AN60" si="44">AE58/AE44</f>
        <v>0.14769265890922967</v>
      </c>
      <c r="AF60" s="514">
        <f t="shared" si="44"/>
        <v>0.15088623062450318</v>
      </c>
      <c r="AG60" s="514">
        <f t="shared" si="44"/>
        <v>0.15372620751627944</v>
      </c>
      <c r="AH60" s="514">
        <f t="shared" si="44"/>
        <v>0.15641688023438757</v>
      </c>
      <c r="AI60" s="514">
        <f t="shared" si="44"/>
        <v>0.15762606120690106</v>
      </c>
      <c r="AJ60" s="514">
        <f t="shared" si="44"/>
        <v>0.15571321689552409</v>
      </c>
      <c r="AK60" s="514">
        <f t="shared" si="44"/>
        <v>0.15420153627104985</v>
      </c>
      <c r="AL60" s="514">
        <f t="shared" si="44"/>
        <v>0.14661565460932824</v>
      </c>
      <c r="AM60" s="514">
        <f t="shared" si="44"/>
        <v>0.14367146309308629</v>
      </c>
      <c r="AN60" s="514">
        <f t="shared" si="44"/>
        <v>0.14232246605463025</v>
      </c>
      <c r="AO60" s="514"/>
    </row>
    <row r="61" spans="1:41" ht="12.75" customHeight="1" outlineLevel="1">
      <c r="A61" s="102"/>
      <c r="B61" s="128" t="s">
        <v>390</v>
      </c>
      <c r="C61" s="102"/>
      <c r="D61" s="102"/>
      <c r="E61" s="102"/>
      <c r="F61" s="102"/>
      <c r="G61" s="102"/>
      <c r="H61" s="102"/>
      <c r="I61" s="102">
        <v>412.2</v>
      </c>
      <c r="J61" s="102">
        <v>389.2</v>
      </c>
      <c r="K61" s="102">
        <v>497.2</v>
      </c>
      <c r="L61" s="102">
        <v>752.4</v>
      </c>
      <c r="M61" s="102">
        <f>M5</f>
        <v>1008</v>
      </c>
      <c r="N61" s="102">
        <f>N5</f>
        <v>1461</v>
      </c>
      <c r="O61" s="102">
        <f t="shared" ref="O61:AA61" si="45">+O5</f>
        <v>1769</v>
      </c>
      <c r="P61" s="102">
        <f t="shared" si="45"/>
        <v>2124</v>
      </c>
      <c r="Q61" s="102">
        <f t="shared" si="45"/>
        <v>2101</v>
      </c>
      <c r="R61" s="102">
        <f t="shared" si="45"/>
        <v>2073</v>
      </c>
      <c r="S61" s="553">
        <f t="shared" si="45"/>
        <v>2109</v>
      </c>
      <c r="T61" s="553">
        <f t="shared" si="45"/>
        <v>2335</v>
      </c>
      <c r="U61" s="553">
        <f t="shared" si="45"/>
        <v>2896</v>
      </c>
      <c r="V61" s="553">
        <f t="shared" si="45"/>
        <v>2518</v>
      </c>
      <c r="W61" s="553">
        <f t="shared" si="45"/>
        <v>2697</v>
      </c>
      <c r="X61" s="553">
        <f t="shared" si="45"/>
        <v>2546</v>
      </c>
      <c r="Y61" s="553">
        <f t="shared" si="45"/>
        <v>2995</v>
      </c>
      <c r="Z61" s="553">
        <f t="shared" si="45"/>
        <v>3165</v>
      </c>
      <c r="AA61" s="553">
        <f t="shared" si="45"/>
        <v>3237</v>
      </c>
      <c r="AB61" s="127">
        <f t="shared" ref="AB61:AN61" si="46">AB42/AB51</f>
        <v>3206.419276939072</v>
      </c>
      <c r="AC61" s="127">
        <f t="shared" si="46"/>
        <v>3184.9693573112218</v>
      </c>
      <c r="AD61" s="127">
        <f t="shared" si="46"/>
        <v>3219.6596869231994</v>
      </c>
      <c r="AE61" s="127">
        <f t="shared" si="46"/>
        <v>3199.0536303449098</v>
      </c>
      <c r="AF61" s="127">
        <f t="shared" si="46"/>
        <v>3317.0086803516942</v>
      </c>
      <c r="AG61" s="127">
        <f t="shared" si="46"/>
        <v>3483.8889668281581</v>
      </c>
      <c r="AH61" s="127">
        <f t="shared" si="46"/>
        <v>3588.865890514905</v>
      </c>
      <c r="AI61" s="127">
        <f t="shared" si="46"/>
        <v>3644.1831919448682</v>
      </c>
      <c r="AJ61" s="127">
        <f t="shared" si="46"/>
        <v>3625.1944969766973</v>
      </c>
      <c r="AK61" s="127">
        <f t="shared" si="46"/>
        <v>3624.1220723562246</v>
      </c>
      <c r="AL61" s="127">
        <f t="shared" si="46"/>
        <v>3372.0672833179756</v>
      </c>
      <c r="AM61" s="127">
        <f t="shared" si="46"/>
        <v>3238.355552621334</v>
      </c>
      <c r="AN61" s="127">
        <f t="shared" si="46"/>
        <v>3154.8897346265662</v>
      </c>
      <c r="AO61" s="127"/>
    </row>
    <row r="62" spans="1:41" ht="12.75" customHeight="1" outlineLevel="1">
      <c r="A62" s="172"/>
      <c r="B62" s="196" t="s">
        <v>388</v>
      </c>
      <c r="C62" s="172"/>
      <c r="D62" s="172"/>
      <c r="E62" s="172"/>
      <c r="F62" s="172"/>
      <c r="G62" s="172"/>
      <c r="H62" s="172"/>
      <c r="I62" s="172">
        <f t="shared" ref="I62:AN62" si="47">I61/I42</f>
        <v>0.12341317365269461</v>
      </c>
      <c r="J62" s="172">
        <f t="shared" si="47"/>
        <v>0.10724717553044916</v>
      </c>
      <c r="K62" s="172">
        <f t="shared" si="47"/>
        <v>0.12380478087649402</v>
      </c>
      <c r="L62" s="172">
        <f t="shared" si="47"/>
        <v>0.13623030961434002</v>
      </c>
      <c r="M62" s="172">
        <f t="shared" si="47"/>
        <v>0.12063188128291048</v>
      </c>
      <c r="N62" s="172">
        <f t="shared" si="47"/>
        <v>0.13848341232227487</v>
      </c>
      <c r="O62" s="172">
        <f t="shared" si="47"/>
        <v>0.14231697506033789</v>
      </c>
      <c r="P62" s="172">
        <f t="shared" si="47"/>
        <v>0.14886459209419681</v>
      </c>
      <c r="Q62" s="172">
        <f t="shared" si="47"/>
        <v>0.14223816938595898</v>
      </c>
      <c r="R62" s="172">
        <f t="shared" si="47"/>
        <v>0.13817236552689463</v>
      </c>
      <c r="S62" s="514">
        <f t="shared" si="47"/>
        <v>0.14403769976779129</v>
      </c>
      <c r="T62" s="514">
        <f t="shared" si="47"/>
        <v>0.15511858101375142</v>
      </c>
      <c r="U62" s="514">
        <f t="shared" si="47"/>
        <v>0.18585547426517776</v>
      </c>
      <c r="V62" s="514">
        <f t="shared" si="47"/>
        <v>0.14584419345496669</v>
      </c>
      <c r="W62" s="514">
        <f t="shared" si="47"/>
        <v>0.14440993788819875</v>
      </c>
      <c r="X62" s="514">
        <f t="shared" si="47"/>
        <v>0.1269002641678712</v>
      </c>
      <c r="Y62" s="514">
        <f t="shared" si="47"/>
        <v>0.13826054842581478</v>
      </c>
      <c r="Z62" s="514">
        <f t="shared" si="47"/>
        <v>0.13766256361184812</v>
      </c>
      <c r="AA62" s="514">
        <f t="shared" si="47"/>
        <v>0.14166921965950369</v>
      </c>
      <c r="AB62" s="514">
        <f t="shared" si="47"/>
        <v>0.14166921965950369</v>
      </c>
      <c r="AC62" s="514">
        <f t="shared" si="47"/>
        <v>0.14166921965950371</v>
      </c>
      <c r="AD62" s="514">
        <f t="shared" si="47"/>
        <v>0.14166921965950371</v>
      </c>
      <c r="AE62" s="514">
        <f t="shared" si="47"/>
        <v>0.14166921965950369</v>
      </c>
      <c r="AF62" s="514">
        <f t="shared" si="47"/>
        <v>0.14166921965950369</v>
      </c>
      <c r="AG62" s="514">
        <f t="shared" si="47"/>
        <v>0.14166921965950369</v>
      </c>
      <c r="AH62" s="514">
        <f t="shared" si="47"/>
        <v>0.14166921965950369</v>
      </c>
      <c r="AI62" s="514">
        <f t="shared" si="47"/>
        <v>0.14166921965950369</v>
      </c>
      <c r="AJ62" s="514">
        <f t="shared" si="47"/>
        <v>0.14166921965950369</v>
      </c>
      <c r="AK62" s="514">
        <f t="shared" si="47"/>
        <v>0.14166921965950369</v>
      </c>
      <c r="AL62" s="514">
        <f t="shared" si="47"/>
        <v>0.14166921965950369</v>
      </c>
      <c r="AM62" s="514">
        <f t="shared" si="47"/>
        <v>0.14166921965950369</v>
      </c>
      <c r="AN62" s="514">
        <f t="shared" si="47"/>
        <v>0.14166921965950371</v>
      </c>
      <c r="AO62" s="514"/>
    </row>
    <row r="63" spans="1:41" ht="12.75" customHeight="1" outlineLevel="1">
      <c r="A63" s="102"/>
      <c r="B63" s="128" t="s">
        <v>275</v>
      </c>
      <c r="C63" s="102"/>
      <c r="D63" s="102"/>
      <c r="E63" s="102"/>
      <c r="F63" s="102"/>
      <c r="G63" s="102"/>
      <c r="H63" s="102"/>
      <c r="I63" s="102">
        <v>184.3</v>
      </c>
      <c r="J63" s="102">
        <v>305.2</v>
      </c>
      <c r="K63" s="102">
        <v>355.6</v>
      </c>
      <c r="L63" s="102">
        <v>544.9</v>
      </c>
      <c r="M63" s="102">
        <f>M6</f>
        <v>713</v>
      </c>
      <c r="N63" s="102">
        <f>N6</f>
        <v>888</v>
      </c>
      <c r="O63" s="102">
        <f t="shared" ref="O63:AA63" si="48">+O6</f>
        <v>1258</v>
      </c>
      <c r="P63" s="102">
        <f t="shared" si="48"/>
        <v>1903</v>
      </c>
      <c r="Q63" s="102">
        <f t="shared" si="48"/>
        <v>2091</v>
      </c>
      <c r="R63" s="102">
        <f t="shared" si="48"/>
        <v>2075</v>
      </c>
      <c r="S63" s="553">
        <f t="shared" si="48"/>
        <v>2220</v>
      </c>
      <c r="T63" s="553">
        <f t="shared" si="48"/>
        <v>2022</v>
      </c>
      <c r="U63" s="553">
        <f t="shared" si="48"/>
        <v>2484</v>
      </c>
      <c r="V63" s="553">
        <f t="shared" si="48"/>
        <v>2744</v>
      </c>
      <c r="W63" s="553">
        <f t="shared" si="48"/>
        <v>3019</v>
      </c>
      <c r="X63" s="553">
        <f t="shared" si="48"/>
        <v>2647</v>
      </c>
      <c r="Y63" s="553">
        <f t="shared" si="48"/>
        <v>2435</v>
      </c>
      <c r="Z63" s="553">
        <f t="shared" si="48"/>
        <v>2745</v>
      </c>
      <c r="AA63" s="553">
        <f t="shared" si="48"/>
        <v>2834</v>
      </c>
      <c r="AB63" s="127">
        <f t="shared" ref="AB63:AN63" si="49">AB43/AB52</f>
        <v>2686.3773045135758</v>
      </c>
      <c r="AC63" s="127">
        <f t="shared" si="49"/>
        <v>2700.7218776525506</v>
      </c>
      <c r="AD63" s="127">
        <f t="shared" si="49"/>
        <v>2763.0675006046699</v>
      </c>
      <c r="AE63" s="127">
        <f t="shared" si="49"/>
        <v>2872.4209126664582</v>
      </c>
      <c r="AF63" s="127">
        <f t="shared" si="49"/>
        <v>3121.2647081127006</v>
      </c>
      <c r="AG63" s="127">
        <f t="shared" si="49"/>
        <v>3459.0623426103289</v>
      </c>
      <c r="AH63" s="127">
        <f t="shared" si="49"/>
        <v>3694.8587588868827</v>
      </c>
      <c r="AI63" s="127">
        <f t="shared" si="49"/>
        <v>3962.2685964674615</v>
      </c>
      <c r="AJ63" s="127">
        <f t="shared" si="49"/>
        <v>4144.4702040021493</v>
      </c>
      <c r="AK63" s="127">
        <f t="shared" si="49"/>
        <v>4355.8593122092307</v>
      </c>
      <c r="AL63" s="127">
        <f t="shared" si="49"/>
        <v>4266.0976406013469</v>
      </c>
      <c r="AM63" s="127">
        <f t="shared" si="49"/>
        <v>4274.6367094586967</v>
      </c>
      <c r="AN63" s="127">
        <f t="shared" si="49"/>
        <v>4317.0769038948938</v>
      </c>
      <c r="AO63" s="127"/>
    </row>
    <row r="64" spans="1:41" ht="12.75" customHeight="1" outlineLevel="1">
      <c r="A64" s="172"/>
      <c r="B64" s="196" t="s">
        <v>388</v>
      </c>
      <c r="C64" s="172"/>
      <c r="D64" s="172"/>
      <c r="E64" s="172"/>
      <c r="F64" s="172"/>
      <c r="G64" s="172"/>
      <c r="H64" s="172"/>
      <c r="I64" s="172">
        <f t="shared" ref="I64:Z64" si="50">I63/I42</f>
        <v>5.5179640718562878E-2</v>
      </c>
      <c r="J64" s="172">
        <f t="shared" si="50"/>
        <v>8.4100303113805452E-2</v>
      </c>
      <c r="K64" s="172">
        <f t="shared" si="50"/>
        <v>8.8545816733067731E-2</v>
      </c>
      <c r="L64" s="172">
        <f t="shared" si="50"/>
        <v>9.8660148470034403E-2</v>
      </c>
      <c r="M64" s="172">
        <f t="shared" si="50"/>
        <v>8.5327908089995214E-2</v>
      </c>
      <c r="N64" s="172">
        <f t="shared" si="50"/>
        <v>8.4170616113744073E-2</v>
      </c>
      <c r="O64" s="172">
        <f t="shared" si="50"/>
        <v>0.10120675784392598</v>
      </c>
      <c r="P64" s="172">
        <f t="shared" si="50"/>
        <v>0.13337538547799271</v>
      </c>
      <c r="Q64" s="172">
        <f t="shared" si="50"/>
        <v>0.1415611671518516</v>
      </c>
      <c r="R64" s="172">
        <f t="shared" si="50"/>
        <v>0.13830567219889356</v>
      </c>
      <c r="S64" s="514">
        <f t="shared" si="50"/>
        <v>0.15161863133451714</v>
      </c>
      <c r="T64" s="514">
        <f t="shared" si="50"/>
        <v>0.13432538364445626</v>
      </c>
      <c r="U64" s="514">
        <f t="shared" si="50"/>
        <v>0.15941470927993839</v>
      </c>
      <c r="V64" s="514">
        <f t="shared" si="50"/>
        <v>0.15893426006371272</v>
      </c>
      <c r="W64" s="514">
        <f t="shared" si="50"/>
        <v>0.16165131719854359</v>
      </c>
      <c r="X64" s="514">
        <f t="shared" si="50"/>
        <v>0.13193440661914968</v>
      </c>
      <c r="Y64" s="514">
        <f t="shared" si="50"/>
        <v>0.11240882651648047</v>
      </c>
      <c r="Z64" s="514">
        <f t="shared" si="50"/>
        <v>0.11939454569179243</v>
      </c>
      <c r="AA64" s="514">
        <f>AA63/AA42</f>
        <v>0.12403168628824018</v>
      </c>
      <c r="AB64" s="514">
        <f>AB63/AB42</f>
        <v>0.11869220571950513</v>
      </c>
      <c r="AC64" s="514">
        <f>AC63/AC42</f>
        <v>0.12012962072809026</v>
      </c>
      <c r="AD64" s="514">
        <f>AD63/AD42</f>
        <v>0.12157856877453775</v>
      </c>
      <c r="AE64" s="514">
        <f t="shared" ref="AE64:AN64" si="51">AE63/AE42</f>
        <v>0.12720437862344386</v>
      </c>
      <c r="AF64" s="514">
        <f t="shared" si="51"/>
        <v>0.13330900765149364</v>
      </c>
      <c r="AG64" s="514">
        <f t="shared" si="51"/>
        <v>0.14065966725608087</v>
      </c>
      <c r="AH64" s="514">
        <f t="shared" si="51"/>
        <v>0.14585325088547302</v>
      </c>
      <c r="AI64" s="514">
        <f t="shared" si="51"/>
        <v>0.15403492924935108</v>
      </c>
      <c r="AJ64" s="514">
        <f t="shared" si="51"/>
        <v>0.16196202995251946</v>
      </c>
      <c r="AK64" s="514">
        <f t="shared" si="51"/>
        <v>0.17027329029953508</v>
      </c>
      <c r="AL64" s="514">
        <f t="shared" si="51"/>
        <v>0.17922973444959342</v>
      </c>
      <c r="AM64" s="514">
        <f t="shared" si="51"/>
        <v>0.18700369280534468</v>
      </c>
      <c r="AN64" s="514">
        <f t="shared" si="51"/>
        <v>0.19385682785431757</v>
      </c>
      <c r="AO64" s="514"/>
    </row>
    <row r="65" spans="1:41" ht="12.75" customHeight="1" outlineLevel="1">
      <c r="A65" s="102"/>
      <c r="B65" s="128" t="s">
        <v>391</v>
      </c>
      <c r="C65" s="102"/>
      <c r="D65" s="102"/>
      <c r="E65" s="102"/>
      <c r="F65" s="102"/>
      <c r="G65" s="102"/>
      <c r="H65" s="102"/>
      <c r="I65" s="102">
        <v>83.4</v>
      </c>
      <c r="J65" s="102">
        <v>143.19999999999999</v>
      </c>
      <c r="K65" s="102">
        <v>136.69999999999999</v>
      </c>
      <c r="L65" s="102">
        <v>254.6</v>
      </c>
      <c r="M65" s="102">
        <f>M18</f>
        <v>327</v>
      </c>
      <c r="N65" s="102">
        <f>N18</f>
        <v>507</v>
      </c>
      <c r="O65" s="102">
        <f t="shared" ref="O65:Z65" si="52">+O18</f>
        <v>596</v>
      </c>
      <c r="P65" s="102">
        <f t="shared" si="52"/>
        <v>555</v>
      </c>
      <c r="Q65" s="102">
        <f t="shared" si="52"/>
        <v>378</v>
      </c>
      <c r="R65" s="102">
        <f t="shared" si="52"/>
        <v>504</v>
      </c>
      <c r="S65" s="553">
        <f t="shared" si="52"/>
        <v>574</v>
      </c>
      <c r="T65" s="553">
        <f t="shared" si="52"/>
        <v>716</v>
      </c>
      <c r="U65" s="553">
        <f t="shared" si="52"/>
        <v>642</v>
      </c>
      <c r="V65" s="553">
        <f t="shared" si="52"/>
        <v>905</v>
      </c>
      <c r="W65" s="553">
        <f t="shared" si="52"/>
        <v>787</v>
      </c>
      <c r="X65" s="553">
        <f t="shared" si="52"/>
        <v>1212</v>
      </c>
      <c r="Y65" s="553">
        <f t="shared" si="52"/>
        <v>965</v>
      </c>
      <c r="Z65" s="553">
        <f t="shared" si="52"/>
        <v>917</v>
      </c>
      <c r="AA65" s="553">
        <f t="shared" ref="AA65" si="53">+AA18</f>
        <v>1352</v>
      </c>
      <c r="AB65" s="127">
        <f t="shared" ref="AB65:AN65" si="54">AB66*AB44</f>
        <v>1344.5398387576679</v>
      </c>
      <c r="AC65" s="127">
        <f t="shared" si="54"/>
        <v>1365.7639841143937</v>
      </c>
      <c r="AD65" s="127">
        <f t="shared" si="54"/>
        <v>1393.4094061477037</v>
      </c>
      <c r="AE65" s="127">
        <f t="shared" si="54"/>
        <v>1396.1113111571312</v>
      </c>
      <c r="AF65" s="127">
        <f t="shared" si="54"/>
        <v>1416.9496972582745</v>
      </c>
      <c r="AG65" s="127">
        <f t="shared" si="54"/>
        <v>1460.7430420477247</v>
      </c>
      <c r="AH65" s="127">
        <f t="shared" si="54"/>
        <v>1478.8735593951023</v>
      </c>
      <c r="AI65" s="127">
        <f t="shared" si="54"/>
        <v>1490.1487103691138</v>
      </c>
      <c r="AJ65" s="127">
        <f t="shared" si="54"/>
        <v>1500.5942195394246</v>
      </c>
      <c r="AK65" s="127">
        <f t="shared" si="54"/>
        <v>1514.8566970764773</v>
      </c>
      <c r="AL65" s="127">
        <f t="shared" si="54"/>
        <v>1482.4270187810794</v>
      </c>
      <c r="AM65" s="127">
        <f t="shared" si="54"/>
        <v>1452.8187948755487</v>
      </c>
      <c r="AN65" s="127">
        <f t="shared" si="54"/>
        <v>1428.7891998604662</v>
      </c>
      <c r="AO65" s="127"/>
    </row>
    <row r="66" spans="1:41" ht="12.75" customHeight="1" outlineLevel="1">
      <c r="A66" s="172"/>
      <c r="B66" s="196" t="s">
        <v>389</v>
      </c>
      <c r="C66" s="172"/>
      <c r="D66" s="172"/>
      <c r="E66" s="172"/>
      <c r="F66" s="172"/>
      <c r="G66" s="172"/>
      <c r="H66" s="172"/>
      <c r="I66" s="172">
        <f t="shared" ref="I66:Z66" si="55">I65/I44</f>
        <v>4.4385311335816927E-2</v>
      </c>
      <c r="J66" s="172">
        <f t="shared" si="55"/>
        <v>6.8846153846153835E-2</v>
      </c>
      <c r="K66" s="172">
        <f t="shared" si="55"/>
        <v>5.9982448442299247E-2</v>
      </c>
      <c r="L66" s="172">
        <f t="shared" si="55"/>
        <v>7.8872366790582404E-2</v>
      </c>
      <c r="M66" s="172">
        <f t="shared" si="55"/>
        <v>6.7631851085832473E-2</v>
      </c>
      <c r="N66" s="172">
        <f t="shared" si="55"/>
        <v>8.0822572931611672E-2</v>
      </c>
      <c r="O66" s="172">
        <f t="shared" si="55"/>
        <v>8.3602188245195677E-2</v>
      </c>
      <c r="P66" s="172">
        <f t="shared" si="55"/>
        <v>6.5255731922398585E-2</v>
      </c>
      <c r="Q66" s="172">
        <f t="shared" si="55"/>
        <v>4.3443282381335477E-2</v>
      </c>
      <c r="R66" s="172">
        <f t="shared" si="55"/>
        <v>5.7201225740551587E-2</v>
      </c>
      <c r="S66" s="555">
        <f t="shared" si="55"/>
        <v>6.7103109656301146E-2</v>
      </c>
      <c r="T66" s="555">
        <f t="shared" si="55"/>
        <v>8.0422329551836466E-2</v>
      </c>
      <c r="U66" s="555">
        <f t="shared" si="55"/>
        <v>6.4881253158160693E-2</v>
      </c>
      <c r="V66" s="555">
        <f t="shared" si="55"/>
        <v>8.4201711946408631E-2</v>
      </c>
      <c r="W66" s="555">
        <f t="shared" si="55"/>
        <v>6.7241968557758033E-2</v>
      </c>
      <c r="X66" s="555">
        <f t="shared" si="55"/>
        <v>0.10459095616154643</v>
      </c>
      <c r="Y66" s="555">
        <f t="shared" si="55"/>
        <v>8.3118001722652879E-2</v>
      </c>
      <c r="Z66" s="555">
        <f t="shared" si="55"/>
        <v>7.9428323949761806E-2</v>
      </c>
      <c r="AA66" s="555">
        <f t="shared" ref="AA66" si="56">AA65/AA44</f>
        <v>0.12081136627647217</v>
      </c>
      <c r="AB66" s="514">
        <f t="shared" ref="AB66:AN66" si="57">AA66</f>
        <v>0.12081136627647217</v>
      </c>
      <c r="AC66" s="514">
        <f t="shared" si="57"/>
        <v>0.12081136627647217</v>
      </c>
      <c r="AD66" s="514">
        <f t="shared" si="57"/>
        <v>0.12081136627647217</v>
      </c>
      <c r="AE66" s="514">
        <f t="shared" si="57"/>
        <v>0.12081136627647217</v>
      </c>
      <c r="AF66" s="514">
        <f t="shared" si="57"/>
        <v>0.12081136627647217</v>
      </c>
      <c r="AG66" s="514">
        <f t="shared" si="57"/>
        <v>0.12081136627647217</v>
      </c>
      <c r="AH66" s="514">
        <f t="shared" si="57"/>
        <v>0.12081136627647217</v>
      </c>
      <c r="AI66" s="514">
        <f t="shared" si="57"/>
        <v>0.12081136627647217</v>
      </c>
      <c r="AJ66" s="514">
        <f t="shared" si="57"/>
        <v>0.12081136627647217</v>
      </c>
      <c r="AK66" s="514">
        <f t="shared" si="57"/>
        <v>0.12081136627647217</v>
      </c>
      <c r="AL66" s="514">
        <f t="shared" si="57"/>
        <v>0.12081136627647217</v>
      </c>
      <c r="AM66" s="514">
        <f t="shared" si="57"/>
        <v>0.12081136627647217</v>
      </c>
      <c r="AN66" s="514">
        <f t="shared" si="57"/>
        <v>0.12081136627647217</v>
      </c>
      <c r="AO66" s="514"/>
    </row>
    <row r="67" spans="1:41" ht="12.75" customHeight="1" outlineLevel="1">
      <c r="A67" s="102"/>
      <c r="B67" s="128" t="s">
        <v>392</v>
      </c>
      <c r="C67" s="102"/>
      <c r="D67" s="102"/>
      <c r="E67" s="102"/>
      <c r="F67" s="102"/>
      <c r="G67" s="102"/>
      <c r="H67" s="102"/>
      <c r="I67" s="102">
        <v>648.20000000000005</v>
      </c>
      <c r="J67" s="102">
        <v>619.20000000000005</v>
      </c>
      <c r="K67" s="102">
        <v>766.3</v>
      </c>
      <c r="L67" s="102">
        <v>1151.7</v>
      </c>
      <c r="M67" s="102">
        <f>M20</f>
        <v>2129</v>
      </c>
      <c r="N67" s="102">
        <f>N20</f>
        <v>2477</v>
      </c>
      <c r="O67" s="102">
        <f t="shared" ref="O67:Z67" si="58">+O20</f>
        <v>2999</v>
      </c>
      <c r="P67" s="102">
        <f t="shared" si="58"/>
        <v>4589</v>
      </c>
      <c r="Q67" s="102">
        <f t="shared" si="58"/>
        <v>3801</v>
      </c>
      <c r="R67" s="102">
        <f t="shared" si="58"/>
        <v>3382</v>
      </c>
      <c r="S67" s="553">
        <f t="shared" si="58"/>
        <v>3299</v>
      </c>
      <c r="T67" s="553">
        <f t="shared" si="58"/>
        <v>3366</v>
      </c>
      <c r="U67" s="553">
        <f t="shared" si="58"/>
        <v>5028</v>
      </c>
      <c r="V67" s="553">
        <f t="shared" si="58"/>
        <v>4791</v>
      </c>
      <c r="W67" s="553">
        <f t="shared" si="58"/>
        <v>4655</v>
      </c>
      <c r="X67" s="553">
        <f t="shared" si="58"/>
        <v>5296</v>
      </c>
      <c r="Y67" s="553">
        <f t="shared" si="58"/>
        <v>5452</v>
      </c>
      <c r="Z67" s="553">
        <f t="shared" si="58"/>
        <v>5884</v>
      </c>
      <c r="AA67" s="553">
        <f t="shared" ref="AA67" si="59">+AA20</f>
        <v>6516</v>
      </c>
      <c r="AB67" s="127">
        <f t="shared" ref="AB67:AN67" si="60">AB68*AB44</f>
        <v>6480.0455542492336</v>
      </c>
      <c r="AC67" s="127">
        <f t="shared" si="60"/>
        <v>6582.3358879359384</v>
      </c>
      <c r="AD67" s="127">
        <f t="shared" si="60"/>
        <v>6715.5737355461815</v>
      </c>
      <c r="AE67" s="127">
        <f t="shared" si="60"/>
        <v>6728.5956386833341</v>
      </c>
      <c r="AF67" s="127">
        <f t="shared" si="60"/>
        <v>6829.0267953660623</v>
      </c>
      <c r="AG67" s="127">
        <f t="shared" si="60"/>
        <v>7040.0899866737973</v>
      </c>
      <c r="AH67" s="127">
        <f t="shared" si="60"/>
        <v>7127.4704977947395</v>
      </c>
      <c r="AI67" s="127">
        <f t="shared" si="60"/>
        <v>7181.8113881399004</v>
      </c>
      <c r="AJ67" s="127">
        <f t="shared" si="60"/>
        <v>7232.1537977210728</v>
      </c>
      <c r="AK67" s="127">
        <f t="shared" si="60"/>
        <v>7300.8921879810105</v>
      </c>
      <c r="AL67" s="127">
        <f t="shared" si="60"/>
        <v>7144.5964899241962</v>
      </c>
      <c r="AM67" s="127">
        <f t="shared" si="60"/>
        <v>7001.8988664268318</v>
      </c>
      <c r="AN67" s="127">
        <f t="shared" si="60"/>
        <v>6886.0875934103533</v>
      </c>
      <c r="AO67" s="127"/>
    </row>
    <row r="68" spans="1:41" ht="12.75" customHeight="1" outlineLevel="1">
      <c r="A68" s="172"/>
      <c r="B68" s="196" t="s">
        <v>389</v>
      </c>
      <c r="C68" s="172"/>
      <c r="D68" s="172"/>
      <c r="E68" s="172"/>
      <c r="F68" s="172"/>
      <c r="G68" s="172"/>
      <c r="H68" s="172"/>
      <c r="I68" s="172">
        <f t="shared" ref="I68:Z68" si="61">I67/I44</f>
        <v>0.34497072911122939</v>
      </c>
      <c r="J68" s="172">
        <f t="shared" si="61"/>
        <v>0.2976923076923077</v>
      </c>
      <c r="K68" s="172">
        <f t="shared" si="61"/>
        <v>0.33624396665204037</v>
      </c>
      <c r="L68" s="172">
        <f t="shared" si="61"/>
        <v>0.35678438661710038</v>
      </c>
      <c r="M68" s="172">
        <f t="shared" si="61"/>
        <v>0.44033092037228544</v>
      </c>
      <c r="N68" s="172">
        <f t="shared" si="61"/>
        <v>0.39486688984536905</v>
      </c>
      <c r="O68" s="172">
        <f t="shared" si="61"/>
        <v>0.42067611165661384</v>
      </c>
      <c r="P68" s="172">
        <f t="shared" si="61"/>
        <v>0.53956496178718405</v>
      </c>
      <c r="Q68" s="172">
        <f t="shared" si="61"/>
        <v>0.43684633950120677</v>
      </c>
      <c r="R68" s="172">
        <f t="shared" si="61"/>
        <v>0.38383838383838381</v>
      </c>
      <c r="S68" s="555">
        <f t="shared" si="61"/>
        <v>0.38566752396539633</v>
      </c>
      <c r="T68" s="555">
        <f t="shared" si="61"/>
        <v>0.37807480624508594</v>
      </c>
      <c r="U68" s="555">
        <f t="shared" si="61"/>
        <v>0.50813542193026784</v>
      </c>
      <c r="V68" s="555">
        <f t="shared" si="61"/>
        <v>0.44575735020468926</v>
      </c>
      <c r="W68" s="555">
        <f t="shared" si="61"/>
        <v>0.39772727272727271</v>
      </c>
      <c r="X68" s="555">
        <f t="shared" si="61"/>
        <v>0.45702450811183981</v>
      </c>
      <c r="Y68" s="555">
        <f t="shared" si="61"/>
        <v>0.46959517657192074</v>
      </c>
      <c r="Z68" s="555">
        <f t="shared" si="61"/>
        <v>0.50965786054569073</v>
      </c>
      <c r="AA68" s="555">
        <f t="shared" ref="AA68" si="62">AA67/AA44</f>
        <v>0.5822535966401573</v>
      </c>
      <c r="AB68" s="514">
        <f t="shared" ref="AB68:AN68" si="63">AA68</f>
        <v>0.5822535966401573</v>
      </c>
      <c r="AC68" s="514">
        <f t="shared" si="63"/>
        <v>0.5822535966401573</v>
      </c>
      <c r="AD68" s="514">
        <f t="shared" si="63"/>
        <v>0.5822535966401573</v>
      </c>
      <c r="AE68" s="514">
        <f t="shared" si="63"/>
        <v>0.5822535966401573</v>
      </c>
      <c r="AF68" s="514">
        <f t="shared" si="63"/>
        <v>0.5822535966401573</v>
      </c>
      <c r="AG68" s="514">
        <f t="shared" si="63"/>
        <v>0.5822535966401573</v>
      </c>
      <c r="AH68" s="514">
        <f t="shared" si="63"/>
        <v>0.5822535966401573</v>
      </c>
      <c r="AI68" s="514">
        <f t="shared" si="63"/>
        <v>0.5822535966401573</v>
      </c>
      <c r="AJ68" s="514">
        <f t="shared" si="63"/>
        <v>0.5822535966401573</v>
      </c>
      <c r="AK68" s="514">
        <f t="shared" si="63"/>
        <v>0.5822535966401573</v>
      </c>
      <c r="AL68" s="514">
        <f t="shared" si="63"/>
        <v>0.5822535966401573</v>
      </c>
      <c r="AM68" s="514">
        <f t="shared" si="63"/>
        <v>0.5822535966401573</v>
      </c>
      <c r="AN68" s="514">
        <f t="shared" si="63"/>
        <v>0.5822535966401573</v>
      </c>
      <c r="AO68" s="514"/>
    </row>
    <row r="69" spans="1:41" ht="12.75" customHeight="1" outlineLevel="1">
      <c r="A69" s="172"/>
      <c r="B69" s="196" t="s">
        <v>393</v>
      </c>
      <c r="C69" s="172"/>
      <c r="D69" s="172"/>
      <c r="E69" s="172"/>
      <c r="F69" s="172"/>
      <c r="G69" s="172"/>
      <c r="H69" s="172"/>
      <c r="I69" s="172">
        <f t="shared" ref="I69:AN69" si="64">I67/I24</f>
        <v>0.7799302129707617</v>
      </c>
      <c r="J69" s="172">
        <f t="shared" si="64"/>
        <v>0.71824614313884705</v>
      </c>
      <c r="K69" s="172">
        <f t="shared" si="64"/>
        <v>0.76408415594775148</v>
      </c>
      <c r="L69" s="172">
        <f t="shared" si="64"/>
        <v>0.75313889615485219</v>
      </c>
      <c r="M69" s="172">
        <f t="shared" si="64"/>
        <v>0.86685667752442996</v>
      </c>
      <c r="N69" s="172">
        <f t="shared" si="64"/>
        <v>0.59586240076978592</v>
      </c>
      <c r="O69" s="172">
        <f t="shared" si="64"/>
        <v>0.83421418636995825</v>
      </c>
      <c r="P69" s="172">
        <f t="shared" si="64"/>
        <v>0.66104868913857673</v>
      </c>
      <c r="Q69" s="172">
        <f t="shared" si="64"/>
        <v>0.61514808221395045</v>
      </c>
      <c r="R69" s="172">
        <f t="shared" si="64"/>
        <v>0.69218174375767494</v>
      </c>
      <c r="S69" s="514">
        <f t="shared" si="64"/>
        <v>0.85179447456751867</v>
      </c>
      <c r="T69" s="514">
        <f t="shared" si="64"/>
        <v>0.51232876712328768</v>
      </c>
      <c r="U69" s="514">
        <f t="shared" si="64"/>
        <v>0.87382690302398336</v>
      </c>
      <c r="V69" s="514">
        <f t="shared" si="64"/>
        <v>0.58491026736662188</v>
      </c>
      <c r="W69" s="514">
        <f t="shared" si="64"/>
        <v>0.58575563105574435</v>
      </c>
      <c r="X69" s="514">
        <f t="shared" si="64"/>
        <v>0.75570776255707761</v>
      </c>
      <c r="Y69" s="514">
        <f t="shared" si="64"/>
        <v>0.62905272874120222</v>
      </c>
      <c r="Z69" s="514">
        <f t="shared" si="64"/>
        <v>0.52516958229203858</v>
      </c>
      <c r="AA69" s="514">
        <f t="shared" si="64"/>
        <v>0.72239467849223948</v>
      </c>
      <c r="AB69" s="514">
        <f t="shared" si="64"/>
        <v>0.55936793026368892</v>
      </c>
      <c r="AC69" s="514">
        <f t="shared" si="64"/>
        <v>0.66501004970890909</v>
      </c>
      <c r="AD69" s="514">
        <f t="shared" si="64"/>
        <v>0.57848078971077754</v>
      </c>
      <c r="AE69" s="514">
        <f t="shared" si="64"/>
        <v>0.61868121950288801</v>
      </c>
      <c r="AF69" s="514">
        <f t="shared" si="64"/>
        <v>0.70293806686518456</v>
      </c>
      <c r="AG69" s="514">
        <f t="shared" si="64"/>
        <v>0.71106036898623193</v>
      </c>
      <c r="AH69" s="514">
        <f t="shared" si="64"/>
        <v>0.74195453081447804</v>
      </c>
      <c r="AI69" s="514">
        <f t="shared" si="64"/>
        <v>0.62641398892211364</v>
      </c>
      <c r="AJ69" s="514">
        <f t="shared" si="64"/>
        <v>0.82816471784443313</v>
      </c>
      <c r="AK69" s="514">
        <f t="shared" si="64"/>
        <v>0.82816471784443313</v>
      </c>
      <c r="AL69" s="514">
        <f t="shared" si="64"/>
        <v>0.74632601533122978</v>
      </c>
      <c r="AM69" s="514">
        <f t="shared" si="64"/>
        <v>0.82816471784443313</v>
      </c>
      <c r="AN69" s="514">
        <f t="shared" si="64"/>
        <v>0.82816471784443313</v>
      </c>
      <c r="AO69" s="514"/>
    </row>
    <row r="70" spans="1:41" ht="12.75" customHeight="1" outlineLevel="1">
      <c r="B70" s="174"/>
      <c r="I70" s="171"/>
      <c r="J70" s="171"/>
      <c r="K70" s="171"/>
      <c r="L70" s="171"/>
      <c r="M70" s="171"/>
      <c r="N70" s="171"/>
      <c r="O70" s="171"/>
      <c r="P70" s="171"/>
      <c r="Q70" s="171"/>
      <c r="R70" s="171"/>
      <c r="S70" s="513"/>
      <c r="T70" s="513"/>
      <c r="U70" s="513"/>
      <c r="V70" s="513"/>
      <c r="W70" s="513"/>
      <c r="X70" s="513"/>
      <c r="Y70" s="513"/>
      <c r="Z70" s="513"/>
      <c r="AA70" s="513"/>
    </row>
    <row r="71" spans="1:41" ht="12.75" customHeight="1" outlineLevel="1">
      <c r="B71" s="170" t="s">
        <v>394</v>
      </c>
      <c r="I71" s="172"/>
      <c r="J71" s="172"/>
      <c r="K71" s="172"/>
      <c r="L71" s="172"/>
      <c r="M71" s="172"/>
      <c r="N71" s="172"/>
      <c r="O71" s="172"/>
      <c r="P71" s="172"/>
      <c r="Q71" s="172"/>
      <c r="R71" s="172"/>
      <c r="S71" s="514"/>
      <c r="T71" s="514"/>
      <c r="U71" s="514"/>
      <c r="V71" s="514"/>
      <c r="W71" s="514"/>
      <c r="X71" s="514"/>
      <c r="Y71" s="514"/>
      <c r="Z71" s="514"/>
      <c r="AA71" s="513"/>
    </row>
    <row r="72" spans="1:41" ht="12.75" customHeight="1" outlineLevel="1">
      <c r="A72" s="105"/>
      <c r="B72" s="194" t="s">
        <v>395</v>
      </c>
      <c r="C72" s="105"/>
      <c r="D72" s="105"/>
      <c r="E72" s="105"/>
      <c r="F72" s="105"/>
      <c r="G72" s="105"/>
      <c r="H72" s="105"/>
      <c r="I72" s="105">
        <f t="shared" ref="I72:AD72" si="65">+I9/I24</f>
        <v>2.4850198532065937</v>
      </c>
      <c r="J72" s="105">
        <f t="shared" si="65"/>
        <v>3.4069133511193588</v>
      </c>
      <c r="K72" s="105">
        <f t="shared" si="65"/>
        <v>3.8474424169907264</v>
      </c>
      <c r="L72" s="105">
        <f t="shared" si="65"/>
        <v>4.187483651582526</v>
      </c>
      <c r="M72" s="105">
        <f t="shared" si="65"/>
        <v>3.0138436482084692</v>
      </c>
      <c r="N72" s="105">
        <f t="shared" si="65"/>
        <v>2.2059177291315852</v>
      </c>
      <c r="O72" s="105">
        <f t="shared" si="65"/>
        <v>2.5688456189151601</v>
      </c>
      <c r="P72" s="105">
        <f t="shared" si="65"/>
        <v>1.6871218668971477</v>
      </c>
      <c r="Q72" s="105">
        <f t="shared" si="65"/>
        <v>2.1105356853859849</v>
      </c>
      <c r="R72" s="105">
        <f t="shared" si="65"/>
        <v>3.1152271796970936</v>
      </c>
      <c r="S72" s="140">
        <f t="shared" si="65"/>
        <v>4.8882003614768914</v>
      </c>
      <c r="T72" s="140">
        <f t="shared" si="65"/>
        <v>3.5203957382039572</v>
      </c>
      <c r="U72" s="140">
        <f t="shared" si="65"/>
        <v>4.7954466458116096</v>
      </c>
      <c r="V72" s="140">
        <f t="shared" si="65"/>
        <v>3.8101574899279695</v>
      </c>
      <c r="W72" s="140">
        <f t="shared" si="65"/>
        <v>3.4436894425569395</v>
      </c>
      <c r="X72" s="140">
        <f t="shared" si="65"/>
        <v>4.9533390410958908</v>
      </c>
      <c r="Y72" s="140">
        <f t="shared" si="65"/>
        <v>4.4442136840890738</v>
      </c>
      <c r="Z72" s="140">
        <f t="shared" si="65"/>
        <v>4.1065690824705463</v>
      </c>
      <c r="AA72" s="140">
        <f t="shared" si="65"/>
        <v>5.4851441241685146</v>
      </c>
      <c r="AB72" s="140">
        <f t="shared" si="65"/>
        <v>3.7051040317980966</v>
      </c>
      <c r="AC72" s="140">
        <f t="shared" si="65"/>
        <v>4.4218984850335525</v>
      </c>
      <c r="AD72" s="140">
        <f t="shared" si="65"/>
        <v>3.8759188604364412</v>
      </c>
      <c r="AE72" s="140">
        <f t="shared" ref="AE72:AN72" si="66">+AE9/AE24</f>
        <v>4.1588882983478692</v>
      </c>
      <c r="AF72" s="140">
        <f t="shared" si="66"/>
        <v>4.6417494583190573</v>
      </c>
      <c r="AG72" s="140">
        <f t="shared" si="66"/>
        <v>4.7815671810925489</v>
      </c>
      <c r="AH72" s="140">
        <f t="shared" si="66"/>
        <v>5.083162294750907</v>
      </c>
      <c r="AI72" s="140">
        <f t="shared" si="66"/>
        <v>4.4237769258288822</v>
      </c>
      <c r="AJ72" s="140">
        <f t="shared" si="66"/>
        <v>5.8015568199612941</v>
      </c>
      <c r="AK72" s="140">
        <f t="shared" si="66"/>
        <v>6.0526074608949703</v>
      </c>
      <c r="AL72" s="140">
        <f t="shared" si="66"/>
        <v>5.8513383134498902</v>
      </c>
      <c r="AM72" s="140">
        <f t="shared" si="66"/>
        <v>6.7549654158024994</v>
      </c>
      <c r="AN72" s="140">
        <f t="shared" si="66"/>
        <v>6.9772898915488781</v>
      </c>
      <c r="AO72" s="140"/>
    </row>
    <row r="73" spans="1:41" ht="12.75" customHeight="1" outlineLevel="1">
      <c r="A73" s="105"/>
      <c r="B73" s="194" t="s">
        <v>396</v>
      </c>
      <c r="C73" s="105"/>
      <c r="D73" s="105"/>
      <c r="E73" s="105"/>
      <c r="F73" s="105"/>
      <c r="G73" s="105"/>
      <c r="H73" s="105"/>
      <c r="I73" s="105">
        <f t="shared" ref="I73:AD73" si="67">+(I3+I4+I5)/I24</f>
        <v>2.0998676452893754</v>
      </c>
      <c r="J73" s="105">
        <f t="shared" si="67"/>
        <v>2.803967057185941</v>
      </c>
      <c r="K73" s="105">
        <f t="shared" si="67"/>
        <v>3.1502642337222051</v>
      </c>
      <c r="L73" s="105">
        <f t="shared" si="67"/>
        <v>3.5419173424012551</v>
      </c>
      <c r="M73" s="105">
        <f t="shared" si="67"/>
        <v>2.4963355048859937</v>
      </c>
      <c r="N73" s="105">
        <f t="shared" si="67"/>
        <v>1.7486167909550157</v>
      </c>
      <c r="O73" s="105">
        <f t="shared" si="67"/>
        <v>1.9538247566063978</v>
      </c>
      <c r="P73" s="105">
        <f t="shared" si="67"/>
        <v>1.2101699798329011</v>
      </c>
      <c r="Q73" s="105">
        <f t="shared" si="67"/>
        <v>1.4973296649943357</v>
      </c>
      <c r="R73" s="105">
        <f t="shared" si="67"/>
        <v>2.3792468276708965</v>
      </c>
      <c r="S73" s="140">
        <f t="shared" si="67"/>
        <v>4.0152336689904464</v>
      </c>
      <c r="T73" s="140">
        <f t="shared" si="67"/>
        <v>3.0071537290715371</v>
      </c>
      <c r="U73" s="140">
        <f t="shared" si="67"/>
        <v>4.0905457073340283</v>
      </c>
      <c r="V73" s="140">
        <f t="shared" si="67"/>
        <v>3.244902942253693</v>
      </c>
      <c r="W73" s="140">
        <f t="shared" si="67"/>
        <v>2.7806719516798792</v>
      </c>
      <c r="X73" s="140">
        <f t="shared" si="67"/>
        <v>4.2197488584474883</v>
      </c>
      <c r="Y73" s="140">
        <f t="shared" si="67"/>
        <v>3.9664243682935272</v>
      </c>
      <c r="Z73" s="140">
        <f t="shared" si="67"/>
        <v>3.681720813995002</v>
      </c>
      <c r="AA73" s="140">
        <f t="shared" si="67"/>
        <v>4.979490022172949</v>
      </c>
      <c r="AB73" s="140">
        <f t="shared" si="67"/>
        <v>3.3255425914847705</v>
      </c>
      <c r="AC73" s="140">
        <f t="shared" si="67"/>
        <v>3.9773725038659777</v>
      </c>
      <c r="AD73" s="140">
        <f t="shared" si="67"/>
        <v>3.4899405137720985</v>
      </c>
      <c r="AE73" s="140">
        <f t="shared" ref="AE73:AN73" si="68">+(AE3+AE4+AE5)/AE24</f>
        <v>3.737842031070552</v>
      </c>
      <c r="AF73" s="140">
        <f t="shared" si="68"/>
        <v>4.1383050250600144</v>
      </c>
      <c r="AG73" s="140">
        <f t="shared" si="68"/>
        <v>4.2444626561119412</v>
      </c>
      <c r="AH73" s="140">
        <f t="shared" si="68"/>
        <v>4.4992163362774864</v>
      </c>
      <c r="AI73" s="140">
        <f t="shared" si="68"/>
        <v>3.9085977722223073</v>
      </c>
      <c r="AJ73" s="140">
        <f t="shared" si="68"/>
        <v>5.1054896471153279</v>
      </c>
      <c r="AK73" s="140">
        <f t="shared" si="68"/>
        <v>5.3391801326915305</v>
      </c>
      <c r="AL73" s="140">
        <f t="shared" si="68"/>
        <v>5.2177706056966144</v>
      </c>
      <c r="AM73" s="140">
        <f t="shared" si="68"/>
        <v>6.0450233263592619</v>
      </c>
      <c r="AN73" s="140">
        <f t="shared" si="68"/>
        <v>6.2556592899359513</v>
      </c>
      <c r="AO73" s="140"/>
    </row>
    <row r="74" spans="1:41" ht="12.75" customHeight="1" outlineLevel="1">
      <c r="B74" s="119"/>
      <c r="I74" s="172"/>
      <c r="J74" s="172"/>
      <c r="K74" s="172"/>
      <c r="L74" s="172"/>
      <c r="M74" s="172"/>
      <c r="N74" s="172"/>
      <c r="O74" s="172"/>
      <c r="P74" s="172"/>
      <c r="Q74" s="172"/>
      <c r="R74" s="172"/>
      <c r="S74" s="514"/>
      <c r="T74" s="514"/>
      <c r="U74" s="514"/>
      <c r="V74" s="514"/>
      <c r="W74" s="514"/>
      <c r="X74" s="514"/>
      <c r="Y74" s="514"/>
      <c r="Z74" s="514"/>
      <c r="AA74" s="513"/>
      <c r="AM74" s="140"/>
    </row>
    <row r="75" spans="1:41" ht="12.75" customHeight="1" outlineLevel="1">
      <c r="B75" s="170" t="s">
        <v>397</v>
      </c>
      <c r="I75" s="172"/>
      <c r="J75" s="172"/>
      <c r="K75" s="172"/>
      <c r="L75" s="172"/>
      <c r="M75" s="172"/>
      <c r="N75" s="172"/>
      <c r="O75" s="172"/>
      <c r="P75" s="172"/>
      <c r="Q75" s="172"/>
      <c r="R75" s="172"/>
      <c r="S75" s="514"/>
      <c r="T75" s="514"/>
      <c r="U75" s="514"/>
      <c r="V75" s="514"/>
      <c r="W75" s="514"/>
      <c r="X75" s="514"/>
      <c r="Y75" s="514"/>
      <c r="Z75" s="514"/>
      <c r="AA75" s="513"/>
    </row>
    <row r="76" spans="1:41" ht="12.75" customHeight="1" outlineLevel="1">
      <c r="A76" s="172"/>
      <c r="B76" s="173" t="s">
        <v>398</v>
      </c>
      <c r="C76" s="172"/>
      <c r="D76" s="172"/>
      <c r="E76" s="172"/>
      <c r="F76" s="172"/>
      <c r="G76" s="172"/>
      <c r="H76" s="172"/>
      <c r="I76" s="172"/>
      <c r="J76" s="175">
        <f t="shared" ref="J76:AD76" si="69">J46/AVERAGE(J37,I37)</f>
        <v>0.31016625783592261</v>
      </c>
      <c r="K76" s="175">
        <f t="shared" si="69"/>
        <v>0.23479547195148817</v>
      </c>
      <c r="L76" s="175">
        <f t="shared" si="69"/>
        <v>0.1413424554954219</v>
      </c>
      <c r="M76" s="175">
        <f t="shared" si="69"/>
        <v>0.1347843397478434</v>
      </c>
      <c r="N76" s="175">
        <f t="shared" si="69"/>
        <v>0.16104773110963319</v>
      </c>
      <c r="O76" s="175">
        <f t="shared" si="69"/>
        <v>0.20036856260583724</v>
      </c>
      <c r="P76" s="175">
        <f t="shared" si="69"/>
        <v>0.23442851706203222</v>
      </c>
      <c r="Q76" s="175">
        <f t="shared" si="69"/>
        <v>0.26085303939402166</v>
      </c>
      <c r="R76" s="175">
        <f t="shared" si="69"/>
        <v>0.25210300872168034</v>
      </c>
      <c r="S76" s="515">
        <f t="shared" si="69"/>
        <v>0.23025349008082294</v>
      </c>
      <c r="T76" s="515">
        <f t="shared" si="69"/>
        <v>0.21557143163630901</v>
      </c>
      <c r="U76" s="515">
        <f t="shared" si="69"/>
        <v>0.22609545528587718</v>
      </c>
      <c r="V76" s="515">
        <f t="shared" si="69"/>
        <v>0.26879151461051748</v>
      </c>
      <c r="W76" s="515">
        <f t="shared" si="69"/>
        <v>0.28253474584507726</v>
      </c>
      <c r="X76" s="515">
        <f t="shared" si="69"/>
        <v>0.27990140786230522</v>
      </c>
      <c r="Y76" s="515">
        <f t="shared" si="69"/>
        <v>0.29535285271346612</v>
      </c>
      <c r="Z76" s="515">
        <f t="shared" si="69"/>
        <v>0.30315055730011387</v>
      </c>
      <c r="AA76" s="515">
        <f t="shared" si="69"/>
        <v>0.33551055954713693</v>
      </c>
      <c r="AB76" s="515">
        <f t="shared" si="69"/>
        <v>0.44250120155689227</v>
      </c>
      <c r="AC76" s="515">
        <f t="shared" si="69"/>
        <v>0.49314049860266879</v>
      </c>
      <c r="AD76" s="515">
        <f t="shared" si="69"/>
        <v>0.43820212704759098</v>
      </c>
      <c r="AE76" s="515">
        <f t="shared" ref="AE76:AN76" si="70">AE46/AVERAGE(AE37,AD37)</f>
        <v>0.40456159104964462</v>
      </c>
      <c r="AF76" s="515">
        <f t="shared" si="70"/>
        <v>0.40202082770196396</v>
      </c>
      <c r="AG76" s="515">
        <f t="shared" si="70"/>
        <v>0.39766456376953352</v>
      </c>
      <c r="AH76" s="515">
        <f t="shared" si="70"/>
        <v>0.3868745830741826</v>
      </c>
      <c r="AI76" s="515">
        <f t="shared" si="70"/>
        <v>0.36799060459146099</v>
      </c>
      <c r="AJ76" s="515">
        <f t="shared" si="70"/>
        <v>0.34166165774916224</v>
      </c>
      <c r="AK76" s="515">
        <f t="shared" si="70"/>
        <v>0.31563248879497185</v>
      </c>
      <c r="AL76" s="515">
        <f t="shared" si="70"/>
        <v>0.26182568322994809</v>
      </c>
      <c r="AM76" s="515">
        <f t="shared" si="70"/>
        <v>0.2365962784105041</v>
      </c>
      <c r="AN76" s="515">
        <f t="shared" si="70"/>
        <v>0.22028669083055949</v>
      </c>
      <c r="AO76" s="515"/>
    </row>
    <row r="77" spans="1:41" ht="12.75" customHeight="1" outlineLevel="1">
      <c r="A77" s="172"/>
      <c r="B77" s="173" t="s">
        <v>399</v>
      </c>
      <c r="C77" s="172"/>
      <c r="D77" s="172"/>
      <c r="E77" s="172"/>
      <c r="F77" s="172"/>
      <c r="G77" s="172"/>
      <c r="H77" s="172"/>
      <c r="I77" s="172"/>
      <c r="J77" s="175">
        <f t="shared" ref="J77:AD77" si="71">J46/AVERAGE(J16,I16)</f>
        <v>0.24015532013674928</v>
      </c>
      <c r="K77" s="175">
        <f t="shared" si="71"/>
        <v>0.18897717581294807</v>
      </c>
      <c r="L77" s="175">
        <f t="shared" si="71"/>
        <v>0.10751017819116229</v>
      </c>
      <c r="M77" s="175">
        <f t="shared" si="71"/>
        <v>0.10041665595529303</v>
      </c>
      <c r="N77" s="175">
        <f t="shared" si="71"/>
        <v>0.1137817616655221</v>
      </c>
      <c r="O77" s="175">
        <f t="shared" si="71"/>
        <v>0.13749615502922177</v>
      </c>
      <c r="P77" s="175">
        <f t="shared" si="71"/>
        <v>0.14646904969485613</v>
      </c>
      <c r="Q77" s="175">
        <f t="shared" si="71"/>
        <v>0.14041241030587343</v>
      </c>
      <c r="R77" s="175">
        <f t="shared" si="71"/>
        <v>0.13747783750316608</v>
      </c>
      <c r="S77" s="515">
        <f t="shared" si="71"/>
        <v>0.13185021563058799</v>
      </c>
      <c r="T77" s="515">
        <f t="shared" si="71"/>
        <v>0.12089273897611742</v>
      </c>
      <c r="U77" s="515">
        <f t="shared" si="71"/>
        <v>0.10520047208116332</v>
      </c>
      <c r="V77" s="515">
        <f t="shared" si="71"/>
        <v>9.9235235390475823E-2</v>
      </c>
      <c r="W77" s="515">
        <f t="shared" si="71"/>
        <v>9.6559627313719143E-2</v>
      </c>
      <c r="X77" s="515">
        <f t="shared" si="71"/>
        <v>9.9160832950996786E-2</v>
      </c>
      <c r="Y77" s="515">
        <f t="shared" si="71"/>
        <v>0.11315574207774656</v>
      </c>
      <c r="Z77" s="515">
        <f t="shared" si="71"/>
        <v>0.11775981555207035</v>
      </c>
      <c r="AA77" s="515">
        <f t="shared" si="71"/>
        <v>0.1173499175022211</v>
      </c>
      <c r="AB77" s="515">
        <f t="shared" si="71"/>
        <v>0.12408946632045306</v>
      </c>
      <c r="AC77" s="515">
        <f t="shared" si="71"/>
        <v>0.13147524105041172</v>
      </c>
      <c r="AD77" s="515">
        <f t="shared" si="71"/>
        <v>0.13544570937970818</v>
      </c>
      <c r="AE77" s="515">
        <f t="shared" ref="AE77:AN77" si="72">AE46/AVERAGE(AE16,AD16)</f>
        <v>0.13867775901543411</v>
      </c>
      <c r="AF77" s="515">
        <f t="shared" si="72"/>
        <v>0.1530094326945339</v>
      </c>
      <c r="AG77" s="515">
        <f t="shared" si="72"/>
        <v>0.16519791380869864</v>
      </c>
      <c r="AH77" s="515">
        <f t="shared" si="72"/>
        <v>0.17137799369898088</v>
      </c>
      <c r="AI77" s="515">
        <f t="shared" si="72"/>
        <v>0.17271488005401955</v>
      </c>
      <c r="AJ77" s="515">
        <f t="shared" si="72"/>
        <v>0.17053929890278621</v>
      </c>
      <c r="AK77" s="515">
        <f t="shared" si="72"/>
        <v>0.1680344541333775</v>
      </c>
      <c r="AL77" s="515">
        <f t="shared" si="72"/>
        <v>0.14560235728343562</v>
      </c>
      <c r="AM77" s="515">
        <f t="shared" si="72"/>
        <v>0.13601493004345558</v>
      </c>
      <c r="AN77" s="515">
        <f t="shared" si="72"/>
        <v>0.1299604492735405</v>
      </c>
      <c r="AO77" s="515"/>
    </row>
    <row r="78" spans="1:41" ht="12.75" customHeight="1" outlineLevel="1">
      <c r="A78" s="172"/>
      <c r="B78" s="173" t="s">
        <v>400</v>
      </c>
      <c r="C78" s="172"/>
      <c r="D78" s="172"/>
      <c r="E78" s="172"/>
      <c r="F78" s="172"/>
      <c r="G78" s="172"/>
      <c r="H78" s="172"/>
      <c r="I78" s="175">
        <f t="shared" ref="I78:Z78" si="73">1-I43/I42</f>
        <v>0.87964071856287429</v>
      </c>
      <c r="J78" s="175">
        <f t="shared" si="73"/>
        <v>0.88757233397630197</v>
      </c>
      <c r="K78" s="175">
        <f t="shared" si="73"/>
        <v>0.889691235059761</v>
      </c>
      <c r="L78" s="175">
        <f t="shared" si="73"/>
        <v>0.87506789788158612</v>
      </c>
      <c r="M78" s="175">
        <f t="shared" si="73"/>
        <v>0.84167065581617995</v>
      </c>
      <c r="N78" s="175">
        <f t="shared" si="73"/>
        <v>0.83611374407582939</v>
      </c>
      <c r="O78" s="175">
        <f t="shared" si="73"/>
        <v>0.83628318584070793</v>
      </c>
      <c r="P78" s="175">
        <f t="shared" si="73"/>
        <v>0.85421923184749082</v>
      </c>
      <c r="Q78" s="175">
        <f t="shared" si="73"/>
        <v>0.84733599620878752</v>
      </c>
      <c r="R78" s="175">
        <f t="shared" si="73"/>
        <v>0.85382923415316936</v>
      </c>
      <c r="S78" s="515">
        <f t="shared" si="73"/>
        <v>0.85807949733642941</v>
      </c>
      <c r="T78" s="515">
        <f t="shared" si="73"/>
        <v>0.85351757124825611</v>
      </c>
      <c r="U78" s="515">
        <f t="shared" si="73"/>
        <v>0.84950584007187779</v>
      </c>
      <c r="V78" s="515">
        <f t="shared" si="73"/>
        <v>0.84158702577468869</v>
      </c>
      <c r="W78" s="515">
        <f t="shared" si="73"/>
        <v>0.84632683658170915</v>
      </c>
      <c r="X78" s="515">
        <f t="shared" si="73"/>
        <v>0.84753027961919947</v>
      </c>
      <c r="Y78" s="515">
        <f t="shared" si="73"/>
        <v>0.85998522758748042</v>
      </c>
      <c r="Z78" s="515">
        <f t="shared" si="73"/>
        <v>0.87329824714018534</v>
      </c>
      <c r="AA78" s="515">
        <f>1-AA43/AA42</f>
        <v>0.87119786423913514</v>
      </c>
      <c r="AB78" s="515">
        <f>1-AB43/AB42</f>
        <v>0.87674270944512933</v>
      </c>
      <c r="AC78" s="515">
        <f>1-AC43/AC42</f>
        <v>0.87525000924390628</v>
      </c>
      <c r="AD78" s="515">
        <f>1-AD43/AD42</f>
        <v>0.87374533242644159</v>
      </c>
      <c r="AE78" s="515">
        <f t="shared" ref="AE78:AN78" si="74">1-AE43/AE42</f>
        <v>0.86790314527565449</v>
      </c>
      <c r="AF78" s="515">
        <f t="shared" si="74"/>
        <v>0.86156372282344895</v>
      </c>
      <c r="AG78" s="515">
        <f t="shared" si="74"/>
        <v>0.85393034554176217</v>
      </c>
      <c r="AH78" s="515">
        <f t="shared" si="74"/>
        <v>0.84853700869585491</v>
      </c>
      <c r="AI78" s="515">
        <f t="shared" si="74"/>
        <v>0.84004065039490461</v>
      </c>
      <c r="AJ78" s="515">
        <f t="shared" si="74"/>
        <v>0.83180866120315289</v>
      </c>
      <c r="AK78" s="515">
        <f t="shared" si="74"/>
        <v>0.82317773699663666</v>
      </c>
      <c r="AL78" s="515">
        <f t="shared" si="74"/>
        <v>0.81387681422542224</v>
      </c>
      <c r="AM78" s="515">
        <f t="shared" si="74"/>
        <v>0.80580385747137284</v>
      </c>
      <c r="AN78" s="515">
        <f t="shared" si="74"/>
        <v>0.79868714030513166</v>
      </c>
      <c r="AO78" s="515"/>
    </row>
    <row r="79" spans="1:41" ht="12.75" customHeight="1" outlineLevel="1">
      <c r="A79" s="172"/>
      <c r="B79" s="173" t="s">
        <v>401</v>
      </c>
      <c r="C79" s="172"/>
      <c r="D79" s="172"/>
      <c r="E79" s="172"/>
      <c r="F79" s="172"/>
      <c r="G79" s="172"/>
      <c r="H79" s="172"/>
      <c r="I79" s="175">
        <f t="shared" ref="I79:Z79" si="75">I46/I42</f>
        <v>0.32814371257485031</v>
      </c>
      <c r="J79" s="175">
        <f t="shared" si="75"/>
        <v>0.31358500964453018</v>
      </c>
      <c r="K79" s="175">
        <f t="shared" si="75"/>
        <v>0.27863545816733065</v>
      </c>
      <c r="L79" s="175">
        <f t="shared" si="75"/>
        <v>0.30074235017200796</v>
      </c>
      <c r="M79" s="175">
        <f t="shared" si="75"/>
        <v>0.30385351842987074</v>
      </c>
      <c r="N79" s="175">
        <f t="shared" si="75"/>
        <v>0.29838862559241708</v>
      </c>
      <c r="O79" s="175">
        <f t="shared" si="75"/>
        <v>0.32365245374094931</v>
      </c>
      <c r="P79" s="175">
        <f t="shared" si="75"/>
        <v>0.32380151387720774</v>
      </c>
      <c r="Q79" s="175">
        <f t="shared" si="75"/>
        <v>0.32523187326518177</v>
      </c>
      <c r="R79" s="175">
        <f t="shared" si="75"/>
        <v>0.32560154635739519</v>
      </c>
      <c r="S79" s="515">
        <f t="shared" si="75"/>
        <v>0.34243955743750853</v>
      </c>
      <c r="T79" s="515">
        <f t="shared" si="75"/>
        <v>0.33375406895635423</v>
      </c>
      <c r="U79" s="515">
        <f t="shared" si="75"/>
        <v>0.31176999101527403</v>
      </c>
      <c r="V79" s="515">
        <f t="shared" si="75"/>
        <v>0.29649580075296844</v>
      </c>
      <c r="W79" s="515">
        <f t="shared" si="75"/>
        <v>0.31130863139858644</v>
      </c>
      <c r="X79" s="515">
        <f t="shared" si="75"/>
        <v>0.33394806359966106</v>
      </c>
      <c r="Y79" s="515">
        <f t="shared" si="75"/>
        <v>0.36718677869079491</v>
      </c>
      <c r="Z79" s="515">
        <f t="shared" si="75"/>
        <v>0.38210604149449784</v>
      </c>
      <c r="AA79" s="515">
        <f>AA46/AA42</f>
        <v>0.40465665893474551</v>
      </c>
      <c r="AB79" s="515">
        <f>AB46/AB42</f>
        <v>0.4158564096682566</v>
      </c>
      <c r="AC79" s="515">
        <f>AC46/AC42</f>
        <v>0.41686132160097444</v>
      </c>
      <c r="AD79" s="515">
        <f>AD46/AD42</f>
        <v>0.42021400909937962</v>
      </c>
      <c r="AE79" s="515">
        <f t="shared" ref="AE79:AN79" si="76">AE46/AE42</f>
        <v>0.42589966911338534</v>
      </c>
      <c r="AF79" s="515">
        <f t="shared" si="76"/>
        <v>0.44070670451334726</v>
      </c>
      <c r="AG79" s="515">
        <f t="shared" si="76"/>
        <v>0.44930016931455513</v>
      </c>
      <c r="AH79" s="515">
        <f t="shared" si="76"/>
        <v>0.45962845907732236</v>
      </c>
      <c r="AI79" s="515">
        <f t="shared" si="76"/>
        <v>0.46474663674303712</v>
      </c>
      <c r="AJ79" s="515">
        <f t="shared" si="76"/>
        <v>0.46434890493953757</v>
      </c>
      <c r="AK79" s="515">
        <f t="shared" si="76"/>
        <v>0.46455364338955613</v>
      </c>
      <c r="AL79" s="515">
        <f t="shared" si="76"/>
        <v>0.44813510097329257</v>
      </c>
      <c r="AM79" s="515">
        <f t="shared" si="76"/>
        <v>0.446019450045264</v>
      </c>
      <c r="AN79" s="515">
        <f t="shared" si="76"/>
        <v>0.44457326099580274</v>
      </c>
      <c r="AO79" s="515"/>
    </row>
    <row r="80" spans="1:41" ht="12.75" customHeight="1" outlineLevel="1">
      <c r="A80" s="105"/>
      <c r="B80" s="194" t="s">
        <v>402</v>
      </c>
      <c r="C80" s="105"/>
      <c r="D80" s="105"/>
      <c r="E80" s="105"/>
      <c r="F80" s="105"/>
      <c r="G80" s="105"/>
      <c r="H80" s="105"/>
      <c r="I80" s="105"/>
      <c r="J80" s="105">
        <f t="shared" ref="J80:AD80" si="77">J42/AVERAGE(J11,I11)</f>
        <v>2.176246589307667</v>
      </c>
      <c r="K80" s="105">
        <f t="shared" si="77"/>
        <v>2.1547376327932182</v>
      </c>
      <c r="L80" s="105">
        <f t="shared" si="77"/>
        <v>2.3207832590974031</v>
      </c>
      <c r="M80" s="105">
        <f t="shared" si="77"/>
        <v>2.5273345935727787</v>
      </c>
      <c r="N80" s="105">
        <f t="shared" si="77"/>
        <v>2.479144636352955</v>
      </c>
      <c r="O80" s="105">
        <f t="shared" si="77"/>
        <v>2.5497435897435898</v>
      </c>
      <c r="P80" s="105">
        <f t="shared" si="77"/>
        <v>2.6038872159868602</v>
      </c>
      <c r="Q80" s="105">
        <f t="shared" si="77"/>
        <v>2.490473781824313</v>
      </c>
      <c r="R80" s="105">
        <f t="shared" si="77"/>
        <v>2.5385786802030457</v>
      </c>
      <c r="S80" s="140">
        <f t="shared" si="77"/>
        <v>2.5207884996126366</v>
      </c>
      <c r="T80" s="140">
        <f t="shared" si="77"/>
        <v>2.6737122557726467</v>
      </c>
      <c r="U80" s="140">
        <f t="shared" si="77"/>
        <v>2.8481082069091572</v>
      </c>
      <c r="V80" s="140">
        <f t="shared" si="77"/>
        <v>3.2132886655499719</v>
      </c>
      <c r="W80" s="140">
        <f t="shared" si="77"/>
        <v>3.4990163934426231</v>
      </c>
      <c r="X80" s="140">
        <f t="shared" si="77"/>
        <v>3.7954975406734772</v>
      </c>
      <c r="Y80" s="140">
        <f t="shared" si="77"/>
        <v>4.2768015794669303</v>
      </c>
      <c r="Z80" s="140">
        <f t="shared" si="77"/>
        <v>4.6597081475476285</v>
      </c>
      <c r="AA80" s="140">
        <f t="shared" si="77"/>
        <v>4.5927638190954774</v>
      </c>
      <c r="AB80" s="140">
        <f t="shared" si="77"/>
        <v>4.6336870225697853</v>
      </c>
      <c r="AC80" s="140">
        <f t="shared" si="77"/>
        <v>4.8324235957057065</v>
      </c>
      <c r="AD80" s="140">
        <f t="shared" si="77"/>
        <v>5.1895218655387687</v>
      </c>
      <c r="AE80" s="140">
        <f t="shared" ref="AE80:AN80" si="78">AE42/AVERAGE(AE11,AD11)</f>
        <v>5.5544292514040468</v>
      </c>
      <c r="AF80" s="140">
        <f t="shared" si="78"/>
        <v>6.2965165527819602</v>
      </c>
      <c r="AG80" s="140">
        <f t="shared" si="78"/>
        <v>7.3270957100548975</v>
      </c>
      <c r="AH80" s="140">
        <f t="shared" si="78"/>
        <v>8.5146083160143817</v>
      </c>
      <c r="AI80" s="140">
        <f t="shared" si="78"/>
        <v>10.039359684347941</v>
      </c>
      <c r="AJ80" s="140">
        <f t="shared" si="78"/>
        <v>12.163152299379059</v>
      </c>
      <c r="AK80" s="140">
        <f t="shared" si="78"/>
        <v>13.957809472611222</v>
      </c>
      <c r="AL80" s="140">
        <f t="shared" si="78"/>
        <v>14.064143967693418</v>
      </c>
      <c r="AM80" s="140">
        <f t="shared" si="78"/>
        <v>15.092784331802347</v>
      </c>
      <c r="AN80" s="140">
        <f t="shared" si="78"/>
        <v>12.823140266922938</v>
      </c>
      <c r="AO80" s="140"/>
    </row>
    <row r="81" spans="1:41" ht="12.75" customHeight="1" outlineLevel="1">
      <c r="A81" s="105"/>
      <c r="B81" s="194" t="s">
        <v>403</v>
      </c>
      <c r="C81" s="105"/>
      <c r="D81" s="105"/>
      <c r="E81" s="105"/>
      <c r="F81" s="105"/>
      <c r="G81" s="105"/>
      <c r="H81" s="105"/>
      <c r="I81" s="105"/>
      <c r="J81" s="105">
        <f t="shared" ref="J81:AD81" si="79">J42/AVERAGE(J16,I16)</f>
        <v>0.76583801122694473</v>
      </c>
      <c r="K81" s="105">
        <f t="shared" si="79"/>
        <v>0.67822371587560271</v>
      </c>
      <c r="L81" s="105">
        <f t="shared" si="79"/>
        <v>0.35748266956639935</v>
      </c>
      <c r="M81" s="105">
        <f t="shared" si="79"/>
        <v>0.33047718675164572</v>
      </c>
      <c r="N81" s="105">
        <f t="shared" si="79"/>
        <v>0.38132070697943399</v>
      </c>
      <c r="O81" s="105">
        <f t="shared" si="79"/>
        <v>0.42482654909600465</v>
      </c>
      <c r="P81" s="105">
        <f t="shared" si="79"/>
        <v>0.45234207814852978</v>
      </c>
      <c r="Q81" s="105">
        <f t="shared" si="79"/>
        <v>0.4317301649933506</v>
      </c>
      <c r="R81" s="105">
        <f t="shared" si="79"/>
        <v>0.42222722539611068</v>
      </c>
      <c r="S81" s="140">
        <f t="shared" si="79"/>
        <v>0.38503208162406649</v>
      </c>
      <c r="T81" s="140">
        <f t="shared" si="79"/>
        <v>0.36222101906996329</v>
      </c>
      <c r="U81" s="140">
        <f t="shared" si="79"/>
        <v>0.33742975627185812</v>
      </c>
      <c r="V81" s="140">
        <f t="shared" si="79"/>
        <v>0.3346935610503155</v>
      </c>
      <c r="W81" s="140">
        <f t="shared" si="79"/>
        <v>0.31017330576384911</v>
      </c>
      <c r="X81" s="140">
        <f t="shared" si="79"/>
        <v>0.2969348942531117</v>
      </c>
      <c r="Y81" s="140">
        <f t="shared" si="79"/>
        <v>0.30816943486147169</v>
      </c>
      <c r="Z81" s="140">
        <f t="shared" si="79"/>
        <v>0.30818621734293106</v>
      </c>
      <c r="AA81" s="140">
        <f t="shared" si="79"/>
        <v>0.28999873080340144</v>
      </c>
      <c r="AB81" s="140">
        <f t="shared" si="79"/>
        <v>0.29839498306505274</v>
      </c>
      <c r="AC81" s="140">
        <f t="shared" si="79"/>
        <v>0.31539323568201338</v>
      </c>
      <c r="AD81" s="140">
        <f t="shared" si="79"/>
        <v>0.32232554471470654</v>
      </c>
      <c r="AE81" s="140">
        <f t="shared" ref="AE81:AN81" si="80">AE42/AVERAGE(AE16,AD16)</f>
        <v>0.32561133307317636</v>
      </c>
      <c r="AF81" s="140">
        <f t="shared" si="80"/>
        <v>0.34719107090393686</v>
      </c>
      <c r="AG81" s="140">
        <f t="shared" si="80"/>
        <v>0.36767828078213688</v>
      </c>
      <c r="AH81" s="140">
        <f t="shared" si="80"/>
        <v>0.37286201564414073</v>
      </c>
      <c r="AI81" s="140">
        <f t="shared" si="80"/>
        <v>0.37163233985814781</v>
      </c>
      <c r="AJ81" s="140">
        <f t="shared" si="80"/>
        <v>0.36726542711453569</v>
      </c>
      <c r="AK81" s="140">
        <f t="shared" si="80"/>
        <v>0.36171162690133191</v>
      </c>
      <c r="AL81" s="140">
        <f t="shared" si="80"/>
        <v>0.32490728123551532</v>
      </c>
      <c r="AM81" s="140">
        <f t="shared" si="80"/>
        <v>0.30495291187335483</v>
      </c>
      <c r="AN81" s="140">
        <f t="shared" si="80"/>
        <v>0.29232628382202108</v>
      </c>
      <c r="AO81" s="140"/>
    </row>
    <row r="82" spans="1:41" ht="12.75" customHeight="1" outlineLevel="1">
      <c r="A82" s="105"/>
      <c r="B82" s="194" t="s">
        <v>404</v>
      </c>
      <c r="C82" s="105"/>
      <c r="D82" s="105"/>
      <c r="E82" s="105"/>
      <c r="F82" s="105"/>
      <c r="G82" s="105"/>
      <c r="H82" s="105"/>
      <c r="I82" s="105"/>
      <c r="J82" s="105">
        <f t="shared" ref="J82:AD82" si="81">AVERAGE(J16,I16)/AVERAGE(I37,J37)</f>
        <v>1.2915235759062413</v>
      </c>
      <c r="K82" s="105">
        <f t="shared" si="81"/>
        <v>1.2424541267559825</v>
      </c>
      <c r="L82" s="105">
        <f t="shared" si="81"/>
        <v>1.3146890636168691</v>
      </c>
      <c r="M82" s="105">
        <f t="shared" si="81"/>
        <v>1.3422508294625084</v>
      </c>
      <c r="N82" s="105">
        <f t="shared" si="81"/>
        <v>1.4154090141709725</v>
      </c>
      <c r="O82" s="105">
        <f t="shared" si="81"/>
        <v>1.457266660025899</v>
      </c>
      <c r="P82" s="105">
        <f t="shared" si="81"/>
        <v>1.6005327920842318</v>
      </c>
      <c r="Q82" s="105">
        <f t="shared" si="81"/>
        <v>1.8577634186734722</v>
      </c>
      <c r="R82" s="105">
        <f t="shared" si="81"/>
        <v>1.8337719977292666</v>
      </c>
      <c r="S82" s="140">
        <f t="shared" si="81"/>
        <v>1.7463262307127112</v>
      </c>
      <c r="T82" s="140">
        <f t="shared" si="81"/>
        <v>1.7831627727360495</v>
      </c>
      <c r="U82" s="140">
        <f t="shared" si="81"/>
        <v>2.1491866986247179</v>
      </c>
      <c r="V82" s="140">
        <f t="shared" si="81"/>
        <v>2.7086297881278059</v>
      </c>
      <c r="W82" s="140">
        <f t="shared" si="81"/>
        <v>2.9260132179998055</v>
      </c>
      <c r="X82" s="140">
        <f t="shared" si="81"/>
        <v>2.8227012574675188</v>
      </c>
      <c r="Y82" s="140">
        <f t="shared" si="81"/>
        <v>2.6101446315515866</v>
      </c>
      <c r="Z82" s="140">
        <f t="shared" si="81"/>
        <v>2.5743124331412401</v>
      </c>
      <c r="AA82" s="140">
        <f t="shared" si="81"/>
        <v>2.8590608897597796</v>
      </c>
      <c r="AB82" s="140">
        <f t="shared" si="81"/>
        <v>3.565985209527466</v>
      </c>
      <c r="AC82" s="140">
        <f t="shared" si="81"/>
        <v>3.7508240689483374</v>
      </c>
      <c r="AD82" s="140">
        <f t="shared" si="81"/>
        <v>3.2352603050653763</v>
      </c>
      <c r="AE82" s="140">
        <f t="shared" ref="AE82:AN82" si="82">AVERAGE(AE16,AD16)/AVERAGE(AD37,AE37)</f>
        <v>2.9172781123800755</v>
      </c>
      <c r="AF82" s="140">
        <f t="shared" si="82"/>
        <v>2.6274251242049456</v>
      </c>
      <c r="AG82" s="140">
        <f t="shared" si="82"/>
        <v>2.4072008816650934</v>
      </c>
      <c r="AH82" s="140">
        <f t="shared" si="82"/>
        <v>2.2574344273962823</v>
      </c>
      <c r="AI82" s="140">
        <f t="shared" si="82"/>
        <v>2.1306247873742299</v>
      </c>
      <c r="AJ82" s="140">
        <f t="shared" si="82"/>
        <v>2.0034189183803446</v>
      </c>
      <c r="AK82" s="140">
        <f t="shared" si="82"/>
        <v>1.8783795884172556</v>
      </c>
      <c r="AL82" s="140">
        <f t="shared" si="82"/>
        <v>1.7982242053970823</v>
      </c>
      <c r="AM82" s="140">
        <f t="shared" si="82"/>
        <v>1.7394875572476762</v>
      </c>
      <c r="AN82" s="140">
        <f t="shared" si="82"/>
        <v>1.6950286957449685</v>
      </c>
      <c r="AO82" s="140"/>
    </row>
    <row r="83" spans="1:41" ht="12.75" customHeight="1" outlineLevel="1">
      <c r="B83" s="119"/>
      <c r="I83" s="172"/>
      <c r="J83" s="172"/>
      <c r="K83" s="172"/>
      <c r="L83" s="172"/>
      <c r="M83" s="172"/>
      <c r="N83" s="172"/>
      <c r="O83" s="172"/>
      <c r="P83" s="172"/>
      <c r="Q83" s="172"/>
      <c r="R83" s="172"/>
      <c r="S83" s="514"/>
      <c r="T83" s="514"/>
      <c r="U83" s="514"/>
      <c r="V83" s="514"/>
      <c r="W83" s="514"/>
      <c r="X83" s="514"/>
      <c r="Y83" s="514"/>
      <c r="Z83" s="514"/>
      <c r="AA83" s="513"/>
    </row>
    <row r="84" spans="1:41" ht="12.75" customHeight="1" outlineLevel="1">
      <c r="B84" s="170" t="s">
        <v>405</v>
      </c>
      <c r="I84" s="172"/>
      <c r="J84" s="172"/>
      <c r="K84" s="172"/>
      <c r="L84" s="172"/>
      <c r="M84" s="172"/>
      <c r="N84" s="172"/>
      <c r="O84" s="172"/>
      <c r="P84" s="172"/>
      <c r="Q84" s="172"/>
      <c r="R84" s="172"/>
      <c r="S84" s="514"/>
      <c r="T84" s="514"/>
      <c r="U84" s="514"/>
      <c r="V84" s="514"/>
      <c r="W84" s="514"/>
      <c r="X84" s="514"/>
      <c r="Y84" s="514"/>
      <c r="Z84" s="514"/>
      <c r="AA84" s="513"/>
    </row>
    <row r="85" spans="1:41" ht="12.75" customHeight="1" outlineLevel="1">
      <c r="A85" s="105"/>
      <c r="B85" s="194" t="s">
        <v>406</v>
      </c>
      <c r="C85" s="105"/>
      <c r="D85" s="105"/>
      <c r="E85" s="105"/>
      <c r="F85" s="105"/>
      <c r="G85" s="105"/>
      <c r="H85" s="105"/>
      <c r="I85" s="105">
        <f>(I23+I29)/IS!I112</f>
        <v>0.13353293413173653</v>
      </c>
      <c r="J85" s="105">
        <f>(J23+J29)/IS!J112</f>
        <v>0.12699316628701596</v>
      </c>
      <c r="K85" s="105">
        <f>(K23+K29)/IS!K112</f>
        <v>0.12409571508069003</v>
      </c>
      <c r="L85" s="105">
        <f>(L23+L29)/IS!P112</f>
        <v>1.1508529945553538</v>
      </c>
      <c r="M85" s="105">
        <f>(M23+M29)/IS!U112</f>
        <v>4.7528517110266157E-2</v>
      </c>
      <c r="N85" s="105">
        <f>(N23+N29)/IS!Z112</f>
        <v>0.43863500299341451</v>
      </c>
      <c r="O85" s="105">
        <f>(O23+O29)/IS!AE112</f>
        <v>0.35786388798436991</v>
      </c>
      <c r="P85" s="105">
        <f>(P23+P29)/IS!AJ112</f>
        <v>0.33214391911983349</v>
      </c>
      <c r="Q85" s="105">
        <f>(Q23+Q29)/IS!AO112</f>
        <v>0.83842134213421338</v>
      </c>
      <c r="R85" s="105">
        <f>(R23+R29)/IS!AT112</f>
        <v>0.70130763936682727</v>
      </c>
      <c r="S85" s="140">
        <f>(S23+S29)/IS!AY112</f>
        <v>0.85315959086450888</v>
      </c>
      <c r="T85" s="140">
        <f>(T23+T29)/IS!BD112</f>
        <v>1.1968745639737686</v>
      </c>
      <c r="U85" s="140">
        <f>(U23+U29)/IS!BI112</f>
        <v>2.8033199940714391</v>
      </c>
      <c r="V85" s="140">
        <f>(V23+V29)/IS!BN112</f>
        <v>3.1602892833662066</v>
      </c>
      <c r="W85" s="140">
        <f>(W23+W29)/IS!BS112</f>
        <v>3.8905303947687093</v>
      </c>
      <c r="X85" s="140">
        <f>(X23+X29)/IS!BX112</f>
        <v>2.9066906406737956</v>
      </c>
      <c r="Y85" s="140">
        <f>(Y23+Y29)/IS!CC112</f>
        <v>2.5950657894736842</v>
      </c>
      <c r="Z85" s="140">
        <f>(Z23+Z29)/IS!CH112</f>
        <v>2.5530219172016824</v>
      </c>
      <c r="AA85" s="140">
        <f>(AA23+AA29)/IS!CM112</f>
        <v>2.5961948137809445</v>
      </c>
      <c r="AB85" s="140">
        <f>(AB23+AB29)/IS!CR112</f>
        <v>2.537284808771501</v>
      </c>
      <c r="AC85" s="140">
        <f>(AC23+AC29)/IS!CW112</f>
        <v>2.2501664914419304</v>
      </c>
      <c r="AD85" s="140">
        <f>(AD23+AD29)/IS!DB112</f>
        <v>2.0193498631710716</v>
      </c>
      <c r="AE85" s="140">
        <f>(AE23+AE29)/IS!DG112</f>
        <v>1.7754662911762642</v>
      </c>
      <c r="AF85" s="140">
        <f>(AF23+AF29)/IS!DL112</f>
        <v>1.3879298335978354</v>
      </c>
      <c r="AG85" s="140">
        <f>(AG23+AG29)/IS!DQ112</f>
        <v>1.2780868205455618</v>
      </c>
      <c r="AH85" s="140">
        <f>(AH23+AH29)/IS!DV112</f>
        <v>1.199522072347698</v>
      </c>
      <c r="AI85" s="140">
        <f>(AI23+AI29)/IS!EA112</f>
        <v>1.1025099116706643</v>
      </c>
      <c r="AJ85" s="140">
        <f>(AJ23+AJ29)/IS!EF112</f>
        <v>0.92192708160229797</v>
      </c>
      <c r="AK85" s="140">
        <f>(AK23+AK29)/IS!EK112</f>
        <v>0.85508445096087549</v>
      </c>
      <c r="AL85" s="140">
        <f>(AL23+AL29)/IS!EP112</f>
        <v>0.94974468252495081</v>
      </c>
      <c r="AM85" s="140">
        <f>(AM23+AM29)/IS!EU112</f>
        <v>0.91994012362498268</v>
      </c>
      <c r="AN85" s="140">
        <f>(AN23+AN29)/IS!EZ112</f>
        <v>0.93844658016169014</v>
      </c>
      <c r="AO85" s="140"/>
    </row>
    <row r="86" spans="1:41" ht="12.75" customHeight="1" outlineLevel="1">
      <c r="A86" s="105"/>
      <c r="B86" s="194" t="s">
        <v>407</v>
      </c>
      <c r="C86" s="105"/>
      <c r="D86" s="105"/>
      <c r="E86" s="105"/>
      <c r="F86" s="105"/>
      <c r="G86" s="105"/>
      <c r="H86" s="105"/>
      <c r="I86" s="140" t="str">
        <f>IF(IS!I31+IS!I32&gt;0,"NM",IS!I112/-(IS!I31+IS!I32))</f>
        <v>NM</v>
      </c>
      <c r="J86" s="140" t="str">
        <f>IF(IS!J31+IS!J32&gt;0,"NM",IS!J112/-(IS!J31+IS!J32))</f>
        <v>NM</v>
      </c>
      <c r="K86" s="140" t="str">
        <f>IF(IS!K31+IS!K32&gt;0,"NM",IS!K112/-(IS!K31+IS!K32))</f>
        <v>NM</v>
      </c>
      <c r="L86" s="140" t="str">
        <f>IF(IS!P31+IS!P32&gt;0,"NM",IS!P112/-(IS!P31+IS!P32))</f>
        <v>NM</v>
      </c>
      <c r="M86" s="140" t="str">
        <f>IF(IS!U31+IS!U32&gt;0,"NM",IS!U112/-(IS!U31+IS!U32))</f>
        <v>NM</v>
      </c>
      <c r="N86" s="140" t="str">
        <f>IF(IS!Z31+IS!Z32&gt;0,"NM",IS!Z112/-(IS!Z31+IS!Z32))</f>
        <v>NM</v>
      </c>
      <c r="O86" s="140" t="str">
        <f>IF(IS!AE31+IS!AE32&gt;0,"NM",IS!AE112/-(IS!AE31+IS!AE32))</f>
        <v>NM</v>
      </c>
      <c r="P86" s="140" t="str">
        <f>IF(IS!AJ31+IS!AJ32&gt;0,"NM",IS!AJ112/-(IS!AJ31+IS!AJ32))</f>
        <v>NM</v>
      </c>
      <c r="Q86" s="140" t="str">
        <f>IF(IS!AO31+IS!AO32&gt;0,"NM",IS!AO112/-(IS!AO31+IS!AO32))</f>
        <v>NM</v>
      </c>
      <c r="R86" s="140" t="str">
        <f>IF(IS!AT31+IS!AT32&gt;0,"NM",IS!AT112/-(IS!AT31+IS!AT32))</f>
        <v>NM</v>
      </c>
      <c r="S86" s="140">
        <f>IF(IS!AY31+IS!AY32&gt;0,"NM",IS!AY112/-(IS!AY31+IS!AY32))</f>
        <v>137.25</v>
      </c>
      <c r="T86" s="140" t="str">
        <f>IF(IS!BD31+IS!BD32&gt;0,"NM",IS!BD112/-(IS!BD31+IS!BD32))</f>
        <v>NM</v>
      </c>
      <c r="U86" s="140">
        <f>IF(IS!BI31+IS!BI32&gt;0,"NM",IS!BI112/-(IS!BI31+IS!BI32))</f>
        <v>355.10526315789474</v>
      </c>
      <c r="V86" s="140">
        <f>IF(IS!BN31+IS!BN32&gt;0,"NM",IS!BN112/-(IS!BN31+IS!BN32))</f>
        <v>17.768691588785046</v>
      </c>
      <c r="W86" s="140">
        <f>IF(IS!BS31+IS!BS32&gt;0,"NM",IS!BS112/-(IS!BS31+IS!BS32))</f>
        <v>14.538732394366198</v>
      </c>
      <c r="X86" s="140">
        <f>IF(IS!BX31+IS!BX32&gt;0,"NM",IS!BX112/-(IS!BX31+IS!BX32))</f>
        <v>17.437293729372936</v>
      </c>
      <c r="Y86" s="140">
        <f>IF(IS!CC31+IS!CC32&gt;0,"NM",IS!CC112/-(IS!CC31+IS!CC32))</f>
        <v>24.715447154471544</v>
      </c>
      <c r="Z86" s="140">
        <f>IF(IS!CH31+IS!CH32&gt;0,"NM",IS!CH112/-(IS!CH31+IS!CH32))</f>
        <v>21.475435816164818</v>
      </c>
      <c r="AA86" s="140">
        <f>IF(IS!CM31+IS!CM32&gt;0,"NM",IS!CM112/-(IS!CM31+IS!CM32))</f>
        <v>36.204787234042556</v>
      </c>
      <c r="AB86" s="140">
        <f>IF(IS!CR31+IS!CR32&gt;0,"NM",IS!CR112/-(IS!CR31+IS!CR32))</f>
        <v>25.144941194022586</v>
      </c>
      <c r="AC86" s="140">
        <f>IF(IS!CW31+IS!CW32&gt;0,"NM",IS!CW112/-(IS!CW31+IS!CW32))</f>
        <v>63.172949590879078</v>
      </c>
      <c r="AD86" s="140">
        <f>IF(IS!DB31+IS!DB32&gt;0,"NM",IS!DB112/-(IS!DB31+IS!DB32))</f>
        <v>591.26094752791016</v>
      </c>
      <c r="AE86" s="140" t="str">
        <f>IF(IS!DG31+IS!DG32&gt;0,"NM",IS!DG112/-(IS!DG31+IS!DG32))</f>
        <v>NM</v>
      </c>
      <c r="AF86" s="140" t="str">
        <f>IF(IS!DL31+IS!DL32&gt;0,"NM",IS!DL112/-(IS!DL31+IS!DL32))</f>
        <v>NM</v>
      </c>
      <c r="AG86" s="140" t="str">
        <f>IF(IS!DQ31+IS!DQ32&gt;0,"NM",IS!DQ112/-(IS!DQ31+IS!DQ32))</f>
        <v>NM</v>
      </c>
      <c r="AH86" s="140" t="str">
        <f>IF(IS!DV31+IS!DV32&gt;0,"NM",IS!DV112/-(IS!DV31+IS!DV32))</f>
        <v>NM</v>
      </c>
      <c r="AI86" s="140" t="str">
        <f>IF(IS!EA31+IS!EA32&gt;0,"NM",IS!EA112/-(IS!EA31+IS!EA32))</f>
        <v>NM</v>
      </c>
      <c r="AJ86" s="140" t="str">
        <f>IF(IS!EF31+IS!EF32&gt;0,"NM",IS!EF112/-(IS!EF31+IS!EF32))</f>
        <v>NM</v>
      </c>
      <c r="AK86" s="140" t="str">
        <f>IF(IS!EK31+IS!EK32&gt;0,"NM",IS!EK112/-(IS!EK31+IS!EK32))</f>
        <v>NM</v>
      </c>
      <c r="AL86" s="140" t="str">
        <f>IF(IS!EP31+IS!EP32&gt;0,"NM",IS!EP112/-(IS!EP31+IS!EP32))</f>
        <v>NM</v>
      </c>
      <c r="AM86" s="140" t="str">
        <f>IF(IS!EU31+IS!EU32&gt;0,"NM",IS!EU112/-(IS!EU31+IS!EU32))</f>
        <v>NM</v>
      </c>
      <c r="AN86" s="140" t="str">
        <f>IF(IS!EZ31+IS!EZ32&gt;0,"NM",IS!EZ112/-(IS!EZ31+IS!EZ32))</f>
        <v>NM</v>
      </c>
      <c r="AO86" s="140"/>
    </row>
    <row r="87" spans="1:41" ht="12.75" customHeight="1" outlineLevel="1">
      <c r="A87" s="105"/>
      <c r="B87" s="194" t="s">
        <v>408</v>
      </c>
      <c r="C87" s="105"/>
      <c r="D87" s="105"/>
      <c r="E87" s="105"/>
      <c r="F87" s="105"/>
      <c r="G87" s="105"/>
      <c r="H87" s="105"/>
      <c r="I87" s="105">
        <f t="shared" ref="I87:AD87" si="83">I29/I37</f>
        <v>7.3755581279973545E-2</v>
      </c>
      <c r="J87" s="105">
        <f t="shared" si="83"/>
        <v>5.1686174527755244E-2</v>
      </c>
      <c r="K87" s="105">
        <f t="shared" si="83"/>
        <v>4.2743233918577019E-2</v>
      </c>
      <c r="L87" s="105">
        <f t="shared" si="83"/>
        <v>0.1666684895548507</v>
      </c>
      <c r="M87" s="105">
        <f t="shared" si="83"/>
        <v>1.0315127133941926E-2</v>
      </c>
      <c r="N87" s="105">
        <f t="shared" si="83"/>
        <v>0.11154529307282415</v>
      </c>
      <c r="O87" s="105">
        <f t="shared" si="83"/>
        <v>0.10747640702166153</v>
      </c>
      <c r="P87" s="105">
        <f t="shared" si="83"/>
        <v>0.11252900232018562</v>
      </c>
      <c r="Q87" s="105">
        <f t="shared" si="83"/>
        <v>0.22927975824052829</v>
      </c>
      <c r="R87" s="105">
        <f t="shared" si="83"/>
        <v>0.19607373713191287</v>
      </c>
      <c r="S87" s="140">
        <f t="shared" si="83"/>
        <v>0.26862840252349229</v>
      </c>
      <c r="T87" s="140">
        <f t="shared" si="83"/>
        <v>0.35825258937520882</v>
      </c>
      <c r="U87" s="140">
        <f t="shared" si="83"/>
        <v>0.99395659256923641</v>
      </c>
      <c r="V87" s="140">
        <f t="shared" si="83"/>
        <v>1.2609653725078698</v>
      </c>
      <c r="W87" s="140">
        <f t="shared" si="83"/>
        <v>1.3406498913830558</v>
      </c>
      <c r="X87" s="140">
        <f t="shared" si="83"/>
        <v>1.1721235161765846</v>
      </c>
      <c r="Y87" s="140">
        <f t="shared" si="83"/>
        <v>1.0435494783320871</v>
      </c>
      <c r="Z87" s="140">
        <f t="shared" si="83"/>
        <v>1.0106443514644352</v>
      </c>
      <c r="AA87" s="140">
        <f t="shared" si="83"/>
        <v>1.3545422130660434</v>
      </c>
      <c r="AB87" s="140">
        <f t="shared" si="83"/>
        <v>1.8126416381685324</v>
      </c>
      <c r="AC87" s="140">
        <f t="shared" si="83"/>
        <v>1.3862650660859472</v>
      </c>
      <c r="AD87" s="140">
        <f t="shared" si="83"/>
        <v>1.0581126162158689</v>
      </c>
      <c r="AE87" s="140">
        <f t="shared" ref="AE87:AN87" si="84">AE29/AE37</f>
        <v>0.86990714432417748</v>
      </c>
      <c r="AF87" s="140">
        <f t="shared" si="84"/>
        <v>0.69327037468647512</v>
      </c>
      <c r="AG87" s="140">
        <f t="shared" si="84"/>
        <v>0.59124038931662459</v>
      </c>
      <c r="AH87" s="140">
        <f t="shared" si="84"/>
        <v>0.5141350458525682</v>
      </c>
      <c r="AI87" s="140">
        <f t="shared" si="84"/>
        <v>0.39472350250125854</v>
      </c>
      <c r="AJ87" s="140">
        <f t="shared" si="84"/>
        <v>0.37060166007058404</v>
      </c>
      <c r="AK87" s="140">
        <f t="shared" si="84"/>
        <v>0.31182818159740688</v>
      </c>
      <c r="AL87" s="140">
        <f t="shared" si="84"/>
        <v>0.26988936475616265</v>
      </c>
      <c r="AM87" s="140">
        <f t="shared" si="84"/>
        <v>0.25715397467556761</v>
      </c>
      <c r="AN87" s="140">
        <f t="shared" si="84"/>
        <v>0.24804789461026167</v>
      </c>
      <c r="AO87" s="140"/>
    </row>
    <row r="88" spans="1:41" ht="12.75" customHeight="1" outlineLevel="1">
      <c r="A88" s="105"/>
      <c r="B88" s="194" t="s">
        <v>409</v>
      </c>
      <c r="C88" s="105"/>
      <c r="D88" s="105"/>
      <c r="E88" s="105"/>
      <c r="F88" s="105"/>
      <c r="G88" s="105"/>
      <c r="H88" s="105"/>
      <c r="I88" s="105"/>
      <c r="J88" s="105">
        <f t="shared" ref="J88:AD88" si="85">J47/AVERAGE(J24,I24)</f>
        <v>1.9301913536498936</v>
      </c>
      <c r="K88" s="105">
        <f t="shared" si="85"/>
        <v>1.5873458445040212</v>
      </c>
      <c r="L88" s="105">
        <f t="shared" si="85"/>
        <v>1.7762331661466768</v>
      </c>
      <c r="M88" s="105">
        <f t="shared" si="85"/>
        <v>1.7899227140419554</v>
      </c>
      <c r="N88" s="105">
        <f t="shared" si="85"/>
        <v>1.1181007107213066</v>
      </c>
      <c r="O88" s="105">
        <f t="shared" si="85"/>
        <v>1.2670278637770898</v>
      </c>
      <c r="P88" s="105">
        <f t="shared" si="85"/>
        <v>1.0228717851380849</v>
      </c>
      <c r="Q88" s="105">
        <f t="shared" si="85"/>
        <v>0.82326042222391582</v>
      </c>
      <c r="R88" s="105">
        <f t="shared" si="85"/>
        <v>1.0823316764572979</v>
      </c>
      <c r="S88" s="140">
        <f t="shared" si="85"/>
        <v>1.4467404954903529</v>
      </c>
      <c r="T88" s="140">
        <f t="shared" si="85"/>
        <v>1.1083022120080437</v>
      </c>
      <c r="U88" s="140">
        <f t="shared" si="85"/>
        <v>0.83073677377474842</v>
      </c>
      <c r="V88" s="140">
        <f t="shared" si="85"/>
        <v>0.84359985657941916</v>
      </c>
      <c r="W88" s="140">
        <f t="shared" si="85"/>
        <v>0.77965051431404142</v>
      </c>
      <c r="X88" s="140">
        <f t="shared" si="85"/>
        <v>1.1440989635573386</v>
      </c>
      <c r="Y88" s="140">
        <f t="shared" si="85"/>
        <v>1.1581499202551835</v>
      </c>
      <c r="Z88" s="140">
        <f t="shared" si="85"/>
        <v>1.0421216848673946</v>
      </c>
      <c r="AA88" s="140">
        <f t="shared" si="85"/>
        <v>1.1053204113924051</v>
      </c>
      <c r="AB88" s="140">
        <f t="shared" si="85"/>
        <v>1.1915920175759633</v>
      </c>
      <c r="AC88" s="140">
        <f t="shared" si="85"/>
        <v>1.1508613152716018</v>
      </c>
      <c r="AD88" s="140">
        <f t="shared" si="85"/>
        <v>1.1669442837405839</v>
      </c>
      <c r="AE88" s="140">
        <f t="shared" ref="AE88:AN88" si="86">AE47/AVERAGE(AE24,AD24)</f>
        <v>1.119871259356654</v>
      </c>
      <c r="AF88" s="140">
        <f t="shared" si="86"/>
        <v>1.2752333981707737</v>
      </c>
      <c r="AG88" s="140">
        <f t="shared" si="86"/>
        <v>1.3356541833578979</v>
      </c>
      <c r="AH88" s="140">
        <f t="shared" si="86"/>
        <v>1.3258202550013209</v>
      </c>
      <c r="AI88" s="140">
        <f t="shared" si="86"/>
        <v>1.2620597817631007</v>
      </c>
      <c r="AJ88" s="140">
        <f t="shared" si="86"/>
        <v>1.3335869768946644</v>
      </c>
      <c r="AK88" s="140">
        <f t="shared" si="86"/>
        <v>1.540692116993396</v>
      </c>
      <c r="AL88" s="140">
        <f t="shared" si="86"/>
        <v>1.391396337494391</v>
      </c>
      <c r="AM88" s="140">
        <f t="shared" si="86"/>
        <v>1.3477216829234564</v>
      </c>
      <c r="AN88" s="140">
        <f t="shared" si="86"/>
        <v>1.4218223627952749</v>
      </c>
      <c r="AO88" s="140"/>
    </row>
    <row r="89" spans="1:41" ht="12.75" customHeight="1" outlineLevel="1">
      <c r="A89" s="105"/>
      <c r="B89" s="194" t="s">
        <v>410</v>
      </c>
      <c r="C89" s="105"/>
      <c r="D89" s="105"/>
      <c r="E89" s="105"/>
      <c r="F89" s="105"/>
      <c r="G89" s="105"/>
      <c r="H89" s="105"/>
      <c r="I89" s="105"/>
      <c r="J89" s="105">
        <f t="shared" ref="J89:AD89" si="87">J47/AVERAGE(J31,I31)</f>
        <v>1.5277673896783845</v>
      </c>
      <c r="K89" s="105">
        <f t="shared" si="87"/>
        <v>1.2810038944180007</v>
      </c>
      <c r="L89" s="105">
        <f t="shared" si="87"/>
        <v>0.60809604932262518</v>
      </c>
      <c r="M89" s="105">
        <f t="shared" si="87"/>
        <v>0.55320568002916015</v>
      </c>
      <c r="N89" s="105">
        <f t="shared" si="87"/>
        <v>0.45529556650246306</v>
      </c>
      <c r="O89" s="105">
        <f t="shared" si="87"/>
        <v>0.53490905130160116</v>
      </c>
      <c r="P89" s="105">
        <f t="shared" si="87"/>
        <v>0.45534431770173217</v>
      </c>
      <c r="Q89" s="105">
        <f t="shared" si="87"/>
        <v>0.34190036082800535</v>
      </c>
      <c r="R89" s="105">
        <f t="shared" si="87"/>
        <v>0.37063629611289922</v>
      </c>
      <c r="S89" s="140">
        <f t="shared" si="87"/>
        <v>0.38985970957420624</v>
      </c>
      <c r="T89" s="140">
        <f t="shared" si="87"/>
        <v>0.31706114398422092</v>
      </c>
      <c r="U89" s="140">
        <f t="shared" si="87"/>
        <v>0.20731410983314433</v>
      </c>
      <c r="V89" s="140">
        <f t="shared" si="87"/>
        <v>0.18076213890596191</v>
      </c>
      <c r="W89" s="140">
        <f t="shared" si="87"/>
        <v>0.15872935774029545</v>
      </c>
      <c r="X89" s="140">
        <f t="shared" si="87"/>
        <v>0.19608067843227137</v>
      </c>
      <c r="Y89" s="140">
        <f t="shared" si="87"/>
        <v>0.20933075042664084</v>
      </c>
      <c r="Z89" s="140">
        <f t="shared" si="87"/>
        <v>0.22695190916663013</v>
      </c>
      <c r="AA89" s="140">
        <f t="shared" si="87"/>
        <v>0.21816442848219864</v>
      </c>
      <c r="AB89" s="140">
        <f t="shared" si="87"/>
        <v>0.22492284405640739</v>
      </c>
      <c r="AC89" s="140">
        <f t="shared" si="87"/>
        <v>0.23646564816328125</v>
      </c>
      <c r="AD89" s="140">
        <f t="shared" si="87"/>
        <v>0.25759831465603078</v>
      </c>
      <c r="AE89" s="140">
        <f t="shared" ref="AE89:AN89" si="88">AE47/AVERAGE(AE31,AD31)</f>
        <v>0.27623024063298846</v>
      </c>
      <c r="AF89" s="140">
        <f t="shared" si="88"/>
        <v>0.31430929010518355</v>
      </c>
      <c r="AG89" s="140">
        <f t="shared" si="88"/>
        <v>0.33504695601461082</v>
      </c>
      <c r="AH89" s="140">
        <f t="shared" si="88"/>
        <v>0.34170024690641038</v>
      </c>
      <c r="AI89" s="140">
        <f t="shared" si="88"/>
        <v>0.36200837758363924</v>
      </c>
      <c r="AJ89" s="140">
        <f t="shared" si="88"/>
        <v>0.38592877830235223</v>
      </c>
      <c r="AK89" s="140">
        <f t="shared" si="88"/>
        <v>0.40875404770879536</v>
      </c>
      <c r="AL89" s="140">
        <f t="shared" si="88"/>
        <v>0.39339719398137329</v>
      </c>
      <c r="AM89" s="140">
        <f t="shared" si="88"/>
        <v>0.381228838611821</v>
      </c>
      <c r="AN89" s="140">
        <f t="shared" si="88"/>
        <v>0.38165539567052104</v>
      </c>
      <c r="AO89" s="140"/>
    </row>
    <row r="90" spans="1:41" ht="12.75" customHeight="1" outlineLevel="1">
      <c r="A90" s="105"/>
      <c r="B90" s="194" t="s">
        <v>411</v>
      </c>
      <c r="C90" s="105"/>
      <c r="D90" s="105"/>
      <c r="E90" s="105"/>
      <c r="F90" s="105"/>
      <c r="G90" s="105"/>
      <c r="H90" s="105"/>
      <c r="I90" s="105">
        <f t="shared" ref="I90:Z90" si="89">-I47/I48</f>
        <v>4.0318869165023017</v>
      </c>
      <c r="J90" s="105">
        <f t="shared" si="89"/>
        <v>3.7333790267306375</v>
      </c>
      <c r="K90" s="105">
        <f t="shared" si="89"/>
        <v>3.3503847894975096</v>
      </c>
      <c r="L90" s="105">
        <f t="shared" si="89"/>
        <v>3.4150341685649206</v>
      </c>
      <c r="M90" s="105">
        <f t="shared" si="89"/>
        <v>2.6286851415094339</v>
      </c>
      <c r="N90" s="105">
        <f t="shared" si="89"/>
        <v>2.7672155688622753</v>
      </c>
      <c r="O90" s="105">
        <f t="shared" si="89"/>
        <v>5.6643598615916959</v>
      </c>
      <c r="P90" s="105">
        <f t="shared" si="89"/>
        <v>4.4244663382594416</v>
      </c>
      <c r="Q90" s="105">
        <f t="shared" si="89"/>
        <v>4.262825572217837</v>
      </c>
      <c r="R90" s="105">
        <f t="shared" si="89"/>
        <v>8.9107142857142865</v>
      </c>
      <c r="S90" s="140">
        <f t="shared" si="89"/>
        <v>11.954716981132075</v>
      </c>
      <c r="T90" s="140">
        <f t="shared" si="89"/>
        <v>9.977586206896552</v>
      </c>
      <c r="U90" s="140">
        <f t="shared" si="89"/>
        <v>9.0282186948853624</v>
      </c>
      <c r="V90" s="140">
        <f t="shared" si="89"/>
        <v>8.5370101596516683</v>
      </c>
      <c r="W90" s="140">
        <f t="shared" si="89"/>
        <v>9.0779220779220786</v>
      </c>
      <c r="X90" s="140">
        <f t="shared" si="89"/>
        <v>11.915041782729805</v>
      </c>
      <c r="Y90" s="140">
        <f t="shared" si="89"/>
        <v>15.281144781144782</v>
      </c>
      <c r="Z90" s="140">
        <f t="shared" si="89"/>
        <v>14.029810298102982</v>
      </c>
      <c r="AA90" s="140">
        <f>-AA47/AA48</f>
        <v>17.116385911179172</v>
      </c>
      <c r="AB90" s="140">
        <f>-AB47/AB48</f>
        <v>18.07987426136528</v>
      </c>
      <c r="AC90" s="140">
        <f>-AC47/AC48</f>
        <v>18.328653071498547</v>
      </c>
      <c r="AD90" s="140">
        <f>-AD47/AD48</f>
        <v>18.405427698105491</v>
      </c>
      <c r="AE90" s="140">
        <f t="shared" ref="AE90:AN90" si="90">-AE47/AE48</f>
        <v>18.584793310423056</v>
      </c>
      <c r="AF90" s="140">
        <f t="shared" si="90"/>
        <v>18.691238689156503</v>
      </c>
      <c r="AG90" s="140">
        <f t="shared" si="90"/>
        <v>17.756616306310082</v>
      </c>
      <c r="AH90" s="140">
        <f t="shared" si="90"/>
        <v>17.015554157082406</v>
      </c>
      <c r="AI90" s="140">
        <f t="shared" si="90"/>
        <v>17.23040136015176</v>
      </c>
      <c r="AJ90" s="140">
        <f t="shared" si="90"/>
        <v>17.543505477786471</v>
      </c>
      <c r="AK90" s="140">
        <f t="shared" si="90"/>
        <v>10.568867855575563</v>
      </c>
      <c r="AL90" s="140">
        <f t="shared" si="90"/>
        <v>10.749366325748435</v>
      </c>
      <c r="AM90" s="140">
        <f t="shared" si="90"/>
        <v>8.8575019249268134</v>
      </c>
      <c r="AN90" s="140">
        <f t="shared" si="90"/>
        <v>5.3533941716028686</v>
      </c>
      <c r="AO90" s="140"/>
    </row>
    <row r="91" spans="1:41" ht="12.75" customHeight="1" outlineLevel="1">
      <c r="A91" s="105"/>
      <c r="B91" s="194" t="s">
        <v>412</v>
      </c>
      <c r="C91" s="105"/>
      <c r="D91" s="105"/>
      <c r="E91" s="105"/>
      <c r="F91" s="105"/>
      <c r="G91" s="105"/>
      <c r="H91" s="105"/>
      <c r="I91" s="105">
        <f t="shared" ref="I91:AD91" si="91">(+I28+I29+I23+I22-I3-I4)/(I37++I28+I29+I23+I22)</f>
        <v>-0.34190666872016018</v>
      </c>
      <c r="J91" s="105">
        <f t="shared" si="91"/>
        <v>-0.39781818181818179</v>
      </c>
      <c r="K91" s="105">
        <f t="shared" si="91"/>
        <v>-0.44836586890187857</v>
      </c>
      <c r="L91" s="105">
        <f t="shared" si="91"/>
        <v>-6.9596301371139868E-2</v>
      </c>
      <c r="M91" s="105">
        <f t="shared" si="91"/>
        <v>-9.0925274823089597E-2</v>
      </c>
      <c r="N91" s="105">
        <f t="shared" si="91"/>
        <v>-2.8128148297400766E-2</v>
      </c>
      <c r="O91" s="105">
        <f t="shared" si="91"/>
        <v>-5.3179285480170438E-2</v>
      </c>
      <c r="P91" s="105">
        <f t="shared" si="91"/>
        <v>9.7762367743780387E-2</v>
      </c>
      <c r="Q91" s="105">
        <f t="shared" si="91"/>
        <v>0.13860772567651311</v>
      </c>
      <c r="R91" s="105">
        <f t="shared" si="91"/>
        <v>-6.6144128055031911E-3</v>
      </c>
      <c r="S91" s="140">
        <f t="shared" si="91"/>
        <v>-8.5397378862570636E-2</v>
      </c>
      <c r="T91" s="140">
        <f t="shared" si="91"/>
        <v>-0.10882967887203131</v>
      </c>
      <c r="U91" s="140">
        <f t="shared" si="91"/>
        <v>1.9452752304916332E-2</v>
      </c>
      <c r="V91" s="140">
        <f t="shared" si="91"/>
        <v>5.4135866108052384E-2</v>
      </c>
      <c r="W91" s="140">
        <f t="shared" si="91"/>
        <v>0.23471156683387429</v>
      </c>
      <c r="X91" s="140">
        <f t="shared" si="91"/>
        <v>6.5300125679287696E-2</v>
      </c>
      <c r="Y91" s="140">
        <f t="shared" si="91"/>
        <v>2.9175539495967405E-3</v>
      </c>
      <c r="Z91" s="140">
        <f t="shared" si="91"/>
        <v>-5.4117355089885376E-2</v>
      </c>
      <c r="AA91" s="140">
        <f t="shared" si="91"/>
        <v>-0.10458379413366786</v>
      </c>
      <c r="AB91" s="140">
        <f t="shared" si="91"/>
        <v>-3.8272030770534812E-3</v>
      </c>
      <c r="AC91" s="140">
        <f t="shared" si="91"/>
        <v>-0.10756854755225001</v>
      </c>
      <c r="AD91" s="140">
        <f t="shared" si="91"/>
        <v>-0.18951708825282834</v>
      </c>
      <c r="AE91" s="140">
        <f t="shared" ref="AE91:AN91" si="92">(+AE28+AE29+AE23+AE22-AE3-AE4)/(AE37++AE28+AE29+AE23+AE22)</f>
        <v>-0.27099605730192361</v>
      </c>
      <c r="AF91" s="140">
        <f t="shared" si="92"/>
        <v>-0.36310129167890753</v>
      </c>
      <c r="AG91" s="140">
        <f t="shared" si="92"/>
        <v>-0.42312404232644751</v>
      </c>
      <c r="AH91" s="140">
        <f t="shared" si="92"/>
        <v>-0.46598674423485942</v>
      </c>
      <c r="AI91" s="140">
        <f t="shared" si="92"/>
        <v>-0.50391465988223316</v>
      </c>
      <c r="AJ91" s="140">
        <f t="shared" si="92"/>
        <v>-0.56264527182237112</v>
      </c>
      <c r="AK91" s="140">
        <f t="shared" si="92"/>
        <v>-0.60223283065999855</v>
      </c>
      <c r="AL91" s="140">
        <f t="shared" si="92"/>
        <v>-0.63082928720976161</v>
      </c>
      <c r="AM91" s="140">
        <f t="shared" si="92"/>
        <v>-0.65825942513822255</v>
      </c>
      <c r="AN91" s="140">
        <f t="shared" si="92"/>
        <v>-0.65691175849702632</v>
      </c>
      <c r="AO91" s="140"/>
    </row>
    <row r="92" spans="1:41" ht="12.75" customHeight="1">
      <c r="A92" s="102"/>
      <c r="B92" s="155"/>
      <c r="C92" s="102"/>
      <c r="D92" s="102"/>
      <c r="E92" s="102"/>
      <c r="F92" s="102"/>
      <c r="G92" s="102"/>
      <c r="H92" s="102"/>
      <c r="I92" s="102"/>
      <c r="J92" s="102"/>
      <c r="K92" s="102"/>
      <c r="L92" s="102"/>
      <c r="M92" s="102"/>
      <c r="N92" s="102"/>
      <c r="O92" s="102"/>
      <c r="P92" s="102"/>
      <c r="Q92" s="102"/>
      <c r="R92" s="102"/>
      <c r="S92" s="127"/>
      <c r="T92" s="127"/>
      <c r="U92" s="127"/>
      <c r="V92" s="127"/>
      <c r="W92" s="127"/>
      <c r="X92" s="127"/>
      <c r="Y92" s="127"/>
      <c r="Z92" s="127"/>
      <c r="AA92" s="127"/>
      <c r="AB92" s="127"/>
    </row>
    <row r="93" spans="1:41" ht="12.75" customHeight="1">
      <c r="A93" s="176"/>
      <c r="B93" s="114" t="s">
        <v>413</v>
      </c>
      <c r="C93" s="123"/>
      <c r="D93" s="123"/>
      <c r="E93" s="123"/>
      <c r="F93" s="123"/>
      <c r="G93" s="123"/>
      <c r="H93" s="123"/>
      <c r="I93" s="126"/>
      <c r="J93" s="126"/>
      <c r="K93" s="126"/>
      <c r="L93" s="126"/>
      <c r="M93" s="126"/>
      <c r="N93" s="126"/>
      <c r="O93" s="126"/>
      <c r="P93" s="126"/>
      <c r="Q93" s="126"/>
      <c r="R93" s="126"/>
      <c r="S93" s="126"/>
      <c r="T93" s="126"/>
      <c r="U93" s="126"/>
      <c r="V93" s="126"/>
      <c r="W93" s="126"/>
      <c r="X93" s="126"/>
      <c r="Y93" s="126"/>
      <c r="Z93" s="126"/>
      <c r="AA93" s="512"/>
    </row>
    <row r="94" spans="1:41" ht="12.75" customHeight="1" outlineLevel="1">
      <c r="B94" s="114" t="s">
        <v>414</v>
      </c>
      <c r="C94" s="123"/>
      <c r="D94" s="123"/>
      <c r="E94" s="123"/>
      <c r="F94" s="123"/>
      <c r="G94" s="123"/>
      <c r="H94" s="123"/>
      <c r="I94" s="163"/>
      <c r="J94" s="163"/>
      <c r="K94" s="163"/>
      <c r="L94" s="163"/>
      <c r="M94" s="163"/>
      <c r="N94" s="163"/>
      <c r="O94" s="163"/>
      <c r="P94" s="163"/>
      <c r="Q94" s="163"/>
      <c r="R94" s="163"/>
      <c r="S94" s="163"/>
      <c r="T94" s="163"/>
      <c r="U94" s="126"/>
      <c r="V94" s="126"/>
      <c r="W94" s="126"/>
      <c r="X94" s="126"/>
      <c r="Y94" s="126"/>
      <c r="Z94" s="126"/>
    </row>
    <row r="95" spans="1:41" ht="12.75" customHeight="1" outlineLevel="1">
      <c r="A95" s="102"/>
      <c r="B95" s="128" t="s">
        <v>415</v>
      </c>
      <c r="C95" s="102"/>
      <c r="D95" s="102"/>
      <c r="E95" s="102"/>
      <c r="F95" s="102"/>
      <c r="G95" s="102"/>
      <c r="H95" s="102"/>
      <c r="I95" s="127">
        <v>1450.2</v>
      </c>
      <c r="J95" s="127">
        <f t="shared" ref="J95:Z95" si="93">+I100</f>
        <v>1553.6</v>
      </c>
      <c r="K95" s="127">
        <f t="shared" si="93"/>
        <v>1781.5</v>
      </c>
      <c r="L95" s="127">
        <f t="shared" si="93"/>
        <v>1946.1</v>
      </c>
      <c r="M95" s="127">
        <f t="shared" si="93"/>
        <v>2813.5</v>
      </c>
      <c r="N95" s="127">
        <f t="shared" si="93"/>
        <v>3799</v>
      </c>
      <c r="O95" s="127">
        <f t="shared" si="93"/>
        <v>4712</v>
      </c>
      <c r="P95" s="127">
        <f t="shared" si="93"/>
        <v>5038</v>
      </c>
      <c r="Q95" s="127">
        <f t="shared" si="93"/>
        <v>5921</v>
      </c>
      <c r="R95" s="127">
        <f t="shared" si="93"/>
        <v>5941</v>
      </c>
      <c r="S95" s="127">
        <f t="shared" si="93"/>
        <v>5879</v>
      </c>
      <c r="T95" s="127">
        <f t="shared" si="93"/>
        <v>5738</v>
      </c>
      <c r="U95" s="127">
        <f t="shared" si="93"/>
        <v>5522</v>
      </c>
      <c r="V95" s="127">
        <f>+U100</f>
        <v>5420</v>
      </c>
      <c r="W95" s="127">
        <f t="shared" si="93"/>
        <v>5326</v>
      </c>
      <c r="X95" s="127">
        <f t="shared" si="93"/>
        <v>5349</v>
      </c>
      <c r="Y95" s="127">
        <f>+X100</f>
        <v>5223</v>
      </c>
      <c r="Z95" s="127">
        <f t="shared" si="93"/>
        <v>4907</v>
      </c>
      <c r="AA95" s="127">
        <f>+Z100</f>
        <v>4961</v>
      </c>
      <c r="AB95" s="127">
        <f>+AA100</f>
        <v>4989</v>
      </c>
      <c r="AC95" s="127">
        <f>+AB100</f>
        <v>4779.9549822033305</v>
      </c>
      <c r="AD95" s="127">
        <f>+AC100</f>
        <v>4524.5817780708439</v>
      </c>
      <c r="AE95" s="127">
        <f t="shared" ref="AE95:AN95" si="94">+AD100</f>
        <v>4234.0671243449688</v>
      </c>
      <c r="AF95" s="127">
        <f t="shared" si="94"/>
        <v>3896.7945998574423</v>
      </c>
      <c r="AG95" s="127">
        <f>+AF100</f>
        <v>3540.2562779084014</v>
      </c>
      <c r="AH95" s="127">
        <f t="shared" si="94"/>
        <v>3172.284465562173</v>
      </c>
      <c r="AI95" s="127">
        <f t="shared" si="94"/>
        <v>2778.1277031777113</v>
      </c>
      <c r="AJ95" s="127">
        <f t="shared" si="94"/>
        <v>2346.3390574227542</v>
      </c>
      <c r="AK95" s="127">
        <f t="shared" si="94"/>
        <v>1861.311465874285</v>
      </c>
      <c r="AL95" s="127">
        <f t="shared" si="94"/>
        <v>1804.246113082997</v>
      </c>
      <c r="AM95" s="127">
        <f t="shared" si="94"/>
        <v>1580.5882559184288</v>
      </c>
      <c r="AN95" s="127">
        <f t="shared" si="94"/>
        <v>1448.4841712465263</v>
      </c>
      <c r="AO95" s="127"/>
    </row>
    <row r="96" spans="1:41" ht="12.75" customHeight="1" outlineLevel="1">
      <c r="A96" s="102"/>
      <c r="B96" s="128" t="s">
        <v>416</v>
      </c>
      <c r="C96" s="102"/>
      <c r="D96" s="102"/>
      <c r="E96" s="102"/>
      <c r="F96" s="102"/>
      <c r="G96" s="102"/>
      <c r="H96" s="102"/>
      <c r="I96" s="127">
        <f>-CF!I26</f>
        <v>304.2</v>
      </c>
      <c r="J96" s="127">
        <f>-CF!J26</f>
        <v>437.7</v>
      </c>
      <c r="K96" s="127">
        <f>-CF!K26</f>
        <v>441.8</v>
      </c>
      <c r="L96" s="127">
        <f>-CF!L26</f>
        <v>658.5</v>
      </c>
      <c r="M96" s="127">
        <f>-CF!M26</f>
        <v>1356.8</v>
      </c>
      <c r="N96" s="127">
        <f>-CF!N26</f>
        <v>1336</v>
      </c>
      <c r="O96" s="127">
        <f>-CF!O26</f>
        <v>867</v>
      </c>
      <c r="P96" s="127">
        <f>-CF!P26</f>
        <v>1218</v>
      </c>
      <c r="Q96" s="127">
        <f>-CF!Q26</f>
        <v>1267</v>
      </c>
      <c r="R96" s="127">
        <f>-CF!R26</f>
        <v>672</v>
      </c>
      <c r="S96" s="127">
        <f>-CF!S26</f>
        <v>530</v>
      </c>
      <c r="T96" s="127">
        <f>-CF!T26</f>
        <v>580</v>
      </c>
      <c r="U96" s="127">
        <f>-CF!U26</f>
        <v>567</v>
      </c>
      <c r="V96" s="127">
        <f>-CF!V26</f>
        <v>689</v>
      </c>
      <c r="W96" s="127">
        <f>-CF!W26</f>
        <v>693</v>
      </c>
      <c r="X96" s="127">
        <f>-CF!X26</f>
        <v>718</v>
      </c>
      <c r="Y96" s="554">
        <f>-CF!Y26</f>
        <v>594</v>
      </c>
      <c r="Z96" s="127">
        <f>-CF!Z26</f>
        <v>738</v>
      </c>
      <c r="AA96" s="127">
        <f>-CF!AA26</f>
        <v>653</v>
      </c>
      <c r="AB96" s="127">
        <f t="shared" ref="AB96:AN96" si="95">AB97*AB42</f>
        <v>678.99419887656029</v>
      </c>
      <c r="AC96" s="127">
        <f t="shared" si="95"/>
        <v>674.45194481190083</v>
      </c>
      <c r="AD96" s="127">
        <f t="shared" si="95"/>
        <v>681.79799987495994</v>
      </c>
      <c r="AE96" s="127">
        <f t="shared" si="95"/>
        <v>677.43444300047122</v>
      </c>
      <c r="AF96" s="127">
        <f t="shared" si="95"/>
        <v>702.41270933601356</v>
      </c>
      <c r="AG96" s="127">
        <f t="shared" si="95"/>
        <v>737.75142727577929</v>
      </c>
      <c r="AH96" s="127">
        <f t="shared" si="95"/>
        <v>759.98143403498671</v>
      </c>
      <c r="AI96" s="127">
        <f t="shared" si="95"/>
        <v>771.69547500230112</v>
      </c>
      <c r="AJ96" s="127">
        <f t="shared" si="95"/>
        <v>767.67441206135823</v>
      </c>
      <c r="AK96" s="127">
        <f t="shared" si="95"/>
        <v>1279.0788574492954</v>
      </c>
      <c r="AL96" s="127">
        <f t="shared" si="95"/>
        <v>1190.1199468108191</v>
      </c>
      <c r="AM96" s="127">
        <f t="shared" si="95"/>
        <v>1371.5141060582921</v>
      </c>
      <c r="AN96" s="127">
        <f t="shared" si="95"/>
        <v>2226.9408571665867</v>
      </c>
      <c r="AO96" s="127"/>
    </row>
    <row r="97" spans="1:41" ht="12.75" customHeight="1" outlineLevel="1">
      <c r="A97" s="172"/>
      <c r="B97" s="177" t="s">
        <v>388</v>
      </c>
      <c r="C97" s="172"/>
      <c r="D97" s="172"/>
      <c r="E97" s="172"/>
      <c r="F97" s="172"/>
      <c r="G97" s="172"/>
      <c r="H97" s="172"/>
      <c r="I97" s="172">
        <f t="shared" ref="I97:X97" si="96">I96/I42</f>
        <v>9.1077844311377248E-2</v>
      </c>
      <c r="J97" s="172">
        <f t="shared" si="96"/>
        <v>0.12061173877101129</v>
      </c>
      <c r="K97" s="172">
        <f t="shared" si="96"/>
        <v>0.11000996015936255</v>
      </c>
      <c r="L97" s="172">
        <f t="shared" si="96"/>
        <v>0.11922868006518196</v>
      </c>
      <c r="M97" s="172">
        <f t="shared" si="96"/>
        <v>0.16237434179033031</v>
      </c>
      <c r="N97" s="172">
        <f t="shared" si="96"/>
        <v>0.1266350710900474</v>
      </c>
      <c r="O97" s="172">
        <f t="shared" si="96"/>
        <v>6.9750603378921958E-2</v>
      </c>
      <c r="P97" s="172">
        <f t="shared" si="96"/>
        <v>8.5365853658536592E-2</v>
      </c>
      <c r="Q97" s="172">
        <f t="shared" si="96"/>
        <v>8.5776183061404096E-2</v>
      </c>
      <c r="R97" s="172">
        <f t="shared" si="96"/>
        <v>4.4791041791641673E-2</v>
      </c>
      <c r="S97" s="514">
        <f t="shared" si="96"/>
        <v>3.6197240814096435E-2</v>
      </c>
      <c r="T97" s="514">
        <f t="shared" si="96"/>
        <v>3.8530525476649174E-2</v>
      </c>
      <c r="U97" s="514">
        <f t="shared" si="96"/>
        <v>3.638814016172507E-2</v>
      </c>
      <c r="V97" s="514">
        <f t="shared" si="96"/>
        <v>3.9907326962061972E-2</v>
      </c>
      <c r="W97" s="514">
        <f t="shared" si="96"/>
        <v>3.7106446776611693E-2</v>
      </c>
      <c r="X97" s="514">
        <f t="shared" si="96"/>
        <v>3.5787270099187557E-2</v>
      </c>
      <c r="Y97" s="514">
        <f>Y96/Y42</f>
        <v>2.7421290739543903E-2</v>
      </c>
      <c r="Z97" s="514">
        <f>Z96/Z42</f>
        <v>3.2099517202383542E-2</v>
      </c>
      <c r="AA97" s="514">
        <f>AA96/AA42</f>
        <v>2.8578931244255767E-2</v>
      </c>
      <c r="AB97" s="514">
        <v>0.03</v>
      </c>
      <c r="AC97" s="514">
        <v>0.03</v>
      </c>
      <c r="AD97" s="514">
        <v>0.03</v>
      </c>
      <c r="AE97" s="514">
        <v>0.03</v>
      </c>
      <c r="AF97" s="514">
        <v>0.03</v>
      </c>
      <c r="AG97" s="514">
        <v>0.03</v>
      </c>
      <c r="AH97" s="514">
        <v>0.03</v>
      </c>
      <c r="AI97" s="749">
        <v>0.03</v>
      </c>
      <c r="AJ97" s="749">
        <v>0.03</v>
      </c>
      <c r="AK97" s="749">
        <v>0.05</v>
      </c>
      <c r="AL97" s="749">
        <v>0.05</v>
      </c>
      <c r="AM97" s="749">
        <v>0.06</v>
      </c>
      <c r="AN97" s="749">
        <v>0.1</v>
      </c>
      <c r="AO97" s="514"/>
    </row>
    <row r="98" spans="1:41" ht="12.75" customHeight="1" outlineLevel="1">
      <c r="A98" s="102"/>
      <c r="B98" s="128" t="s">
        <v>417</v>
      </c>
      <c r="C98" s="102"/>
      <c r="D98" s="102"/>
      <c r="E98" s="102"/>
      <c r="F98" s="102"/>
      <c r="G98" s="102"/>
      <c r="H98" s="102"/>
      <c r="I98" s="102">
        <f>-CF!I6</f>
        <v>-176.8</v>
      </c>
      <c r="J98" s="102">
        <f>-CF!J6</f>
        <v>-211.8</v>
      </c>
      <c r="K98" s="102">
        <f>-CF!K6</f>
        <v>-265.89999999999998</v>
      </c>
      <c r="L98" s="102">
        <f>-CF!L6</f>
        <v>-292.10000000000002</v>
      </c>
      <c r="M98" s="102">
        <f>-CF!M6</f>
        <v>-350.5</v>
      </c>
      <c r="N98" s="102">
        <f>-CF!N6</f>
        <v>-401</v>
      </c>
      <c r="O98" s="102">
        <f>-CF!O6</f>
        <v>-494</v>
      </c>
      <c r="P98" s="102">
        <f>-CF!P6</f>
        <v>-593</v>
      </c>
      <c r="Q98" s="102">
        <f>-CF!Q6</f>
        <v>-786</v>
      </c>
      <c r="R98" s="102">
        <f>-CF!R6</f>
        <v>-648</v>
      </c>
      <c r="S98" s="127">
        <f>-CF!S6</f>
        <v>-624</v>
      </c>
      <c r="T98" s="127">
        <f>-CF!T6</f>
        <v>-594</v>
      </c>
      <c r="U98" s="127">
        <f>-CF!U6</f>
        <v>-679</v>
      </c>
      <c r="V98" s="127">
        <f>-CF!V6</f>
        <v>-689</v>
      </c>
      <c r="W98" s="127">
        <f>-CF!W6</f>
        <v>-644</v>
      </c>
      <c r="X98" s="127">
        <f>-CF!X6</f>
        <v>-716</v>
      </c>
      <c r="Y98" s="127">
        <f>-CF!Y6</f>
        <v>-761</v>
      </c>
      <c r="Z98" s="127">
        <f t="shared" ref="Z98:AN98" si="97">-Z136</f>
        <v>-640</v>
      </c>
      <c r="AA98" s="127">
        <f>-AA136</f>
        <v>-578</v>
      </c>
      <c r="AB98" s="127">
        <f t="shared" si="97"/>
        <v>-888.03921667323016</v>
      </c>
      <c r="AC98" s="127">
        <f t="shared" si="97"/>
        <v>-929.82514894438725</v>
      </c>
      <c r="AD98" s="127">
        <f t="shared" si="97"/>
        <v>-972.31265360083478</v>
      </c>
      <c r="AE98" s="127">
        <f t="shared" si="97"/>
        <v>-1014.7069674879979</v>
      </c>
      <c r="AF98" s="127">
        <f t="shared" si="97"/>
        <v>-1058.9510312850548</v>
      </c>
      <c r="AG98" s="127">
        <f t="shared" si="97"/>
        <v>-1105.7232396220081</v>
      </c>
      <c r="AH98" s="127">
        <f t="shared" si="97"/>
        <v>-1154.1381964194484</v>
      </c>
      <c r="AI98" s="127">
        <f t="shared" si="97"/>
        <v>-1203.4841207572581</v>
      </c>
      <c r="AJ98" s="127">
        <f t="shared" si="97"/>
        <v>-1252.7020036098277</v>
      </c>
      <c r="AK98" s="127">
        <f t="shared" si="97"/>
        <v>-1336.1442102405836</v>
      </c>
      <c r="AL98" s="127">
        <f t="shared" si="97"/>
        <v>-1413.7778039753871</v>
      </c>
      <c r="AM98" s="127">
        <f t="shared" si="97"/>
        <v>-1503.6181907301948</v>
      </c>
      <c r="AN98" s="127">
        <f t="shared" si="97"/>
        <v>-1650.5932866910493</v>
      </c>
      <c r="AO98" s="127"/>
    </row>
    <row r="99" spans="1:41" ht="12.75" customHeight="1" outlineLevel="1">
      <c r="A99" s="102"/>
      <c r="B99" s="128" t="s">
        <v>418</v>
      </c>
      <c r="C99" s="102"/>
      <c r="D99" s="102"/>
      <c r="E99" s="102"/>
      <c r="F99" s="102"/>
      <c r="G99" s="102"/>
      <c r="H99" s="102"/>
      <c r="I99" s="102">
        <f t="shared" ref="I99:W99" si="98">+I100-I95-I96-I98</f>
        <v>-24.000000000000114</v>
      </c>
      <c r="J99" s="102">
        <f t="shared" si="98"/>
        <v>2.0000000000001137</v>
      </c>
      <c r="K99" s="102">
        <f t="shared" si="98"/>
        <v>-11.300000000000125</v>
      </c>
      <c r="L99" s="102">
        <f t="shared" si="98"/>
        <v>501.00000000000011</v>
      </c>
      <c r="M99" s="102">
        <f t="shared" si="98"/>
        <v>-20.799999999999955</v>
      </c>
      <c r="N99" s="102">
        <f t="shared" si="98"/>
        <v>-22</v>
      </c>
      <c r="O99" s="102">
        <f t="shared" si="98"/>
        <v>-47</v>
      </c>
      <c r="P99" s="102">
        <f t="shared" si="98"/>
        <v>258</v>
      </c>
      <c r="Q99" s="102">
        <f t="shared" si="98"/>
        <v>-461</v>
      </c>
      <c r="R99" s="102">
        <f t="shared" si="98"/>
        <v>-86</v>
      </c>
      <c r="S99" s="127">
        <f t="shared" si="98"/>
        <v>-47</v>
      </c>
      <c r="T99" s="127">
        <f t="shared" si="98"/>
        <v>-202</v>
      </c>
      <c r="U99" s="127">
        <f t="shared" si="98"/>
        <v>10</v>
      </c>
      <c r="V99" s="127">
        <f t="shared" si="98"/>
        <v>-94</v>
      </c>
      <c r="W99" s="127">
        <f t="shared" si="98"/>
        <v>-26</v>
      </c>
      <c r="X99" s="127">
        <f>+X100-X95-X96-X98</f>
        <v>-128</v>
      </c>
      <c r="Y99" s="554">
        <f>+Y100-Y95-Y96-Y98</f>
        <v>-149</v>
      </c>
      <c r="Z99" s="127">
        <f>+Z100-Z95-Z96-Z98</f>
        <v>-44</v>
      </c>
      <c r="AA99" s="127">
        <f>+AA100-AA95-AA96-AA98</f>
        <v>-47</v>
      </c>
      <c r="AB99" s="127">
        <v>0</v>
      </c>
      <c r="AC99" s="127">
        <v>0</v>
      </c>
      <c r="AD99" s="127">
        <v>0</v>
      </c>
      <c r="AE99" s="127">
        <v>0</v>
      </c>
      <c r="AF99" s="127">
        <v>0</v>
      </c>
      <c r="AG99" s="127">
        <v>0</v>
      </c>
      <c r="AH99" s="127">
        <v>0</v>
      </c>
      <c r="AI99" s="127">
        <v>0</v>
      </c>
      <c r="AJ99" s="127">
        <v>0</v>
      </c>
      <c r="AK99" s="127">
        <v>0</v>
      </c>
      <c r="AL99" s="127">
        <v>0</v>
      </c>
      <c r="AM99" s="127">
        <v>0</v>
      </c>
      <c r="AN99" s="127">
        <v>0</v>
      </c>
      <c r="AO99" s="127"/>
    </row>
    <row r="100" spans="1:41" ht="12.75" customHeight="1" outlineLevel="1">
      <c r="A100" s="129"/>
      <c r="B100" s="178" t="s">
        <v>419</v>
      </c>
      <c r="C100" s="129"/>
      <c r="D100" s="129"/>
      <c r="E100" s="129"/>
      <c r="F100" s="129"/>
      <c r="G100" s="129"/>
      <c r="H100" s="129"/>
      <c r="I100" s="129">
        <f t="shared" ref="I100:AA100" si="99">+I11</f>
        <v>1553.6</v>
      </c>
      <c r="J100" s="129">
        <f t="shared" si="99"/>
        <v>1781.5</v>
      </c>
      <c r="K100" s="129">
        <f t="shared" si="99"/>
        <v>1946.1</v>
      </c>
      <c r="L100" s="129">
        <f t="shared" si="99"/>
        <v>2813.5</v>
      </c>
      <c r="M100" s="129">
        <f t="shared" si="99"/>
        <v>3799</v>
      </c>
      <c r="N100" s="129">
        <f t="shared" si="99"/>
        <v>4712</v>
      </c>
      <c r="O100" s="129">
        <f t="shared" si="99"/>
        <v>5038</v>
      </c>
      <c r="P100" s="129">
        <f t="shared" si="99"/>
        <v>5921</v>
      </c>
      <c r="Q100" s="129">
        <f t="shared" si="99"/>
        <v>5941</v>
      </c>
      <c r="R100" s="129">
        <f t="shared" si="99"/>
        <v>5879</v>
      </c>
      <c r="S100" s="130">
        <f t="shared" si="99"/>
        <v>5738</v>
      </c>
      <c r="T100" s="130">
        <f t="shared" si="99"/>
        <v>5522</v>
      </c>
      <c r="U100" s="130">
        <f t="shared" si="99"/>
        <v>5420</v>
      </c>
      <c r="V100" s="130">
        <f t="shared" si="99"/>
        <v>5326</v>
      </c>
      <c r="W100" s="130">
        <f t="shared" si="99"/>
        <v>5349</v>
      </c>
      <c r="X100" s="130">
        <f t="shared" si="99"/>
        <v>5223</v>
      </c>
      <c r="Y100" s="130">
        <f t="shared" si="99"/>
        <v>4907</v>
      </c>
      <c r="Z100" s="130">
        <f t="shared" si="99"/>
        <v>4961</v>
      </c>
      <c r="AA100" s="130">
        <f t="shared" si="99"/>
        <v>4989</v>
      </c>
      <c r="AB100" s="130">
        <f t="shared" ref="AB100:AN100" si="100">AB95+AB96+AB98+AB99</f>
        <v>4779.9549822033305</v>
      </c>
      <c r="AC100" s="130">
        <f t="shared" si="100"/>
        <v>4524.5817780708439</v>
      </c>
      <c r="AD100" s="130">
        <f t="shared" si="100"/>
        <v>4234.0671243449688</v>
      </c>
      <c r="AE100" s="130">
        <f t="shared" si="100"/>
        <v>3896.7945998574423</v>
      </c>
      <c r="AF100" s="130">
        <f t="shared" si="100"/>
        <v>3540.2562779084014</v>
      </c>
      <c r="AG100" s="130">
        <f t="shared" si="100"/>
        <v>3172.284465562173</v>
      </c>
      <c r="AH100" s="130">
        <f t="shared" si="100"/>
        <v>2778.1277031777113</v>
      </c>
      <c r="AI100" s="130">
        <f t="shared" si="100"/>
        <v>2346.3390574227542</v>
      </c>
      <c r="AJ100" s="130">
        <f t="shared" si="100"/>
        <v>1861.311465874285</v>
      </c>
      <c r="AK100" s="130">
        <f t="shared" si="100"/>
        <v>1804.246113082997</v>
      </c>
      <c r="AL100" s="130">
        <f t="shared" si="100"/>
        <v>1580.5882559184288</v>
      </c>
      <c r="AM100" s="130">
        <f t="shared" si="100"/>
        <v>1448.4841712465263</v>
      </c>
      <c r="AN100" s="130">
        <f t="shared" si="100"/>
        <v>2024.8317417220637</v>
      </c>
      <c r="AO100" s="130"/>
    </row>
    <row r="101" spans="1:41" ht="12.75" customHeight="1" outlineLevel="1">
      <c r="A101" s="105"/>
      <c r="B101" s="105" t="s">
        <v>539</v>
      </c>
      <c r="C101" s="105"/>
      <c r="D101" s="105"/>
      <c r="E101" s="105"/>
      <c r="F101" s="105"/>
      <c r="G101" s="105"/>
      <c r="H101" s="105"/>
      <c r="I101" s="105"/>
      <c r="J101" s="105">
        <f t="shared" ref="J101:AC101" si="101">J42/AVERAGE(J95,K95)</f>
        <v>2.176246589307667</v>
      </c>
      <c r="K101" s="105">
        <f t="shared" si="101"/>
        <v>2.1547376327932182</v>
      </c>
      <c r="L101" s="105">
        <f t="shared" si="101"/>
        <v>2.3207832590974031</v>
      </c>
      <c r="M101" s="105">
        <f t="shared" si="101"/>
        <v>2.5273345935727787</v>
      </c>
      <c r="N101" s="105">
        <f t="shared" si="101"/>
        <v>2.479144636352955</v>
      </c>
      <c r="O101" s="105">
        <f t="shared" si="101"/>
        <v>2.5497435897435898</v>
      </c>
      <c r="P101" s="105">
        <f t="shared" si="101"/>
        <v>2.6038872159868602</v>
      </c>
      <c r="Q101" s="105">
        <f t="shared" si="101"/>
        <v>2.490473781824313</v>
      </c>
      <c r="R101" s="105">
        <f t="shared" si="101"/>
        <v>2.5385786802030457</v>
      </c>
      <c r="S101" s="140">
        <f t="shared" si="101"/>
        <v>2.5207884996126366</v>
      </c>
      <c r="T101" s="140">
        <f t="shared" si="101"/>
        <v>2.6737122557726467</v>
      </c>
      <c r="U101" s="140">
        <f t="shared" si="101"/>
        <v>2.8481082069091572</v>
      </c>
      <c r="V101" s="140">
        <f t="shared" si="101"/>
        <v>3.2132886655499719</v>
      </c>
      <c r="W101" s="140">
        <f t="shared" si="101"/>
        <v>3.4990163934426231</v>
      </c>
      <c r="X101" s="140">
        <f t="shared" si="101"/>
        <v>3.7954975406734772</v>
      </c>
      <c r="Y101" s="140">
        <f t="shared" si="101"/>
        <v>4.2768015794669303</v>
      </c>
      <c r="Z101" s="140">
        <f t="shared" si="101"/>
        <v>4.6597081475476285</v>
      </c>
      <c r="AA101" s="140">
        <f t="shared" si="101"/>
        <v>4.5927638190954774</v>
      </c>
      <c r="AB101" s="140">
        <f t="shared" si="101"/>
        <v>4.6336870225697853</v>
      </c>
      <c r="AC101" s="140">
        <f t="shared" si="101"/>
        <v>4.8324235957057065</v>
      </c>
      <c r="AD101" s="140">
        <f>AD42/AVERAGE(AD95,AE95)</f>
        <v>5.1895218655387687</v>
      </c>
      <c r="AE101" s="140">
        <f t="shared" ref="AE101:AM101" si="102">AE42/AVERAGE(AE95,AF95)</f>
        <v>5.5544292514040468</v>
      </c>
      <c r="AF101" s="140">
        <f t="shared" si="102"/>
        <v>6.2965165527819602</v>
      </c>
      <c r="AG101" s="140">
        <f t="shared" si="102"/>
        <v>7.3270957100548975</v>
      </c>
      <c r="AH101" s="140">
        <f t="shared" si="102"/>
        <v>8.5146083160143817</v>
      </c>
      <c r="AI101" s="140">
        <f t="shared" si="102"/>
        <v>10.039359684347941</v>
      </c>
      <c r="AJ101" s="140">
        <f t="shared" si="102"/>
        <v>12.163152299379059</v>
      </c>
      <c r="AK101" s="140">
        <f t="shared" si="102"/>
        <v>13.957809472611222</v>
      </c>
      <c r="AL101" s="140">
        <f t="shared" si="102"/>
        <v>14.064143967693418</v>
      </c>
      <c r="AM101" s="140">
        <f t="shared" si="102"/>
        <v>15.092784331802347</v>
      </c>
      <c r="AN101" s="140">
        <f>AN42/AVERAGE(AN95,AP95)</f>
        <v>15.374285072443294</v>
      </c>
      <c r="AO101" s="140"/>
    </row>
    <row r="102" spans="1:41" ht="12.75" customHeight="1" outlineLevel="1">
      <c r="H102" s="119"/>
      <c r="O102" s="171"/>
      <c r="P102" s="171"/>
      <c r="Q102" s="171"/>
      <c r="R102" s="171"/>
      <c r="S102" s="513"/>
      <c r="T102" s="513"/>
      <c r="U102" s="513"/>
      <c r="V102" s="513"/>
      <c r="W102" s="513"/>
      <c r="X102" s="513"/>
      <c r="Y102" s="513"/>
      <c r="Z102" s="513"/>
      <c r="AA102" s="513"/>
    </row>
    <row r="103" spans="1:41" ht="12.75" customHeight="1" outlineLevel="1">
      <c r="B103" s="114" t="s">
        <v>420</v>
      </c>
      <c r="C103" s="123"/>
      <c r="D103" s="123"/>
      <c r="E103" s="123"/>
      <c r="F103" s="123"/>
      <c r="G103" s="123"/>
      <c r="H103" s="123"/>
      <c r="I103" s="126"/>
      <c r="J103" s="126"/>
      <c r="K103" s="126"/>
      <c r="L103" s="126"/>
      <c r="M103" s="126"/>
      <c r="N103" s="126"/>
      <c r="O103" s="126"/>
      <c r="P103" s="126"/>
      <c r="Q103" s="126"/>
      <c r="R103" s="126"/>
      <c r="S103" s="126"/>
      <c r="T103" s="126"/>
      <c r="U103" s="126"/>
      <c r="V103" s="126"/>
      <c r="W103" s="126"/>
      <c r="X103" s="126"/>
      <c r="Y103" s="126"/>
      <c r="Z103" s="126"/>
      <c r="AO103" s="709">
        <v>15</v>
      </c>
    </row>
    <row r="104" spans="1:41" ht="12.75" customHeight="1" outlineLevel="1">
      <c r="A104" s="128"/>
      <c r="B104" s="128" t="s">
        <v>421</v>
      </c>
      <c r="C104" s="102"/>
      <c r="D104" s="102"/>
      <c r="E104" s="102"/>
      <c r="F104" s="102"/>
      <c r="G104" s="102"/>
      <c r="H104" s="102"/>
      <c r="I104" s="102">
        <f>+I136</f>
        <v>176.8</v>
      </c>
      <c r="J104" s="102">
        <f t="shared" ref="J104:AD104" si="103">+(I104-(I104*(1/$AO$103)))</f>
        <v>165.01333333333335</v>
      </c>
      <c r="K104" s="102">
        <f t="shared" si="103"/>
        <v>154.01244444444447</v>
      </c>
      <c r="L104" s="102">
        <f t="shared" si="103"/>
        <v>143.74494814814818</v>
      </c>
      <c r="M104" s="102">
        <f t="shared" si="103"/>
        <v>134.16195160493831</v>
      </c>
      <c r="N104" s="102">
        <f t="shared" si="103"/>
        <v>125.21782149794242</v>
      </c>
      <c r="O104" s="102">
        <f t="shared" si="103"/>
        <v>116.86996673141293</v>
      </c>
      <c r="P104" s="102">
        <f t="shared" si="103"/>
        <v>109.07863561598541</v>
      </c>
      <c r="Q104" s="102">
        <f t="shared" si="103"/>
        <v>101.80672657491971</v>
      </c>
      <c r="R104" s="102">
        <f t="shared" si="103"/>
        <v>95.019611469925067</v>
      </c>
      <c r="S104" s="127">
        <f t="shared" si="103"/>
        <v>88.684970705263396</v>
      </c>
      <c r="T104" s="127">
        <f t="shared" si="103"/>
        <v>82.772639324912504</v>
      </c>
      <c r="U104" s="127">
        <f t="shared" si="103"/>
        <v>77.254463369918341</v>
      </c>
      <c r="V104" s="127">
        <f t="shared" si="103"/>
        <v>72.104165811923792</v>
      </c>
      <c r="W104" s="127">
        <f t="shared" si="103"/>
        <v>67.297221424462208</v>
      </c>
      <c r="X104" s="127">
        <f t="shared" si="103"/>
        <v>62.810739996164727</v>
      </c>
      <c r="Y104" s="127">
        <f t="shared" si="103"/>
        <v>58.623357329753745</v>
      </c>
      <c r="Z104" s="127">
        <f t="shared" si="103"/>
        <v>54.715133507770162</v>
      </c>
      <c r="AA104" s="127">
        <f t="shared" si="103"/>
        <v>51.067457940585484</v>
      </c>
      <c r="AB104" s="127">
        <f t="shared" si="103"/>
        <v>47.662960744546453</v>
      </c>
      <c r="AC104" s="127">
        <f t="shared" si="103"/>
        <v>44.485430028243357</v>
      </c>
      <c r="AD104" s="127">
        <f t="shared" si="103"/>
        <v>41.519734693027132</v>
      </c>
      <c r="AE104" s="127">
        <f t="shared" ref="AE104:AN104" si="104">+(AD104-(AD104*(1/$AO$103)))</f>
        <v>38.751752380158656</v>
      </c>
      <c r="AF104" s="127">
        <f t="shared" si="104"/>
        <v>36.168302221481412</v>
      </c>
      <c r="AG104" s="127">
        <f t="shared" si="104"/>
        <v>33.757082073382648</v>
      </c>
      <c r="AH104" s="127">
        <f t="shared" si="104"/>
        <v>31.506609935157137</v>
      </c>
      <c r="AI104" s="127">
        <f t="shared" si="104"/>
        <v>29.406169272813329</v>
      </c>
      <c r="AJ104" s="127">
        <f t="shared" si="104"/>
        <v>27.445757987959109</v>
      </c>
      <c r="AK104" s="127">
        <f t="shared" si="104"/>
        <v>25.616040788761836</v>
      </c>
      <c r="AL104" s="127">
        <f t="shared" si="104"/>
        <v>23.908304736177715</v>
      </c>
      <c r="AM104" s="127">
        <f t="shared" si="104"/>
        <v>22.314417753765866</v>
      </c>
      <c r="AN104" s="127">
        <f t="shared" si="104"/>
        <v>20.826789903514808</v>
      </c>
    </row>
    <row r="105" spans="1:41" ht="12.75" customHeight="1" outlineLevel="1">
      <c r="A105" s="128"/>
      <c r="B105" s="128" t="s">
        <v>422</v>
      </c>
      <c r="C105" s="102"/>
      <c r="D105" s="102"/>
      <c r="E105" s="102"/>
      <c r="F105" s="102"/>
      <c r="G105" s="102"/>
      <c r="H105" s="102"/>
      <c r="I105" s="102"/>
      <c r="J105" s="102">
        <f>+J136-J104</f>
        <v>46.786666666666662</v>
      </c>
      <c r="K105" s="102">
        <f t="shared" ref="K105:Z106" si="105">+J105</f>
        <v>46.786666666666662</v>
      </c>
      <c r="L105" s="102">
        <f t="shared" si="105"/>
        <v>46.786666666666662</v>
      </c>
      <c r="M105" s="102">
        <f t="shared" si="105"/>
        <v>46.786666666666662</v>
      </c>
      <c r="N105" s="102">
        <f t="shared" si="105"/>
        <v>46.786666666666662</v>
      </c>
      <c r="O105" s="102">
        <f t="shared" si="105"/>
        <v>46.786666666666662</v>
      </c>
      <c r="P105" s="102">
        <f t="shared" si="105"/>
        <v>46.786666666666662</v>
      </c>
      <c r="Q105" s="102">
        <f t="shared" si="105"/>
        <v>46.786666666666662</v>
      </c>
      <c r="R105" s="102">
        <f t="shared" si="105"/>
        <v>46.786666666666662</v>
      </c>
      <c r="S105" s="127">
        <f t="shared" si="105"/>
        <v>46.786666666666662</v>
      </c>
      <c r="T105" s="127">
        <f t="shared" si="105"/>
        <v>46.786666666666662</v>
      </c>
      <c r="U105" s="127">
        <f t="shared" si="105"/>
        <v>46.786666666666662</v>
      </c>
      <c r="V105" s="127">
        <f>+U105</f>
        <v>46.786666666666662</v>
      </c>
      <c r="W105" s="127">
        <f t="shared" si="105"/>
        <v>46.786666666666662</v>
      </c>
      <c r="X105" s="127">
        <f t="shared" si="105"/>
        <v>46.786666666666662</v>
      </c>
      <c r="Y105" s="127">
        <f t="shared" si="105"/>
        <v>46.786666666666662</v>
      </c>
      <c r="Z105" s="127">
        <f t="shared" si="105"/>
        <v>46.786666666666662</v>
      </c>
      <c r="AA105" s="127">
        <f t="shared" ref="AA105:AD106" si="106">+Z105</f>
        <v>46.786666666666662</v>
      </c>
      <c r="AB105" s="127">
        <f t="shared" si="106"/>
        <v>46.786666666666662</v>
      </c>
      <c r="AC105" s="127">
        <f t="shared" si="106"/>
        <v>46.786666666666662</v>
      </c>
      <c r="AD105" s="127">
        <f t="shared" si="106"/>
        <v>46.786666666666662</v>
      </c>
      <c r="AE105" s="127">
        <f t="shared" ref="AE105:AN105" si="107">+AD105</f>
        <v>46.786666666666662</v>
      </c>
      <c r="AF105" s="127">
        <f t="shared" si="107"/>
        <v>46.786666666666662</v>
      </c>
      <c r="AG105" s="127">
        <f t="shared" si="107"/>
        <v>46.786666666666662</v>
      </c>
      <c r="AH105" s="127">
        <f t="shared" si="107"/>
        <v>46.786666666666662</v>
      </c>
      <c r="AI105" s="127">
        <f t="shared" si="107"/>
        <v>46.786666666666662</v>
      </c>
      <c r="AJ105" s="127">
        <f t="shared" si="107"/>
        <v>46.786666666666662</v>
      </c>
      <c r="AK105" s="127">
        <f t="shared" si="107"/>
        <v>46.786666666666662</v>
      </c>
      <c r="AL105" s="127">
        <f t="shared" si="107"/>
        <v>46.786666666666662</v>
      </c>
      <c r="AM105" s="127">
        <f t="shared" si="107"/>
        <v>46.786666666666662</v>
      </c>
      <c r="AN105" s="127">
        <f t="shared" si="107"/>
        <v>46.786666666666662</v>
      </c>
    </row>
    <row r="106" spans="1:41" ht="12.75" customHeight="1" outlineLevel="1">
      <c r="A106" s="128"/>
      <c r="B106" s="128" t="s">
        <v>423</v>
      </c>
      <c r="C106" s="102"/>
      <c r="D106" s="102"/>
      <c r="E106" s="102"/>
      <c r="F106" s="102"/>
      <c r="G106" s="102"/>
      <c r="H106" s="102"/>
      <c r="I106" s="102"/>
      <c r="J106" s="102"/>
      <c r="K106" s="102">
        <f>+K136-K104-K105</f>
        <v>65.100888888888846</v>
      </c>
      <c r="L106" s="102">
        <f t="shared" si="105"/>
        <v>65.100888888888846</v>
      </c>
      <c r="M106" s="102">
        <f t="shared" si="105"/>
        <v>65.100888888888846</v>
      </c>
      <c r="N106" s="102">
        <f t="shared" si="105"/>
        <v>65.100888888888846</v>
      </c>
      <c r="O106" s="102">
        <f t="shared" si="105"/>
        <v>65.100888888888846</v>
      </c>
      <c r="P106" s="102">
        <f t="shared" si="105"/>
        <v>65.100888888888846</v>
      </c>
      <c r="Q106" s="102">
        <f t="shared" si="105"/>
        <v>65.100888888888846</v>
      </c>
      <c r="R106" s="102">
        <f t="shared" si="105"/>
        <v>65.100888888888846</v>
      </c>
      <c r="S106" s="127">
        <f t="shared" si="105"/>
        <v>65.100888888888846</v>
      </c>
      <c r="T106" s="127">
        <f t="shared" si="105"/>
        <v>65.100888888888846</v>
      </c>
      <c r="U106" s="127">
        <f t="shared" si="105"/>
        <v>65.100888888888846</v>
      </c>
      <c r="V106" s="127">
        <f>+U106</f>
        <v>65.100888888888846</v>
      </c>
      <c r="W106" s="127">
        <f t="shared" si="105"/>
        <v>65.100888888888846</v>
      </c>
      <c r="X106" s="127">
        <f t="shared" si="105"/>
        <v>65.100888888888846</v>
      </c>
      <c r="Y106" s="127">
        <f t="shared" si="105"/>
        <v>65.100888888888846</v>
      </c>
      <c r="Z106" s="127">
        <f t="shared" si="105"/>
        <v>65.100888888888846</v>
      </c>
      <c r="AA106" s="127">
        <f>+Z106</f>
        <v>65.100888888888846</v>
      </c>
      <c r="AB106" s="127">
        <f t="shared" si="106"/>
        <v>65.100888888888846</v>
      </c>
      <c r="AC106" s="127">
        <f t="shared" si="106"/>
        <v>65.100888888888846</v>
      </c>
      <c r="AD106" s="127">
        <f t="shared" si="106"/>
        <v>65.100888888888846</v>
      </c>
      <c r="AE106" s="127">
        <f t="shared" ref="AE106:AN106" si="108">+AD106</f>
        <v>65.100888888888846</v>
      </c>
      <c r="AF106" s="127">
        <f t="shared" si="108"/>
        <v>65.100888888888846</v>
      </c>
      <c r="AG106" s="127">
        <f t="shared" si="108"/>
        <v>65.100888888888846</v>
      </c>
      <c r="AH106" s="127">
        <f t="shared" si="108"/>
        <v>65.100888888888846</v>
      </c>
      <c r="AI106" s="127">
        <f t="shared" si="108"/>
        <v>65.100888888888846</v>
      </c>
      <c r="AJ106" s="127">
        <f t="shared" si="108"/>
        <v>65.100888888888846</v>
      </c>
      <c r="AK106" s="127">
        <f t="shared" si="108"/>
        <v>65.100888888888846</v>
      </c>
      <c r="AL106" s="127">
        <f t="shared" si="108"/>
        <v>65.100888888888846</v>
      </c>
      <c r="AM106" s="127">
        <f t="shared" si="108"/>
        <v>65.100888888888846</v>
      </c>
      <c r="AN106" s="127">
        <f t="shared" si="108"/>
        <v>65.100888888888846</v>
      </c>
    </row>
    <row r="107" spans="1:41" ht="12.75" customHeight="1" outlineLevel="1">
      <c r="A107" s="128"/>
      <c r="B107" s="128" t="s">
        <v>424</v>
      </c>
      <c r="C107" s="102"/>
      <c r="D107" s="102"/>
      <c r="E107" s="102"/>
      <c r="F107" s="102"/>
      <c r="G107" s="102"/>
      <c r="H107" s="102"/>
      <c r="I107" s="102"/>
      <c r="J107" s="102"/>
      <c r="K107" s="102"/>
      <c r="L107" s="102">
        <f>+L136-L104-L105-L106</f>
        <v>36.467496296296332</v>
      </c>
      <c r="M107" s="102">
        <f t="shared" ref="M107:Z117" si="109">L107</f>
        <v>36.467496296296332</v>
      </c>
      <c r="N107" s="102">
        <f t="shared" si="109"/>
        <v>36.467496296296332</v>
      </c>
      <c r="O107" s="102">
        <f t="shared" si="109"/>
        <v>36.467496296296332</v>
      </c>
      <c r="P107" s="102">
        <f t="shared" si="109"/>
        <v>36.467496296296332</v>
      </c>
      <c r="Q107" s="102">
        <f t="shared" si="109"/>
        <v>36.467496296296332</v>
      </c>
      <c r="R107" s="102">
        <f t="shared" si="109"/>
        <v>36.467496296296332</v>
      </c>
      <c r="S107" s="127">
        <f t="shared" si="109"/>
        <v>36.467496296296332</v>
      </c>
      <c r="T107" s="127">
        <f t="shared" si="109"/>
        <v>36.467496296296332</v>
      </c>
      <c r="U107" s="127">
        <f t="shared" si="109"/>
        <v>36.467496296296332</v>
      </c>
      <c r="V107" s="127">
        <f t="shared" si="109"/>
        <v>36.467496296296332</v>
      </c>
      <c r="W107" s="127">
        <f t="shared" si="109"/>
        <v>36.467496296296332</v>
      </c>
      <c r="X107" s="127">
        <f t="shared" si="109"/>
        <v>36.467496296296332</v>
      </c>
      <c r="Y107" s="127">
        <f t="shared" si="109"/>
        <v>36.467496296296332</v>
      </c>
      <c r="Z107" s="127">
        <f t="shared" si="109"/>
        <v>36.467496296296332</v>
      </c>
      <c r="AA107" s="127">
        <f t="shared" ref="AA107:AA112" si="110">Z107</f>
        <v>36.467496296296332</v>
      </c>
      <c r="AB107" s="127">
        <f t="shared" ref="AB107:AB119" si="111">AA107</f>
        <v>36.467496296296332</v>
      </c>
      <c r="AC107" s="127">
        <f t="shared" ref="AC107:AC119" si="112">AB107</f>
        <v>36.467496296296332</v>
      </c>
      <c r="AD107" s="127">
        <f t="shared" ref="AD107:AD119" si="113">AC107</f>
        <v>36.467496296296332</v>
      </c>
      <c r="AE107" s="127">
        <f t="shared" ref="AE107:AE119" si="114">AD107</f>
        <v>36.467496296296332</v>
      </c>
      <c r="AF107" s="127">
        <f t="shared" ref="AF107:AF119" si="115">AE107</f>
        <v>36.467496296296332</v>
      </c>
      <c r="AG107" s="127">
        <f t="shared" ref="AG107:AG119" si="116">AF107</f>
        <v>36.467496296296332</v>
      </c>
      <c r="AH107" s="127">
        <f t="shared" ref="AH107:AH119" si="117">AG107</f>
        <v>36.467496296296332</v>
      </c>
      <c r="AI107" s="127">
        <f t="shared" ref="AI107:AI119" si="118">AH107</f>
        <v>36.467496296296332</v>
      </c>
      <c r="AJ107" s="127">
        <f t="shared" ref="AJ107:AJ118" si="119">AI107</f>
        <v>36.467496296296332</v>
      </c>
      <c r="AK107" s="127">
        <f t="shared" ref="AK107:AK119" si="120">AJ107</f>
        <v>36.467496296296332</v>
      </c>
      <c r="AL107" s="127">
        <f t="shared" ref="AL107:AL119" si="121">AK107</f>
        <v>36.467496296296332</v>
      </c>
      <c r="AM107" s="127">
        <f t="shared" ref="AM107:AM119" si="122">AL107</f>
        <v>36.467496296296332</v>
      </c>
      <c r="AN107" s="127">
        <f t="shared" ref="AN107:AN119" si="123">AM107</f>
        <v>36.467496296296332</v>
      </c>
    </row>
    <row r="108" spans="1:41" ht="12.75" customHeight="1" outlineLevel="1">
      <c r="A108" s="128"/>
      <c r="B108" s="128" t="s">
        <v>425</v>
      </c>
      <c r="C108" s="102"/>
      <c r="D108" s="102"/>
      <c r="E108" s="102"/>
      <c r="F108" s="102"/>
      <c r="G108" s="102"/>
      <c r="H108" s="102"/>
      <c r="I108" s="102"/>
      <c r="J108" s="102"/>
      <c r="K108" s="102"/>
      <c r="L108" s="102"/>
      <c r="M108" s="102">
        <f>+M136-M104-M105-M106-M107</f>
        <v>67.98299654320985</v>
      </c>
      <c r="N108" s="102">
        <f t="shared" si="109"/>
        <v>67.98299654320985</v>
      </c>
      <c r="O108" s="102">
        <f t="shared" si="109"/>
        <v>67.98299654320985</v>
      </c>
      <c r="P108" s="102">
        <f t="shared" si="109"/>
        <v>67.98299654320985</v>
      </c>
      <c r="Q108" s="102">
        <f t="shared" si="109"/>
        <v>67.98299654320985</v>
      </c>
      <c r="R108" s="102">
        <f t="shared" si="109"/>
        <v>67.98299654320985</v>
      </c>
      <c r="S108" s="127">
        <f t="shared" si="109"/>
        <v>67.98299654320985</v>
      </c>
      <c r="T108" s="127">
        <f t="shared" si="109"/>
        <v>67.98299654320985</v>
      </c>
      <c r="U108" s="127">
        <f t="shared" si="109"/>
        <v>67.98299654320985</v>
      </c>
      <c r="V108" s="127">
        <f t="shared" si="109"/>
        <v>67.98299654320985</v>
      </c>
      <c r="W108" s="127">
        <f t="shared" si="109"/>
        <v>67.98299654320985</v>
      </c>
      <c r="X108" s="127">
        <f t="shared" si="109"/>
        <v>67.98299654320985</v>
      </c>
      <c r="Y108" s="127">
        <f t="shared" si="109"/>
        <v>67.98299654320985</v>
      </c>
      <c r="Z108" s="127">
        <f t="shared" si="109"/>
        <v>67.98299654320985</v>
      </c>
      <c r="AA108" s="127">
        <f t="shared" si="110"/>
        <v>67.98299654320985</v>
      </c>
      <c r="AB108" s="127">
        <f t="shared" si="111"/>
        <v>67.98299654320985</v>
      </c>
      <c r="AC108" s="127">
        <f t="shared" si="112"/>
        <v>67.98299654320985</v>
      </c>
      <c r="AD108" s="127">
        <f t="shared" si="113"/>
        <v>67.98299654320985</v>
      </c>
      <c r="AE108" s="127">
        <f t="shared" si="114"/>
        <v>67.98299654320985</v>
      </c>
      <c r="AF108" s="127">
        <f t="shared" si="115"/>
        <v>67.98299654320985</v>
      </c>
      <c r="AG108" s="127">
        <f t="shared" si="116"/>
        <v>67.98299654320985</v>
      </c>
      <c r="AH108" s="127">
        <f t="shared" si="117"/>
        <v>67.98299654320985</v>
      </c>
      <c r="AI108" s="127">
        <f t="shared" si="118"/>
        <v>67.98299654320985</v>
      </c>
      <c r="AJ108" s="127">
        <f t="shared" si="119"/>
        <v>67.98299654320985</v>
      </c>
      <c r="AK108" s="127">
        <f t="shared" si="120"/>
        <v>67.98299654320985</v>
      </c>
      <c r="AL108" s="127">
        <f t="shared" si="121"/>
        <v>67.98299654320985</v>
      </c>
      <c r="AM108" s="127">
        <f t="shared" si="122"/>
        <v>67.98299654320985</v>
      </c>
      <c r="AN108" s="127">
        <f t="shared" si="123"/>
        <v>67.98299654320985</v>
      </c>
    </row>
    <row r="109" spans="1:41" ht="12.75" customHeight="1" outlineLevel="1">
      <c r="A109" s="128"/>
      <c r="B109" s="128" t="s">
        <v>426</v>
      </c>
      <c r="C109" s="102"/>
      <c r="D109" s="102"/>
      <c r="E109" s="102"/>
      <c r="F109" s="102"/>
      <c r="G109" s="102"/>
      <c r="H109" s="102"/>
      <c r="I109" s="102"/>
      <c r="J109" s="102"/>
      <c r="K109" s="102"/>
      <c r="L109" s="102"/>
      <c r="M109" s="102"/>
      <c r="N109" s="102">
        <f>+N136-N104-N105-N106-N107-N108</f>
        <v>59.444130106995914</v>
      </c>
      <c r="O109" s="102">
        <f t="shared" si="109"/>
        <v>59.444130106995914</v>
      </c>
      <c r="P109" s="102">
        <f t="shared" si="109"/>
        <v>59.444130106995914</v>
      </c>
      <c r="Q109" s="102">
        <f t="shared" si="109"/>
        <v>59.444130106995914</v>
      </c>
      <c r="R109" s="102">
        <f t="shared" si="109"/>
        <v>59.444130106995914</v>
      </c>
      <c r="S109" s="127">
        <f t="shared" si="109"/>
        <v>59.444130106995914</v>
      </c>
      <c r="T109" s="127">
        <f t="shared" si="109"/>
        <v>59.444130106995914</v>
      </c>
      <c r="U109" s="127">
        <f t="shared" si="109"/>
        <v>59.444130106995914</v>
      </c>
      <c r="V109" s="127">
        <f t="shared" si="109"/>
        <v>59.444130106995914</v>
      </c>
      <c r="W109" s="127">
        <f t="shared" si="109"/>
        <v>59.444130106995914</v>
      </c>
      <c r="X109" s="127">
        <f t="shared" si="109"/>
        <v>59.444130106995914</v>
      </c>
      <c r="Y109" s="127">
        <f t="shared" si="109"/>
        <v>59.444130106995914</v>
      </c>
      <c r="Z109" s="127">
        <f t="shared" si="109"/>
        <v>59.444130106995914</v>
      </c>
      <c r="AA109" s="127">
        <f t="shared" si="110"/>
        <v>59.444130106995914</v>
      </c>
      <c r="AB109" s="127">
        <f t="shared" si="111"/>
        <v>59.444130106995914</v>
      </c>
      <c r="AC109" s="127">
        <f t="shared" si="112"/>
        <v>59.444130106995914</v>
      </c>
      <c r="AD109" s="127">
        <f t="shared" si="113"/>
        <v>59.444130106995914</v>
      </c>
      <c r="AE109" s="127">
        <f t="shared" si="114"/>
        <v>59.444130106995914</v>
      </c>
      <c r="AF109" s="127">
        <f t="shared" si="115"/>
        <v>59.444130106995914</v>
      </c>
      <c r="AG109" s="127">
        <f t="shared" si="116"/>
        <v>59.444130106995914</v>
      </c>
      <c r="AH109" s="127">
        <f t="shared" si="117"/>
        <v>59.444130106995914</v>
      </c>
      <c r="AI109" s="127">
        <f t="shared" si="118"/>
        <v>59.444130106995914</v>
      </c>
      <c r="AJ109" s="127">
        <f t="shared" si="119"/>
        <v>59.444130106995914</v>
      </c>
      <c r="AK109" s="127">
        <f t="shared" si="120"/>
        <v>59.444130106995914</v>
      </c>
      <c r="AL109" s="127">
        <f t="shared" si="121"/>
        <v>59.444130106995914</v>
      </c>
      <c r="AM109" s="127">
        <f t="shared" si="122"/>
        <v>59.444130106995914</v>
      </c>
      <c r="AN109" s="127">
        <f t="shared" si="123"/>
        <v>59.444130106995914</v>
      </c>
    </row>
    <row r="110" spans="1:41" ht="12.75" customHeight="1" outlineLevel="1">
      <c r="A110" s="128"/>
      <c r="B110" s="128" t="s">
        <v>427</v>
      </c>
      <c r="C110" s="102"/>
      <c r="D110" s="102"/>
      <c r="E110" s="102"/>
      <c r="F110" s="102"/>
      <c r="G110" s="102"/>
      <c r="H110" s="102"/>
      <c r="I110" s="102"/>
      <c r="J110" s="102"/>
      <c r="K110" s="102"/>
      <c r="L110" s="102"/>
      <c r="M110" s="102"/>
      <c r="N110" s="102"/>
      <c r="O110" s="102">
        <f>+O136-O104-O105-O106-O107-O108-O109</f>
        <v>101.34785476652942</v>
      </c>
      <c r="P110" s="102">
        <f t="shared" si="109"/>
        <v>101.34785476652942</v>
      </c>
      <c r="Q110" s="102">
        <f t="shared" si="109"/>
        <v>101.34785476652942</v>
      </c>
      <c r="R110" s="102">
        <f t="shared" si="109"/>
        <v>101.34785476652942</v>
      </c>
      <c r="S110" s="127">
        <f t="shared" si="109"/>
        <v>101.34785476652942</v>
      </c>
      <c r="T110" s="127">
        <f t="shared" si="109"/>
        <v>101.34785476652942</v>
      </c>
      <c r="U110" s="127">
        <f t="shared" si="109"/>
        <v>101.34785476652942</v>
      </c>
      <c r="V110" s="127">
        <f t="shared" si="109"/>
        <v>101.34785476652942</v>
      </c>
      <c r="W110" s="127">
        <f t="shared" si="109"/>
        <v>101.34785476652942</v>
      </c>
      <c r="X110" s="127">
        <f t="shared" si="109"/>
        <v>101.34785476652942</v>
      </c>
      <c r="Y110" s="127">
        <f t="shared" si="109"/>
        <v>101.34785476652942</v>
      </c>
      <c r="Z110" s="127">
        <f t="shared" si="109"/>
        <v>101.34785476652942</v>
      </c>
      <c r="AA110" s="127">
        <f t="shared" si="110"/>
        <v>101.34785476652942</v>
      </c>
      <c r="AB110" s="127">
        <f t="shared" si="111"/>
        <v>101.34785476652942</v>
      </c>
      <c r="AC110" s="127">
        <f t="shared" si="112"/>
        <v>101.34785476652942</v>
      </c>
      <c r="AD110" s="127">
        <f t="shared" si="113"/>
        <v>101.34785476652942</v>
      </c>
      <c r="AE110" s="127">
        <f t="shared" si="114"/>
        <v>101.34785476652942</v>
      </c>
      <c r="AF110" s="127">
        <f t="shared" si="115"/>
        <v>101.34785476652942</v>
      </c>
      <c r="AG110" s="127">
        <f t="shared" si="116"/>
        <v>101.34785476652942</v>
      </c>
      <c r="AH110" s="127">
        <f t="shared" si="117"/>
        <v>101.34785476652942</v>
      </c>
      <c r="AI110" s="127">
        <f t="shared" si="118"/>
        <v>101.34785476652942</v>
      </c>
      <c r="AJ110" s="127">
        <f t="shared" si="119"/>
        <v>101.34785476652942</v>
      </c>
      <c r="AK110" s="127">
        <f t="shared" si="120"/>
        <v>101.34785476652942</v>
      </c>
      <c r="AL110" s="127">
        <f t="shared" si="121"/>
        <v>101.34785476652942</v>
      </c>
      <c r="AM110" s="127">
        <f t="shared" si="122"/>
        <v>101.34785476652942</v>
      </c>
      <c r="AN110" s="127">
        <f t="shared" si="123"/>
        <v>101.34785476652942</v>
      </c>
    </row>
    <row r="111" spans="1:41" ht="12.75" customHeight="1" outlineLevel="1">
      <c r="A111" s="128"/>
      <c r="B111" s="128" t="s">
        <v>428</v>
      </c>
      <c r="C111" s="102"/>
      <c r="D111" s="102"/>
      <c r="E111" s="102"/>
      <c r="F111" s="102"/>
      <c r="G111" s="102"/>
      <c r="H111" s="102"/>
      <c r="I111" s="102"/>
      <c r="J111" s="102"/>
      <c r="K111" s="102"/>
      <c r="L111" s="102"/>
      <c r="M111" s="102"/>
      <c r="N111" s="102"/>
      <c r="O111" s="102"/>
      <c r="P111" s="102">
        <f>+P136-P104-P105-P106-P107-P108-P109-P110</f>
        <v>106.79133111542757</v>
      </c>
      <c r="Q111" s="102">
        <f t="shared" si="109"/>
        <v>106.79133111542757</v>
      </c>
      <c r="R111" s="102">
        <f t="shared" si="109"/>
        <v>106.79133111542757</v>
      </c>
      <c r="S111" s="127">
        <f t="shared" si="109"/>
        <v>106.79133111542757</v>
      </c>
      <c r="T111" s="127">
        <f t="shared" si="109"/>
        <v>106.79133111542757</v>
      </c>
      <c r="U111" s="127">
        <f t="shared" si="109"/>
        <v>106.79133111542757</v>
      </c>
      <c r="V111" s="127">
        <f t="shared" si="109"/>
        <v>106.79133111542757</v>
      </c>
      <c r="W111" s="127">
        <f t="shared" si="109"/>
        <v>106.79133111542757</v>
      </c>
      <c r="X111" s="127">
        <f t="shared" si="109"/>
        <v>106.79133111542757</v>
      </c>
      <c r="Y111" s="127">
        <f t="shared" si="109"/>
        <v>106.79133111542757</v>
      </c>
      <c r="Z111" s="127">
        <f t="shared" si="109"/>
        <v>106.79133111542757</v>
      </c>
      <c r="AA111" s="127">
        <f t="shared" si="110"/>
        <v>106.79133111542757</v>
      </c>
      <c r="AB111" s="127">
        <f t="shared" si="111"/>
        <v>106.79133111542757</v>
      </c>
      <c r="AC111" s="127">
        <f t="shared" si="112"/>
        <v>106.79133111542757</v>
      </c>
      <c r="AD111" s="127">
        <f t="shared" si="113"/>
        <v>106.79133111542757</v>
      </c>
      <c r="AE111" s="127">
        <f t="shared" si="114"/>
        <v>106.79133111542757</v>
      </c>
      <c r="AF111" s="127">
        <f t="shared" si="115"/>
        <v>106.79133111542757</v>
      </c>
      <c r="AG111" s="127">
        <f t="shared" si="116"/>
        <v>106.79133111542757</v>
      </c>
      <c r="AH111" s="127">
        <f t="shared" si="117"/>
        <v>106.79133111542757</v>
      </c>
      <c r="AI111" s="127">
        <f t="shared" si="118"/>
        <v>106.79133111542757</v>
      </c>
      <c r="AJ111" s="127">
        <f t="shared" si="119"/>
        <v>106.79133111542757</v>
      </c>
      <c r="AK111" s="127">
        <f t="shared" si="120"/>
        <v>106.79133111542757</v>
      </c>
      <c r="AL111" s="127">
        <f t="shared" si="121"/>
        <v>106.79133111542757</v>
      </c>
      <c r="AM111" s="127">
        <f t="shared" si="122"/>
        <v>106.79133111542757</v>
      </c>
      <c r="AN111" s="127">
        <f t="shared" si="123"/>
        <v>106.79133111542757</v>
      </c>
    </row>
    <row r="112" spans="1:41" ht="12.75" customHeight="1" outlineLevel="1">
      <c r="A112" s="128"/>
      <c r="B112" s="128" t="s">
        <v>431</v>
      </c>
      <c r="C112" s="102"/>
      <c r="D112" s="102"/>
      <c r="E112" s="102"/>
      <c r="F112" s="102"/>
      <c r="G112" s="102"/>
      <c r="H112" s="102"/>
      <c r="I112" s="102"/>
      <c r="J112" s="102"/>
      <c r="K112" s="102"/>
      <c r="L112" s="102"/>
      <c r="M112" s="102"/>
      <c r="N112" s="102"/>
      <c r="O112" s="102"/>
      <c r="P112" s="102"/>
      <c r="Q112" s="102">
        <f>+Q136-Q104-Q105-Q106-Q107-Q108-Q109-Q110-Q111</f>
        <v>200.27190904106584</v>
      </c>
      <c r="R112" s="102">
        <f t="shared" si="109"/>
        <v>200.27190904106584</v>
      </c>
      <c r="S112" s="127">
        <f t="shared" si="109"/>
        <v>200.27190904106584</v>
      </c>
      <c r="T112" s="127">
        <f t="shared" si="109"/>
        <v>200.27190904106584</v>
      </c>
      <c r="U112" s="127">
        <f t="shared" si="109"/>
        <v>200.27190904106584</v>
      </c>
      <c r="V112" s="127">
        <f t="shared" si="109"/>
        <v>200.27190904106584</v>
      </c>
      <c r="W112" s="127">
        <f t="shared" si="109"/>
        <v>200.27190904106584</v>
      </c>
      <c r="X112" s="127">
        <f t="shared" si="109"/>
        <v>200.27190904106584</v>
      </c>
      <c r="Y112" s="127">
        <f t="shared" si="109"/>
        <v>200.27190904106584</v>
      </c>
      <c r="Z112" s="127">
        <f t="shared" si="109"/>
        <v>200.27190904106584</v>
      </c>
      <c r="AA112" s="127">
        <f t="shared" si="110"/>
        <v>200.27190904106584</v>
      </c>
      <c r="AB112" s="127">
        <f t="shared" si="111"/>
        <v>200.27190904106584</v>
      </c>
      <c r="AC112" s="127">
        <f>AB112</f>
        <v>200.27190904106584</v>
      </c>
      <c r="AD112" s="127">
        <f t="shared" si="113"/>
        <v>200.27190904106584</v>
      </c>
      <c r="AE112" s="127">
        <f t="shared" si="114"/>
        <v>200.27190904106584</v>
      </c>
      <c r="AF112" s="127">
        <f t="shared" si="115"/>
        <v>200.27190904106584</v>
      </c>
      <c r="AG112" s="127">
        <f t="shared" si="116"/>
        <v>200.27190904106584</v>
      </c>
      <c r="AH112" s="127">
        <f t="shared" si="117"/>
        <v>200.27190904106584</v>
      </c>
      <c r="AI112" s="127">
        <f t="shared" si="118"/>
        <v>200.27190904106584</v>
      </c>
      <c r="AJ112" s="127">
        <f t="shared" si="119"/>
        <v>200.27190904106584</v>
      </c>
      <c r="AK112" s="127">
        <f t="shared" si="120"/>
        <v>200.27190904106584</v>
      </c>
      <c r="AL112" s="127">
        <f t="shared" si="121"/>
        <v>200.27190904106584</v>
      </c>
      <c r="AM112" s="127">
        <f t="shared" si="122"/>
        <v>200.27190904106584</v>
      </c>
      <c r="AN112" s="127">
        <f t="shared" si="123"/>
        <v>200.27190904106584</v>
      </c>
    </row>
    <row r="113" spans="1:41" ht="12.75" customHeight="1" outlineLevel="1">
      <c r="A113" s="128"/>
      <c r="B113" s="128" t="s">
        <v>432</v>
      </c>
      <c r="C113" s="102"/>
      <c r="D113" s="102"/>
      <c r="E113" s="102"/>
      <c r="F113" s="102"/>
      <c r="G113" s="102"/>
      <c r="H113" s="102"/>
      <c r="I113" s="102"/>
      <c r="J113" s="102"/>
      <c r="K113" s="102"/>
      <c r="L113" s="102"/>
      <c r="M113" s="102"/>
      <c r="N113" s="102"/>
      <c r="O113" s="102"/>
      <c r="P113" s="102"/>
      <c r="Q113" s="102"/>
      <c r="R113" s="102">
        <f>+R136-R104-R105-R106-R107-R108-R109-R110-R111-R112</f>
        <v>-131.21288489500549</v>
      </c>
      <c r="S113" s="127">
        <f t="shared" si="109"/>
        <v>-131.21288489500549</v>
      </c>
      <c r="T113" s="127">
        <f t="shared" si="109"/>
        <v>-131.21288489500549</v>
      </c>
      <c r="U113" s="127">
        <f t="shared" si="109"/>
        <v>-131.21288489500549</v>
      </c>
      <c r="V113" s="127">
        <f t="shared" si="109"/>
        <v>-131.21288489500549</v>
      </c>
      <c r="W113" s="127">
        <f t="shared" si="109"/>
        <v>-131.21288489500549</v>
      </c>
      <c r="X113" s="127">
        <f t="shared" si="109"/>
        <v>-131.21288489500549</v>
      </c>
      <c r="Y113" s="127">
        <f t="shared" si="109"/>
        <v>-131.21288489500549</v>
      </c>
      <c r="Z113" s="127">
        <f t="shared" si="109"/>
        <v>-131.21288489500549</v>
      </c>
      <c r="AA113" s="127">
        <f t="shared" ref="AA113:AA119" si="124">Z113</f>
        <v>-131.21288489500549</v>
      </c>
      <c r="AB113" s="127">
        <f t="shared" si="111"/>
        <v>-131.21288489500549</v>
      </c>
      <c r="AC113" s="127">
        <f t="shared" si="112"/>
        <v>-131.21288489500549</v>
      </c>
      <c r="AD113" s="127">
        <f t="shared" si="113"/>
        <v>-131.21288489500549</v>
      </c>
      <c r="AE113" s="127">
        <f t="shared" si="114"/>
        <v>-131.21288489500549</v>
      </c>
      <c r="AF113" s="127">
        <f t="shared" si="115"/>
        <v>-131.21288489500549</v>
      </c>
      <c r="AG113" s="127">
        <f t="shared" si="116"/>
        <v>-131.21288489500549</v>
      </c>
      <c r="AH113" s="127">
        <f t="shared" si="117"/>
        <v>-131.21288489500549</v>
      </c>
      <c r="AI113" s="127">
        <f t="shared" si="118"/>
        <v>-131.21288489500549</v>
      </c>
      <c r="AJ113" s="127">
        <f t="shared" si="119"/>
        <v>-131.21288489500549</v>
      </c>
      <c r="AK113" s="127">
        <f t="shared" si="120"/>
        <v>-131.21288489500549</v>
      </c>
      <c r="AL113" s="127">
        <f t="shared" si="121"/>
        <v>-131.21288489500549</v>
      </c>
      <c r="AM113" s="127">
        <f t="shared" si="122"/>
        <v>-131.21288489500549</v>
      </c>
      <c r="AN113" s="127">
        <f t="shared" si="123"/>
        <v>-131.21288489500549</v>
      </c>
    </row>
    <row r="114" spans="1:41" ht="12.75" customHeight="1" outlineLevel="1">
      <c r="A114" s="128"/>
      <c r="B114" s="128" t="s">
        <v>433</v>
      </c>
      <c r="C114" s="102"/>
      <c r="D114" s="102"/>
      <c r="E114" s="102"/>
      <c r="F114" s="102"/>
      <c r="G114" s="102"/>
      <c r="H114" s="102"/>
      <c r="I114" s="102"/>
      <c r="J114" s="102"/>
      <c r="K114" s="102"/>
      <c r="L114" s="102"/>
      <c r="M114" s="102"/>
      <c r="N114" s="102"/>
      <c r="O114" s="102"/>
      <c r="P114" s="102"/>
      <c r="Q114" s="102"/>
      <c r="R114" s="102"/>
      <c r="S114" s="127">
        <f>+S136-S104-S105-S106-S107-S108-S109-S110-S111-S112-S113</f>
        <v>-17.665359235338315</v>
      </c>
      <c r="T114" s="127">
        <f t="shared" si="109"/>
        <v>-17.665359235338315</v>
      </c>
      <c r="U114" s="127">
        <f t="shared" si="109"/>
        <v>-17.665359235338315</v>
      </c>
      <c r="V114" s="127">
        <f t="shared" si="109"/>
        <v>-17.665359235338315</v>
      </c>
      <c r="W114" s="127">
        <f t="shared" si="109"/>
        <v>-17.665359235338315</v>
      </c>
      <c r="X114" s="127">
        <f t="shared" si="109"/>
        <v>-17.665359235338315</v>
      </c>
      <c r="Y114" s="127">
        <f t="shared" si="109"/>
        <v>-17.665359235338315</v>
      </c>
      <c r="Z114" s="127">
        <f t="shared" si="109"/>
        <v>-17.665359235338315</v>
      </c>
      <c r="AA114" s="127">
        <f t="shared" si="124"/>
        <v>-17.665359235338315</v>
      </c>
      <c r="AB114" s="127">
        <f t="shared" si="111"/>
        <v>-17.665359235338315</v>
      </c>
      <c r="AC114" s="127">
        <f t="shared" si="112"/>
        <v>-17.665359235338315</v>
      </c>
      <c r="AD114" s="127">
        <f t="shared" si="113"/>
        <v>-17.665359235338315</v>
      </c>
      <c r="AE114" s="127">
        <f t="shared" si="114"/>
        <v>-17.665359235338315</v>
      </c>
      <c r="AF114" s="127">
        <f t="shared" si="115"/>
        <v>-17.665359235338315</v>
      </c>
      <c r="AG114" s="127">
        <f t="shared" si="116"/>
        <v>-17.665359235338315</v>
      </c>
      <c r="AH114" s="127">
        <f t="shared" si="117"/>
        <v>-17.665359235338315</v>
      </c>
      <c r="AI114" s="127">
        <f t="shared" si="118"/>
        <v>-17.665359235338315</v>
      </c>
      <c r="AJ114" s="127">
        <f t="shared" si="119"/>
        <v>-17.665359235338315</v>
      </c>
      <c r="AK114" s="127">
        <f t="shared" si="120"/>
        <v>-17.665359235338315</v>
      </c>
      <c r="AL114" s="127">
        <f t="shared" si="121"/>
        <v>-17.665359235338315</v>
      </c>
      <c r="AM114" s="127">
        <f t="shared" si="122"/>
        <v>-17.665359235338315</v>
      </c>
      <c r="AN114" s="127">
        <f t="shared" si="123"/>
        <v>-17.665359235338315</v>
      </c>
    </row>
    <row r="115" spans="1:41" ht="12.75" customHeight="1" outlineLevel="1">
      <c r="A115" s="128"/>
      <c r="B115" s="128" t="s">
        <v>434</v>
      </c>
      <c r="C115" s="102"/>
      <c r="D115" s="102"/>
      <c r="E115" s="102"/>
      <c r="F115" s="102"/>
      <c r="G115" s="102"/>
      <c r="H115" s="102"/>
      <c r="I115" s="102"/>
      <c r="J115" s="102"/>
      <c r="K115" s="102"/>
      <c r="L115" s="102"/>
      <c r="M115" s="102"/>
      <c r="N115" s="102"/>
      <c r="O115" s="102"/>
      <c r="P115" s="102"/>
      <c r="Q115" s="102"/>
      <c r="R115" s="102"/>
      <c r="S115" s="127"/>
      <c r="T115" s="127">
        <f>+T136-T104-T105-T106-T107-T108-T109-T110-T111-T112-T113-T114</f>
        <v>-24.087668619649236</v>
      </c>
      <c r="U115" s="127">
        <f t="shared" si="109"/>
        <v>-24.087668619649236</v>
      </c>
      <c r="V115" s="127">
        <f t="shared" si="109"/>
        <v>-24.087668619649236</v>
      </c>
      <c r="W115" s="127">
        <f t="shared" si="109"/>
        <v>-24.087668619649236</v>
      </c>
      <c r="X115" s="127">
        <f t="shared" si="109"/>
        <v>-24.087668619649236</v>
      </c>
      <c r="Y115" s="127">
        <f t="shared" si="109"/>
        <v>-24.087668619649236</v>
      </c>
      <c r="Z115" s="127">
        <f t="shared" si="109"/>
        <v>-24.087668619649236</v>
      </c>
      <c r="AA115" s="127">
        <f t="shared" si="124"/>
        <v>-24.087668619649236</v>
      </c>
      <c r="AB115" s="127">
        <f t="shared" si="111"/>
        <v>-24.087668619649236</v>
      </c>
      <c r="AC115" s="127">
        <f t="shared" si="112"/>
        <v>-24.087668619649236</v>
      </c>
      <c r="AD115" s="127">
        <f t="shared" si="113"/>
        <v>-24.087668619649236</v>
      </c>
      <c r="AE115" s="127">
        <f t="shared" si="114"/>
        <v>-24.087668619649236</v>
      </c>
      <c r="AF115" s="127">
        <f>AE115</f>
        <v>-24.087668619649236</v>
      </c>
      <c r="AG115" s="127">
        <f t="shared" si="116"/>
        <v>-24.087668619649236</v>
      </c>
      <c r="AH115" s="127">
        <f t="shared" si="117"/>
        <v>-24.087668619649236</v>
      </c>
      <c r="AI115" s="127">
        <f t="shared" si="118"/>
        <v>-24.087668619649236</v>
      </c>
      <c r="AJ115" s="127">
        <f t="shared" si="119"/>
        <v>-24.087668619649236</v>
      </c>
      <c r="AK115" s="127">
        <f t="shared" si="120"/>
        <v>-24.087668619649236</v>
      </c>
      <c r="AL115" s="127">
        <f t="shared" si="121"/>
        <v>-24.087668619649236</v>
      </c>
      <c r="AM115" s="127">
        <f t="shared" si="122"/>
        <v>-24.087668619649236</v>
      </c>
      <c r="AN115" s="127">
        <f t="shared" si="123"/>
        <v>-24.087668619649236</v>
      </c>
    </row>
    <row r="116" spans="1:41" ht="12.75" customHeight="1" outlineLevel="1">
      <c r="A116" s="128"/>
      <c r="B116" s="128" t="s">
        <v>435</v>
      </c>
      <c r="C116" s="102"/>
      <c r="D116" s="102"/>
      <c r="E116" s="102"/>
      <c r="F116" s="102"/>
      <c r="G116" s="102"/>
      <c r="H116" s="102"/>
      <c r="I116" s="102"/>
      <c r="J116" s="102"/>
      <c r="K116" s="102"/>
      <c r="L116" s="102"/>
      <c r="M116" s="102"/>
      <c r="N116" s="102"/>
      <c r="O116" s="102"/>
      <c r="P116" s="102"/>
      <c r="Q116" s="102"/>
      <c r="R116" s="102"/>
      <c r="S116" s="127"/>
      <c r="T116" s="127"/>
      <c r="U116" s="127">
        <f>+U136-SUM(U104:U115)</f>
        <v>90.518175954994263</v>
      </c>
      <c r="V116" s="127">
        <f t="shared" si="109"/>
        <v>90.518175954994263</v>
      </c>
      <c r="W116" s="127">
        <f t="shared" si="109"/>
        <v>90.518175954994263</v>
      </c>
      <c r="X116" s="127">
        <f t="shared" si="109"/>
        <v>90.518175954994263</v>
      </c>
      <c r="Y116" s="127">
        <f t="shared" si="109"/>
        <v>90.518175954994263</v>
      </c>
      <c r="Z116" s="127">
        <f t="shared" si="109"/>
        <v>90.518175954994263</v>
      </c>
      <c r="AA116" s="127">
        <f t="shared" si="124"/>
        <v>90.518175954994263</v>
      </c>
      <c r="AB116" s="127">
        <f t="shared" si="111"/>
        <v>90.518175954994263</v>
      </c>
      <c r="AC116" s="127">
        <f t="shared" si="112"/>
        <v>90.518175954994263</v>
      </c>
      <c r="AD116" s="127">
        <f t="shared" si="113"/>
        <v>90.518175954994263</v>
      </c>
      <c r="AE116" s="127">
        <f t="shared" si="114"/>
        <v>90.518175954994263</v>
      </c>
      <c r="AF116" s="127">
        <f t="shared" si="115"/>
        <v>90.518175954994263</v>
      </c>
      <c r="AG116" s="127">
        <f>AF116</f>
        <v>90.518175954994263</v>
      </c>
      <c r="AH116" s="127">
        <f t="shared" si="117"/>
        <v>90.518175954994263</v>
      </c>
      <c r="AI116" s="127">
        <f t="shared" si="118"/>
        <v>90.518175954994263</v>
      </c>
      <c r="AJ116" s="127">
        <f t="shared" si="119"/>
        <v>90.518175954994263</v>
      </c>
      <c r="AK116" s="127">
        <f t="shared" si="120"/>
        <v>90.518175954994263</v>
      </c>
      <c r="AL116" s="127">
        <f t="shared" si="121"/>
        <v>90.518175954994263</v>
      </c>
      <c r="AM116" s="127">
        <f t="shared" si="122"/>
        <v>90.518175954994263</v>
      </c>
      <c r="AN116" s="127">
        <f t="shared" si="123"/>
        <v>90.518175954994263</v>
      </c>
    </row>
    <row r="117" spans="1:41" ht="12.75" customHeight="1" outlineLevel="1">
      <c r="A117" s="128"/>
      <c r="B117" s="128" t="s">
        <v>436</v>
      </c>
      <c r="C117" s="102"/>
      <c r="D117" s="102"/>
      <c r="E117" s="102"/>
      <c r="F117" s="102"/>
      <c r="G117" s="102"/>
      <c r="H117" s="102"/>
      <c r="I117" s="102"/>
      <c r="J117" s="102"/>
      <c r="K117" s="102"/>
      <c r="L117" s="102"/>
      <c r="M117" s="102"/>
      <c r="N117" s="102"/>
      <c r="O117" s="102"/>
      <c r="P117" s="102"/>
      <c r="Q117" s="102"/>
      <c r="R117" s="102"/>
      <c r="S117" s="127"/>
      <c r="T117" s="127"/>
      <c r="U117" s="127"/>
      <c r="V117" s="127">
        <f>+V136-SUM(V104:V116)</f>
        <v>15.150297557994691</v>
      </c>
      <c r="W117" s="127">
        <f t="shared" si="109"/>
        <v>15.150297557994691</v>
      </c>
      <c r="X117" s="127">
        <f t="shared" si="109"/>
        <v>15.150297557994691</v>
      </c>
      <c r="Y117" s="127">
        <f t="shared" si="109"/>
        <v>15.150297557994691</v>
      </c>
      <c r="Z117" s="127">
        <f t="shared" si="109"/>
        <v>15.150297557994691</v>
      </c>
      <c r="AA117" s="127">
        <f t="shared" si="124"/>
        <v>15.150297557994691</v>
      </c>
      <c r="AB117" s="127">
        <f t="shared" si="111"/>
        <v>15.150297557994691</v>
      </c>
      <c r="AC117" s="127">
        <f t="shared" si="112"/>
        <v>15.150297557994691</v>
      </c>
      <c r="AD117" s="127">
        <f t="shared" si="113"/>
        <v>15.150297557994691</v>
      </c>
      <c r="AE117" s="127">
        <f t="shared" si="114"/>
        <v>15.150297557994691</v>
      </c>
      <c r="AF117" s="127">
        <f t="shared" si="115"/>
        <v>15.150297557994691</v>
      </c>
      <c r="AG117" s="127">
        <f t="shared" si="116"/>
        <v>15.150297557994691</v>
      </c>
      <c r="AH117" s="127">
        <f>AG117</f>
        <v>15.150297557994691</v>
      </c>
      <c r="AI117" s="127">
        <f t="shared" si="118"/>
        <v>15.150297557994691</v>
      </c>
      <c r="AJ117" s="127">
        <f t="shared" si="119"/>
        <v>15.150297557994691</v>
      </c>
      <c r="AK117" s="127">
        <f t="shared" si="120"/>
        <v>15.150297557994691</v>
      </c>
      <c r="AL117" s="127">
        <f t="shared" si="121"/>
        <v>15.150297557994691</v>
      </c>
      <c r="AM117" s="127">
        <f t="shared" si="122"/>
        <v>15.150297557994691</v>
      </c>
      <c r="AN117" s="127">
        <f t="shared" si="123"/>
        <v>15.150297557994691</v>
      </c>
    </row>
    <row r="118" spans="1:41" ht="12.75" customHeight="1" outlineLevel="1">
      <c r="A118" s="128"/>
      <c r="B118" s="128" t="s">
        <v>437</v>
      </c>
      <c r="C118" s="102"/>
      <c r="D118" s="102"/>
      <c r="E118" s="102"/>
      <c r="F118" s="102"/>
      <c r="G118" s="102"/>
      <c r="H118" s="102"/>
      <c r="I118" s="102"/>
      <c r="J118" s="102"/>
      <c r="K118" s="102"/>
      <c r="L118" s="102"/>
      <c r="M118" s="102"/>
      <c r="N118" s="102"/>
      <c r="O118" s="102"/>
      <c r="P118" s="102"/>
      <c r="Q118" s="102"/>
      <c r="R118" s="102"/>
      <c r="S118" s="127"/>
      <c r="T118" s="127"/>
      <c r="U118" s="127"/>
      <c r="V118" s="127"/>
      <c r="W118" s="511">
        <f>+W136-SUM(W104:W117)</f>
        <v>-40.193055612538501</v>
      </c>
      <c r="X118" s="127">
        <f>W118</f>
        <v>-40.193055612538501</v>
      </c>
      <c r="Y118" s="127">
        <f>X118</f>
        <v>-40.193055612538501</v>
      </c>
      <c r="Z118" s="127">
        <f>Y118</f>
        <v>-40.193055612538501</v>
      </c>
      <c r="AA118" s="127">
        <f t="shared" si="124"/>
        <v>-40.193055612538501</v>
      </c>
      <c r="AB118" s="127">
        <f t="shared" si="111"/>
        <v>-40.193055612538501</v>
      </c>
      <c r="AC118" s="127">
        <f t="shared" si="112"/>
        <v>-40.193055612538501</v>
      </c>
      <c r="AD118" s="127">
        <f t="shared" si="113"/>
        <v>-40.193055612538501</v>
      </c>
      <c r="AE118" s="127">
        <f t="shared" si="114"/>
        <v>-40.193055612538501</v>
      </c>
      <c r="AF118" s="127">
        <f t="shared" si="115"/>
        <v>-40.193055612538501</v>
      </c>
      <c r="AG118" s="127">
        <f t="shared" si="116"/>
        <v>-40.193055612538501</v>
      </c>
      <c r="AH118" s="127">
        <f t="shared" si="117"/>
        <v>-40.193055612538501</v>
      </c>
      <c r="AI118" s="127">
        <f>AH118</f>
        <v>-40.193055612538501</v>
      </c>
      <c r="AJ118" s="127">
        <f t="shared" si="119"/>
        <v>-40.193055612538501</v>
      </c>
      <c r="AK118" s="127">
        <f t="shared" si="120"/>
        <v>-40.193055612538501</v>
      </c>
      <c r="AL118" s="127">
        <f t="shared" si="121"/>
        <v>-40.193055612538501</v>
      </c>
      <c r="AM118" s="127">
        <f t="shared" si="122"/>
        <v>-40.193055612538501</v>
      </c>
      <c r="AN118" s="127">
        <f t="shared" si="123"/>
        <v>-40.193055612538501</v>
      </c>
      <c r="AO118" s="554"/>
    </row>
    <row r="119" spans="1:41" ht="12.75" customHeight="1" outlineLevel="1">
      <c r="A119" s="128"/>
      <c r="B119" s="128" t="s">
        <v>438</v>
      </c>
      <c r="C119" s="102"/>
      <c r="D119" s="102"/>
      <c r="E119" s="102"/>
      <c r="F119" s="102"/>
      <c r="G119" s="102"/>
      <c r="H119" s="102"/>
      <c r="I119" s="102"/>
      <c r="J119" s="102"/>
      <c r="K119" s="102"/>
      <c r="L119" s="102"/>
      <c r="M119" s="102"/>
      <c r="N119" s="102"/>
      <c r="O119" s="102"/>
      <c r="P119" s="102"/>
      <c r="Q119" s="102"/>
      <c r="R119" s="102"/>
      <c r="S119" s="127"/>
      <c r="T119" s="127"/>
      <c r="U119" s="127"/>
      <c r="V119" s="127"/>
      <c r="W119" s="127"/>
      <c r="X119" s="127">
        <f>X136-SUM(X104:X118)</f>
        <v>76.486481428297566</v>
      </c>
      <c r="Y119" s="127">
        <f>X119</f>
        <v>76.486481428297566</v>
      </c>
      <c r="Z119" s="127">
        <f>Y119</f>
        <v>76.486481428297566</v>
      </c>
      <c r="AA119" s="127">
        <f t="shared" si="124"/>
        <v>76.486481428297566</v>
      </c>
      <c r="AB119" s="127">
        <f t="shared" si="111"/>
        <v>76.486481428297566</v>
      </c>
      <c r="AC119" s="127">
        <f t="shared" si="112"/>
        <v>76.486481428297566</v>
      </c>
      <c r="AD119" s="127">
        <f t="shared" si="113"/>
        <v>76.486481428297566</v>
      </c>
      <c r="AE119" s="127">
        <f t="shared" si="114"/>
        <v>76.486481428297566</v>
      </c>
      <c r="AF119" s="127">
        <f t="shared" si="115"/>
        <v>76.486481428297566</v>
      </c>
      <c r="AG119" s="127">
        <f t="shared" si="116"/>
        <v>76.486481428297566</v>
      </c>
      <c r="AH119" s="127">
        <f t="shared" si="117"/>
        <v>76.486481428297566</v>
      </c>
      <c r="AI119" s="127">
        <f t="shared" si="118"/>
        <v>76.486481428297566</v>
      </c>
      <c r="AJ119" s="127">
        <f>AI119</f>
        <v>76.486481428297566</v>
      </c>
      <c r="AK119" s="127">
        <f t="shared" si="120"/>
        <v>76.486481428297566</v>
      </c>
      <c r="AL119" s="127">
        <f t="shared" si="121"/>
        <v>76.486481428297566</v>
      </c>
      <c r="AM119" s="127">
        <f t="shared" si="122"/>
        <v>76.486481428297566</v>
      </c>
      <c r="AN119" s="127">
        <f t="shared" si="123"/>
        <v>76.486481428297566</v>
      </c>
    </row>
    <row r="120" spans="1:41" ht="12.75" customHeight="1" outlineLevel="1">
      <c r="A120" s="128"/>
      <c r="B120" s="128" t="s">
        <v>439</v>
      </c>
      <c r="C120" s="102"/>
      <c r="D120" s="102"/>
      <c r="E120" s="102"/>
      <c r="F120" s="102"/>
      <c r="G120" s="102"/>
      <c r="H120" s="102"/>
      <c r="I120" s="102"/>
      <c r="J120" s="102"/>
      <c r="K120" s="102"/>
      <c r="L120" s="102"/>
      <c r="M120" s="102"/>
      <c r="N120" s="102"/>
      <c r="O120" s="102"/>
      <c r="P120" s="102"/>
      <c r="Q120" s="102"/>
      <c r="R120" s="102"/>
      <c r="S120" s="127"/>
      <c r="T120" s="127"/>
      <c r="U120" s="127"/>
      <c r="V120" s="127"/>
      <c r="W120" s="127"/>
      <c r="X120" s="127"/>
      <c r="Y120" s="127">
        <f>Y136-SUM(Y104:Y119)</f>
        <v>49.18738266641094</v>
      </c>
      <c r="Z120" s="127">
        <f>+Y120</f>
        <v>49.18738266641094</v>
      </c>
      <c r="AA120" s="127">
        <f t="shared" ref="AA120:AD124" si="125">+Z120</f>
        <v>49.18738266641094</v>
      </c>
      <c r="AB120" s="127">
        <f t="shared" si="125"/>
        <v>49.18738266641094</v>
      </c>
      <c r="AC120" s="127">
        <f t="shared" si="125"/>
        <v>49.18738266641094</v>
      </c>
      <c r="AD120" s="127">
        <f t="shared" si="125"/>
        <v>49.18738266641094</v>
      </c>
      <c r="AE120" s="127">
        <f>+AD120</f>
        <v>49.18738266641094</v>
      </c>
      <c r="AF120" s="127">
        <f t="shared" ref="AF120:AF126" si="126">+AE120</f>
        <v>49.18738266641094</v>
      </c>
      <c r="AG120" s="127">
        <f t="shared" ref="AG120:AG127" si="127">+AF120</f>
        <v>49.18738266641094</v>
      </c>
      <c r="AH120" s="127">
        <f t="shared" ref="AH120:AH127" si="128">+AG120</f>
        <v>49.18738266641094</v>
      </c>
      <c r="AI120" s="127">
        <f t="shared" ref="AI120:AI129" si="129">+AH120</f>
        <v>49.18738266641094</v>
      </c>
      <c r="AJ120" s="127">
        <f t="shared" ref="AJ120:AJ130" si="130">+AI120</f>
        <v>49.18738266641094</v>
      </c>
      <c r="AK120" s="127">
        <f t="shared" ref="AK120" si="131">+AJ120</f>
        <v>49.18738266641094</v>
      </c>
      <c r="AL120" s="127">
        <f t="shared" ref="AL120:AL121" si="132">+AK120</f>
        <v>49.18738266641094</v>
      </c>
      <c r="AM120" s="127">
        <f t="shared" ref="AM120:AM122" si="133">+AL120</f>
        <v>49.18738266641094</v>
      </c>
      <c r="AN120" s="127">
        <f t="shared" ref="AN120:AN122" si="134">+AM120</f>
        <v>49.18738266641094</v>
      </c>
    </row>
    <row r="121" spans="1:41" ht="12.75" customHeight="1" outlineLevel="1">
      <c r="A121" s="128"/>
      <c r="B121" s="128" t="s">
        <v>440</v>
      </c>
      <c r="C121" s="102"/>
      <c r="D121" s="102"/>
      <c r="E121" s="102"/>
      <c r="F121" s="102"/>
      <c r="G121" s="102"/>
      <c r="H121" s="102"/>
      <c r="I121" s="102"/>
      <c r="J121" s="102"/>
      <c r="K121" s="102"/>
      <c r="L121" s="102"/>
      <c r="M121" s="102"/>
      <c r="N121" s="102"/>
      <c r="O121" s="102"/>
      <c r="P121" s="102"/>
      <c r="Q121" s="102"/>
      <c r="R121" s="102"/>
      <c r="S121" s="127"/>
      <c r="T121" s="127"/>
      <c r="U121" s="127"/>
      <c r="V121" s="127"/>
      <c r="W121" s="127"/>
      <c r="X121" s="127"/>
      <c r="Y121" s="127"/>
      <c r="Z121" s="127">
        <f>Z96/$AO$103</f>
        <v>49.2</v>
      </c>
      <c r="AA121" s="127">
        <f>+Z121</f>
        <v>49.2</v>
      </c>
      <c r="AB121" s="127">
        <f t="shared" si="125"/>
        <v>49.2</v>
      </c>
      <c r="AC121" s="127">
        <f t="shared" si="125"/>
        <v>49.2</v>
      </c>
      <c r="AD121" s="127">
        <f t="shared" si="125"/>
        <v>49.2</v>
      </c>
      <c r="AE121" s="127">
        <f>+AD121</f>
        <v>49.2</v>
      </c>
      <c r="AF121" s="127">
        <f t="shared" si="126"/>
        <v>49.2</v>
      </c>
      <c r="AG121" s="127">
        <f t="shared" si="127"/>
        <v>49.2</v>
      </c>
      <c r="AH121" s="127">
        <f t="shared" si="128"/>
        <v>49.2</v>
      </c>
      <c r="AI121" s="127">
        <f t="shared" si="129"/>
        <v>49.2</v>
      </c>
      <c r="AJ121" s="127">
        <f t="shared" si="130"/>
        <v>49.2</v>
      </c>
      <c r="AK121" s="127">
        <f t="shared" ref="AK121:AK131" si="135">+AJ121</f>
        <v>49.2</v>
      </c>
      <c r="AL121" s="127">
        <f t="shared" si="132"/>
        <v>49.2</v>
      </c>
      <c r="AM121" s="127">
        <f t="shared" si="133"/>
        <v>49.2</v>
      </c>
      <c r="AN121" s="127">
        <f t="shared" si="134"/>
        <v>49.2</v>
      </c>
    </row>
    <row r="122" spans="1:41" ht="12.75" customHeight="1" outlineLevel="1">
      <c r="A122" s="128"/>
      <c r="B122" s="128" t="s">
        <v>526</v>
      </c>
      <c r="C122" s="102"/>
      <c r="D122" s="102"/>
      <c r="E122" s="102"/>
      <c r="F122" s="102"/>
      <c r="G122" s="102"/>
      <c r="H122" s="102"/>
      <c r="I122" s="102"/>
      <c r="J122" s="102"/>
      <c r="K122" s="102"/>
      <c r="L122" s="102"/>
      <c r="M122" s="102"/>
      <c r="N122" s="102"/>
      <c r="O122" s="102"/>
      <c r="P122" s="102"/>
      <c r="Q122" s="102"/>
      <c r="R122" s="102"/>
      <c r="S122" s="127"/>
      <c r="T122" s="127"/>
      <c r="U122" s="127"/>
      <c r="V122" s="127"/>
      <c r="W122" s="127"/>
      <c r="X122" s="127"/>
      <c r="Y122" s="127"/>
      <c r="Z122" s="127"/>
      <c r="AA122" s="127">
        <f>AA96/$AO$103</f>
        <v>43.533333333333331</v>
      </c>
      <c r="AB122" s="127">
        <f t="shared" si="125"/>
        <v>43.533333333333331</v>
      </c>
      <c r="AC122" s="127">
        <f t="shared" si="125"/>
        <v>43.533333333333331</v>
      </c>
      <c r="AD122" s="127">
        <f t="shared" si="125"/>
        <v>43.533333333333331</v>
      </c>
      <c r="AE122" s="127">
        <f>+AD122</f>
        <v>43.533333333333331</v>
      </c>
      <c r="AF122" s="127">
        <f t="shared" si="126"/>
        <v>43.533333333333331</v>
      </c>
      <c r="AG122" s="127">
        <f t="shared" si="127"/>
        <v>43.533333333333331</v>
      </c>
      <c r="AH122" s="127">
        <f t="shared" si="128"/>
        <v>43.533333333333331</v>
      </c>
      <c r="AI122" s="127">
        <f t="shared" si="129"/>
        <v>43.533333333333331</v>
      </c>
      <c r="AJ122" s="127">
        <f t="shared" si="130"/>
        <v>43.533333333333331</v>
      </c>
      <c r="AK122" s="127">
        <f t="shared" si="135"/>
        <v>43.533333333333331</v>
      </c>
      <c r="AL122" s="127">
        <f t="shared" ref="AL122:AL132" si="136">+AK122</f>
        <v>43.533333333333331</v>
      </c>
      <c r="AM122" s="127">
        <f t="shared" si="133"/>
        <v>43.533333333333331</v>
      </c>
      <c r="AN122" s="127">
        <f t="shared" si="134"/>
        <v>43.533333333333331</v>
      </c>
    </row>
    <row r="123" spans="1:41" ht="12.75" customHeight="1" outlineLevel="1">
      <c r="A123" s="128"/>
      <c r="B123" s="128" t="s">
        <v>527</v>
      </c>
      <c r="C123" s="102"/>
      <c r="D123" s="102"/>
      <c r="E123" s="102"/>
      <c r="F123" s="102"/>
      <c r="G123" s="102"/>
      <c r="H123" s="102"/>
      <c r="I123" s="102"/>
      <c r="J123" s="102"/>
      <c r="K123" s="102"/>
      <c r="L123" s="102"/>
      <c r="M123" s="102"/>
      <c r="N123" s="102"/>
      <c r="O123" s="102"/>
      <c r="P123" s="102"/>
      <c r="Q123" s="102"/>
      <c r="R123" s="102"/>
      <c r="S123" s="127"/>
      <c r="T123" s="127"/>
      <c r="U123" s="127"/>
      <c r="V123" s="127"/>
      <c r="W123" s="127"/>
      <c r="X123" s="127"/>
      <c r="Y123" s="127"/>
      <c r="Z123" s="127"/>
      <c r="AA123" s="127"/>
      <c r="AB123" s="127">
        <f>AB96/$AO$103</f>
        <v>45.266279925104023</v>
      </c>
      <c r="AC123" s="127">
        <f t="shared" si="125"/>
        <v>45.266279925104023</v>
      </c>
      <c r="AD123" s="127">
        <f t="shared" si="125"/>
        <v>45.266279925104023</v>
      </c>
      <c r="AE123" s="127">
        <f>+AD123</f>
        <v>45.266279925104023</v>
      </c>
      <c r="AF123" s="127">
        <f t="shared" si="126"/>
        <v>45.266279925104023</v>
      </c>
      <c r="AG123" s="127">
        <f t="shared" si="127"/>
        <v>45.266279925104023</v>
      </c>
      <c r="AH123" s="127">
        <f t="shared" si="128"/>
        <v>45.266279925104023</v>
      </c>
      <c r="AI123" s="127">
        <f t="shared" si="129"/>
        <v>45.266279925104023</v>
      </c>
      <c r="AJ123" s="127">
        <f t="shared" si="130"/>
        <v>45.266279925104023</v>
      </c>
      <c r="AK123" s="127">
        <f t="shared" si="135"/>
        <v>45.266279925104023</v>
      </c>
      <c r="AL123" s="127">
        <f t="shared" si="136"/>
        <v>45.266279925104023</v>
      </c>
      <c r="AM123" s="127">
        <f t="shared" ref="AM123:AN133" si="137">+AL123</f>
        <v>45.266279925104023</v>
      </c>
      <c r="AN123" s="127">
        <f t="shared" si="137"/>
        <v>45.266279925104023</v>
      </c>
    </row>
    <row r="124" spans="1:41" ht="12.75" customHeight="1" outlineLevel="1">
      <c r="A124" s="128"/>
      <c r="B124" s="128" t="s">
        <v>528</v>
      </c>
      <c r="C124" s="102"/>
      <c r="D124" s="102"/>
      <c r="E124" s="102"/>
      <c r="F124" s="102"/>
      <c r="G124" s="102"/>
      <c r="H124" s="102"/>
      <c r="I124" s="102"/>
      <c r="J124" s="102"/>
      <c r="K124" s="102"/>
      <c r="L124" s="102"/>
      <c r="M124" s="102"/>
      <c r="N124" s="102"/>
      <c r="O124" s="102"/>
      <c r="P124" s="102"/>
      <c r="Q124" s="102"/>
      <c r="R124" s="102"/>
      <c r="S124" s="127"/>
      <c r="T124" s="127"/>
      <c r="U124" s="127"/>
      <c r="V124" s="127"/>
      <c r="W124" s="127"/>
      <c r="X124" s="127"/>
      <c r="Y124" s="127"/>
      <c r="Z124" s="127"/>
      <c r="AA124" s="127"/>
      <c r="AB124" s="127"/>
      <c r="AC124" s="127">
        <f>AC96/$AO$103</f>
        <v>44.963462987460055</v>
      </c>
      <c r="AD124" s="127">
        <f t="shared" si="125"/>
        <v>44.963462987460055</v>
      </c>
      <c r="AE124" s="127">
        <f>+AD124</f>
        <v>44.963462987460055</v>
      </c>
      <c r="AF124" s="127">
        <f t="shared" si="126"/>
        <v>44.963462987460055</v>
      </c>
      <c r="AG124" s="127">
        <f t="shared" si="127"/>
        <v>44.963462987460055</v>
      </c>
      <c r="AH124" s="127">
        <f t="shared" si="128"/>
        <v>44.963462987460055</v>
      </c>
      <c r="AI124" s="127">
        <f t="shared" si="129"/>
        <v>44.963462987460055</v>
      </c>
      <c r="AJ124" s="127">
        <f t="shared" si="130"/>
        <v>44.963462987460055</v>
      </c>
      <c r="AK124" s="127">
        <f t="shared" si="135"/>
        <v>44.963462987460055</v>
      </c>
      <c r="AL124" s="127">
        <f t="shared" si="136"/>
        <v>44.963462987460055</v>
      </c>
      <c r="AM124" s="127">
        <f t="shared" si="137"/>
        <v>44.963462987460055</v>
      </c>
      <c r="AN124" s="127">
        <f t="shared" ref="AN124:AN134" si="138">+AM124</f>
        <v>44.963462987460055</v>
      </c>
    </row>
    <row r="125" spans="1:41" ht="12.75" customHeight="1" outlineLevel="1">
      <c r="A125" s="128"/>
      <c r="B125" s="128" t="s">
        <v>529</v>
      </c>
      <c r="C125" s="102"/>
      <c r="D125" s="102"/>
      <c r="E125" s="102"/>
      <c r="F125" s="102"/>
      <c r="G125" s="102"/>
      <c r="H125" s="102"/>
      <c r="I125" s="102"/>
      <c r="J125" s="102"/>
      <c r="K125" s="102"/>
      <c r="L125" s="102"/>
      <c r="M125" s="102"/>
      <c r="N125" s="102"/>
      <c r="O125" s="102"/>
      <c r="P125" s="102"/>
      <c r="Q125" s="102"/>
      <c r="R125" s="102"/>
      <c r="S125" s="127"/>
      <c r="T125" s="127"/>
      <c r="U125" s="127"/>
      <c r="V125" s="127"/>
      <c r="W125" s="127"/>
      <c r="X125" s="127"/>
      <c r="Y125" s="127"/>
      <c r="Z125" s="127"/>
      <c r="AA125" s="127"/>
      <c r="AB125" s="127"/>
      <c r="AC125" s="127"/>
      <c r="AD125" s="127">
        <f>AD96/$AO$103</f>
        <v>45.453199991663993</v>
      </c>
      <c r="AE125" s="127">
        <f>AD125</f>
        <v>45.453199991663993</v>
      </c>
      <c r="AF125" s="127">
        <f t="shared" si="126"/>
        <v>45.453199991663993</v>
      </c>
      <c r="AG125" s="127">
        <f t="shared" si="127"/>
        <v>45.453199991663993</v>
      </c>
      <c r="AH125" s="127">
        <f t="shared" si="128"/>
        <v>45.453199991663993</v>
      </c>
      <c r="AI125" s="127">
        <f t="shared" si="129"/>
        <v>45.453199991663993</v>
      </c>
      <c r="AJ125" s="127">
        <f t="shared" si="130"/>
        <v>45.453199991663993</v>
      </c>
      <c r="AK125" s="127">
        <f t="shared" si="135"/>
        <v>45.453199991663993</v>
      </c>
      <c r="AL125" s="127">
        <f t="shared" si="136"/>
        <v>45.453199991663993</v>
      </c>
      <c r="AM125" s="127">
        <f t="shared" si="137"/>
        <v>45.453199991663993</v>
      </c>
      <c r="AN125" s="127">
        <f t="shared" si="138"/>
        <v>45.453199991663993</v>
      </c>
    </row>
    <row r="126" spans="1:41" ht="12.75" customHeight="1" outlineLevel="1">
      <c r="A126" s="128"/>
      <c r="B126" s="701" t="s">
        <v>859</v>
      </c>
      <c r="C126" s="102"/>
      <c r="D126" s="102"/>
      <c r="E126" s="102"/>
      <c r="F126" s="102"/>
      <c r="G126" s="102"/>
      <c r="H126" s="102"/>
      <c r="I126" s="102"/>
      <c r="J126" s="102"/>
      <c r="K126" s="102"/>
      <c r="L126" s="102"/>
      <c r="M126" s="102"/>
      <c r="N126" s="102"/>
      <c r="O126" s="102"/>
      <c r="P126" s="102"/>
      <c r="Q126" s="102"/>
      <c r="R126" s="102"/>
      <c r="S126" s="127"/>
      <c r="T126" s="127"/>
      <c r="U126" s="127"/>
      <c r="V126" s="127"/>
      <c r="W126" s="127"/>
      <c r="X126" s="127"/>
      <c r="Y126" s="127"/>
      <c r="Z126" s="127"/>
      <c r="AA126" s="127"/>
      <c r="AB126" s="127"/>
      <c r="AC126" s="127"/>
      <c r="AD126" s="127"/>
      <c r="AE126" s="127">
        <f>AE96/$AO$103</f>
        <v>45.162296200031413</v>
      </c>
      <c r="AF126" s="127">
        <f t="shared" si="126"/>
        <v>45.162296200031413</v>
      </c>
      <c r="AG126" s="127">
        <f t="shared" si="127"/>
        <v>45.162296200031413</v>
      </c>
      <c r="AH126" s="127">
        <f t="shared" si="128"/>
        <v>45.162296200031413</v>
      </c>
      <c r="AI126" s="127">
        <f t="shared" si="129"/>
        <v>45.162296200031413</v>
      </c>
      <c r="AJ126" s="127">
        <f t="shared" si="130"/>
        <v>45.162296200031413</v>
      </c>
      <c r="AK126" s="127">
        <f t="shared" si="135"/>
        <v>45.162296200031413</v>
      </c>
      <c r="AL126" s="127">
        <f t="shared" si="136"/>
        <v>45.162296200031413</v>
      </c>
      <c r="AM126" s="127">
        <f t="shared" si="137"/>
        <v>45.162296200031413</v>
      </c>
      <c r="AN126" s="554">
        <f t="shared" si="138"/>
        <v>45.162296200031413</v>
      </c>
    </row>
    <row r="127" spans="1:41" ht="12.75" customHeight="1" outlineLevel="1">
      <c r="A127" s="128"/>
      <c r="B127" s="701" t="s">
        <v>860</v>
      </c>
      <c r="C127" s="102"/>
      <c r="D127" s="102"/>
      <c r="E127" s="102"/>
      <c r="F127" s="102"/>
      <c r="G127" s="102"/>
      <c r="H127" s="102"/>
      <c r="I127" s="102"/>
      <c r="J127" s="102"/>
      <c r="K127" s="102"/>
      <c r="L127" s="102"/>
      <c r="M127" s="102"/>
      <c r="N127" s="102"/>
      <c r="O127" s="102"/>
      <c r="P127" s="102"/>
      <c r="Q127" s="102"/>
      <c r="R127" s="102"/>
      <c r="S127" s="127"/>
      <c r="T127" s="127"/>
      <c r="U127" s="127"/>
      <c r="V127" s="127"/>
      <c r="W127" s="127"/>
      <c r="X127" s="127"/>
      <c r="Y127" s="127"/>
      <c r="Z127" s="127"/>
      <c r="AA127" s="127"/>
      <c r="AB127" s="127"/>
      <c r="AC127" s="127"/>
      <c r="AD127" s="127"/>
      <c r="AE127" s="127"/>
      <c r="AF127" s="127">
        <f>AF96/$AO$103</f>
        <v>46.82751395573424</v>
      </c>
      <c r="AG127" s="127">
        <f t="shared" si="127"/>
        <v>46.82751395573424</v>
      </c>
      <c r="AH127" s="127">
        <f t="shared" si="128"/>
        <v>46.82751395573424</v>
      </c>
      <c r="AI127" s="127">
        <f t="shared" si="129"/>
        <v>46.82751395573424</v>
      </c>
      <c r="AJ127" s="127">
        <f t="shared" si="130"/>
        <v>46.82751395573424</v>
      </c>
      <c r="AK127" s="127">
        <f t="shared" si="135"/>
        <v>46.82751395573424</v>
      </c>
      <c r="AL127" s="127">
        <f t="shared" si="136"/>
        <v>46.82751395573424</v>
      </c>
      <c r="AM127" s="127">
        <f t="shared" si="137"/>
        <v>46.82751395573424</v>
      </c>
      <c r="AN127" s="554">
        <f t="shared" si="138"/>
        <v>46.82751395573424</v>
      </c>
    </row>
    <row r="128" spans="1:41" ht="12.75" customHeight="1" outlineLevel="1">
      <c r="A128" s="128"/>
      <c r="B128" s="701" t="s">
        <v>861</v>
      </c>
      <c r="C128" s="102"/>
      <c r="D128" s="102"/>
      <c r="E128" s="102"/>
      <c r="F128" s="102"/>
      <c r="G128" s="102"/>
      <c r="H128" s="102"/>
      <c r="I128" s="102"/>
      <c r="J128" s="102"/>
      <c r="K128" s="102"/>
      <c r="L128" s="102"/>
      <c r="M128" s="102"/>
      <c r="N128" s="102"/>
      <c r="O128" s="102"/>
      <c r="P128" s="102"/>
      <c r="Q128" s="102"/>
      <c r="R128" s="102"/>
      <c r="S128" s="127"/>
      <c r="T128" s="127"/>
      <c r="U128" s="127"/>
      <c r="V128" s="127"/>
      <c r="W128" s="127"/>
      <c r="X128" s="127"/>
      <c r="Y128" s="127"/>
      <c r="Z128" s="127"/>
      <c r="AA128" s="127"/>
      <c r="AB128" s="127"/>
      <c r="AC128" s="127"/>
      <c r="AD128" s="127"/>
      <c r="AE128" s="127"/>
      <c r="AF128" s="127"/>
      <c r="AG128" s="127">
        <f>AG96/$AO$103</f>
        <v>49.183428485051955</v>
      </c>
      <c r="AH128" s="127">
        <f>+AG128</f>
        <v>49.183428485051955</v>
      </c>
      <c r="AI128" s="127">
        <f t="shared" si="129"/>
        <v>49.183428485051955</v>
      </c>
      <c r="AJ128" s="127">
        <f t="shared" si="130"/>
        <v>49.183428485051955</v>
      </c>
      <c r="AK128" s="127">
        <f t="shared" si="135"/>
        <v>49.183428485051955</v>
      </c>
      <c r="AL128" s="127">
        <f t="shared" si="136"/>
        <v>49.183428485051955</v>
      </c>
      <c r="AM128" s="127">
        <f t="shared" si="137"/>
        <v>49.183428485051955</v>
      </c>
      <c r="AN128" s="554">
        <f t="shared" si="138"/>
        <v>49.183428485051955</v>
      </c>
    </row>
    <row r="129" spans="1:40" ht="12.75" customHeight="1" outlineLevel="1">
      <c r="A129" s="128"/>
      <c r="B129" s="701" t="s">
        <v>862</v>
      </c>
      <c r="C129" s="102"/>
      <c r="D129" s="102"/>
      <c r="E129" s="102"/>
      <c r="F129" s="102"/>
      <c r="G129" s="102"/>
      <c r="H129" s="102"/>
      <c r="I129" s="102"/>
      <c r="J129" s="102"/>
      <c r="K129" s="102"/>
      <c r="L129" s="102"/>
      <c r="M129" s="102"/>
      <c r="N129" s="102"/>
      <c r="O129" s="102"/>
      <c r="P129" s="102"/>
      <c r="Q129" s="102"/>
      <c r="R129" s="102"/>
      <c r="S129" s="127"/>
      <c r="T129" s="127"/>
      <c r="U129" s="127"/>
      <c r="V129" s="127"/>
      <c r="W129" s="127"/>
      <c r="X129" s="127"/>
      <c r="Y129" s="127"/>
      <c r="Z129" s="127"/>
      <c r="AA129" s="127"/>
      <c r="AB129" s="127"/>
      <c r="AC129" s="127"/>
      <c r="AD129" s="127"/>
      <c r="AE129" s="127"/>
      <c r="AF129" s="127"/>
      <c r="AG129" s="127"/>
      <c r="AH129" s="127">
        <f>AH96/$AO$103</f>
        <v>50.66542893566578</v>
      </c>
      <c r="AI129" s="127">
        <f t="shared" si="129"/>
        <v>50.66542893566578</v>
      </c>
      <c r="AJ129" s="127">
        <f t="shared" si="130"/>
        <v>50.66542893566578</v>
      </c>
      <c r="AK129" s="127">
        <f t="shared" si="135"/>
        <v>50.66542893566578</v>
      </c>
      <c r="AL129" s="127">
        <f t="shared" si="136"/>
        <v>50.66542893566578</v>
      </c>
      <c r="AM129" s="127">
        <f t="shared" si="137"/>
        <v>50.66542893566578</v>
      </c>
      <c r="AN129" s="554">
        <f t="shared" si="138"/>
        <v>50.66542893566578</v>
      </c>
    </row>
    <row r="130" spans="1:40" ht="12.75" customHeight="1" outlineLevel="1">
      <c r="A130" s="128"/>
      <c r="B130" s="701" t="s">
        <v>863</v>
      </c>
      <c r="C130" s="102"/>
      <c r="D130" s="102"/>
      <c r="E130" s="102"/>
      <c r="F130" s="102"/>
      <c r="G130" s="102"/>
      <c r="H130" s="102"/>
      <c r="I130" s="102"/>
      <c r="J130" s="102"/>
      <c r="K130" s="102"/>
      <c r="L130" s="102"/>
      <c r="M130" s="102"/>
      <c r="N130" s="102"/>
      <c r="O130" s="102"/>
      <c r="P130" s="102"/>
      <c r="Q130" s="102"/>
      <c r="R130" s="102"/>
      <c r="S130" s="127"/>
      <c r="T130" s="127"/>
      <c r="U130" s="127"/>
      <c r="V130" s="127"/>
      <c r="W130" s="127"/>
      <c r="X130" s="127"/>
      <c r="Y130" s="127"/>
      <c r="Z130" s="127"/>
      <c r="AA130" s="127"/>
      <c r="AB130" s="127"/>
      <c r="AC130" s="127"/>
      <c r="AD130" s="127"/>
      <c r="AE130" s="127"/>
      <c r="AF130" s="127"/>
      <c r="AG130" s="127"/>
      <c r="AH130" s="127"/>
      <c r="AI130" s="127">
        <f>AI96/$AO$103</f>
        <v>51.446365000153406</v>
      </c>
      <c r="AJ130" s="127">
        <f t="shared" si="130"/>
        <v>51.446365000153406</v>
      </c>
      <c r="AK130" s="127">
        <f t="shared" si="135"/>
        <v>51.446365000153406</v>
      </c>
      <c r="AL130" s="127">
        <f t="shared" si="136"/>
        <v>51.446365000153406</v>
      </c>
      <c r="AM130" s="127">
        <f t="shared" si="137"/>
        <v>51.446365000153406</v>
      </c>
      <c r="AN130" s="554">
        <f t="shared" si="138"/>
        <v>51.446365000153406</v>
      </c>
    </row>
    <row r="131" spans="1:40" ht="12.75" customHeight="1" outlineLevel="1">
      <c r="A131" s="128"/>
      <c r="B131" s="701" t="s">
        <v>864</v>
      </c>
      <c r="C131" s="102"/>
      <c r="D131" s="102"/>
      <c r="E131" s="102"/>
      <c r="F131" s="102"/>
      <c r="G131" s="102"/>
      <c r="H131" s="102"/>
      <c r="I131" s="102"/>
      <c r="J131" s="102"/>
      <c r="K131" s="102"/>
      <c r="L131" s="102"/>
      <c r="M131" s="102"/>
      <c r="N131" s="102"/>
      <c r="O131" s="102"/>
      <c r="P131" s="102"/>
      <c r="Q131" s="102"/>
      <c r="R131" s="102"/>
      <c r="S131" s="127"/>
      <c r="T131" s="127"/>
      <c r="U131" s="127"/>
      <c r="V131" s="127"/>
      <c r="W131" s="127"/>
      <c r="X131" s="127"/>
      <c r="Y131" s="127"/>
      <c r="Z131" s="127"/>
      <c r="AA131" s="127"/>
      <c r="AB131" s="127"/>
      <c r="AC131" s="127"/>
      <c r="AD131" s="127"/>
      <c r="AE131" s="127"/>
      <c r="AF131" s="127"/>
      <c r="AG131" s="127"/>
      <c r="AH131" s="127"/>
      <c r="AI131" s="127"/>
      <c r="AJ131" s="127">
        <f>AJ96/$AO$103</f>
        <v>51.178294137423883</v>
      </c>
      <c r="AK131" s="127">
        <f t="shared" si="135"/>
        <v>51.178294137423883</v>
      </c>
      <c r="AL131" s="127">
        <f t="shared" si="136"/>
        <v>51.178294137423883</v>
      </c>
      <c r="AM131" s="127">
        <f t="shared" si="137"/>
        <v>51.178294137423883</v>
      </c>
      <c r="AN131" s="554">
        <f t="shared" si="138"/>
        <v>51.178294137423883</v>
      </c>
    </row>
    <row r="132" spans="1:40" ht="12.75" customHeight="1" outlineLevel="1">
      <c r="A132" s="128"/>
      <c r="B132" s="701" t="s">
        <v>865</v>
      </c>
      <c r="C132" s="102"/>
      <c r="D132" s="102"/>
      <c r="E132" s="102"/>
      <c r="F132" s="102"/>
      <c r="G132" s="102"/>
      <c r="H132" s="102"/>
      <c r="I132" s="102"/>
      <c r="J132" s="102"/>
      <c r="K132" s="102"/>
      <c r="L132" s="102"/>
      <c r="M132" s="102"/>
      <c r="N132" s="102"/>
      <c r="O132" s="102"/>
      <c r="P132" s="102"/>
      <c r="Q132" s="102"/>
      <c r="R132" s="102"/>
      <c r="S132" s="127"/>
      <c r="T132" s="127"/>
      <c r="U132" s="127"/>
      <c r="V132" s="127"/>
      <c r="W132" s="127"/>
      <c r="X132" s="127"/>
      <c r="Y132" s="127"/>
      <c r="Z132" s="127"/>
      <c r="AA132" s="127"/>
      <c r="AB132" s="127"/>
      <c r="AC132" s="127"/>
      <c r="AD132" s="127"/>
      <c r="AE132" s="127"/>
      <c r="AF132" s="127"/>
      <c r="AG132" s="127"/>
      <c r="AH132" s="127"/>
      <c r="AI132" s="127"/>
      <c r="AJ132" s="127"/>
      <c r="AK132" s="127">
        <f>AK96/$AO$103</f>
        <v>85.271923829953025</v>
      </c>
      <c r="AL132" s="127">
        <f t="shared" si="136"/>
        <v>85.271923829953025</v>
      </c>
      <c r="AM132" s="127">
        <f t="shared" si="137"/>
        <v>85.271923829953025</v>
      </c>
      <c r="AN132" s="554">
        <f t="shared" si="138"/>
        <v>85.271923829953025</v>
      </c>
    </row>
    <row r="133" spans="1:40" ht="12.75" customHeight="1" outlineLevel="1">
      <c r="A133" s="128"/>
      <c r="B133" s="701" t="s">
        <v>866</v>
      </c>
      <c r="C133" s="102"/>
      <c r="D133" s="102"/>
      <c r="E133" s="102"/>
      <c r="F133" s="102"/>
      <c r="G133" s="102"/>
      <c r="H133" s="102"/>
      <c r="I133" s="102"/>
      <c r="J133" s="102"/>
      <c r="K133" s="102"/>
      <c r="L133" s="102"/>
      <c r="M133" s="102"/>
      <c r="N133" s="102"/>
      <c r="O133" s="102"/>
      <c r="P133" s="102"/>
      <c r="Q133" s="102"/>
      <c r="R133" s="102"/>
      <c r="S133" s="127"/>
      <c r="T133" s="127"/>
      <c r="U133" s="127"/>
      <c r="V133" s="127"/>
      <c r="W133" s="127"/>
      <c r="X133" s="127"/>
      <c r="Y133" s="127"/>
      <c r="Z133" s="127"/>
      <c r="AA133" s="127"/>
      <c r="AB133" s="127"/>
      <c r="AC133" s="127"/>
      <c r="AD133" s="127"/>
      <c r="AE133" s="127"/>
      <c r="AF133" s="127"/>
      <c r="AG133" s="127"/>
      <c r="AH133" s="127"/>
      <c r="AI133" s="127"/>
      <c r="AJ133" s="127"/>
      <c r="AK133" s="127"/>
      <c r="AL133" s="127">
        <f>AL96/$AO$103</f>
        <v>79.341329787387934</v>
      </c>
      <c r="AM133" s="127">
        <f t="shared" si="137"/>
        <v>79.341329787387934</v>
      </c>
      <c r="AN133" s="554">
        <f t="shared" si="138"/>
        <v>79.341329787387934</v>
      </c>
    </row>
    <row r="134" spans="1:40" ht="12.75" customHeight="1" outlineLevel="1">
      <c r="A134" s="128"/>
      <c r="B134" s="701" t="s">
        <v>867</v>
      </c>
      <c r="C134" s="102"/>
      <c r="D134" s="102"/>
      <c r="E134" s="102"/>
      <c r="F134" s="102"/>
      <c r="G134" s="102"/>
      <c r="H134" s="102"/>
      <c r="I134" s="102"/>
      <c r="J134" s="102"/>
      <c r="K134" s="102"/>
      <c r="L134" s="102"/>
      <c r="M134" s="102"/>
      <c r="N134" s="102"/>
      <c r="O134" s="102"/>
      <c r="P134" s="102"/>
      <c r="Q134" s="102"/>
      <c r="R134" s="102"/>
      <c r="S134" s="127"/>
      <c r="T134" s="127"/>
      <c r="U134" s="127"/>
      <c r="V134" s="127"/>
      <c r="W134" s="127"/>
      <c r="X134" s="127"/>
      <c r="Y134" s="127"/>
      <c r="Z134" s="127"/>
      <c r="AA134" s="127"/>
      <c r="AB134" s="127"/>
      <c r="AC134" s="127"/>
      <c r="AD134" s="127"/>
      <c r="AE134" s="127"/>
      <c r="AF134" s="127"/>
      <c r="AG134" s="127"/>
      <c r="AH134" s="127"/>
      <c r="AI134" s="127"/>
      <c r="AJ134" s="127"/>
      <c r="AK134" s="127"/>
      <c r="AL134" s="127"/>
      <c r="AM134" s="127">
        <f>AM96/$AO$103</f>
        <v>91.43427373721947</v>
      </c>
      <c r="AN134" s="554">
        <f t="shared" si="138"/>
        <v>91.43427373721947</v>
      </c>
    </row>
    <row r="135" spans="1:40" ht="12.75" customHeight="1" outlineLevel="1">
      <c r="A135" s="128"/>
      <c r="B135" s="701" t="s">
        <v>868</v>
      </c>
      <c r="C135" s="102"/>
      <c r="D135" s="102"/>
      <c r="E135" s="102"/>
      <c r="F135" s="102"/>
      <c r="G135" s="102"/>
      <c r="H135" s="102"/>
      <c r="I135" s="102"/>
      <c r="J135" s="102"/>
      <c r="K135" s="102"/>
      <c r="L135" s="102"/>
      <c r="M135" s="102"/>
      <c r="N135" s="102"/>
      <c r="O135" s="102"/>
      <c r="P135" s="102"/>
      <c r="Q135" s="102"/>
      <c r="R135" s="102"/>
      <c r="S135" s="127"/>
      <c r="T135" s="127"/>
      <c r="U135" s="127"/>
      <c r="V135" s="127"/>
      <c r="W135" s="127"/>
      <c r="X135" s="127"/>
      <c r="Y135" s="127"/>
      <c r="Z135" s="127"/>
      <c r="AA135" s="127"/>
      <c r="AB135" s="127"/>
      <c r="AC135" s="127"/>
      <c r="AD135" s="127"/>
      <c r="AE135" s="127"/>
      <c r="AF135" s="127"/>
      <c r="AG135" s="127"/>
      <c r="AH135" s="127"/>
      <c r="AI135" s="127"/>
      <c r="AJ135" s="127"/>
      <c r="AK135" s="127"/>
      <c r="AL135" s="127"/>
      <c r="AM135" s="127"/>
      <c r="AN135" s="554">
        <f>AN96/$AO$103</f>
        <v>148.46272381110577</v>
      </c>
    </row>
    <row r="136" spans="1:40" ht="12.75" customHeight="1" outlineLevel="1">
      <c r="A136" s="128"/>
      <c r="B136" s="102" t="s">
        <v>441</v>
      </c>
      <c r="C136" s="102"/>
      <c r="D136" s="102"/>
      <c r="E136" s="102"/>
      <c r="F136" s="102"/>
      <c r="G136" s="102"/>
      <c r="H136" s="102"/>
      <c r="I136" s="102">
        <f>+CF!I6</f>
        <v>176.8</v>
      </c>
      <c r="J136" s="102">
        <f>+CF!J6</f>
        <v>211.8</v>
      </c>
      <c r="K136" s="102">
        <f>+CF!K6</f>
        <v>265.89999999999998</v>
      </c>
      <c r="L136" s="102">
        <f>+CF!L6</f>
        <v>292.10000000000002</v>
      </c>
      <c r="M136" s="102">
        <f>+CF!M6</f>
        <v>350.5</v>
      </c>
      <c r="N136" s="102">
        <f>+CF!N6</f>
        <v>401</v>
      </c>
      <c r="O136" s="102">
        <f>+CF!O6</f>
        <v>494</v>
      </c>
      <c r="P136" s="102">
        <f>+CF!P6</f>
        <v>593</v>
      </c>
      <c r="Q136" s="102">
        <f>+CF!Q6</f>
        <v>786</v>
      </c>
      <c r="R136" s="102">
        <f>+CF!R6</f>
        <v>648</v>
      </c>
      <c r="S136" s="127">
        <f>+CF!S6</f>
        <v>624</v>
      </c>
      <c r="T136" s="127">
        <f>+CF!T6</f>
        <v>594</v>
      </c>
      <c r="U136" s="127">
        <f>+CF!U6</f>
        <v>679</v>
      </c>
      <c r="V136" s="127">
        <f>+CF!V6</f>
        <v>689</v>
      </c>
      <c r="W136" s="127">
        <f>+CF!W6</f>
        <v>644</v>
      </c>
      <c r="X136" s="127">
        <f>+CF!X6</f>
        <v>716</v>
      </c>
      <c r="Y136" s="127">
        <f>+CF!Y6</f>
        <v>761</v>
      </c>
      <c r="Z136" s="127">
        <f>+CF!Z6</f>
        <v>640</v>
      </c>
      <c r="AA136" s="127">
        <f>+CF!AA6</f>
        <v>578</v>
      </c>
      <c r="AB136" s="127">
        <f>SUM(AB104:AB135)</f>
        <v>888.03921667323016</v>
      </c>
      <c r="AC136" s="127">
        <f>SUM(AC104:AC135)</f>
        <v>929.82514894438725</v>
      </c>
      <c r="AD136" s="127">
        <f>SUM(AD104:AD135)</f>
        <v>972.31265360083478</v>
      </c>
      <c r="AE136" s="127">
        <f t="shared" ref="AE136:AN136" si="139">SUM(AE104:AE135)</f>
        <v>1014.7069674879979</v>
      </c>
      <c r="AF136" s="127">
        <f t="shared" si="139"/>
        <v>1058.9510312850548</v>
      </c>
      <c r="AG136" s="127">
        <f t="shared" si="139"/>
        <v>1105.7232396220081</v>
      </c>
      <c r="AH136" s="127">
        <f t="shared" si="139"/>
        <v>1154.1381964194484</v>
      </c>
      <c r="AI136" s="127">
        <f t="shared" si="139"/>
        <v>1203.4841207572581</v>
      </c>
      <c r="AJ136" s="127">
        <f t="shared" si="139"/>
        <v>1252.7020036098277</v>
      </c>
      <c r="AK136" s="127">
        <f t="shared" si="139"/>
        <v>1336.1442102405836</v>
      </c>
      <c r="AL136" s="127">
        <f t="shared" si="139"/>
        <v>1413.7778039753871</v>
      </c>
      <c r="AM136" s="127">
        <f t="shared" si="139"/>
        <v>1503.6181907301948</v>
      </c>
      <c r="AN136" s="127">
        <f t="shared" si="139"/>
        <v>1650.5932866910493</v>
      </c>
    </row>
    <row r="137" spans="1:40" ht="12.75" customHeight="1" outlineLevel="1">
      <c r="A137" s="178"/>
      <c r="B137" s="179" t="s">
        <v>442</v>
      </c>
      <c r="C137" s="178"/>
      <c r="D137" s="129"/>
      <c r="E137" s="129"/>
      <c r="F137" s="129"/>
      <c r="G137" s="129"/>
      <c r="H137" s="129"/>
      <c r="I137" s="129">
        <f>CF!I5</f>
        <v>176.8</v>
      </c>
      <c r="J137" s="129">
        <f>CF!J5</f>
        <v>211.8</v>
      </c>
      <c r="K137" s="129">
        <f>CF!K5</f>
        <v>265.89999999999998</v>
      </c>
      <c r="L137" s="129">
        <f>CF!L5</f>
        <v>447.3</v>
      </c>
      <c r="M137" s="129">
        <f t="shared" ref="M137:AN137" si="140">M136+M155</f>
        <v>686.5</v>
      </c>
      <c r="N137" s="129">
        <f t="shared" si="140"/>
        <v>734</v>
      </c>
      <c r="O137" s="129">
        <f t="shared" si="140"/>
        <v>841</v>
      </c>
      <c r="P137" s="129">
        <f t="shared" si="140"/>
        <v>963</v>
      </c>
      <c r="Q137" s="129">
        <f t="shared" si="140"/>
        <v>1202</v>
      </c>
      <c r="R137" s="129">
        <f t="shared" si="140"/>
        <v>1073</v>
      </c>
      <c r="S137" s="130">
        <f t="shared" si="140"/>
        <v>1049</v>
      </c>
      <c r="T137" s="130">
        <f t="shared" si="140"/>
        <v>1017</v>
      </c>
      <c r="U137" s="130">
        <f t="shared" si="140"/>
        <v>1060</v>
      </c>
      <c r="V137" s="130">
        <f t="shared" si="140"/>
        <v>1088</v>
      </c>
      <c r="W137" s="130">
        <f t="shared" si="140"/>
        <v>1286</v>
      </c>
      <c r="X137" s="130">
        <f t="shared" si="140"/>
        <v>2092</v>
      </c>
      <c r="Y137" s="130">
        <f t="shared" si="140"/>
        <v>2108</v>
      </c>
      <c r="Z137" s="130">
        <f t="shared" si="140"/>
        <v>2105</v>
      </c>
      <c r="AA137" s="130">
        <f t="shared" si="140"/>
        <v>1955</v>
      </c>
      <c r="AB137" s="130">
        <f t="shared" si="140"/>
        <v>2333.8892166732303</v>
      </c>
      <c r="AC137" s="130">
        <f t="shared" si="140"/>
        <v>2447.9676489443873</v>
      </c>
      <c r="AD137" s="130">
        <f t="shared" si="140"/>
        <v>2528.4087161008347</v>
      </c>
      <c r="AE137" s="130">
        <f t="shared" si="140"/>
        <v>2609.7054315504975</v>
      </c>
      <c r="AF137" s="130">
        <f t="shared" si="140"/>
        <v>2693.8244569491171</v>
      </c>
      <c r="AG137" s="130">
        <f t="shared" si="140"/>
        <v>1964.7627873954461</v>
      </c>
      <c r="AH137" s="130">
        <f t="shared" si="140"/>
        <v>1154.1381964194484</v>
      </c>
      <c r="AI137" s="130">
        <f t="shared" si="140"/>
        <v>1203.4841207572581</v>
      </c>
      <c r="AJ137" s="130">
        <f t="shared" si="140"/>
        <v>1252.7020036098277</v>
      </c>
      <c r="AK137" s="130">
        <f t="shared" si="140"/>
        <v>1336.1442102405836</v>
      </c>
      <c r="AL137" s="130">
        <f t="shared" si="140"/>
        <v>1413.7778039753871</v>
      </c>
      <c r="AM137" s="130">
        <f t="shared" si="140"/>
        <v>1503.6181907301948</v>
      </c>
      <c r="AN137" s="130">
        <f t="shared" si="140"/>
        <v>1650.5932866910493</v>
      </c>
    </row>
    <row r="138" spans="1:40" ht="12.75" customHeight="1" outlineLevel="1">
      <c r="A138" s="172"/>
      <c r="B138" s="173" t="s">
        <v>443</v>
      </c>
      <c r="C138" s="177"/>
      <c r="D138" s="172"/>
      <c r="E138" s="172"/>
      <c r="F138" s="172"/>
      <c r="G138" s="172"/>
      <c r="H138" s="172"/>
      <c r="I138" s="172"/>
      <c r="J138" s="172"/>
      <c r="K138" s="172"/>
      <c r="L138" s="172">
        <f t="shared" ref="L138:AN138" si="141">L136/L44</f>
        <v>9.0489467162329626E-2</v>
      </c>
      <c r="M138" s="172">
        <f t="shared" si="141"/>
        <v>7.2492244053774565E-2</v>
      </c>
      <c r="N138" s="172">
        <f t="shared" si="141"/>
        <v>6.3924756894627774E-2</v>
      </c>
      <c r="O138" s="172">
        <f t="shared" si="141"/>
        <v>6.9294431196521247E-2</v>
      </c>
      <c r="P138" s="172">
        <f t="shared" si="141"/>
        <v>6.9723691945914171E-2</v>
      </c>
      <c r="Q138" s="172">
        <f t="shared" si="141"/>
        <v>9.0334444316745199E-2</v>
      </c>
      <c r="R138" s="172">
        <f t="shared" si="141"/>
        <v>7.3544433094994893E-2</v>
      </c>
      <c r="S138" s="514">
        <f t="shared" si="141"/>
        <v>7.29483282674772E-2</v>
      </c>
      <c r="T138" s="514">
        <f t="shared" si="141"/>
        <v>6.6719083455015163E-2</v>
      </c>
      <c r="U138" s="514">
        <f t="shared" si="141"/>
        <v>6.8620515411824151E-2</v>
      </c>
      <c r="V138" s="514">
        <f t="shared" si="141"/>
        <v>6.4104949758094526E-2</v>
      </c>
      <c r="W138" s="514">
        <f t="shared" si="141"/>
        <v>5.5023923444976079E-2</v>
      </c>
      <c r="X138" s="514">
        <f t="shared" si="141"/>
        <v>6.1788056610286503E-2</v>
      </c>
      <c r="Y138" s="514">
        <f t="shared" si="141"/>
        <v>6.5546942291128341E-2</v>
      </c>
      <c r="Z138" s="514">
        <f t="shared" si="141"/>
        <v>5.5435253356431353E-2</v>
      </c>
      <c r="AA138" s="514">
        <f t="shared" si="141"/>
        <v>5.1648646233580557E-2</v>
      </c>
      <c r="AB138" s="514">
        <f t="shared" si="141"/>
        <v>7.9793270515889497E-2</v>
      </c>
      <c r="AC138" s="514">
        <f t="shared" si="141"/>
        <v>8.224953062811681E-2</v>
      </c>
      <c r="AD138" s="514">
        <f t="shared" si="141"/>
        <v>8.4301440489176246E-2</v>
      </c>
      <c r="AE138" s="514">
        <f t="shared" si="141"/>
        <v>8.7806849018991759E-2</v>
      </c>
      <c r="AF138" s="514">
        <f t="shared" si="141"/>
        <v>9.0287835310576769E-2</v>
      </c>
      <c r="AG138" s="514">
        <f t="shared" si="141"/>
        <v>9.1449304536901185E-2</v>
      </c>
      <c r="AH138" s="514">
        <f t="shared" si="141"/>
        <v>9.428325464032819E-2</v>
      </c>
      <c r="AI138" s="514">
        <f t="shared" si="141"/>
        <v>9.7570504144320308E-2</v>
      </c>
      <c r="AJ138" s="514">
        <f t="shared" si="141"/>
        <v>0.10085380752687974</v>
      </c>
      <c r="AK138" s="514">
        <f t="shared" si="141"/>
        <v>0.10655886321992702</v>
      </c>
      <c r="AL138" s="514">
        <f t="shared" si="141"/>
        <v>0.11521675330098681</v>
      </c>
      <c r="AM138" s="514">
        <f t="shared" si="141"/>
        <v>0.12503566764211141</v>
      </c>
      <c r="AN138" s="514">
        <f t="shared" si="141"/>
        <v>0.13956602566102305</v>
      </c>
    </row>
    <row r="139" spans="1:40" ht="12.75" customHeight="1" outlineLevel="1">
      <c r="A139" s="172"/>
      <c r="B139" s="173" t="s">
        <v>444</v>
      </c>
      <c r="C139" s="177"/>
      <c r="D139" s="172"/>
      <c r="E139" s="172"/>
      <c r="F139" s="172"/>
      <c r="G139" s="172"/>
      <c r="H139" s="172"/>
      <c r="I139" s="172"/>
      <c r="J139" s="172"/>
      <c r="K139" s="172"/>
      <c r="L139" s="172">
        <f t="shared" ref="L139:AN139" si="142">L155/L44</f>
        <v>4.8079306071871122E-2</v>
      </c>
      <c r="M139" s="172">
        <f t="shared" si="142"/>
        <v>6.9493278179937959E-2</v>
      </c>
      <c r="N139" s="172">
        <f t="shared" si="142"/>
        <v>5.308464849354376E-2</v>
      </c>
      <c r="O139" s="172">
        <f t="shared" si="142"/>
        <v>4.8674428391078696E-2</v>
      </c>
      <c r="P139" s="172">
        <f t="shared" si="142"/>
        <v>4.3503821281599062E-2</v>
      </c>
      <c r="Q139" s="172">
        <f t="shared" si="142"/>
        <v>4.7810596483162854E-2</v>
      </c>
      <c r="R139" s="172">
        <f t="shared" si="142"/>
        <v>4.8235160594711154E-2</v>
      </c>
      <c r="S139" s="514">
        <f t="shared" si="142"/>
        <v>4.9684358194996496E-2</v>
      </c>
      <c r="T139" s="514">
        <f t="shared" si="142"/>
        <v>4.7512074581601706E-2</v>
      </c>
      <c r="U139" s="514">
        <f t="shared" si="142"/>
        <v>3.8504295098534612E-2</v>
      </c>
      <c r="V139" s="514">
        <f t="shared" si="142"/>
        <v>3.7123185708969109E-2</v>
      </c>
      <c r="W139" s="514">
        <f t="shared" si="142"/>
        <v>5.4853041695146959E-2</v>
      </c>
      <c r="X139" s="514">
        <f t="shared" si="142"/>
        <v>0.11874352778736624</v>
      </c>
      <c r="Y139" s="514">
        <f t="shared" si="142"/>
        <v>0.11602067183462532</v>
      </c>
      <c r="Z139" s="514">
        <f t="shared" si="142"/>
        <v>0.12689475963620614</v>
      </c>
      <c r="AA139" s="514">
        <f t="shared" si="142"/>
        <v>0.12304530426235367</v>
      </c>
      <c r="AB139" s="514">
        <f t="shared" si="142"/>
        <v>0.12991442045498194</v>
      </c>
      <c r="AC139" s="514">
        <f t="shared" si="142"/>
        <v>0.13429031059587321</v>
      </c>
      <c r="AD139" s="514">
        <f t="shared" si="142"/>
        <v>0.13491662288099693</v>
      </c>
      <c r="AE139" s="514">
        <f t="shared" si="142"/>
        <v>0.13802190564057226</v>
      </c>
      <c r="AF139" s="514">
        <f t="shared" si="142"/>
        <v>0.13939188711197448</v>
      </c>
      <c r="AG139" s="514">
        <f t="shared" si="142"/>
        <v>7.1047226284608328E-2</v>
      </c>
      <c r="AH139" s="514">
        <f t="shared" si="142"/>
        <v>0</v>
      </c>
      <c r="AI139" s="514">
        <f t="shared" si="142"/>
        <v>0</v>
      </c>
      <c r="AJ139" s="514">
        <f t="shared" si="142"/>
        <v>0</v>
      </c>
      <c r="AK139" s="514">
        <f t="shared" si="142"/>
        <v>0</v>
      </c>
      <c r="AL139" s="514">
        <f t="shared" si="142"/>
        <v>0</v>
      </c>
      <c r="AM139" s="514">
        <f t="shared" si="142"/>
        <v>0</v>
      </c>
      <c r="AN139" s="514">
        <f t="shared" si="142"/>
        <v>0</v>
      </c>
    </row>
    <row r="141" spans="1:40" ht="12.75" customHeight="1">
      <c r="B141" s="114" t="s">
        <v>445</v>
      </c>
      <c r="C141" s="123"/>
      <c r="D141" s="123"/>
      <c r="E141" s="123"/>
      <c r="F141" s="123"/>
      <c r="G141" s="123"/>
      <c r="H141" s="123"/>
      <c r="I141" s="126"/>
      <c r="J141" s="126"/>
      <c r="K141" s="126"/>
      <c r="L141" s="126"/>
      <c r="M141" s="126"/>
      <c r="N141" s="126"/>
      <c r="O141" s="126"/>
      <c r="P141" s="126"/>
      <c r="Q141" s="126"/>
      <c r="R141" s="126"/>
      <c r="S141" s="126"/>
      <c r="T141" s="126"/>
      <c r="U141" s="126"/>
      <c r="V141" s="126"/>
      <c r="W141" s="126"/>
      <c r="X141" s="126"/>
      <c r="Y141" s="126"/>
      <c r="Z141" s="126"/>
    </row>
    <row r="142" spans="1:40" ht="12.75" customHeight="1" outlineLevel="1">
      <c r="A142" s="102"/>
      <c r="B142" s="102" t="s">
        <v>446</v>
      </c>
      <c r="C142" s="102"/>
      <c r="D142" s="102"/>
      <c r="E142" s="102"/>
      <c r="F142" s="102"/>
      <c r="G142" s="102"/>
      <c r="H142" s="102"/>
      <c r="I142" s="102"/>
      <c r="J142" s="102"/>
      <c r="K142" s="102"/>
      <c r="L142" s="102"/>
      <c r="M142" s="102"/>
      <c r="N142" s="102"/>
      <c r="O142" s="102"/>
      <c r="P142" s="102"/>
      <c r="Q142" s="102"/>
      <c r="R142" s="102"/>
      <c r="S142" s="127"/>
      <c r="T142" s="127"/>
      <c r="U142" s="127">
        <v>701</v>
      </c>
      <c r="V142" s="127">
        <v>1035</v>
      </c>
      <c r="W142" s="127">
        <f>-CF!W30</f>
        <v>9434</v>
      </c>
      <c r="X142" s="127">
        <f>-CF!X30</f>
        <v>165</v>
      </c>
      <c r="Y142" s="127">
        <f>-CF!Y30</f>
        <v>359</v>
      </c>
      <c r="Z142" s="127">
        <f>-CF!Z30</f>
        <v>0</v>
      </c>
      <c r="AA142" s="127">
        <f>-CF!AA30</f>
        <v>19</v>
      </c>
      <c r="AB142" s="127">
        <v>0</v>
      </c>
      <c r="AC142" s="127">
        <v>0</v>
      </c>
      <c r="AD142" s="127">
        <v>0</v>
      </c>
      <c r="AE142" s="127">
        <v>0</v>
      </c>
      <c r="AF142" s="127">
        <v>0</v>
      </c>
      <c r="AG142" s="127">
        <v>0</v>
      </c>
      <c r="AH142" s="127">
        <v>0</v>
      </c>
      <c r="AI142" s="127">
        <v>0</v>
      </c>
      <c r="AJ142" s="127">
        <v>0</v>
      </c>
      <c r="AK142" s="127">
        <v>0</v>
      </c>
      <c r="AL142" s="127">
        <v>0</v>
      </c>
      <c r="AM142" s="127">
        <v>0</v>
      </c>
      <c r="AN142" s="5">
        <v>0</v>
      </c>
    </row>
    <row r="143" spans="1:40" ht="12.75" customHeight="1" outlineLevel="1">
      <c r="A143" s="102"/>
      <c r="B143" s="102"/>
      <c r="C143" s="102"/>
      <c r="D143" s="102"/>
      <c r="E143" s="102"/>
      <c r="F143" s="102"/>
      <c r="G143" s="102"/>
      <c r="H143" s="102"/>
      <c r="I143" s="102"/>
      <c r="J143" s="102"/>
      <c r="K143" s="102"/>
      <c r="L143" s="102"/>
      <c r="M143" s="102"/>
      <c r="N143" s="102"/>
      <c r="O143" s="102"/>
      <c r="P143" s="102"/>
      <c r="Q143" s="102"/>
      <c r="R143" s="102"/>
      <c r="S143" s="127"/>
      <c r="T143" s="127"/>
      <c r="U143" s="127"/>
      <c r="V143" s="127"/>
      <c r="W143" s="127"/>
      <c r="X143" s="127"/>
      <c r="Y143" s="127"/>
      <c r="Z143" s="127"/>
      <c r="AA143" s="127"/>
      <c r="AB143" s="127"/>
    </row>
    <row r="144" spans="1:40" ht="12.75" customHeight="1" outlineLevel="1">
      <c r="A144" s="172"/>
      <c r="B144" s="172" t="s">
        <v>447</v>
      </c>
      <c r="C144" s="172"/>
      <c r="D144" s="172"/>
      <c r="E144" s="172"/>
      <c r="F144" s="172"/>
      <c r="G144" s="172"/>
      <c r="H144" s="172"/>
      <c r="I144" s="172"/>
      <c r="J144" s="172"/>
      <c r="K144" s="172"/>
      <c r="L144" s="172"/>
      <c r="M144" s="172"/>
      <c r="N144" s="172"/>
      <c r="O144" s="172"/>
      <c r="P144" s="172"/>
      <c r="Q144" s="172"/>
      <c r="R144" s="172"/>
      <c r="S144" s="514"/>
      <c r="T144" s="514"/>
      <c r="U144" s="127">
        <f t="shared" ref="U144:AN144" si="143">+U142*U145</f>
        <v>0</v>
      </c>
      <c r="V144" s="127">
        <f>+V142*V145</f>
        <v>18.63</v>
      </c>
      <c r="W144" s="554">
        <v>547</v>
      </c>
      <c r="X144" s="127">
        <v>0</v>
      </c>
      <c r="Y144" s="549">
        <v>0</v>
      </c>
      <c r="Z144" s="549">
        <v>0</v>
      </c>
      <c r="AA144" s="127">
        <f t="shared" si="143"/>
        <v>14.25</v>
      </c>
      <c r="AB144" s="127">
        <f t="shared" si="143"/>
        <v>0</v>
      </c>
      <c r="AC144" s="127">
        <f t="shared" si="143"/>
        <v>0</v>
      </c>
      <c r="AD144" s="127">
        <f t="shared" si="143"/>
        <v>0</v>
      </c>
      <c r="AE144" s="127">
        <f t="shared" si="143"/>
        <v>0</v>
      </c>
      <c r="AF144" s="127">
        <f t="shared" si="143"/>
        <v>0</v>
      </c>
      <c r="AG144" s="127">
        <f t="shared" si="143"/>
        <v>0</v>
      </c>
      <c r="AH144" s="127">
        <f t="shared" si="143"/>
        <v>0</v>
      </c>
      <c r="AI144" s="127">
        <f t="shared" si="143"/>
        <v>0</v>
      </c>
      <c r="AJ144" s="127">
        <f t="shared" si="143"/>
        <v>0</v>
      </c>
      <c r="AK144" s="127">
        <f t="shared" si="143"/>
        <v>0</v>
      </c>
      <c r="AL144" s="127">
        <f t="shared" si="143"/>
        <v>0</v>
      </c>
      <c r="AM144" s="127">
        <f t="shared" si="143"/>
        <v>0</v>
      </c>
      <c r="AN144" s="5">
        <f t="shared" si="143"/>
        <v>0</v>
      </c>
    </row>
    <row r="145" spans="1:41" ht="12.75" customHeight="1" outlineLevel="1">
      <c r="A145" s="102"/>
      <c r="B145" s="180" t="s">
        <v>448</v>
      </c>
      <c r="C145" s="102"/>
      <c r="D145" s="102"/>
      <c r="E145" s="102"/>
      <c r="F145" s="102"/>
      <c r="G145" s="102"/>
      <c r="H145" s="102"/>
      <c r="I145" s="102"/>
      <c r="J145" s="102"/>
      <c r="K145" s="102"/>
      <c r="L145" s="102"/>
      <c r="M145" s="102"/>
      <c r="N145" s="102"/>
      <c r="O145" s="102"/>
      <c r="P145" s="102"/>
      <c r="Q145" s="102"/>
      <c r="R145" s="102"/>
      <c r="S145" s="127"/>
      <c r="T145" s="127"/>
      <c r="U145" s="514">
        <v>0</v>
      </c>
      <c r="V145" s="516">
        <v>1.7999999999999999E-2</v>
      </c>
      <c r="W145" s="514">
        <f>W144/W142</f>
        <v>5.7981768072927709E-2</v>
      </c>
      <c r="X145" s="514">
        <f>X144/X142</f>
        <v>0</v>
      </c>
      <c r="Y145" s="514">
        <f>Y144/Y142</f>
        <v>0</v>
      </c>
      <c r="Z145" s="514" t="str">
        <f>IFERROR(Z144/Z142,"NA")</f>
        <v>NA</v>
      </c>
      <c r="AA145" s="514">
        <v>0.75</v>
      </c>
      <c r="AB145" s="514">
        <v>0.75</v>
      </c>
      <c r="AC145" s="514">
        <v>0.75</v>
      </c>
      <c r="AD145" s="514">
        <v>0.75</v>
      </c>
      <c r="AE145" s="514">
        <v>0.75</v>
      </c>
      <c r="AF145" s="514">
        <v>0.75</v>
      </c>
      <c r="AG145" s="514">
        <v>0.75</v>
      </c>
      <c r="AH145" s="514">
        <v>0.75</v>
      </c>
      <c r="AI145" s="514">
        <v>0.75</v>
      </c>
      <c r="AJ145" s="514">
        <v>0.75</v>
      </c>
      <c r="AK145" s="514">
        <v>0.75</v>
      </c>
      <c r="AL145" s="514">
        <v>0.75</v>
      </c>
      <c r="AM145" s="514">
        <v>0.75</v>
      </c>
      <c r="AN145" s="514">
        <v>0.75</v>
      </c>
    </row>
    <row r="146" spans="1:41" ht="12.75" customHeight="1" outlineLevel="1">
      <c r="B146" s="107"/>
      <c r="AA146" s="147"/>
    </row>
    <row r="147" spans="1:41" ht="12.75" customHeight="1" outlineLevel="1">
      <c r="A147" s="102"/>
      <c r="B147" s="128" t="s">
        <v>449</v>
      </c>
      <c r="C147" s="102"/>
      <c r="D147" s="102"/>
      <c r="E147" s="102"/>
      <c r="F147" s="102"/>
      <c r="G147" s="102"/>
      <c r="H147" s="102"/>
      <c r="I147" s="102"/>
      <c r="J147" s="102"/>
      <c r="K147" s="102"/>
      <c r="L147" s="102"/>
      <c r="M147" s="102"/>
      <c r="N147" s="102"/>
      <c r="O147" s="102"/>
      <c r="P147" s="102"/>
      <c r="Q147" s="102"/>
      <c r="R147" s="102"/>
      <c r="S147" s="127"/>
      <c r="T147" s="127"/>
      <c r="U147" s="127">
        <f t="shared" ref="U147:V147" si="144">+U148*U142</f>
        <v>701</v>
      </c>
      <c r="V147" s="127">
        <f t="shared" si="144"/>
        <v>1016.37</v>
      </c>
      <c r="W147" s="549">
        <v>2526</v>
      </c>
      <c r="X147" s="549">
        <v>-114</v>
      </c>
      <c r="Y147" s="549">
        <v>108</v>
      </c>
      <c r="Z147" s="549">
        <v>0</v>
      </c>
      <c r="AA147" s="127">
        <f>+AA148*AA142</f>
        <v>0</v>
      </c>
      <c r="AB147" s="127">
        <f>+AB148*AB142</f>
        <v>0</v>
      </c>
      <c r="AC147" s="127">
        <f>+AC148*AC142</f>
        <v>0</v>
      </c>
      <c r="AD147" s="127">
        <f>+AD148*AD142</f>
        <v>0</v>
      </c>
      <c r="AE147" s="127">
        <f t="shared" ref="AE147:AN147" si="145">+AE148*AE142</f>
        <v>0</v>
      </c>
      <c r="AF147" s="127">
        <f t="shared" si="145"/>
        <v>0</v>
      </c>
      <c r="AG147" s="127">
        <f t="shared" si="145"/>
        <v>0</v>
      </c>
      <c r="AH147" s="127">
        <f t="shared" si="145"/>
        <v>0</v>
      </c>
      <c r="AI147" s="127">
        <f t="shared" si="145"/>
        <v>0</v>
      </c>
      <c r="AJ147" s="127">
        <f t="shared" si="145"/>
        <v>0</v>
      </c>
      <c r="AK147" s="127">
        <f t="shared" si="145"/>
        <v>0</v>
      </c>
      <c r="AL147" s="127">
        <f t="shared" si="145"/>
        <v>0</v>
      </c>
      <c r="AM147" s="127">
        <f t="shared" si="145"/>
        <v>0</v>
      </c>
      <c r="AN147" s="127">
        <f t="shared" si="145"/>
        <v>0</v>
      </c>
    </row>
    <row r="148" spans="1:41" ht="12.75" customHeight="1" outlineLevel="1">
      <c r="A148" s="172"/>
      <c r="B148" s="181" t="s">
        <v>448</v>
      </c>
      <c r="C148" s="172"/>
      <c r="D148" s="172"/>
      <c r="E148" s="172"/>
      <c r="F148" s="172"/>
      <c r="G148" s="172"/>
      <c r="H148" s="172"/>
      <c r="I148" s="172"/>
      <c r="J148" s="172"/>
      <c r="K148" s="172"/>
      <c r="L148" s="172"/>
      <c r="M148" s="172"/>
      <c r="N148" s="172"/>
      <c r="O148" s="172"/>
      <c r="P148" s="172"/>
      <c r="Q148" s="172"/>
      <c r="R148" s="172"/>
      <c r="S148" s="514"/>
      <c r="T148" s="514"/>
      <c r="U148" s="514">
        <v>1</v>
      </c>
      <c r="V148" s="514">
        <f>1-V145</f>
        <v>0.98199999999999998</v>
      </c>
      <c r="W148" s="514">
        <f>W147/W142</f>
        <v>0.26775492898028408</v>
      </c>
      <c r="X148" s="514">
        <f>X147/X142</f>
        <v>-0.69090909090909092</v>
      </c>
      <c r="Y148" s="514">
        <f>Y147/Y142</f>
        <v>0.30083565459610029</v>
      </c>
      <c r="Z148" s="514" t="str">
        <f>IFERROR(Z147/Z142,"NA")</f>
        <v>NA</v>
      </c>
      <c r="AA148" s="514">
        <v>0</v>
      </c>
      <c r="AB148" s="514">
        <v>0</v>
      </c>
      <c r="AC148" s="514">
        <v>0</v>
      </c>
      <c r="AD148" s="514">
        <v>0</v>
      </c>
      <c r="AE148" s="514">
        <v>0</v>
      </c>
      <c r="AF148" s="514">
        <v>0</v>
      </c>
      <c r="AG148" s="514">
        <v>0</v>
      </c>
      <c r="AH148" s="514">
        <v>0</v>
      </c>
      <c r="AI148" s="514">
        <v>0</v>
      </c>
      <c r="AJ148" s="514">
        <v>0</v>
      </c>
      <c r="AK148" s="514">
        <v>0</v>
      </c>
      <c r="AL148" s="514">
        <v>0</v>
      </c>
      <c r="AM148" s="514">
        <v>0</v>
      </c>
      <c r="AN148" s="514">
        <v>0</v>
      </c>
    </row>
    <row r="149" spans="1:41" ht="12.75" customHeight="1" outlineLevel="1">
      <c r="B149" s="182"/>
      <c r="T149" s="127"/>
      <c r="U149" s="127"/>
      <c r="V149" s="127"/>
      <c r="W149" s="127"/>
      <c r="X149" s="127"/>
      <c r="Y149" s="127"/>
      <c r="Z149" s="127"/>
      <c r="AA149" s="147"/>
    </row>
    <row r="150" spans="1:41" ht="12.75" customHeight="1" outlineLevel="1">
      <c r="A150" s="102"/>
      <c r="B150" s="128" t="s">
        <v>450</v>
      </c>
      <c r="C150" s="102"/>
      <c r="D150" s="102"/>
      <c r="E150" s="102"/>
      <c r="F150" s="102"/>
      <c r="G150" s="102"/>
      <c r="H150" s="102"/>
      <c r="I150" s="102"/>
      <c r="J150" s="102"/>
      <c r="K150" s="102"/>
      <c r="L150" s="102"/>
      <c r="M150" s="102"/>
      <c r="N150" s="102"/>
      <c r="O150" s="102"/>
      <c r="P150" s="102"/>
      <c r="Q150" s="102"/>
      <c r="R150" s="102"/>
      <c r="S150" s="127"/>
      <c r="T150" s="127"/>
      <c r="U150" s="127">
        <f>U151*U142</f>
        <v>0</v>
      </c>
      <c r="V150" s="127">
        <f t="shared" ref="V150:AN150" si="146">+V142*V151</f>
        <v>0</v>
      </c>
      <c r="W150" s="127">
        <f>W142-W147-W144</f>
        <v>6361</v>
      </c>
      <c r="X150" s="127">
        <f>X142-X147-X144</f>
        <v>279</v>
      </c>
      <c r="Y150" s="127">
        <f>Y142-Y147-Y144</f>
        <v>251</v>
      </c>
      <c r="Z150" s="127">
        <f>Z142-Z147-Z144</f>
        <v>0</v>
      </c>
      <c r="AA150" s="127">
        <f t="shared" si="146"/>
        <v>4.75</v>
      </c>
      <c r="AB150" s="127">
        <f t="shared" si="146"/>
        <v>0</v>
      </c>
      <c r="AC150" s="127">
        <f t="shared" si="146"/>
        <v>0</v>
      </c>
      <c r="AD150" s="127">
        <f t="shared" si="146"/>
        <v>0</v>
      </c>
      <c r="AE150" s="127">
        <f t="shared" si="146"/>
        <v>0</v>
      </c>
      <c r="AF150" s="127">
        <f t="shared" si="146"/>
        <v>0</v>
      </c>
      <c r="AG150" s="127">
        <f t="shared" si="146"/>
        <v>0</v>
      </c>
      <c r="AH150" s="127">
        <f t="shared" si="146"/>
        <v>0</v>
      </c>
      <c r="AI150" s="127">
        <f t="shared" si="146"/>
        <v>0</v>
      </c>
      <c r="AJ150" s="127">
        <f t="shared" si="146"/>
        <v>0</v>
      </c>
      <c r="AK150" s="127">
        <f t="shared" si="146"/>
        <v>0</v>
      </c>
      <c r="AL150" s="127">
        <f t="shared" si="146"/>
        <v>0</v>
      </c>
      <c r="AM150" s="127">
        <f t="shared" si="146"/>
        <v>0</v>
      </c>
      <c r="AN150" s="127">
        <f t="shared" si="146"/>
        <v>0</v>
      </c>
    </row>
    <row r="151" spans="1:41" ht="12.75" customHeight="1" outlineLevel="1">
      <c r="A151" s="172"/>
      <c r="B151" s="181" t="s">
        <v>448</v>
      </c>
      <c r="C151" s="172"/>
      <c r="D151" s="172"/>
      <c r="E151" s="172"/>
      <c r="F151" s="172"/>
      <c r="G151" s="172"/>
      <c r="H151" s="172"/>
      <c r="I151" s="172"/>
      <c r="J151" s="172"/>
      <c r="K151" s="172"/>
      <c r="L151" s="172"/>
      <c r="M151" s="172"/>
      <c r="N151" s="172"/>
      <c r="O151" s="172"/>
      <c r="P151" s="172"/>
      <c r="Q151" s="172"/>
      <c r="R151" s="172"/>
      <c r="S151" s="514"/>
      <c r="T151" s="514"/>
      <c r="U151" s="514">
        <v>0</v>
      </c>
      <c r="V151" s="514">
        <v>0</v>
      </c>
      <c r="W151" s="514">
        <f>W150/W142</f>
        <v>0.67426330294678827</v>
      </c>
      <c r="X151" s="514">
        <f>X150/X142</f>
        <v>1.6909090909090909</v>
      </c>
      <c r="Y151" s="514">
        <f>Y150/Y142</f>
        <v>0.69916434540389971</v>
      </c>
      <c r="Z151" s="514" t="str">
        <f>IFERROR(Z150/Z142,"NA")</f>
        <v>NA</v>
      </c>
      <c r="AA151" s="514">
        <v>0.25</v>
      </c>
      <c r="AB151" s="514">
        <v>0.25</v>
      </c>
      <c r="AC151" s="514">
        <v>0.25</v>
      </c>
      <c r="AD151" s="514">
        <v>0.25</v>
      </c>
      <c r="AE151" s="514">
        <v>0.25</v>
      </c>
      <c r="AF151" s="514">
        <v>0.25</v>
      </c>
      <c r="AG151" s="514">
        <v>0.25</v>
      </c>
      <c r="AH151" s="514">
        <v>0.25</v>
      </c>
      <c r="AI151" s="514">
        <v>0.25</v>
      </c>
      <c r="AJ151" s="514">
        <v>0.25</v>
      </c>
      <c r="AK151" s="514">
        <v>0.25</v>
      </c>
      <c r="AL151" s="514">
        <v>0.25</v>
      </c>
      <c r="AM151" s="514">
        <v>0.25</v>
      </c>
      <c r="AN151" s="514">
        <v>0.25</v>
      </c>
    </row>
    <row r="152" spans="1:41" ht="12.75" customHeight="1" outlineLevel="1">
      <c r="B152" s="183"/>
      <c r="T152" s="147"/>
      <c r="U152" s="147"/>
      <c r="V152" s="147"/>
      <c r="W152" s="147"/>
      <c r="X152" s="147"/>
      <c r="Y152" s="147"/>
      <c r="Z152" s="147"/>
      <c r="AA152" s="147"/>
      <c r="AN152" s="514"/>
    </row>
    <row r="153" spans="1:41" ht="12.75" customHeight="1" outlineLevel="1">
      <c r="A153" s="102"/>
      <c r="B153" s="102" t="s">
        <v>451</v>
      </c>
      <c r="C153" s="102"/>
      <c r="D153" s="102"/>
      <c r="E153" s="102"/>
      <c r="F153" s="102"/>
      <c r="G153" s="102"/>
      <c r="H153" s="102"/>
      <c r="I153" s="102"/>
      <c r="J153" s="102"/>
      <c r="K153" s="102">
        <f t="shared" ref="K153:AA153" si="147">+K13</f>
        <v>97.2</v>
      </c>
      <c r="L153" s="102">
        <f t="shared" si="147"/>
        <v>9871.1</v>
      </c>
      <c r="M153" s="102">
        <f t="shared" si="147"/>
        <v>9820</v>
      </c>
      <c r="N153" s="102">
        <f t="shared" si="147"/>
        <v>10525</v>
      </c>
      <c r="O153" s="102">
        <f t="shared" si="147"/>
        <v>10495</v>
      </c>
      <c r="P153" s="102">
        <f t="shared" si="147"/>
        <v>11302</v>
      </c>
      <c r="Q153" s="102">
        <f t="shared" si="147"/>
        <v>11240</v>
      </c>
      <c r="R153" s="102">
        <f t="shared" si="147"/>
        <v>11339</v>
      </c>
      <c r="S153" s="127">
        <f t="shared" si="147"/>
        <v>11335</v>
      </c>
      <c r="T153" s="127">
        <f t="shared" si="147"/>
        <v>11334</v>
      </c>
      <c r="U153" s="127">
        <f t="shared" si="147"/>
        <v>11750</v>
      </c>
      <c r="V153" s="127">
        <f t="shared" si="147"/>
        <v>12662</v>
      </c>
      <c r="W153" s="127">
        <f t="shared" si="147"/>
        <v>14968</v>
      </c>
      <c r="X153" s="127">
        <f t="shared" si="147"/>
        <v>14788</v>
      </c>
      <c r="Y153" s="127">
        <f t="shared" si="147"/>
        <v>14787</v>
      </c>
      <c r="Z153" s="127">
        <f t="shared" si="147"/>
        <v>14751</v>
      </c>
      <c r="AA153" s="127">
        <f t="shared" si="147"/>
        <v>14761</v>
      </c>
      <c r="AB153" s="127">
        <f t="shared" ref="AB153:AN153" si="148">+AA153+AB147</f>
        <v>14761</v>
      </c>
      <c r="AC153" s="127">
        <f t="shared" si="148"/>
        <v>14761</v>
      </c>
      <c r="AD153" s="127">
        <f t="shared" si="148"/>
        <v>14761</v>
      </c>
      <c r="AE153" s="127">
        <f t="shared" si="148"/>
        <v>14761</v>
      </c>
      <c r="AF153" s="127">
        <f t="shared" si="148"/>
        <v>14761</v>
      </c>
      <c r="AG153" s="127">
        <f t="shared" si="148"/>
        <v>14761</v>
      </c>
      <c r="AH153" s="127">
        <f t="shared" si="148"/>
        <v>14761</v>
      </c>
      <c r="AI153" s="127">
        <f t="shared" si="148"/>
        <v>14761</v>
      </c>
      <c r="AJ153" s="127">
        <f t="shared" si="148"/>
        <v>14761</v>
      </c>
      <c r="AK153" s="127">
        <f t="shared" si="148"/>
        <v>14761</v>
      </c>
      <c r="AL153" s="127">
        <f t="shared" si="148"/>
        <v>14761</v>
      </c>
      <c r="AM153" s="127">
        <f t="shared" si="148"/>
        <v>14761</v>
      </c>
      <c r="AN153" s="5">
        <f t="shared" si="148"/>
        <v>14761</v>
      </c>
    </row>
    <row r="154" spans="1:41" ht="12.75" customHeight="1" outlineLevel="1">
      <c r="A154" s="102"/>
      <c r="B154" s="102" t="s">
        <v>452</v>
      </c>
      <c r="C154" s="102"/>
      <c r="D154" s="102"/>
      <c r="E154" s="102"/>
      <c r="F154" s="102"/>
      <c r="G154" s="102"/>
      <c r="H154" s="102"/>
      <c r="I154" s="102"/>
      <c r="J154" s="102"/>
      <c r="K154" s="102">
        <f t="shared" ref="K154:AA154" si="149">+K12</f>
        <v>34.1</v>
      </c>
      <c r="L154" s="102">
        <f t="shared" si="149"/>
        <v>4801.8999999999996</v>
      </c>
      <c r="M154" s="102">
        <f t="shared" si="149"/>
        <v>4288</v>
      </c>
      <c r="N154" s="102">
        <f t="shared" si="149"/>
        <v>4033</v>
      </c>
      <c r="O154" s="102">
        <f t="shared" si="149"/>
        <v>3742</v>
      </c>
      <c r="P154" s="102">
        <f t="shared" si="149"/>
        <v>3747</v>
      </c>
      <c r="Q154" s="102">
        <f t="shared" si="149"/>
        <v>3332</v>
      </c>
      <c r="R154" s="102">
        <f t="shared" si="149"/>
        <v>2988</v>
      </c>
      <c r="S154" s="127">
        <f t="shared" si="149"/>
        <v>2567</v>
      </c>
      <c r="T154" s="127">
        <f t="shared" si="149"/>
        <v>2230</v>
      </c>
      <c r="U154" s="127">
        <f t="shared" si="149"/>
        <v>2584</v>
      </c>
      <c r="V154" s="127">
        <f t="shared" si="149"/>
        <v>3968</v>
      </c>
      <c r="W154" s="127">
        <f t="shared" si="149"/>
        <v>13262</v>
      </c>
      <c r="X154" s="127">
        <f t="shared" si="149"/>
        <v>12693</v>
      </c>
      <c r="Y154" s="127">
        <f t="shared" si="149"/>
        <v>11641</v>
      </c>
      <c r="Z154" s="127">
        <f t="shared" si="149"/>
        <v>10279</v>
      </c>
      <c r="AA154" s="127">
        <f t="shared" si="149"/>
        <v>8609</v>
      </c>
      <c r="AB154" s="127">
        <f t="shared" ref="AB154:AN154" si="150">+AA154+AB150-AB155</f>
        <v>7163.15</v>
      </c>
      <c r="AC154" s="127">
        <f t="shared" si="150"/>
        <v>5645.0074999999997</v>
      </c>
      <c r="AD154" s="127">
        <f t="shared" si="150"/>
        <v>4088.9114374999999</v>
      </c>
      <c r="AE154" s="127">
        <f t="shared" si="150"/>
        <v>2493.9129734375001</v>
      </c>
      <c r="AF154" s="127">
        <f t="shared" si="150"/>
        <v>859.03954777343802</v>
      </c>
      <c r="AG154" s="127">
        <f t="shared" si="150"/>
        <v>0</v>
      </c>
      <c r="AH154" s="127">
        <f t="shared" si="150"/>
        <v>0</v>
      </c>
      <c r="AI154" s="127">
        <f t="shared" si="150"/>
        <v>0</v>
      </c>
      <c r="AJ154" s="127">
        <f t="shared" si="150"/>
        <v>0</v>
      </c>
      <c r="AK154" s="127">
        <f t="shared" si="150"/>
        <v>0</v>
      </c>
      <c r="AL154" s="127">
        <f t="shared" si="150"/>
        <v>0</v>
      </c>
      <c r="AM154" s="127">
        <f t="shared" si="150"/>
        <v>0</v>
      </c>
      <c r="AN154" s="127">
        <f t="shared" si="150"/>
        <v>0</v>
      </c>
    </row>
    <row r="155" spans="1:41" ht="12.75" customHeight="1" outlineLevel="1">
      <c r="A155" s="128"/>
      <c r="B155" s="102" t="s">
        <v>453</v>
      </c>
      <c r="C155" s="128"/>
      <c r="D155" s="102"/>
      <c r="E155" s="102"/>
      <c r="F155" s="102"/>
      <c r="G155" s="102"/>
      <c r="H155" s="102"/>
      <c r="I155" s="102"/>
      <c r="J155" s="102"/>
      <c r="K155" s="102"/>
      <c r="L155" s="102">
        <f>CF!L7</f>
        <v>155.19999999999999</v>
      </c>
      <c r="M155" s="102">
        <f>CF!M7</f>
        <v>336</v>
      </c>
      <c r="N155" s="102">
        <f>CF!N7</f>
        <v>333</v>
      </c>
      <c r="O155" s="102">
        <f>CF!O7</f>
        <v>347</v>
      </c>
      <c r="P155" s="102">
        <f>CF!P7</f>
        <v>370</v>
      </c>
      <c r="Q155" s="102">
        <f>CF!Q7</f>
        <v>416</v>
      </c>
      <c r="R155" s="102">
        <f>CF!R7</f>
        <v>425</v>
      </c>
      <c r="S155" s="127">
        <f>CF!S7</f>
        <v>425</v>
      </c>
      <c r="T155" s="127">
        <f>CF!T7</f>
        <v>423</v>
      </c>
      <c r="U155" s="127">
        <f>CF!U7</f>
        <v>381</v>
      </c>
      <c r="V155" s="127">
        <f>CF!V7</f>
        <v>399</v>
      </c>
      <c r="W155" s="127">
        <f>CF!W7</f>
        <v>642</v>
      </c>
      <c r="X155" s="127">
        <f>CF!X7</f>
        <v>1376</v>
      </c>
      <c r="Y155" s="127">
        <f>CF!Y7</f>
        <v>1347</v>
      </c>
      <c r="Z155" s="127">
        <f>CF!Z7</f>
        <v>1465</v>
      </c>
      <c r="AA155" s="127">
        <f>CF!AA7</f>
        <v>1377</v>
      </c>
      <c r="AB155" s="127">
        <f t="shared" ref="AB155:AC155" si="151">AA155*1.05</f>
        <v>1445.8500000000001</v>
      </c>
      <c r="AC155" s="127">
        <f t="shared" si="151"/>
        <v>1518.1425000000002</v>
      </c>
      <c r="AD155" s="127">
        <f>AC155*1.025</f>
        <v>1556.0960625</v>
      </c>
      <c r="AE155" s="127">
        <f>AD155*1.025</f>
        <v>1594.9984640624998</v>
      </c>
      <c r="AF155" s="127">
        <f>AE155*1.025</f>
        <v>1634.8734256640621</v>
      </c>
      <c r="AG155" s="127">
        <f>AF154</f>
        <v>859.03954777343802</v>
      </c>
      <c r="AH155" s="127">
        <f>AG154</f>
        <v>0</v>
      </c>
      <c r="AI155" s="127">
        <f t="shared" ref="AI155:AN155" si="152">AH154</f>
        <v>0</v>
      </c>
      <c r="AJ155" s="127">
        <f t="shared" si="152"/>
        <v>0</v>
      </c>
      <c r="AK155" s="127">
        <f t="shared" si="152"/>
        <v>0</v>
      </c>
      <c r="AL155" s="127">
        <f t="shared" si="152"/>
        <v>0</v>
      </c>
      <c r="AM155" s="127">
        <f t="shared" si="152"/>
        <v>0</v>
      </c>
      <c r="AN155" s="127">
        <f t="shared" si="152"/>
        <v>0</v>
      </c>
    </row>
    <row r="156" spans="1:41" ht="12.75" customHeight="1" outlineLevel="1">
      <c r="A156" s="143"/>
      <c r="B156" s="184" t="s">
        <v>454</v>
      </c>
      <c r="C156" s="143"/>
      <c r="D156" s="143"/>
      <c r="E156" s="143"/>
      <c r="F156" s="143"/>
      <c r="G156" s="143"/>
      <c r="H156" s="143"/>
      <c r="I156" s="143"/>
      <c r="J156" s="143"/>
      <c r="K156" s="143"/>
      <c r="L156" s="143"/>
      <c r="M156" s="143">
        <f t="shared" ref="M156:Z156" si="153">AVERAGE(M154/M155,L154/L155)</f>
        <v>21.850991040746194</v>
      </c>
      <c r="N156" s="143">
        <f t="shared" si="153"/>
        <v>12.436507936507937</v>
      </c>
      <c r="O156" s="143">
        <f t="shared" si="153"/>
        <v>11.447486391290425</v>
      </c>
      <c r="P156" s="143">
        <f t="shared" si="153"/>
        <v>10.455444349248385</v>
      </c>
      <c r="Q156" s="143">
        <f t="shared" si="153"/>
        <v>9.0683212058212064</v>
      </c>
      <c r="R156" s="143">
        <f t="shared" si="153"/>
        <v>7.5201018099547507</v>
      </c>
      <c r="S156" s="145">
        <f t="shared" si="153"/>
        <v>6.5352941176470587</v>
      </c>
      <c r="T156" s="145">
        <f t="shared" si="153"/>
        <v>5.6559338061465727</v>
      </c>
      <c r="U156" s="145">
        <f t="shared" si="153"/>
        <v>6.0270099216321364</v>
      </c>
      <c r="V156" s="145">
        <f>AVERAGE(V154/V155,U154/U155)</f>
        <v>8.3635071931797995</v>
      </c>
      <c r="W156" s="145">
        <f t="shared" si="153"/>
        <v>15.301091513831308</v>
      </c>
      <c r="X156" s="145">
        <f t="shared" si="153"/>
        <v>14.94094241288126</v>
      </c>
      <c r="Y156" s="145">
        <f>AVERAGE(Y154/Y155,X154/X155)</f>
        <v>8.9333658668703926</v>
      </c>
      <c r="Z156" s="145">
        <f t="shared" si="153"/>
        <v>7.8292750164060703</v>
      </c>
      <c r="AA156" s="145">
        <f>AVERAGE(AA154/AA155,Z154/Z155)</f>
        <v>6.6341896738470387</v>
      </c>
      <c r="AB156" s="145">
        <f>AVERAGE(AB154/AB155,AA154/AA155)</f>
        <v>5.6031400214406748</v>
      </c>
      <c r="AC156" s="145">
        <f>AVERAGE(AC154/AC155,AB154/AB155)</f>
        <v>4.336323829943499</v>
      </c>
      <c r="AD156" s="145">
        <f>AVERAGE(AD154/AD155,AC154/AC155)</f>
        <v>3.1730188010163412</v>
      </c>
      <c r="AE156" s="145"/>
      <c r="AF156" s="145"/>
      <c r="AG156" s="145"/>
      <c r="AH156" s="145"/>
      <c r="AI156" s="145"/>
      <c r="AJ156" s="145"/>
      <c r="AK156" s="145"/>
      <c r="AL156" s="145"/>
      <c r="AM156" s="145"/>
    </row>
    <row r="158" spans="1:41" ht="12.75" customHeight="1">
      <c r="A158" s="172"/>
      <c r="B158" s="185" t="s">
        <v>455</v>
      </c>
      <c r="C158" s="186"/>
      <c r="D158" s="186"/>
      <c r="E158" s="186"/>
      <c r="F158" s="186"/>
      <c r="G158" s="186"/>
      <c r="H158" s="186"/>
      <c r="I158" s="135"/>
      <c r="J158" s="135"/>
      <c r="K158" s="135">
        <f t="shared" ref="K158:AN158" si="154">K164*K177</f>
        <v>0</v>
      </c>
      <c r="L158" s="135">
        <f t="shared" si="154"/>
        <v>0.55318864265067769</v>
      </c>
      <c r="M158" s="135">
        <f t="shared" si="154"/>
        <v>0.1349880735924337</v>
      </c>
      <c r="N158" s="135">
        <f t="shared" si="154"/>
        <v>0.16838538874624984</v>
      </c>
      <c r="O158" s="135">
        <f t="shared" si="154"/>
        <v>0.19742272706683414</v>
      </c>
      <c r="P158" s="135">
        <f t="shared" si="154"/>
        <v>0.22051932818360367</v>
      </c>
      <c r="Q158" s="135">
        <f t="shared" si="154"/>
        <v>0.21656879128711418</v>
      </c>
      <c r="R158" s="135">
        <f t="shared" si="154"/>
        <v>0.21671406642653335</v>
      </c>
      <c r="S158" s="135">
        <f t="shared" si="154"/>
        <v>0.24448612490715205</v>
      </c>
      <c r="T158" s="135">
        <f t="shared" si="154"/>
        <v>0.25184848322617498</v>
      </c>
      <c r="U158" s="135">
        <f t="shared" si="154"/>
        <v>0.2451360267817278</v>
      </c>
      <c r="V158" s="135">
        <f t="shared" si="154"/>
        <v>0.27648455957396317</v>
      </c>
      <c r="W158" s="135">
        <f t="shared" si="154"/>
        <v>0.29402035517099473</v>
      </c>
      <c r="X158" s="135">
        <f t="shared" si="154"/>
        <v>0.22972761374951722</v>
      </c>
      <c r="Y158" s="135">
        <f t="shared" si="154"/>
        <v>0.28382082048239765</v>
      </c>
      <c r="Z158" s="135">
        <f t="shared" si="154"/>
        <v>0.32903563260608565</v>
      </c>
      <c r="AA158" s="135">
        <f t="shared" si="154"/>
        <v>0.3620914638178242</v>
      </c>
      <c r="AB158" s="135">
        <f t="shared" si="154"/>
        <v>0.52287710239090612</v>
      </c>
      <c r="AC158" s="135">
        <f t="shared" si="154"/>
        <v>0.55887275440099449</v>
      </c>
      <c r="AD158" s="135">
        <f t="shared" si="154"/>
        <v>0.63028465526632704</v>
      </c>
      <c r="AE158" s="135">
        <f t="shared" si="154"/>
        <v>0.70920623893385448</v>
      </c>
      <c r="AF158" s="135">
        <f t="shared" si="154"/>
        <v>0.87475678996137352</v>
      </c>
      <c r="AG158" s="135">
        <f t="shared" si="154"/>
        <v>1.0975265926435134</v>
      </c>
      <c r="AH158" s="135">
        <f t="shared" si="154"/>
        <v>1.2647579364704693</v>
      </c>
      <c r="AI158" s="135">
        <f t="shared" si="154"/>
        <v>1.3086783024992705</v>
      </c>
      <c r="AJ158" s="135">
        <f t="shared" si="154"/>
        <v>1.3088467761642602</v>
      </c>
      <c r="AK158" s="135">
        <f t="shared" si="154"/>
        <v>1.3583779269545779</v>
      </c>
      <c r="AL158" s="135">
        <f t="shared" si="154"/>
        <v>1.1909259886795864</v>
      </c>
      <c r="AM158" s="135">
        <f t="shared" si="154"/>
        <v>1.1923932941607378</v>
      </c>
      <c r="AN158" s="135">
        <f t="shared" si="154"/>
        <v>1.1730423540623613</v>
      </c>
    </row>
    <row r="159" spans="1:41" ht="12.75" customHeight="1" outlineLevel="1">
      <c r="A159" s="102"/>
      <c r="B159" s="128" t="s">
        <v>209</v>
      </c>
      <c r="C159" s="102"/>
      <c r="D159" s="102"/>
      <c r="E159" s="102"/>
      <c r="F159" s="102"/>
      <c r="G159" s="102"/>
      <c r="H159" s="102"/>
      <c r="I159" s="102"/>
      <c r="J159" s="102"/>
      <c r="K159" s="102">
        <f t="shared" ref="K159:AN159" si="155">K42</f>
        <v>4016</v>
      </c>
      <c r="L159" s="102">
        <f t="shared" si="155"/>
        <v>5523</v>
      </c>
      <c r="M159" s="102">
        <f t="shared" si="155"/>
        <v>8356</v>
      </c>
      <c r="N159" s="102">
        <f t="shared" si="155"/>
        <v>10550</v>
      </c>
      <c r="O159" s="102">
        <f t="shared" si="155"/>
        <v>12430</v>
      </c>
      <c r="P159" s="102">
        <f t="shared" si="155"/>
        <v>14268</v>
      </c>
      <c r="Q159" s="102">
        <f t="shared" si="155"/>
        <v>14771</v>
      </c>
      <c r="R159" s="102">
        <f t="shared" si="155"/>
        <v>15003</v>
      </c>
      <c r="S159" s="127">
        <f t="shared" si="155"/>
        <v>14642</v>
      </c>
      <c r="T159" s="127">
        <f t="shared" si="155"/>
        <v>15053</v>
      </c>
      <c r="U159" s="127">
        <f t="shared" si="155"/>
        <v>15582</v>
      </c>
      <c r="V159" s="127">
        <f t="shared" si="155"/>
        <v>17265</v>
      </c>
      <c r="W159" s="127">
        <f t="shared" si="155"/>
        <v>18676</v>
      </c>
      <c r="X159" s="127">
        <f t="shared" si="155"/>
        <v>20063</v>
      </c>
      <c r="Y159" s="127">
        <f t="shared" si="155"/>
        <v>21662</v>
      </c>
      <c r="Z159" s="127">
        <f t="shared" si="155"/>
        <v>22991</v>
      </c>
      <c r="AA159" s="127">
        <f t="shared" si="155"/>
        <v>22849</v>
      </c>
      <c r="AB159" s="127">
        <f t="shared" si="155"/>
        <v>22633.13996255201</v>
      </c>
      <c r="AC159" s="127">
        <f t="shared" si="155"/>
        <v>22481.731493730029</v>
      </c>
      <c r="AD159" s="127">
        <f t="shared" si="155"/>
        <v>22726.599995831999</v>
      </c>
      <c r="AE159" s="127">
        <f t="shared" si="155"/>
        <v>22581.148100015707</v>
      </c>
      <c r="AF159" s="127">
        <f t="shared" si="155"/>
        <v>23413.75697786712</v>
      </c>
      <c r="AG159" s="127">
        <f t="shared" si="155"/>
        <v>24591.714242525977</v>
      </c>
      <c r="AH159" s="127">
        <f t="shared" si="155"/>
        <v>25332.714467832891</v>
      </c>
      <c r="AI159" s="127">
        <f t="shared" si="155"/>
        <v>25723.182500076706</v>
      </c>
      <c r="AJ159" s="127">
        <f t="shared" si="155"/>
        <v>25589.147068711944</v>
      </c>
      <c r="AK159" s="127">
        <f t="shared" si="155"/>
        <v>25581.577148985907</v>
      </c>
      <c r="AL159" s="127">
        <f t="shared" si="155"/>
        <v>23802.398936216381</v>
      </c>
      <c r="AM159" s="127">
        <f t="shared" si="155"/>
        <v>22858.568434304871</v>
      </c>
      <c r="AN159" s="127">
        <f t="shared" si="155"/>
        <v>22269.408571665866</v>
      </c>
    </row>
    <row r="160" spans="1:41" ht="12.75" customHeight="1" outlineLevel="1">
      <c r="A160" s="102"/>
      <c r="B160" s="128" t="s">
        <v>456</v>
      </c>
      <c r="C160" s="102"/>
      <c r="D160" s="102"/>
      <c r="E160" s="102"/>
      <c r="F160" s="102"/>
      <c r="G160" s="102"/>
      <c r="H160" s="102"/>
      <c r="I160" s="102"/>
      <c r="J160" s="102"/>
      <c r="K160" s="162">
        <f>IS!K29</f>
        <v>1531</v>
      </c>
      <c r="L160" s="162">
        <f>IS!P29</f>
        <v>2308</v>
      </c>
      <c r="M160" s="162">
        <f>IS!U29</f>
        <v>3521</v>
      </c>
      <c r="N160" s="162">
        <f>IS!Z29</f>
        <v>4277</v>
      </c>
      <c r="O160" s="162">
        <f>IS!AE29</f>
        <v>5301</v>
      </c>
      <c r="P160" s="162">
        <f>IS!AJ29</f>
        <v>5763</v>
      </c>
      <c r="Q160" s="162">
        <f>IS!AO29</f>
        <v>6070</v>
      </c>
      <c r="R160" s="162">
        <f>IS!AT29</f>
        <v>6192</v>
      </c>
      <c r="S160" s="187">
        <f>IS!AY29</f>
        <v>6088</v>
      </c>
      <c r="T160" s="187">
        <f>IS!BD29</f>
        <v>6150</v>
      </c>
      <c r="U160" s="187">
        <f>IS!BI29</f>
        <v>5687</v>
      </c>
      <c r="V160" s="187">
        <f>IS!BN29</f>
        <v>6517</v>
      </c>
      <c r="W160" s="187">
        <f>IS!BS29</f>
        <v>6972</v>
      </c>
      <c r="X160" s="187">
        <f>IS!BX29</f>
        <v>8475</v>
      </c>
      <c r="Y160" s="187">
        <f>IS!CC29</f>
        <v>10052</v>
      </c>
      <c r="Z160" s="187">
        <f>IS!CH29</f>
        <v>11446</v>
      </c>
      <c r="AA160" s="187">
        <f>IS!CM29</f>
        <v>11658</v>
      </c>
      <c r="AB160" s="187">
        <f>IS!CR29</f>
        <v>11506.890454018681</v>
      </c>
      <c r="AC160" s="187">
        <f>IS!CW29</f>
        <v>11176.801947706226</v>
      </c>
      <c r="AD160" s="187">
        <f>IS!DB29</f>
        <v>11192.839149530999</v>
      </c>
      <c r="AE160" s="187">
        <f>IS!DG29</f>
        <v>11025.022594720256</v>
      </c>
      <c r="AF160" s="187">
        <f>IS!DL29</f>
        <v>11685.144505960798</v>
      </c>
      <c r="AG160" s="187">
        <f>IS!DQ29</f>
        <v>12500.608189599878</v>
      </c>
      <c r="AH160" s="187">
        <f>IS!DV29</f>
        <v>13091.535471390149</v>
      </c>
      <c r="AI160" s="187">
        <f>IS!EA29</f>
        <v>13388.674942576152</v>
      </c>
      <c r="AJ160" s="187">
        <f>IS!EF29</f>
        <v>13168.178199728438</v>
      </c>
      <c r="AK160" s="187">
        <f>IS!EK29</f>
        <v>13042.552521040008</v>
      </c>
      <c r="AL160" s="187">
        <f>IS!EP29</f>
        <v>11531.806652799918</v>
      </c>
      <c r="AM160" s="187">
        <f>IS!EU29</f>
        <v>10833.054282343135</v>
      </c>
      <c r="AN160" s="187">
        <f>IS!EZ29</f>
        <v>10442.796193235041</v>
      </c>
      <c r="AO160" s="162"/>
    </row>
    <row r="161" spans="1:40" ht="12.75" customHeight="1" outlineLevel="1">
      <c r="B161" s="182" t="s">
        <v>66</v>
      </c>
      <c r="K161" s="71">
        <f>IS!K35</f>
        <v>0.33629893238434166</v>
      </c>
      <c r="L161" s="71">
        <f>IS!P35</f>
        <v>0.31021594684385384</v>
      </c>
      <c r="M161" s="71">
        <f>IS!U35</f>
        <v>0.29511382565241534</v>
      </c>
      <c r="N161" s="71">
        <f>IS!Z35</f>
        <v>0.27197039777983351</v>
      </c>
      <c r="O161" s="71">
        <f>IS!AE35</f>
        <v>0.24393910919000189</v>
      </c>
      <c r="P161" s="71">
        <f>IS!AJ35</f>
        <v>0.22261484098939929</v>
      </c>
      <c r="Q161" s="71">
        <f>IS!AO35</f>
        <v>0.21271714192068175</v>
      </c>
      <c r="R161" s="71">
        <f>IS!AT35</f>
        <v>0.21689644116704071</v>
      </c>
      <c r="S161" s="142">
        <f>IS!AY35</f>
        <v>0.16931742876076872</v>
      </c>
      <c r="T161" s="142">
        <f>IS!BD35</f>
        <v>0.1881060116354234</v>
      </c>
      <c r="U161" s="142">
        <f>IS!BI35</f>
        <v>0.14290755116443191</v>
      </c>
      <c r="V161" s="142">
        <f>IS!BN35</f>
        <v>0.15930366234192805</v>
      </c>
      <c r="W161" s="142">
        <f>IS!BS35</f>
        <v>9.2129918800749527E-2</v>
      </c>
      <c r="X161" s="142">
        <f>IS!BX35</f>
        <v>0.14855763121108145</v>
      </c>
      <c r="Y161" s="142">
        <f>IS!CC35</f>
        <v>0.16799163179916318</v>
      </c>
      <c r="Z161" s="142">
        <f>IS!CH35</f>
        <v>0.18770226537216828</v>
      </c>
      <c r="AA161" s="142">
        <f>IS!CM35</f>
        <v>0.18046445665662117</v>
      </c>
      <c r="AB161" s="142">
        <f>IS!CR35</f>
        <v>0.14095022802204277</v>
      </c>
      <c r="AC161" s="142">
        <f>IS!CW35</f>
        <v>0.14499999999999999</v>
      </c>
      <c r="AD161" s="142">
        <f>IS!DB35</f>
        <v>0.14499999999999999</v>
      </c>
      <c r="AE161" s="142">
        <f>IS!DG35</f>
        <v>0.14499999999999999</v>
      </c>
      <c r="AF161" s="142">
        <f>IS!DL35</f>
        <v>0.14499999999999999</v>
      </c>
      <c r="AG161" s="142">
        <f>IS!DQ35</f>
        <v>0.14499999999999999</v>
      </c>
      <c r="AH161" s="142">
        <f>IS!DV35</f>
        <v>0.14499999999999999</v>
      </c>
      <c r="AI161" s="142">
        <f>IS!EA35</f>
        <v>0.14499999999999999</v>
      </c>
      <c r="AJ161" s="142">
        <f>IS!EF35</f>
        <v>0.14499999999999999</v>
      </c>
      <c r="AK161" s="142">
        <f>IS!EK35</f>
        <v>0.14499999999999999</v>
      </c>
      <c r="AL161" s="142">
        <f>IS!EP35</f>
        <v>0.14499999999999999</v>
      </c>
      <c r="AM161" s="142">
        <f>IS!EU35</f>
        <v>0.14499999999999999</v>
      </c>
      <c r="AN161" s="142">
        <f>IS!EZ35</f>
        <v>0.14499999999999999</v>
      </c>
    </row>
    <row r="162" spans="1:40" ht="12.75" customHeight="1" outlineLevel="1">
      <c r="A162" s="102"/>
      <c r="B162" s="128" t="s">
        <v>65</v>
      </c>
      <c r="C162" s="102"/>
      <c r="D162" s="102"/>
      <c r="E162" s="102"/>
      <c r="F162" s="102"/>
      <c r="G162" s="102"/>
      <c r="H162" s="102"/>
      <c r="I162" s="102"/>
      <c r="J162" s="102"/>
      <c r="K162" s="102">
        <f t="shared" ref="K162:Z162" si="156">K160*K161</f>
        <v>514.87366548042712</v>
      </c>
      <c r="L162" s="102">
        <f t="shared" si="156"/>
        <v>715.97840531561462</v>
      </c>
      <c r="M162" s="102">
        <f t="shared" si="156"/>
        <v>1039.0957801221543</v>
      </c>
      <c r="N162" s="102">
        <f t="shared" si="156"/>
        <v>1163.217391304348</v>
      </c>
      <c r="O162" s="102">
        <f t="shared" si="156"/>
        <v>1293.1212178162</v>
      </c>
      <c r="P162" s="102">
        <f t="shared" si="156"/>
        <v>1282.9293286219081</v>
      </c>
      <c r="Q162" s="102">
        <f t="shared" si="156"/>
        <v>1291.1930514585383</v>
      </c>
      <c r="R162" s="102">
        <f t="shared" si="156"/>
        <v>1343.022763706316</v>
      </c>
      <c r="S162" s="127">
        <f t="shared" si="156"/>
        <v>1030.80450629556</v>
      </c>
      <c r="T162" s="127">
        <f t="shared" si="156"/>
        <v>1156.8519715578539</v>
      </c>
      <c r="U162" s="127">
        <f t="shared" si="156"/>
        <v>812.71524347212426</v>
      </c>
      <c r="V162" s="127">
        <f t="shared" si="156"/>
        <v>1038.181967482345</v>
      </c>
      <c r="W162" s="127">
        <f t="shared" si="156"/>
        <v>642.32979387882574</v>
      </c>
      <c r="X162" s="127">
        <f t="shared" si="156"/>
        <v>1259.0259245139152</v>
      </c>
      <c r="Y162" s="127">
        <f t="shared" si="156"/>
        <v>1688.6518828451883</v>
      </c>
      <c r="Z162" s="127">
        <f t="shared" si="156"/>
        <v>2148.440129449838</v>
      </c>
      <c r="AA162" s="127">
        <f>AA160*AA161</f>
        <v>2103.8546357028895</v>
      </c>
      <c r="AB162" s="127">
        <f>AB160*AB161</f>
        <v>1621.8988333186003</v>
      </c>
      <c r="AC162" s="127">
        <f>AC160*AC161</f>
        <v>1620.6362824174028</v>
      </c>
      <c r="AD162" s="127">
        <f>AD160*AD161</f>
        <v>1622.9616766819947</v>
      </c>
      <c r="AE162" s="127">
        <f t="shared" ref="AE162:AN162" si="157">AE160*AE161</f>
        <v>1598.628276234437</v>
      </c>
      <c r="AF162" s="127">
        <f t="shared" si="157"/>
        <v>1694.3459533643156</v>
      </c>
      <c r="AG162" s="127">
        <f t="shared" si="157"/>
        <v>1812.5881874919821</v>
      </c>
      <c r="AH162" s="127">
        <f t="shared" si="157"/>
        <v>1898.2726433515716</v>
      </c>
      <c r="AI162" s="127">
        <f t="shared" si="157"/>
        <v>1941.3578666735418</v>
      </c>
      <c r="AJ162" s="127">
        <f t="shared" si="157"/>
        <v>1909.3858389606235</v>
      </c>
      <c r="AK162" s="127">
        <f t="shared" si="157"/>
        <v>1891.170115550801</v>
      </c>
      <c r="AL162" s="127">
        <f t="shared" si="157"/>
        <v>1672.111964655988</v>
      </c>
      <c r="AM162" s="127">
        <f t="shared" si="157"/>
        <v>1570.7928709397545</v>
      </c>
      <c r="AN162" s="127">
        <f t="shared" si="157"/>
        <v>1514.2054480190809</v>
      </c>
    </row>
    <row r="163" spans="1:40" ht="12.75" customHeight="1" outlineLevel="1">
      <c r="A163" s="102"/>
      <c r="B163" s="128" t="s">
        <v>457</v>
      </c>
      <c r="C163" s="102"/>
      <c r="D163" s="102"/>
      <c r="E163" s="102"/>
      <c r="F163" s="102"/>
      <c r="G163" s="102"/>
      <c r="H163" s="102"/>
      <c r="I163" s="102"/>
      <c r="J163" s="102"/>
      <c r="K163" s="102">
        <f t="shared" ref="K163:Z163" si="158">K160-K162</f>
        <v>1016.1263345195729</v>
      </c>
      <c r="L163" s="102">
        <f t="shared" si="158"/>
        <v>1592.0215946843855</v>
      </c>
      <c r="M163" s="102">
        <f t="shared" si="158"/>
        <v>2481.9042198778457</v>
      </c>
      <c r="N163" s="102">
        <f t="shared" si="158"/>
        <v>3113.782608695652</v>
      </c>
      <c r="O163" s="102">
        <f t="shared" si="158"/>
        <v>4007.8787821838</v>
      </c>
      <c r="P163" s="102">
        <f t="shared" si="158"/>
        <v>4480.0706713780919</v>
      </c>
      <c r="Q163" s="102">
        <f t="shared" si="158"/>
        <v>4778.8069485414617</v>
      </c>
      <c r="R163" s="102">
        <f t="shared" si="158"/>
        <v>4848.9772362936837</v>
      </c>
      <c r="S163" s="127">
        <f t="shared" si="158"/>
        <v>5057.1954937044402</v>
      </c>
      <c r="T163" s="127">
        <f t="shared" si="158"/>
        <v>4993.1480284421459</v>
      </c>
      <c r="U163" s="127">
        <f t="shared" si="158"/>
        <v>4874.2847565278753</v>
      </c>
      <c r="V163" s="127">
        <f t="shared" si="158"/>
        <v>5478.8180325176545</v>
      </c>
      <c r="W163" s="127">
        <f t="shared" si="158"/>
        <v>6329.6702061211745</v>
      </c>
      <c r="X163" s="127">
        <f t="shared" si="158"/>
        <v>7215.974075486085</v>
      </c>
      <c r="Y163" s="127">
        <f t="shared" si="158"/>
        <v>8363.3481171548119</v>
      </c>
      <c r="Z163" s="127">
        <f t="shared" si="158"/>
        <v>9297.5598705501616</v>
      </c>
      <c r="AA163" s="127">
        <f>AA160-AA162</f>
        <v>9554.1453642971101</v>
      </c>
      <c r="AB163" s="127">
        <f>AB160-AB162</f>
        <v>9884.9916207000806</v>
      </c>
      <c r="AC163" s="127">
        <f>AC160-AC162</f>
        <v>9556.1656652888232</v>
      </c>
      <c r="AD163" s="127">
        <f>AD160-AD162</f>
        <v>9569.8774728490043</v>
      </c>
      <c r="AE163" s="127">
        <f t="shared" ref="AE163:AN163" si="159">AE160-AE162</f>
        <v>9426.3943184858199</v>
      </c>
      <c r="AF163" s="127">
        <f t="shared" si="159"/>
        <v>9990.7985525964814</v>
      </c>
      <c r="AG163" s="127">
        <f t="shared" si="159"/>
        <v>10688.020002107896</v>
      </c>
      <c r="AH163" s="127">
        <f t="shared" si="159"/>
        <v>11193.262828038578</v>
      </c>
      <c r="AI163" s="127">
        <f t="shared" si="159"/>
        <v>11447.317075902611</v>
      </c>
      <c r="AJ163" s="127">
        <f t="shared" si="159"/>
        <v>11258.792360767815</v>
      </c>
      <c r="AK163" s="127">
        <f t="shared" si="159"/>
        <v>11151.382405489207</v>
      </c>
      <c r="AL163" s="127">
        <f t="shared" si="159"/>
        <v>9859.6946881439308</v>
      </c>
      <c r="AM163" s="127">
        <f t="shared" si="159"/>
        <v>9262.2614114033804</v>
      </c>
      <c r="AN163" s="127">
        <f t="shared" si="159"/>
        <v>8928.590745215959</v>
      </c>
    </row>
    <row r="164" spans="1:40" ht="12.75" customHeight="1" outlineLevel="1">
      <c r="A164" s="185"/>
      <c r="B164" s="185" t="s">
        <v>458</v>
      </c>
      <c r="C164" s="185"/>
      <c r="D164" s="185"/>
      <c r="E164" s="185"/>
      <c r="F164" s="185"/>
      <c r="G164" s="185"/>
      <c r="H164" s="185"/>
      <c r="I164" s="185"/>
      <c r="J164" s="185"/>
      <c r="K164" s="185">
        <f t="shared" ref="K164:Z164" si="160">K163/K159</f>
        <v>0.25301950560746339</v>
      </c>
      <c r="L164" s="185">
        <f t="shared" si="160"/>
        <v>0.28825304991569534</v>
      </c>
      <c r="M164" s="185">
        <f t="shared" si="160"/>
        <v>0.29702061032525678</v>
      </c>
      <c r="N164" s="185">
        <f t="shared" si="160"/>
        <v>0.29514527096641252</v>
      </c>
      <c r="O164" s="185">
        <f t="shared" si="160"/>
        <v>0.32243594386032182</v>
      </c>
      <c r="P164" s="185">
        <f t="shared" si="160"/>
        <v>0.31399429992837763</v>
      </c>
      <c r="Q164" s="185">
        <f t="shared" si="160"/>
        <v>0.32352629805304051</v>
      </c>
      <c r="R164" s="185">
        <f t="shared" si="160"/>
        <v>0.32320050898444869</v>
      </c>
      <c r="S164" s="135">
        <f t="shared" si="160"/>
        <v>0.34538966628223194</v>
      </c>
      <c r="T164" s="135">
        <f t="shared" si="160"/>
        <v>0.33170451261822531</v>
      </c>
      <c r="U164" s="135">
        <f t="shared" si="160"/>
        <v>0.31281509154972886</v>
      </c>
      <c r="V164" s="135">
        <f t="shared" si="160"/>
        <v>0.31733669461440223</v>
      </c>
      <c r="W164" s="135">
        <f t="shared" si="160"/>
        <v>0.33892001532025995</v>
      </c>
      <c r="X164" s="135">
        <f t="shared" si="160"/>
        <v>0.35966575664088546</v>
      </c>
      <c r="Y164" s="135">
        <f t="shared" si="160"/>
        <v>0.38608383884935887</v>
      </c>
      <c r="Z164" s="135">
        <f t="shared" si="160"/>
        <v>0.40439997697143065</v>
      </c>
      <c r="AA164" s="135">
        <f>AA163/AA159</f>
        <v>0.41814282306871681</v>
      </c>
      <c r="AB164" s="135">
        <f>AB163/AB159</f>
        <v>0.43674857474727047</v>
      </c>
      <c r="AC164" s="135">
        <f>AC163/AC159</f>
        <v>0.42506359743483102</v>
      </c>
      <c r="AD164" s="135">
        <f>AD163/AD159</f>
        <v>0.42108707305994281</v>
      </c>
      <c r="AE164" s="135">
        <f t="shared" ref="AE164:AN164" si="161">AE163/AE159</f>
        <v>0.41744530777331301</v>
      </c>
      <c r="AF164" s="135">
        <f t="shared" si="161"/>
        <v>0.42670634029561005</v>
      </c>
      <c r="AG164" s="135">
        <f t="shared" si="161"/>
        <v>0.43461874583860077</v>
      </c>
      <c r="AH164" s="135">
        <f t="shared" si="161"/>
        <v>0.44185011607230718</v>
      </c>
      <c r="AI164" s="135">
        <f t="shared" si="161"/>
        <v>0.44501947128309161</v>
      </c>
      <c r="AJ164" s="135">
        <f t="shared" si="161"/>
        <v>0.4399831041861505</v>
      </c>
      <c r="AK164" s="135">
        <f t="shared" si="161"/>
        <v>0.43591457792238836</v>
      </c>
      <c r="AL164" s="135">
        <f t="shared" si="161"/>
        <v>0.41423113336454409</v>
      </c>
      <c r="AM164" s="135">
        <f t="shared" si="161"/>
        <v>0.40519866491302636</v>
      </c>
      <c r="AN164" s="135">
        <f t="shared" si="161"/>
        <v>0.40093524336232761</v>
      </c>
    </row>
    <row r="165" spans="1:40" ht="12.75" customHeight="1" outlineLevel="1">
      <c r="A165" s="102"/>
      <c r="B165" s="128" t="s">
        <v>459</v>
      </c>
      <c r="C165" s="102"/>
      <c r="D165" s="102"/>
      <c r="E165" s="102"/>
      <c r="F165" s="102"/>
      <c r="G165" s="102"/>
      <c r="H165" s="102"/>
      <c r="I165" s="102"/>
      <c r="J165" s="102"/>
      <c r="K165" s="102">
        <f t="shared" ref="K165:AD165" si="162">K5</f>
        <v>497.2</v>
      </c>
      <c r="L165" s="102">
        <f t="shared" si="162"/>
        <v>752.4</v>
      </c>
      <c r="M165" s="102">
        <f t="shared" si="162"/>
        <v>1008</v>
      </c>
      <c r="N165" s="102">
        <f t="shared" si="162"/>
        <v>1461</v>
      </c>
      <c r="O165" s="102">
        <f t="shared" si="162"/>
        <v>1769</v>
      </c>
      <c r="P165" s="102">
        <f t="shared" si="162"/>
        <v>2124</v>
      </c>
      <c r="Q165" s="102">
        <f t="shared" si="162"/>
        <v>2101</v>
      </c>
      <c r="R165" s="102">
        <f t="shared" si="162"/>
        <v>2073</v>
      </c>
      <c r="S165" s="127">
        <f t="shared" si="162"/>
        <v>2109</v>
      </c>
      <c r="T165" s="127">
        <f t="shared" si="162"/>
        <v>2335</v>
      </c>
      <c r="U165" s="127">
        <f t="shared" si="162"/>
        <v>2896</v>
      </c>
      <c r="V165" s="127">
        <f t="shared" si="162"/>
        <v>2518</v>
      </c>
      <c r="W165" s="127">
        <f t="shared" si="162"/>
        <v>2697</v>
      </c>
      <c r="X165" s="127">
        <f t="shared" si="162"/>
        <v>2546</v>
      </c>
      <c r="Y165" s="127">
        <f t="shared" si="162"/>
        <v>2995</v>
      </c>
      <c r="Z165" s="127">
        <f t="shared" si="162"/>
        <v>3165</v>
      </c>
      <c r="AA165" s="127">
        <f t="shared" si="162"/>
        <v>3237</v>
      </c>
      <c r="AB165" s="127">
        <f t="shared" si="162"/>
        <v>3206.419276939072</v>
      </c>
      <c r="AC165" s="127">
        <f t="shared" si="162"/>
        <v>3184.9693573112218</v>
      </c>
      <c r="AD165" s="127">
        <f t="shared" si="162"/>
        <v>3219.6596869231994</v>
      </c>
      <c r="AE165" s="127">
        <f t="shared" ref="AE165:AN165" si="163">AE5</f>
        <v>3199.0536303449098</v>
      </c>
      <c r="AF165" s="127">
        <f t="shared" si="163"/>
        <v>3317.0086803516942</v>
      </c>
      <c r="AG165" s="127">
        <f t="shared" si="163"/>
        <v>3483.8889668281581</v>
      </c>
      <c r="AH165" s="127">
        <f t="shared" si="163"/>
        <v>3588.865890514905</v>
      </c>
      <c r="AI165" s="127">
        <f t="shared" si="163"/>
        <v>3644.1831919448682</v>
      </c>
      <c r="AJ165" s="127">
        <f t="shared" si="163"/>
        <v>3625.1944969766973</v>
      </c>
      <c r="AK165" s="127">
        <f t="shared" si="163"/>
        <v>3624.1220723562246</v>
      </c>
      <c r="AL165" s="127">
        <f t="shared" si="163"/>
        <v>3372.0672833179756</v>
      </c>
      <c r="AM165" s="127">
        <f t="shared" si="163"/>
        <v>3238.355552621334</v>
      </c>
      <c r="AN165" s="127">
        <f t="shared" si="163"/>
        <v>3154.8897346265662</v>
      </c>
    </row>
    <row r="166" spans="1:40" ht="12.75" customHeight="1" outlineLevel="1">
      <c r="A166" s="102"/>
      <c r="B166" s="128" t="s">
        <v>460</v>
      </c>
      <c r="C166" s="102"/>
      <c r="D166" s="102"/>
      <c r="E166" s="102"/>
      <c r="F166" s="102"/>
      <c r="G166" s="102"/>
      <c r="H166" s="102"/>
      <c r="I166" s="102"/>
      <c r="J166" s="102"/>
      <c r="K166" s="102">
        <f t="shared" ref="K166:AD166" si="164">K6</f>
        <v>355.6</v>
      </c>
      <c r="L166" s="102">
        <f t="shared" si="164"/>
        <v>544.9</v>
      </c>
      <c r="M166" s="102">
        <f t="shared" si="164"/>
        <v>713</v>
      </c>
      <c r="N166" s="102">
        <f t="shared" si="164"/>
        <v>888</v>
      </c>
      <c r="O166" s="102">
        <f t="shared" si="164"/>
        <v>1258</v>
      </c>
      <c r="P166" s="102">
        <f t="shared" si="164"/>
        <v>1903</v>
      </c>
      <c r="Q166" s="102">
        <f t="shared" si="164"/>
        <v>2091</v>
      </c>
      <c r="R166" s="102">
        <f t="shared" si="164"/>
        <v>2075</v>
      </c>
      <c r="S166" s="127">
        <f t="shared" si="164"/>
        <v>2220</v>
      </c>
      <c r="T166" s="127">
        <f t="shared" si="164"/>
        <v>2022</v>
      </c>
      <c r="U166" s="127">
        <f t="shared" si="164"/>
        <v>2484</v>
      </c>
      <c r="V166" s="127">
        <f t="shared" si="164"/>
        <v>2744</v>
      </c>
      <c r="W166" s="127">
        <f t="shared" si="164"/>
        <v>3019</v>
      </c>
      <c r="X166" s="127">
        <f t="shared" si="164"/>
        <v>2647</v>
      </c>
      <c r="Y166" s="127">
        <f t="shared" si="164"/>
        <v>2435</v>
      </c>
      <c r="Z166" s="127">
        <f t="shared" si="164"/>
        <v>2745</v>
      </c>
      <c r="AA166" s="127">
        <f t="shared" si="164"/>
        <v>2834</v>
      </c>
      <c r="AB166" s="127">
        <f t="shared" si="164"/>
        <v>2686.3773045135758</v>
      </c>
      <c r="AC166" s="127">
        <f t="shared" si="164"/>
        <v>2700.7218776525506</v>
      </c>
      <c r="AD166" s="127">
        <f t="shared" si="164"/>
        <v>2763.0675006046699</v>
      </c>
      <c r="AE166" s="127">
        <f t="shared" ref="AE166:AN166" si="165">AE6</f>
        <v>2872.4209126664582</v>
      </c>
      <c r="AF166" s="127">
        <f t="shared" si="165"/>
        <v>3121.2647081127006</v>
      </c>
      <c r="AG166" s="127">
        <f t="shared" si="165"/>
        <v>3459.0623426103289</v>
      </c>
      <c r="AH166" s="127">
        <f t="shared" si="165"/>
        <v>3694.8587588868827</v>
      </c>
      <c r="AI166" s="127">
        <f t="shared" si="165"/>
        <v>3962.2685964674615</v>
      </c>
      <c r="AJ166" s="127">
        <f t="shared" si="165"/>
        <v>4144.4702040021493</v>
      </c>
      <c r="AK166" s="127">
        <f t="shared" si="165"/>
        <v>4355.8593122092307</v>
      </c>
      <c r="AL166" s="127">
        <f t="shared" si="165"/>
        <v>4266.0976406013469</v>
      </c>
      <c r="AM166" s="127">
        <f t="shared" si="165"/>
        <v>4274.6367094586967</v>
      </c>
      <c r="AN166" s="127">
        <f t="shared" si="165"/>
        <v>4317.0769038948938</v>
      </c>
    </row>
    <row r="167" spans="1:40" ht="12.75" customHeight="1" outlineLevel="1">
      <c r="A167" s="102"/>
      <c r="B167" s="128" t="s">
        <v>387</v>
      </c>
      <c r="C167" s="102"/>
      <c r="D167" s="102"/>
      <c r="E167" s="102"/>
      <c r="F167" s="102"/>
      <c r="G167" s="102"/>
      <c r="H167" s="102"/>
      <c r="I167" s="102"/>
      <c r="J167" s="102"/>
      <c r="K167" s="102">
        <f t="shared" ref="K167:AD167" si="166">K8</f>
        <v>343.6</v>
      </c>
      <c r="L167" s="102">
        <f t="shared" si="166"/>
        <v>442.3</v>
      </c>
      <c r="M167" s="102">
        <f t="shared" si="166"/>
        <v>558</v>
      </c>
      <c r="N167" s="102">
        <f t="shared" si="166"/>
        <v>1013</v>
      </c>
      <c r="O167" s="102">
        <f t="shared" si="166"/>
        <v>953</v>
      </c>
      <c r="P167" s="102">
        <f t="shared" si="166"/>
        <v>1408</v>
      </c>
      <c r="Q167" s="102">
        <f t="shared" si="166"/>
        <v>1698</v>
      </c>
      <c r="R167" s="102">
        <f t="shared" si="166"/>
        <v>1521</v>
      </c>
      <c r="S167" s="127">
        <f t="shared" si="166"/>
        <v>1161</v>
      </c>
      <c r="T167" s="127">
        <f t="shared" si="166"/>
        <v>1350</v>
      </c>
      <c r="U167" s="127">
        <f t="shared" si="166"/>
        <v>1572</v>
      </c>
      <c r="V167" s="127">
        <f t="shared" si="166"/>
        <v>1886</v>
      </c>
      <c r="W167" s="127">
        <f t="shared" si="166"/>
        <v>2250</v>
      </c>
      <c r="X167" s="127">
        <f t="shared" si="166"/>
        <v>2494</v>
      </c>
      <c r="Y167" s="127">
        <f t="shared" si="166"/>
        <v>1706</v>
      </c>
      <c r="Z167" s="127">
        <f t="shared" si="166"/>
        <v>2015</v>
      </c>
      <c r="AA167" s="127">
        <f t="shared" si="166"/>
        <v>1727</v>
      </c>
      <c r="AB167" s="127">
        <f t="shared" si="166"/>
        <v>1710.6846126888408</v>
      </c>
      <c r="AC167" s="127">
        <f t="shared" si="166"/>
        <v>1699.2406796652704</v>
      </c>
      <c r="AD167" s="127">
        <f t="shared" si="166"/>
        <v>1717.7486188805576</v>
      </c>
      <c r="AE167" s="127">
        <f t="shared" ref="AE167:AN167" si="167">AE8</f>
        <v>1706.7549025658509</v>
      </c>
      <c r="AF167" s="127">
        <f t="shared" si="167"/>
        <v>1769.6861263414819</v>
      </c>
      <c r="AG167" s="127">
        <f t="shared" si="167"/>
        <v>1858.7198781934599</v>
      </c>
      <c r="AH167" s="127">
        <f t="shared" si="167"/>
        <v>1914.7270290142853</v>
      </c>
      <c r="AI167" s="127">
        <f t="shared" si="167"/>
        <v>1944.2398432155662</v>
      </c>
      <c r="AJ167" s="127">
        <f t="shared" si="167"/>
        <v>1934.109019548581</v>
      </c>
      <c r="AK167" s="127">
        <f t="shared" si="167"/>
        <v>1933.5368609697871</v>
      </c>
      <c r="AL167" s="127">
        <f t="shared" si="167"/>
        <v>1799.0609200772765</v>
      </c>
      <c r="AM167" s="127">
        <f t="shared" si="167"/>
        <v>1727.7232126589572</v>
      </c>
      <c r="AN167" s="127">
        <f t="shared" si="167"/>
        <v>1683.1926387704912</v>
      </c>
    </row>
    <row r="168" spans="1:40" ht="12.75" customHeight="1" outlineLevel="1">
      <c r="A168" s="102"/>
      <c r="B168" s="128" t="s">
        <v>461</v>
      </c>
      <c r="C168" s="102"/>
      <c r="D168" s="102"/>
      <c r="E168" s="102"/>
      <c r="F168" s="102"/>
      <c r="G168" s="102"/>
      <c r="H168" s="102"/>
      <c r="I168" s="102"/>
      <c r="J168" s="102"/>
      <c r="K168" s="102">
        <f t="shared" ref="K168:AD168" si="168">K11</f>
        <v>1946.1</v>
      </c>
      <c r="L168" s="102">
        <f t="shared" si="168"/>
        <v>2813.5</v>
      </c>
      <c r="M168" s="102">
        <f t="shared" si="168"/>
        <v>3799</v>
      </c>
      <c r="N168" s="102">
        <f t="shared" si="168"/>
        <v>4712</v>
      </c>
      <c r="O168" s="102">
        <f t="shared" si="168"/>
        <v>5038</v>
      </c>
      <c r="P168" s="102">
        <f t="shared" si="168"/>
        <v>5921</v>
      </c>
      <c r="Q168" s="102">
        <f t="shared" si="168"/>
        <v>5941</v>
      </c>
      <c r="R168" s="102">
        <f t="shared" si="168"/>
        <v>5879</v>
      </c>
      <c r="S168" s="127">
        <f t="shared" si="168"/>
        <v>5738</v>
      </c>
      <c r="T168" s="127">
        <f t="shared" si="168"/>
        <v>5522</v>
      </c>
      <c r="U168" s="127">
        <f t="shared" si="168"/>
        <v>5420</v>
      </c>
      <c r="V168" s="127">
        <f t="shared" si="168"/>
        <v>5326</v>
      </c>
      <c r="W168" s="127">
        <f t="shared" si="168"/>
        <v>5349</v>
      </c>
      <c r="X168" s="127">
        <f t="shared" si="168"/>
        <v>5223</v>
      </c>
      <c r="Y168" s="127">
        <f t="shared" si="168"/>
        <v>4907</v>
      </c>
      <c r="Z168" s="127">
        <f t="shared" si="168"/>
        <v>4961</v>
      </c>
      <c r="AA168" s="127">
        <f t="shared" si="168"/>
        <v>4989</v>
      </c>
      <c r="AB168" s="127">
        <f t="shared" si="168"/>
        <v>4779.9549822033305</v>
      </c>
      <c r="AC168" s="127">
        <f t="shared" si="168"/>
        <v>4524.5817780708439</v>
      </c>
      <c r="AD168" s="127">
        <f t="shared" si="168"/>
        <v>4234.0671243449688</v>
      </c>
      <c r="AE168" s="127">
        <f t="shared" ref="AE168:AN168" si="169">AE11</f>
        <v>3896.7945998574423</v>
      </c>
      <c r="AF168" s="127">
        <f t="shared" si="169"/>
        <v>3540.2562779084014</v>
      </c>
      <c r="AG168" s="127">
        <f t="shared" si="169"/>
        <v>3172.284465562173</v>
      </c>
      <c r="AH168" s="127">
        <f t="shared" si="169"/>
        <v>2778.1277031777113</v>
      </c>
      <c r="AI168" s="127">
        <f t="shared" si="169"/>
        <v>2346.3390574227542</v>
      </c>
      <c r="AJ168" s="127">
        <f t="shared" si="169"/>
        <v>1861.311465874285</v>
      </c>
      <c r="AK168" s="127">
        <f t="shared" si="169"/>
        <v>1804.246113082997</v>
      </c>
      <c r="AL168" s="127">
        <f t="shared" si="169"/>
        <v>1580.5882559184288</v>
      </c>
      <c r="AM168" s="127">
        <f t="shared" si="169"/>
        <v>1448.4841712465263</v>
      </c>
      <c r="AN168" s="127">
        <f t="shared" si="169"/>
        <v>2024.8317417220637</v>
      </c>
    </row>
    <row r="169" spans="1:40" ht="12.75" customHeight="1" outlineLevel="1">
      <c r="A169" s="102"/>
      <c r="B169" s="128" t="s">
        <v>462</v>
      </c>
      <c r="C169" s="102"/>
      <c r="D169" s="102"/>
      <c r="E169" s="102"/>
      <c r="F169" s="102"/>
      <c r="G169" s="102"/>
      <c r="H169" s="102"/>
      <c r="I169" s="102"/>
      <c r="J169" s="102"/>
      <c r="K169" s="102">
        <f t="shared" ref="K169:AD169" si="170">K15</f>
        <v>507.1</v>
      </c>
      <c r="L169" s="102">
        <f t="shared" si="170"/>
        <v>566.29999999999995</v>
      </c>
      <c r="M169" s="102">
        <f t="shared" si="170"/>
        <v>804</v>
      </c>
      <c r="N169" s="102">
        <f t="shared" si="170"/>
        <v>781</v>
      </c>
      <c r="O169" s="102">
        <f t="shared" si="170"/>
        <v>787</v>
      </c>
      <c r="P169" s="102">
        <f t="shared" si="170"/>
        <v>1106</v>
      </c>
      <c r="Q169" s="102">
        <f t="shared" si="170"/>
        <v>1085</v>
      </c>
      <c r="R169" s="102">
        <f t="shared" si="170"/>
        <v>1000</v>
      </c>
      <c r="S169" s="127">
        <f t="shared" si="170"/>
        <v>1057</v>
      </c>
      <c r="T169" s="127">
        <f t="shared" si="170"/>
        <v>1271</v>
      </c>
      <c r="U169" s="127">
        <f t="shared" si="170"/>
        <v>1524</v>
      </c>
      <c r="V169" s="127">
        <f t="shared" si="170"/>
        <v>1133</v>
      </c>
      <c r="W169" s="127">
        <f t="shared" si="170"/>
        <v>1767</v>
      </c>
      <c r="X169" s="127">
        <f t="shared" si="170"/>
        <v>1592</v>
      </c>
      <c r="Y169" s="127">
        <f t="shared" si="170"/>
        <v>1723</v>
      </c>
      <c r="Z169" s="127">
        <f t="shared" si="170"/>
        <v>1625</v>
      </c>
      <c r="AA169" s="127">
        <f t="shared" si="170"/>
        <v>2119</v>
      </c>
      <c r="AB169" s="127">
        <f t="shared" si="170"/>
        <v>2119</v>
      </c>
      <c r="AC169" s="127">
        <f t="shared" si="170"/>
        <v>2119</v>
      </c>
      <c r="AD169" s="127">
        <f t="shared" si="170"/>
        <v>2119</v>
      </c>
      <c r="AE169" s="127">
        <f t="shared" ref="AE169:AN169" si="171">AE15</f>
        <v>2119</v>
      </c>
      <c r="AF169" s="127">
        <f t="shared" si="171"/>
        <v>2119</v>
      </c>
      <c r="AG169" s="127">
        <f t="shared" si="171"/>
        <v>2119</v>
      </c>
      <c r="AH169" s="127">
        <f t="shared" si="171"/>
        <v>2119</v>
      </c>
      <c r="AI169" s="127">
        <f t="shared" si="171"/>
        <v>2119</v>
      </c>
      <c r="AJ169" s="127">
        <f t="shared" si="171"/>
        <v>2119</v>
      </c>
      <c r="AK169" s="127">
        <f t="shared" si="171"/>
        <v>2119</v>
      </c>
      <c r="AL169" s="127">
        <f t="shared" si="171"/>
        <v>2119</v>
      </c>
      <c r="AM169" s="127">
        <f t="shared" si="171"/>
        <v>2119</v>
      </c>
      <c r="AN169" s="127">
        <f t="shared" si="171"/>
        <v>2119</v>
      </c>
    </row>
    <row r="170" spans="1:40" ht="12.75" customHeight="1" outlineLevel="1">
      <c r="A170" s="102"/>
      <c r="B170" s="128" t="s">
        <v>463</v>
      </c>
      <c r="C170" s="102"/>
      <c r="D170" s="102"/>
      <c r="E170" s="102"/>
      <c r="F170" s="102"/>
      <c r="G170" s="102"/>
      <c r="H170" s="102"/>
      <c r="I170" s="102"/>
      <c r="J170" s="102"/>
      <c r="K170" s="102">
        <f t="shared" ref="K170:AD170" si="172">K13+K12</f>
        <v>131.30000000000001</v>
      </c>
      <c r="L170" s="102">
        <f t="shared" si="172"/>
        <v>14673</v>
      </c>
      <c r="M170" s="102">
        <f t="shared" si="172"/>
        <v>14108</v>
      </c>
      <c r="N170" s="102">
        <f t="shared" si="172"/>
        <v>14558</v>
      </c>
      <c r="O170" s="102">
        <f t="shared" si="172"/>
        <v>14237</v>
      </c>
      <c r="P170" s="102">
        <f t="shared" si="172"/>
        <v>15049</v>
      </c>
      <c r="Q170" s="102">
        <f t="shared" si="172"/>
        <v>14572</v>
      </c>
      <c r="R170" s="102">
        <f t="shared" si="172"/>
        <v>14327</v>
      </c>
      <c r="S170" s="127">
        <f t="shared" si="172"/>
        <v>13902</v>
      </c>
      <c r="T170" s="127">
        <f t="shared" si="172"/>
        <v>13564</v>
      </c>
      <c r="U170" s="127">
        <f t="shared" si="172"/>
        <v>14334</v>
      </c>
      <c r="V170" s="127">
        <f t="shared" si="172"/>
        <v>16630</v>
      </c>
      <c r="W170" s="127">
        <f t="shared" si="172"/>
        <v>28230</v>
      </c>
      <c r="X170" s="127">
        <f t="shared" si="172"/>
        <v>27481</v>
      </c>
      <c r="Y170" s="127">
        <f t="shared" si="172"/>
        <v>26428</v>
      </c>
      <c r="Z170" s="127">
        <f t="shared" si="172"/>
        <v>25030</v>
      </c>
      <c r="AA170" s="127">
        <f t="shared" si="172"/>
        <v>23370</v>
      </c>
      <c r="AB170" s="127">
        <f t="shared" si="172"/>
        <v>21924.15</v>
      </c>
      <c r="AC170" s="127">
        <f t="shared" si="172"/>
        <v>20406.0075</v>
      </c>
      <c r="AD170" s="127">
        <f t="shared" si="172"/>
        <v>18849.911437499999</v>
      </c>
      <c r="AE170" s="127">
        <f t="shared" ref="AE170:AN170" si="173">AE13+AE12</f>
        <v>17254.912973437502</v>
      </c>
      <c r="AF170" s="127">
        <f t="shared" si="173"/>
        <v>15620.039547773438</v>
      </c>
      <c r="AG170" s="127">
        <f t="shared" si="173"/>
        <v>14761</v>
      </c>
      <c r="AH170" s="127">
        <f t="shared" si="173"/>
        <v>14761</v>
      </c>
      <c r="AI170" s="127">
        <f t="shared" si="173"/>
        <v>14761</v>
      </c>
      <c r="AJ170" s="127">
        <f t="shared" si="173"/>
        <v>14761</v>
      </c>
      <c r="AK170" s="127">
        <f t="shared" si="173"/>
        <v>14761</v>
      </c>
      <c r="AL170" s="127">
        <f t="shared" si="173"/>
        <v>14761</v>
      </c>
      <c r="AM170" s="127">
        <f t="shared" si="173"/>
        <v>14761</v>
      </c>
      <c r="AN170" s="127">
        <f t="shared" si="173"/>
        <v>14761</v>
      </c>
    </row>
    <row r="171" spans="1:40" ht="12.75" customHeight="1" outlineLevel="1">
      <c r="A171" s="4"/>
      <c r="B171" s="133" t="s">
        <v>464</v>
      </c>
      <c r="C171" s="4"/>
      <c r="D171" s="4"/>
      <c r="E171" s="4"/>
      <c r="F171" s="4"/>
      <c r="G171" s="4"/>
      <c r="H171" s="4"/>
      <c r="I171" s="4"/>
      <c r="J171" s="4"/>
      <c r="K171" s="129">
        <f t="shared" ref="K171:Z171" si="174">SUM(K165:K170)</f>
        <v>3780.9</v>
      </c>
      <c r="L171" s="129">
        <f t="shared" si="174"/>
        <v>19792.400000000001</v>
      </c>
      <c r="M171" s="129">
        <f t="shared" si="174"/>
        <v>20990</v>
      </c>
      <c r="N171" s="129">
        <f t="shared" si="174"/>
        <v>23413</v>
      </c>
      <c r="O171" s="129">
        <f t="shared" si="174"/>
        <v>24042</v>
      </c>
      <c r="P171" s="129">
        <f t="shared" si="174"/>
        <v>27511</v>
      </c>
      <c r="Q171" s="129">
        <f t="shared" si="174"/>
        <v>27488</v>
      </c>
      <c r="R171" s="129">
        <f t="shared" si="174"/>
        <v>26875</v>
      </c>
      <c r="S171" s="130">
        <f t="shared" si="174"/>
        <v>26187</v>
      </c>
      <c r="T171" s="130">
        <f t="shared" si="174"/>
        <v>26064</v>
      </c>
      <c r="U171" s="130">
        <f t="shared" si="174"/>
        <v>28230</v>
      </c>
      <c r="V171" s="130">
        <f t="shared" si="174"/>
        <v>30237</v>
      </c>
      <c r="W171" s="130">
        <f t="shared" si="174"/>
        <v>43312</v>
      </c>
      <c r="X171" s="130">
        <f t="shared" si="174"/>
        <v>41983</v>
      </c>
      <c r="Y171" s="130">
        <f t="shared" si="174"/>
        <v>40194</v>
      </c>
      <c r="Z171" s="130">
        <f t="shared" si="174"/>
        <v>39541</v>
      </c>
      <c r="AA171" s="130">
        <f>SUM(AA165:AA170)</f>
        <v>38276</v>
      </c>
      <c r="AB171" s="130">
        <f>SUM(AB165:AB170)</f>
        <v>36426.586176344819</v>
      </c>
      <c r="AC171" s="130">
        <f>SUM(AC165:AC170)</f>
        <v>34634.521192699889</v>
      </c>
      <c r="AD171" s="130">
        <f>SUM(AD165:AD170)</f>
        <v>32903.454368253399</v>
      </c>
      <c r="AE171" s="130">
        <f t="shared" ref="AE171:AN171" si="175">SUM(AE165:AE170)</f>
        <v>31048.937018872162</v>
      </c>
      <c r="AF171" s="130">
        <f t="shared" si="175"/>
        <v>29487.255340487718</v>
      </c>
      <c r="AG171" s="130">
        <f t="shared" si="175"/>
        <v>28853.95565319412</v>
      </c>
      <c r="AH171" s="130">
        <f t="shared" si="175"/>
        <v>28856.579381593787</v>
      </c>
      <c r="AI171" s="130">
        <f t="shared" si="175"/>
        <v>28777.030689050651</v>
      </c>
      <c r="AJ171" s="130">
        <f t="shared" si="175"/>
        <v>28445.085186401713</v>
      </c>
      <c r="AK171" s="130">
        <f t="shared" si="175"/>
        <v>28597.764358618238</v>
      </c>
      <c r="AL171" s="130">
        <f t="shared" si="175"/>
        <v>27897.814099915027</v>
      </c>
      <c r="AM171" s="130">
        <f t="shared" si="175"/>
        <v>27569.199645985515</v>
      </c>
      <c r="AN171" s="130">
        <f t="shared" si="175"/>
        <v>28059.991019014014</v>
      </c>
    </row>
    <row r="172" spans="1:40" ht="12.75" customHeight="1" outlineLevel="1">
      <c r="A172" s="102"/>
      <c r="B172" s="128" t="s">
        <v>465</v>
      </c>
      <c r="C172" s="102"/>
      <c r="D172" s="102"/>
      <c r="E172" s="102"/>
      <c r="F172" s="102"/>
      <c r="G172" s="102"/>
      <c r="H172" s="102"/>
      <c r="I172" s="102"/>
      <c r="J172" s="102"/>
      <c r="K172" s="102">
        <f t="shared" ref="K172:AD172" si="176">K18</f>
        <v>136.69999999999999</v>
      </c>
      <c r="L172" s="102">
        <f t="shared" si="176"/>
        <v>254.6</v>
      </c>
      <c r="M172" s="102">
        <f t="shared" si="176"/>
        <v>327</v>
      </c>
      <c r="N172" s="102">
        <f t="shared" si="176"/>
        <v>507</v>
      </c>
      <c r="O172" s="102">
        <f t="shared" si="176"/>
        <v>596</v>
      </c>
      <c r="P172" s="102">
        <f t="shared" si="176"/>
        <v>555</v>
      </c>
      <c r="Q172" s="102">
        <f t="shared" si="176"/>
        <v>378</v>
      </c>
      <c r="R172" s="102">
        <f t="shared" si="176"/>
        <v>504</v>
      </c>
      <c r="S172" s="127">
        <f t="shared" si="176"/>
        <v>574</v>
      </c>
      <c r="T172" s="127">
        <f t="shared" si="176"/>
        <v>716</v>
      </c>
      <c r="U172" s="127">
        <f t="shared" si="176"/>
        <v>642</v>
      </c>
      <c r="V172" s="127">
        <f t="shared" si="176"/>
        <v>905</v>
      </c>
      <c r="W172" s="127">
        <f t="shared" si="176"/>
        <v>787</v>
      </c>
      <c r="X172" s="127">
        <f t="shared" si="176"/>
        <v>1212</v>
      </c>
      <c r="Y172" s="127">
        <f t="shared" si="176"/>
        <v>965</v>
      </c>
      <c r="Z172" s="127">
        <f t="shared" si="176"/>
        <v>917</v>
      </c>
      <c r="AA172" s="127">
        <f t="shared" si="176"/>
        <v>1352</v>
      </c>
      <c r="AB172" s="127">
        <f t="shared" si="176"/>
        <v>1344.5398387576679</v>
      </c>
      <c r="AC172" s="127">
        <f t="shared" si="176"/>
        <v>1365.7639841143937</v>
      </c>
      <c r="AD172" s="127">
        <f t="shared" si="176"/>
        <v>1393.4094061477037</v>
      </c>
      <c r="AE172" s="127">
        <f t="shared" ref="AE172:AN172" si="177">AE18</f>
        <v>1396.1113111571312</v>
      </c>
      <c r="AF172" s="127">
        <f t="shared" si="177"/>
        <v>1416.9496972582745</v>
      </c>
      <c r="AG172" s="127">
        <f t="shared" si="177"/>
        <v>1460.7430420477247</v>
      </c>
      <c r="AH172" s="127">
        <f t="shared" si="177"/>
        <v>1478.8735593951023</v>
      </c>
      <c r="AI172" s="127">
        <f t="shared" si="177"/>
        <v>1490.1487103691138</v>
      </c>
      <c r="AJ172" s="127">
        <f t="shared" si="177"/>
        <v>1500.5942195394246</v>
      </c>
      <c r="AK172" s="127">
        <f t="shared" si="177"/>
        <v>1514.8566970764773</v>
      </c>
      <c r="AL172" s="127">
        <f t="shared" si="177"/>
        <v>1482.4270187810794</v>
      </c>
      <c r="AM172" s="127">
        <f t="shared" si="177"/>
        <v>1452.8187948755487</v>
      </c>
      <c r="AN172" s="127">
        <f t="shared" si="177"/>
        <v>1428.7891998604662</v>
      </c>
    </row>
    <row r="173" spans="1:40" ht="12.75" customHeight="1" outlineLevel="1">
      <c r="A173" s="102"/>
      <c r="B173" s="128" t="s">
        <v>466</v>
      </c>
      <c r="C173" s="102"/>
      <c r="D173" s="102"/>
      <c r="E173" s="102"/>
      <c r="F173" s="102"/>
      <c r="G173" s="102"/>
      <c r="H173" s="102"/>
      <c r="I173" s="102"/>
      <c r="J173" s="102"/>
      <c r="K173" s="102">
        <f t="shared" ref="K173:AD173" si="178">K20</f>
        <v>766.3</v>
      </c>
      <c r="L173" s="102">
        <f t="shared" si="178"/>
        <v>1151.7</v>
      </c>
      <c r="M173" s="102">
        <f t="shared" si="178"/>
        <v>2129</v>
      </c>
      <c r="N173" s="102">
        <f t="shared" si="178"/>
        <v>2477</v>
      </c>
      <c r="O173" s="102">
        <f t="shared" si="178"/>
        <v>2999</v>
      </c>
      <c r="P173" s="102">
        <f t="shared" si="178"/>
        <v>4589</v>
      </c>
      <c r="Q173" s="102">
        <f t="shared" si="178"/>
        <v>3801</v>
      </c>
      <c r="R173" s="102">
        <f t="shared" si="178"/>
        <v>3382</v>
      </c>
      <c r="S173" s="127">
        <f t="shared" si="178"/>
        <v>3299</v>
      </c>
      <c r="T173" s="127">
        <f t="shared" si="178"/>
        <v>3366</v>
      </c>
      <c r="U173" s="127">
        <f t="shared" si="178"/>
        <v>5028</v>
      </c>
      <c r="V173" s="127">
        <f t="shared" si="178"/>
        <v>4791</v>
      </c>
      <c r="W173" s="127">
        <f t="shared" si="178"/>
        <v>4655</v>
      </c>
      <c r="X173" s="127">
        <f t="shared" si="178"/>
        <v>5296</v>
      </c>
      <c r="Y173" s="127">
        <f t="shared" si="178"/>
        <v>5452</v>
      </c>
      <c r="Z173" s="127">
        <f t="shared" si="178"/>
        <v>5884</v>
      </c>
      <c r="AA173" s="127">
        <f t="shared" si="178"/>
        <v>6516</v>
      </c>
      <c r="AB173" s="127">
        <f t="shared" si="178"/>
        <v>6480.0455542492336</v>
      </c>
      <c r="AC173" s="127">
        <f t="shared" si="178"/>
        <v>6582.3358879359384</v>
      </c>
      <c r="AD173" s="127">
        <f t="shared" si="178"/>
        <v>6715.5737355461815</v>
      </c>
      <c r="AE173" s="127">
        <f t="shared" ref="AE173:AN173" si="179">AE20</f>
        <v>6728.5956386833341</v>
      </c>
      <c r="AF173" s="127">
        <f t="shared" si="179"/>
        <v>6829.0267953660623</v>
      </c>
      <c r="AG173" s="127">
        <f t="shared" si="179"/>
        <v>7040.0899866737973</v>
      </c>
      <c r="AH173" s="127">
        <f t="shared" si="179"/>
        <v>7127.4704977947395</v>
      </c>
      <c r="AI173" s="127">
        <f t="shared" si="179"/>
        <v>7181.8113881399004</v>
      </c>
      <c r="AJ173" s="127">
        <f t="shared" si="179"/>
        <v>7232.1537977210728</v>
      </c>
      <c r="AK173" s="127">
        <f t="shared" si="179"/>
        <v>7300.8921879810105</v>
      </c>
      <c r="AL173" s="127">
        <f t="shared" si="179"/>
        <v>7144.5964899241962</v>
      </c>
      <c r="AM173" s="127">
        <f t="shared" si="179"/>
        <v>7001.8988664268318</v>
      </c>
      <c r="AN173" s="127">
        <f t="shared" si="179"/>
        <v>6886.0875934103533</v>
      </c>
    </row>
    <row r="174" spans="1:40" ht="12.75" customHeight="1" outlineLevel="1">
      <c r="A174" s="102"/>
      <c r="B174" s="128" t="s">
        <v>467</v>
      </c>
      <c r="C174" s="102"/>
      <c r="D174" s="102"/>
      <c r="E174" s="102"/>
      <c r="F174" s="102"/>
      <c r="G174" s="102"/>
      <c r="H174" s="102"/>
      <c r="I174" s="102"/>
      <c r="J174" s="102"/>
      <c r="K174" s="102">
        <f t="shared" ref="K174:AD174" si="180">K30</f>
        <v>0</v>
      </c>
      <c r="L174" s="102">
        <f t="shared" si="180"/>
        <v>0</v>
      </c>
      <c r="M174" s="102">
        <f t="shared" si="180"/>
        <v>42</v>
      </c>
      <c r="N174" s="102">
        <f t="shared" si="180"/>
        <v>128</v>
      </c>
      <c r="O174" s="102">
        <f t="shared" si="180"/>
        <v>131</v>
      </c>
      <c r="P174" s="102">
        <f t="shared" si="180"/>
        <v>301</v>
      </c>
      <c r="Q174" s="102">
        <f t="shared" si="180"/>
        <v>934</v>
      </c>
      <c r="R174" s="102">
        <f t="shared" si="180"/>
        <v>2304</v>
      </c>
      <c r="S174" s="127">
        <f t="shared" si="180"/>
        <v>2488</v>
      </c>
      <c r="T174" s="127">
        <f t="shared" si="180"/>
        <v>2098</v>
      </c>
      <c r="U174" s="127">
        <f t="shared" si="180"/>
        <v>2744</v>
      </c>
      <c r="V174" s="127">
        <f t="shared" si="180"/>
        <v>3013</v>
      </c>
      <c r="W174" s="127">
        <f t="shared" si="180"/>
        <v>6459</v>
      </c>
      <c r="X174" s="127">
        <f t="shared" si="180"/>
        <v>6008</v>
      </c>
      <c r="Y174" s="127">
        <f t="shared" si="180"/>
        <v>5520</v>
      </c>
      <c r="Z174" s="127">
        <f t="shared" si="180"/>
        <v>6354</v>
      </c>
      <c r="AA174" s="127">
        <f t="shared" si="180"/>
        <v>11503</v>
      </c>
      <c r="AB174" s="127">
        <f t="shared" si="180"/>
        <v>11503</v>
      </c>
      <c r="AC174" s="127">
        <f t="shared" si="180"/>
        <v>11503</v>
      </c>
      <c r="AD174" s="127">
        <f t="shared" si="180"/>
        <v>11503</v>
      </c>
      <c r="AE174" s="127">
        <f t="shared" ref="AE174:AN174" si="181">AE30</f>
        <v>11503</v>
      </c>
      <c r="AF174" s="127">
        <f t="shared" si="181"/>
        <v>11503</v>
      </c>
      <c r="AG174" s="127">
        <f t="shared" si="181"/>
        <v>11503</v>
      </c>
      <c r="AH174" s="127">
        <f t="shared" si="181"/>
        <v>11503</v>
      </c>
      <c r="AI174" s="127">
        <f t="shared" si="181"/>
        <v>11503</v>
      </c>
      <c r="AJ174" s="127">
        <f t="shared" si="181"/>
        <v>11503</v>
      </c>
      <c r="AK174" s="127">
        <f t="shared" si="181"/>
        <v>11503</v>
      </c>
      <c r="AL174" s="127">
        <f t="shared" si="181"/>
        <v>11503</v>
      </c>
      <c r="AM174" s="127">
        <f t="shared" si="181"/>
        <v>11503</v>
      </c>
      <c r="AN174" s="127">
        <f t="shared" si="181"/>
        <v>11503</v>
      </c>
    </row>
    <row r="175" spans="1:40" ht="12.75" customHeight="1" outlineLevel="1">
      <c r="A175" s="129"/>
      <c r="B175" s="129" t="s">
        <v>468</v>
      </c>
      <c r="C175" s="129"/>
      <c r="D175" s="129"/>
      <c r="E175" s="129"/>
      <c r="F175" s="129"/>
      <c r="G175" s="129"/>
      <c r="H175" s="129"/>
      <c r="I175" s="129"/>
      <c r="J175" s="129"/>
      <c r="K175" s="129">
        <f t="shared" ref="K175:Z175" si="182">SUM(K172:K174)</f>
        <v>903</v>
      </c>
      <c r="L175" s="129">
        <f t="shared" si="182"/>
        <v>1406.3</v>
      </c>
      <c r="M175" s="129">
        <f t="shared" si="182"/>
        <v>2498</v>
      </c>
      <c r="N175" s="129">
        <f t="shared" si="182"/>
        <v>3112</v>
      </c>
      <c r="O175" s="129">
        <f t="shared" si="182"/>
        <v>3726</v>
      </c>
      <c r="P175" s="129">
        <f t="shared" si="182"/>
        <v>5445</v>
      </c>
      <c r="Q175" s="129">
        <f t="shared" si="182"/>
        <v>5113</v>
      </c>
      <c r="R175" s="129">
        <f t="shared" si="182"/>
        <v>6190</v>
      </c>
      <c r="S175" s="130">
        <f t="shared" si="182"/>
        <v>6361</v>
      </c>
      <c r="T175" s="130">
        <f t="shared" si="182"/>
        <v>6180</v>
      </c>
      <c r="U175" s="130">
        <f t="shared" si="182"/>
        <v>8414</v>
      </c>
      <c r="V175" s="130">
        <f t="shared" si="182"/>
        <v>8709</v>
      </c>
      <c r="W175" s="130">
        <f t="shared" si="182"/>
        <v>11901</v>
      </c>
      <c r="X175" s="130">
        <f t="shared" si="182"/>
        <v>12516</v>
      </c>
      <c r="Y175" s="130">
        <f t="shared" si="182"/>
        <v>11937</v>
      </c>
      <c r="Z175" s="130">
        <f t="shared" si="182"/>
        <v>13155</v>
      </c>
      <c r="AA175" s="130">
        <f>SUM(AA172:AA174)</f>
        <v>19371</v>
      </c>
      <c r="AB175" s="130">
        <f>SUM(AB172:AB174)</f>
        <v>19327.585393006902</v>
      </c>
      <c r="AC175" s="130">
        <f>SUM(AC172:AC174)</f>
        <v>19451.099872050334</v>
      </c>
      <c r="AD175" s="130">
        <f>SUM(AD172:AD174)</f>
        <v>19611.983141693883</v>
      </c>
      <c r="AE175" s="130">
        <f t="shared" ref="AE175:AN175" si="183">SUM(AE172:AE174)</f>
        <v>19627.706949840467</v>
      </c>
      <c r="AF175" s="130">
        <f t="shared" si="183"/>
        <v>19748.976492624337</v>
      </c>
      <c r="AG175" s="130">
        <f t="shared" si="183"/>
        <v>20003.833028721521</v>
      </c>
      <c r="AH175" s="130">
        <f t="shared" si="183"/>
        <v>20109.344057189843</v>
      </c>
      <c r="AI175" s="130">
        <f t="shared" si="183"/>
        <v>20174.960098509015</v>
      </c>
      <c r="AJ175" s="130">
        <f t="shared" si="183"/>
        <v>20235.748017260499</v>
      </c>
      <c r="AK175" s="130">
        <f t="shared" si="183"/>
        <v>20318.748885057488</v>
      </c>
      <c r="AL175" s="130">
        <f t="shared" si="183"/>
        <v>20130.023508705275</v>
      </c>
      <c r="AM175" s="130">
        <f t="shared" si="183"/>
        <v>19957.71766130238</v>
      </c>
      <c r="AN175" s="130">
        <f t="shared" si="183"/>
        <v>19817.876793270822</v>
      </c>
    </row>
    <row r="176" spans="1:40" ht="12.75" customHeight="1" outlineLevel="1">
      <c r="A176" s="129"/>
      <c r="B176" s="129" t="s">
        <v>469</v>
      </c>
      <c r="C176" s="129"/>
      <c r="D176" s="129"/>
      <c r="E176" s="129"/>
      <c r="F176" s="129"/>
      <c r="G176" s="129"/>
      <c r="H176" s="129"/>
      <c r="I176" s="129"/>
      <c r="J176" s="129"/>
      <c r="K176" s="129">
        <f t="shared" ref="K176:Z176" si="184">K171-K175</f>
        <v>2877.9</v>
      </c>
      <c r="L176" s="129">
        <f t="shared" si="184"/>
        <v>18386.100000000002</v>
      </c>
      <c r="M176" s="129">
        <f t="shared" si="184"/>
        <v>18492</v>
      </c>
      <c r="N176" s="129">
        <f t="shared" si="184"/>
        <v>20301</v>
      </c>
      <c r="O176" s="129">
        <f t="shared" si="184"/>
        <v>20316</v>
      </c>
      <c r="P176" s="129">
        <f t="shared" si="184"/>
        <v>22066</v>
      </c>
      <c r="Q176" s="129">
        <f t="shared" si="184"/>
        <v>22375</v>
      </c>
      <c r="R176" s="129">
        <f t="shared" si="184"/>
        <v>20685</v>
      </c>
      <c r="S176" s="130">
        <f t="shared" si="184"/>
        <v>19826</v>
      </c>
      <c r="T176" s="130">
        <f t="shared" si="184"/>
        <v>19884</v>
      </c>
      <c r="U176" s="130">
        <f t="shared" si="184"/>
        <v>19816</v>
      </c>
      <c r="V176" s="130">
        <f t="shared" si="184"/>
        <v>21528</v>
      </c>
      <c r="W176" s="130">
        <f t="shared" si="184"/>
        <v>31411</v>
      </c>
      <c r="X176" s="130">
        <f t="shared" si="184"/>
        <v>29467</v>
      </c>
      <c r="Y176" s="130">
        <f t="shared" si="184"/>
        <v>28257</v>
      </c>
      <c r="Z176" s="130">
        <f t="shared" si="184"/>
        <v>26386</v>
      </c>
      <c r="AA176" s="130">
        <f>AA171-AA175</f>
        <v>18905</v>
      </c>
      <c r="AB176" s="130">
        <f>AB171-AB175</f>
        <v>17099.000783337917</v>
      </c>
      <c r="AC176" s="130">
        <f>AC171-AC175</f>
        <v>15183.421320649555</v>
      </c>
      <c r="AD176" s="130">
        <f>AD171-AD175</f>
        <v>13291.471226559515</v>
      </c>
      <c r="AE176" s="130">
        <f t="shared" ref="AE176:AN176" si="185">AE171-AE175</f>
        <v>11421.230069031695</v>
      </c>
      <c r="AF176" s="130">
        <f t="shared" si="185"/>
        <v>9738.2788478633811</v>
      </c>
      <c r="AG176" s="130">
        <f t="shared" si="185"/>
        <v>8850.1226244725985</v>
      </c>
      <c r="AH176" s="130">
        <f t="shared" si="185"/>
        <v>8747.2353244039441</v>
      </c>
      <c r="AI176" s="130">
        <f t="shared" si="185"/>
        <v>8602.0705905416362</v>
      </c>
      <c r="AJ176" s="130">
        <f t="shared" si="185"/>
        <v>8209.337169141214</v>
      </c>
      <c r="AK176" s="130">
        <f t="shared" si="185"/>
        <v>8279.0154735607503</v>
      </c>
      <c r="AL176" s="130">
        <f t="shared" si="185"/>
        <v>7767.7905912097522</v>
      </c>
      <c r="AM176" s="130">
        <f t="shared" si="185"/>
        <v>7611.4819846831342</v>
      </c>
      <c r="AN176" s="130">
        <f t="shared" si="185"/>
        <v>8242.1142257431929</v>
      </c>
    </row>
    <row r="177" spans="1:40" ht="12.75" customHeight="1" outlineLevel="1">
      <c r="B177" s="107" t="s">
        <v>470</v>
      </c>
      <c r="L177" s="105">
        <f t="shared" ref="L177:Z177" si="186">L159/K176</f>
        <v>1.9191076826852913</v>
      </c>
      <c r="M177" s="105">
        <f t="shared" si="186"/>
        <v>0.45447376006874751</v>
      </c>
      <c r="N177" s="105">
        <f t="shared" si="186"/>
        <v>0.57051698031581222</v>
      </c>
      <c r="O177" s="105">
        <f t="shared" si="186"/>
        <v>0.61228510910792566</v>
      </c>
      <c r="P177" s="105">
        <f t="shared" si="186"/>
        <v>0.70230360307147077</v>
      </c>
      <c r="Q177" s="105">
        <f t="shared" si="186"/>
        <v>0.66940088824435784</v>
      </c>
      <c r="R177" s="105">
        <f t="shared" si="186"/>
        <v>0.67052513966480443</v>
      </c>
      <c r="S177" s="140">
        <f t="shared" si="186"/>
        <v>0.70785593425187332</v>
      </c>
      <c r="T177" s="140">
        <f t="shared" si="186"/>
        <v>0.75925552305053967</v>
      </c>
      <c r="U177" s="140">
        <f t="shared" si="186"/>
        <v>0.78364514182257095</v>
      </c>
      <c r="V177" s="140">
        <f>V159/U176</f>
        <v>0.87126564392410177</v>
      </c>
      <c r="W177" s="140">
        <f t="shared" si="186"/>
        <v>0.86752136752136755</v>
      </c>
      <c r="X177" s="140">
        <f t="shared" si="186"/>
        <v>0.63872528731972877</v>
      </c>
      <c r="Y177" s="140">
        <f t="shared" si="186"/>
        <v>0.73512743068517328</v>
      </c>
      <c r="Z177" s="140">
        <f t="shared" si="186"/>
        <v>0.81363909827653325</v>
      </c>
      <c r="AA177" s="140">
        <f>AA159/Z176</f>
        <v>0.86595164102175393</v>
      </c>
      <c r="AB177" s="140">
        <f>AB159/AA176</f>
        <v>1.1972039123275329</v>
      </c>
      <c r="AC177" s="140">
        <f>AC159/AB176</f>
        <v>1.3147979685244124</v>
      </c>
      <c r="AD177" s="140">
        <f>AD159/AC176</f>
        <v>1.4968036199406303</v>
      </c>
      <c r="AE177" s="140">
        <f t="shared" ref="AE177:AN177" si="187">AE159/AD176</f>
        <v>1.698920135710275</v>
      </c>
      <c r="AF177" s="140">
        <f t="shared" si="187"/>
        <v>2.0500206051669325</v>
      </c>
      <c r="AG177" s="140">
        <f t="shared" si="187"/>
        <v>2.5252628957037415</v>
      </c>
      <c r="AH177" s="140">
        <f t="shared" si="187"/>
        <v>2.8624139509414461</v>
      </c>
      <c r="AI177" s="140">
        <f t="shared" si="187"/>
        <v>2.940721444673096</v>
      </c>
      <c r="AJ177" s="140">
        <f t="shared" si="187"/>
        <v>2.9747659937653106</v>
      </c>
      <c r="AK177" s="140">
        <f t="shared" si="187"/>
        <v>3.1161562281966813</v>
      </c>
      <c r="AL177" s="140">
        <f t="shared" si="187"/>
        <v>2.8750277146153378</v>
      </c>
      <c r="AM177" s="140">
        <f t="shared" si="187"/>
        <v>2.9427374703139222</v>
      </c>
      <c r="AN177" s="140">
        <f t="shared" si="187"/>
        <v>2.9257651291140698</v>
      </c>
    </row>
    <row r="178" spans="1:40" ht="12.75" customHeight="1">
      <c r="B178" s="107"/>
    </row>
    <row r="179" spans="1:40" ht="12.75" customHeight="1">
      <c r="A179" s="102"/>
      <c r="B179" s="102"/>
      <c r="C179" s="102"/>
      <c r="D179" s="102"/>
      <c r="E179" s="102"/>
      <c r="F179" s="102"/>
      <c r="G179" s="102"/>
      <c r="H179" s="102"/>
      <c r="I179" s="102"/>
      <c r="J179" s="102"/>
      <c r="K179" s="102"/>
      <c r="L179" s="102"/>
      <c r="M179" s="102"/>
      <c r="N179" s="102"/>
      <c r="O179" s="102"/>
      <c r="P179" s="102"/>
      <c r="Q179" s="102"/>
      <c r="R179" s="102"/>
      <c r="S179" s="127"/>
      <c r="T179" s="127"/>
      <c r="U179" s="127"/>
      <c r="V179" s="127"/>
      <c r="W179" s="127"/>
      <c r="X179" s="127"/>
      <c r="Y179" s="127"/>
      <c r="Z179" s="127"/>
      <c r="AA179" s="127"/>
      <c r="AB179" s="127"/>
    </row>
    <row r="180" spans="1:40" ht="12.75" customHeight="1">
      <c r="A180" s="154"/>
      <c r="B180" s="154"/>
      <c r="C180" s="154"/>
      <c r="D180" s="154"/>
      <c r="E180" s="154"/>
      <c r="F180" s="154"/>
      <c r="G180" s="154"/>
      <c r="H180" s="154"/>
      <c r="I180" s="154"/>
      <c r="J180" s="154"/>
      <c r="K180" s="154"/>
      <c r="L180" s="132"/>
      <c r="M180" s="132"/>
      <c r="N180" s="132"/>
      <c r="O180" s="132"/>
      <c r="P180" s="132"/>
      <c r="Q180" s="132"/>
      <c r="R180" s="132"/>
      <c r="S180" s="132"/>
      <c r="T180" s="132"/>
      <c r="U180" s="132"/>
      <c r="V180" s="132"/>
      <c r="W180" s="132"/>
      <c r="X180" s="132"/>
      <c r="Y180" s="132"/>
      <c r="Z180" s="132"/>
      <c r="AA180" s="132"/>
      <c r="AB180" s="132"/>
    </row>
    <row r="181" spans="1:40" customFormat="1" ht="12.75" customHeight="1"/>
    <row r="183" spans="1:40" ht="12.75" customHeight="1">
      <c r="S183" s="511"/>
    </row>
  </sheetData>
  <phoneticPr fontId="57" type="noConversion"/>
  <pageMargins left="0" right="0" top="0" bottom="0" header="0" footer="0"/>
  <pageSetup paperSize="5" scale="25" orientation="landscape" r:id="rId1"/>
  <ignoredErrors>
    <ignoredError sqref="AB67:AN67 AG155 Y65:AA65" formula="1"/>
    <ignoredError sqref="AA37 Y37:Z37" formulaRange="1"/>
  </ignoredError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AV171"/>
  <sheetViews>
    <sheetView showGridLines="0" zoomScale="85" zoomScaleNormal="85" workbookViewId="0">
      <pane xSplit="2" ySplit="2" topLeftCell="Z17" activePane="bottomRight" state="frozen"/>
      <selection pane="topRight" activeCell="C1" sqref="C1"/>
      <selection pane="bottomLeft" activeCell="A3" sqref="A3"/>
      <selection pane="bottomRight" activeCell="B1" sqref="B1:AI50"/>
    </sheetView>
  </sheetViews>
  <sheetFormatPr defaultRowHeight="12.75" customHeight="1" outlineLevelRow="1" outlineLevelCol="1"/>
  <cols>
    <col min="1" max="1" width="3.28515625" style="5" customWidth="1" collapsed="1"/>
    <col min="2" max="2" width="46.42578125" style="5" bestFit="1" customWidth="1"/>
    <col min="3" max="9" width="9.28515625" style="5" hidden="1" customWidth="1" outlineLevel="1"/>
    <col min="10" max="10" width="8.28515625" style="5" hidden="1" customWidth="1" outlineLevel="1"/>
    <col min="11" max="12" width="9.5703125" style="5" hidden="1" customWidth="1" outlineLevel="1"/>
    <col min="13" max="14" width="9.42578125" style="5" hidden="1" customWidth="1" outlineLevel="1"/>
    <col min="15" max="15" width="9.140625" style="5" hidden="1" customWidth="1" outlineLevel="1"/>
    <col min="16" max="17" width="9.140625" style="5" hidden="1" customWidth="1" outlineLevel="1" collapsed="1"/>
    <col min="18" max="18" width="8.85546875" style="5" hidden="1" customWidth="1" collapsed="1"/>
    <col min="19" max="23" width="8.85546875" style="5" customWidth="1"/>
    <col min="24" max="24" width="9.42578125" style="5" customWidth="1"/>
    <col min="25" max="25" width="10.85546875" style="5" customWidth="1"/>
    <col min="26" max="40" width="9.42578125" style="5" customWidth="1"/>
    <col min="41" max="41" width="8.7109375" style="5" customWidth="1"/>
    <col min="42" max="42" width="9.140625" style="5"/>
    <col min="43" max="43" width="23.7109375" customWidth="1"/>
    <col min="49" max="16384" width="9.140625" style="5"/>
  </cols>
  <sheetData>
    <row r="1" spans="2:41" ht="12.75" customHeight="1">
      <c r="B1" s="700"/>
      <c r="C1" s="108" t="s">
        <v>124</v>
      </c>
      <c r="D1" s="108" t="s">
        <v>125</v>
      </c>
      <c r="E1" s="108" t="s">
        <v>126</v>
      </c>
      <c r="F1" s="108" t="s">
        <v>127</v>
      </c>
      <c r="G1" s="108" t="s">
        <v>128</v>
      </c>
      <c r="H1" s="108" t="s">
        <v>129</v>
      </c>
      <c r="I1" s="109" t="s">
        <v>130</v>
      </c>
      <c r="J1" s="110" t="s">
        <v>131</v>
      </c>
      <c r="K1" s="110" t="s">
        <v>50</v>
      </c>
      <c r="L1" s="110" t="s">
        <v>98</v>
      </c>
      <c r="M1" s="110" t="s">
        <v>99</v>
      </c>
      <c r="N1" s="110" t="s">
        <v>100</v>
      </c>
      <c r="O1" s="110" t="s">
        <v>101</v>
      </c>
      <c r="P1" s="110" t="s">
        <v>102</v>
      </c>
      <c r="Q1" s="110" t="s">
        <v>103</v>
      </c>
      <c r="R1" s="134">
        <v>2008</v>
      </c>
      <c r="S1" s="134">
        <v>2009</v>
      </c>
      <c r="T1" s="134">
        <v>2010</v>
      </c>
      <c r="U1" s="134">
        <v>2011</v>
      </c>
      <c r="V1" s="134">
        <v>2012</v>
      </c>
      <c r="W1" s="134">
        <v>2013</v>
      </c>
      <c r="X1" s="134">
        <v>2014</v>
      </c>
      <c r="Y1" s="134">
        <v>2015</v>
      </c>
      <c r="Z1" s="134">
        <v>2016</v>
      </c>
      <c r="AA1" s="134">
        <v>2017</v>
      </c>
      <c r="AB1" s="134" t="s">
        <v>114</v>
      </c>
      <c r="AC1" s="134" t="s">
        <v>113</v>
      </c>
      <c r="AD1" s="134" t="s">
        <v>67</v>
      </c>
      <c r="AE1" s="134" t="s">
        <v>787</v>
      </c>
      <c r="AF1" s="134" t="s">
        <v>788</v>
      </c>
      <c r="AG1" s="134" t="s">
        <v>789</v>
      </c>
      <c r="AH1" s="134" t="s">
        <v>790</v>
      </c>
      <c r="AI1" s="134" t="s">
        <v>791</v>
      </c>
      <c r="AJ1" s="134" t="s">
        <v>792</v>
      </c>
      <c r="AK1" s="134" t="s">
        <v>793</v>
      </c>
      <c r="AL1" s="134" t="s">
        <v>794</v>
      </c>
      <c r="AM1" s="134" t="s">
        <v>795</v>
      </c>
      <c r="AN1" s="134" t="s">
        <v>796</v>
      </c>
      <c r="AO1" s="134"/>
    </row>
    <row r="2" spans="2:41" ht="12.75" customHeight="1">
      <c r="B2" s="111" t="s">
        <v>540</v>
      </c>
      <c r="C2" s="111"/>
      <c r="D2" s="111"/>
      <c r="E2" s="111"/>
      <c r="F2" s="111"/>
      <c r="G2" s="111"/>
      <c r="H2" s="111"/>
      <c r="I2" s="111"/>
      <c r="J2" s="107"/>
      <c r="K2" s="107"/>
      <c r="L2" s="107"/>
      <c r="M2" s="107"/>
      <c r="N2" s="107"/>
      <c r="O2" s="107"/>
      <c r="P2" s="107"/>
      <c r="Q2" s="107"/>
      <c r="R2" s="107"/>
      <c r="S2" s="107"/>
      <c r="T2" s="107"/>
      <c r="U2" s="107"/>
      <c r="V2" s="107"/>
      <c r="W2" s="107"/>
      <c r="X2" s="107"/>
      <c r="Y2" s="107"/>
      <c r="Z2" s="107"/>
      <c r="AA2" s="107"/>
    </row>
    <row r="3" spans="2:41" ht="12.75" customHeight="1" outlineLevel="1">
      <c r="B3" s="197" t="s">
        <v>264</v>
      </c>
      <c r="C3" s="112">
        <f>IS!C82</f>
        <v>384</v>
      </c>
      <c r="D3" s="112">
        <f>IS!D82</f>
        <v>320</v>
      </c>
      <c r="E3" s="112">
        <f>IS!E82</f>
        <v>538</v>
      </c>
      <c r="F3" s="112">
        <f>IS!F82</f>
        <v>680</v>
      </c>
      <c r="G3" s="112">
        <f>IS!G82</f>
        <v>644</v>
      </c>
      <c r="H3" s="112">
        <f>IS!H82</f>
        <v>864</v>
      </c>
      <c r="I3" s="112">
        <f>IS!I82</f>
        <v>1096</v>
      </c>
      <c r="J3" s="112">
        <f>IS!J82</f>
        <v>1138</v>
      </c>
      <c r="K3" s="112">
        <v>1119.7</v>
      </c>
      <c r="L3" s="112">
        <v>-1391.9</v>
      </c>
      <c r="M3" s="112">
        <v>2259.5</v>
      </c>
      <c r="N3" s="112">
        <f>IS!Z82</f>
        <v>2363</v>
      </c>
      <c r="O3" s="112">
        <f>IS!AE82</f>
        <v>3674</v>
      </c>
      <c r="P3" s="112">
        <f>IS!AJ82</f>
        <v>2950</v>
      </c>
      <c r="Q3" s="112">
        <f>IS!AO82</f>
        <v>3166</v>
      </c>
      <c r="R3" s="541">
        <f>IS!AT82</f>
        <v>4052</v>
      </c>
      <c r="S3" s="541">
        <f>IS!AY82</f>
        <v>4605</v>
      </c>
      <c r="T3" s="541">
        <f>IS!BD82</f>
        <v>4627</v>
      </c>
      <c r="U3" s="541">
        <f>IS!BI82</f>
        <v>3683</v>
      </c>
      <c r="V3" s="541">
        <v>4345</v>
      </c>
      <c r="W3" s="541">
        <v>5081</v>
      </c>
      <c r="X3" s="541">
        <v>5158</v>
      </c>
      <c r="Y3" s="541">
        <v>6939</v>
      </c>
      <c r="Z3" s="541">
        <v>7722</v>
      </c>
      <c r="AA3" s="541">
        <v>1979</v>
      </c>
      <c r="AB3" s="540">
        <f>IS!CR82</f>
        <v>9416.1363243460182</v>
      </c>
      <c r="AC3" s="540">
        <f>IS!CW82</f>
        <v>9371.7643023545497</v>
      </c>
      <c r="AD3" s="540">
        <f>IS!DB82</f>
        <v>9550.0356974465085</v>
      </c>
      <c r="AE3" s="540">
        <f>IS!DG82</f>
        <v>9617.30350399704</v>
      </c>
      <c r="AF3" s="540">
        <f>IS!DL82</f>
        <v>10318.599677992208</v>
      </c>
      <c r="AG3" s="540">
        <f>IS!DQ82</f>
        <v>11049.061372902079</v>
      </c>
      <c r="AH3" s="540">
        <f>IS!DV82</f>
        <v>11643.636515095823</v>
      </c>
      <c r="AI3" s="540">
        <f>IS!EA82</f>
        <v>11954.762553237999</v>
      </c>
      <c r="AJ3" s="695">
        <f>IS!EF82</f>
        <v>11882.292419693169</v>
      </c>
      <c r="AK3" s="540">
        <f>IS!EK82</f>
        <v>11884.014868212416</v>
      </c>
      <c r="AL3" s="540">
        <f>IS!EP82</f>
        <v>10666.69045068792</v>
      </c>
      <c r="AM3" s="540">
        <f>IS!EU82</f>
        <v>10195.366121890689</v>
      </c>
      <c r="AN3" s="540">
        <f>IS!EZ82</f>
        <v>9900.3835891533763</v>
      </c>
      <c r="AO3" s="540"/>
    </row>
    <row r="4" spans="2:41" ht="12.75" customHeight="1" outlineLevel="1">
      <c r="B4" s="128" t="s">
        <v>265</v>
      </c>
      <c r="C4" s="112">
        <v>0</v>
      </c>
      <c r="D4" s="112">
        <v>116.4</v>
      </c>
      <c r="E4" s="112">
        <v>0</v>
      </c>
      <c r="F4" s="112">
        <v>0</v>
      </c>
      <c r="G4" s="112">
        <v>0</v>
      </c>
      <c r="H4" s="112">
        <v>0</v>
      </c>
      <c r="I4" s="112">
        <v>0</v>
      </c>
      <c r="J4" s="113">
        <v>0</v>
      </c>
      <c r="K4" s="113">
        <v>0</v>
      </c>
      <c r="L4" s="113">
        <v>2991.8</v>
      </c>
      <c r="M4" s="113">
        <v>0</v>
      </c>
      <c r="N4" s="113">
        <v>554</v>
      </c>
      <c r="O4" s="113">
        <v>0</v>
      </c>
      <c r="P4" s="113">
        <v>1231</v>
      </c>
      <c r="Q4" s="113">
        <v>590</v>
      </c>
      <c r="R4" s="536">
        <v>0</v>
      </c>
      <c r="S4" s="536">
        <v>0</v>
      </c>
      <c r="T4" s="536">
        <v>0</v>
      </c>
      <c r="U4" s="536">
        <v>0</v>
      </c>
      <c r="V4" s="536">
        <v>0</v>
      </c>
      <c r="W4" s="541">
        <v>0</v>
      </c>
      <c r="X4" s="541">
        <v>0</v>
      </c>
      <c r="Y4" s="541">
        <v>0</v>
      </c>
      <c r="Z4" s="541">
        <v>0</v>
      </c>
      <c r="AA4" s="541">
        <v>0</v>
      </c>
      <c r="AB4" s="540">
        <f>-IS!CR70</f>
        <v>0</v>
      </c>
      <c r="AC4" s="540">
        <f>-IS!CW70</f>
        <v>0</v>
      </c>
      <c r="AD4" s="540">
        <f>-IS!DB70</f>
        <v>0</v>
      </c>
      <c r="AE4" s="540">
        <f>-IS!DG70</f>
        <v>0</v>
      </c>
      <c r="AF4" s="540">
        <f>-IS!DL70</f>
        <v>0</v>
      </c>
      <c r="AG4" s="540">
        <f>-IS!DQ70</f>
        <v>0</v>
      </c>
      <c r="AH4" s="540">
        <f>-IS!DV70</f>
        <v>0</v>
      </c>
      <c r="AI4" s="540">
        <f>-IS!EA70</f>
        <v>0</v>
      </c>
      <c r="AJ4" s="540">
        <f>-IS!EF70</f>
        <v>0</v>
      </c>
      <c r="AK4" s="540">
        <f>-IS!EK70</f>
        <v>0</v>
      </c>
      <c r="AL4" s="540">
        <f>-IS!EP70</f>
        <v>0</v>
      </c>
      <c r="AM4" s="540">
        <f>-IS!EU70</f>
        <v>0</v>
      </c>
      <c r="AN4" s="540">
        <f>-IS!EZ70</f>
        <v>0</v>
      </c>
      <c r="AO4" s="540"/>
    </row>
    <row r="5" spans="2:41" ht="12.75" customHeight="1" outlineLevel="1">
      <c r="B5" s="128" t="s">
        <v>177</v>
      </c>
      <c r="C5" s="112">
        <v>50.743000000000002</v>
      </c>
      <c r="D5" s="112">
        <v>74.5</v>
      </c>
      <c r="E5" s="112">
        <v>84.3</v>
      </c>
      <c r="F5" s="112">
        <v>100.3</v>
      </c>
      <c r="G5" s="112">
        <v>117.1</v>
      </c>
      <c r="H5" s="112">
        <v>143.80000000000001</v>
      </c>
      <c r="I5" s="112">
        <v>176.8</v>
      </c>
      <c r="J5" s="113">
        <v>211.8</v>
      </c>
      <c r="K5" s="113">
        <v>265.89999999999998</v>
      </c>
      <c r="L5" s="113">
        <v>447.3</v>
      </c>
      <c r="M5" s="113">
        <v>686.5</v>
      </c>
      <c r="N5" s="113">
        <v>734</v>
      </c>
      <c r="O5" s="113">
        <v>841</v>
      </c>
      <c r="P5" s="113">
        <v>963</v>
      </c>
      <c r="Q5" s="113">
        <v>1202</v>
      </c>
      <c r="R5" s="536">
        <v>1073</v>
      </c>
      <c r="S5" s="536">
        <v>1049</v>
      </c>
      <c r="T5" s="536">
        <v>1017</v>
      </c>
      <c r="U5" s="536">
        <v>1060</v>
      </c>
      <c r="V5" s="536">
        <v>1088</v>
      </c>
      <c r="W5" s="536">
        <v>1286</v>
      </c>
      <c r="X5" s="536">
        <v>2092</v>
      </c>
      <c r="Y5" s="536">
        <v>2108</v>
      </c>
      <c r="Z5" s="536">
        <v>2105</v>
      </c>
      <c r="AA5" s="536">
        <v>1955</v>
      </c>
      <c r="AB5" s="511">
        <f t="shared" ref="AB5:AN5" si="0">AB6+AB7</f>
        <v>2333.8892166732303</v>
      </c>
      <c r="AC5" s="511">
        <f t="shared" si="0"/>
        <v>2447.9676489443873</v>
      </c>
      <c r="AD5" s="511">
        <f t="shared" si="0"/>
        <v>2528.4087161008347</v>
      </c>
      <c r="AE5" s="511">
        <f t="shared" si="0"/>
        <v>2609.7054315504975</v>
      </c>
      <c r="AF5" s="511">
        <f t="shared" si="0"/>
        <v>2693.8244569491171</v>
      </c>
      <c r="AG5" s="511">
        <f t="shared" si="0"/>
        <v>1964.7627873954461</v>
      </c>
      <c r="AH5" s="511">
        <f t="shared" si="0"/>
        <v>1154.1381964194484</v>
      </c>
      <c r="AI5" s="511">
        <f t="shared" si="0"/>
        <v>1203.4841207572581</v>
      </c>
      <c r="AJ5" s="511">
        <f t="shared" si="0"/>
        <v>1252.7020036098277</v>
      </c>
      <c r="AK5" s="511">
        <f t="shared" si="0"/>
        <v>1336.1442102405836</v>
      </c>
      <c r="AL5" s="511">
        <f t="shared" si="0"/>
        <v>1413.7778039753871</v>
      </c>
      <c r="AM5" s="511">
        <f t="shared" si="0"/>
        <v>1503.6181907301948</v>
      </c>
      <c r="AN5" s="511">
        <f t="shared" si="0"/>
        <v>1650.5932866910493</v>
      </c>
      <c r="AO5" s="511"/>
    </row>
    <row r="6" spans="2:41" ht="12.75" customHeight="1" outlineLevel="1">
      <c r="B6" s="128" t="s">
        <v>266</v>
      </c>
      <c r="C6" s="113">
        <f t="shared" ref="C6:K6" si="1">C5</f>
        <v>50.743000000000002</v>
      </c>
      <c r="D6" s="113">
        <f t="shared" si="1"/>
        <v>74.5</v>
      </c>
      <c r="E6" s="113">
        <f t="shared" si="1"/>
        <v>84.3</v>
      </c>
      <c r="F6" s="113">
        <f t="shared" si="1"/>
        <v>100.3</v>
      </c>
      <c r="G6" s="113">
        <f t="shared" si="1"/>
        <v>117.1</v>
      </c>
      <c r="H6" s="113">
        <f t="shared" si="1"/>
        <v>143.80000000000001</v>
      </c>
      <c r="I6" s="113">
        <f t="shared" si="1"/>
        <v>176.8</v>
      </c>
      <c r="J6" s="113">
        <f t="shared" si="1"/>
        <v>211.8</v>
      </c>
      <c r="K6" s="113">
        <f t="shared" si="1"/>
        <v>265.89999999999998</v>
      </c>
      <c r="L6" s="113">
        <f t="shared" ref="L6:W6" si="2">+L5-L7</f>
        <v>292.10000000000002</v>
      </c>
      <c r="M6" s="113">
        <f t="shared" si="2"/>
        <v>350.5</v>
      </c>
      <c r="N6" s="113">
        <f t="shared" si="2"/>
        <v>401</v>
      </c>
      <c r="O6" s="113">
        <f t="shared" si="2"/>
        <v>494</v>
      </c>
      <c r="P6" s="113">
        <f t="shared" si="2"/>
        <v>593</v>
      </c>
      <c r="Q6" s="113">
        <f t="shared" si="2"/>
        <v>786</v>
      </c>
      <c r="R6" s="511">
        <f t="shared" si="2"/>
        <v>648</v>
      </c>
      <c r="S6" s="511">
        <f t="shared" si="2"/>
        <v>624</v>
      </c>
      <c r="T6" s="511">
        <f t="shared" si="2"/>
        <v>594</v>
      </c>
      <c r="U6" s="511">
        <f t="shared" si="2"/>
        <v>679</v>
      </c>
      <c r="V6" s="511">
        <f t="shared" si="2"/>
        <v>689</v>
      </c>
      <c r="W6" s="511">
        <f t="shared" si="2"/>
        <v>644</v>
      </c>
      <c r="X6" s="511">
        <f>+X5-X7</f>
        <v>716</v>
      </c>
      <c r="Y6" s="511">
        <f>Y5-Y7</f>
        <v>761</v>
      </c>
      <c r="Z6" s="511">
        <f>Z5-Z7</f>
        <v>640</v>
      </c>
      <c r="AA6" s="511">
        <f>AA5-AA7</f>
        <v>578</v>
      </c>
      <c r="AB6" s="511">
        <f>BS!AB136</f>
        <v>888.03921667323016</v>
      </c>
      <c r="AC6" s="511">
        <f>BS!AC136</f>
        <v>929.82514894438725</v>
      </c>
      <c r="AD6" s="511">
        <f>BS!AD136</f>
        <v>972.31265360083478</v>
      </c>
      <c r="AE6" s="103">
        <f>BS!AE136</f>
        <v>1014.7069674879979</v>
      </c>
      <c r="AF6" s="103">
        <f>BS!AF136</f>
        <v>1058.9510312850548</v>
      </c>
      <c r="AG6" s="103">
        <f>BS!AG136</f>
        <v>1105.7232396220081</v>
      </c>
      <c r="AH6" s="103">
        <f>BS!AH136</f>
        <v>1154.1381964194484</v>
      </c>
      <c r="AI6" s="103">
        <f>BS!AI136</f>
        <v>1203.4841207572581</v>
      </c>
      <c r="AJ6" s="103">
        <f>BS!AJ136</f>
        <v>1252.7020036098277</v>
      </c>
      <c r="AK6" s="103">
        <f>BS!AK136</f>
        <v>1336.1442102405836</v>
      </c>
      <c r="AL6" s="103">
        <f>BS!AL136</f>
        <v>1413.7778039753871</v>
      </c>
      <c r="AM6" s="103">
        <f>BS!AM136</f>
        <v>1503.6181907301948</v>
      </c>
      <c r="AN6" s="103">
        <f>BS!AN136</f>
        <v>1650.5932866910493</v>
      </c>
    </row>
    <row r="7" spans="2:41" ht="12.75" customHeight="1" outlineLevel="1">
      <c r="B7" s="128" t="s">
        <v>267</v>
      </c>
      <c r="C7" s="112">
        <v>0</v>
      </c>
      <c r="D7" s="112">
        <v>0</v>
      </c>
      <c r="E7" s="112">
        <v>0</v>
      </c>
      <c r="F7" s="112">
        <v>0</v>
      </c>
      <c r="G7" s="112">
        <v>0</v>
      </c>
      <c r="H7" s="112">
        <v>0</v>
      </c>
      <c r="I7" s="112">
        <v>0</v>
      </c>
      <c r="J7" s="113">
        <v>0</v>
      </c>
      <c r="K7" s="113">
        <v>0</v>
      </c>
      <c r="L7" s="113">
        <v>155.19999999999999</v>
      </c>
      <c r="M7" s="113">
        <v>336</v>
      </c>
      <c r="N7" s="113">
        <v>333</v>
      </c>
      <c r="O7" s="113">
        <v>347</v>
      </c>
      <c r="P7" s="113">
        <v>370</v>
      </c>
      <c r="Q7" s="113">
        <v>416</v>
      </c>
      <c r="R7" s="536">
        <v>425</v>
      </c>
      <c r="S7" s="536">
        <v>425</v>
      </c>
      <c r="T7" s="536">
        <v>423</v>
      </c>
      <c r="U7" s="536">
        <v>381</v>
      </c>
      <c r="V7" s="536">
        <v>399</v>
      </c>
      <c r="W7" s="536">
        <v>642</v>
      </c>
      <c r="X7" s="536">
        <v>1376</v>
      </c>
      <c r="Y7" s="536">
        <f>7279-5932</f>
        <v>1347</v>
      </c>
      <c r="Z7" s="536">
        <f>8744-7279</f>
        <v>1465</v>
      </c>
      <c r="AA7" s="536">
        <f>10121-8744</f>
        <v>1377</v>
      </c>
      <c r="AB7" s="511">
        <f>BS!AB155</f>
        <v>1445.8500000000001</v>
      </c>
      <c r="AC7" s="511">
        <f>BS!AC155</f>
        <v>1518.1425000000002</v>
      </c>
      <c r="AD7" s="511">
        <f>BS!AD155</f>
        <v>1556.0960625</v>
      </c>
      <c r="AE7" s="103">
        <f>BS!AE155</f>
        <v>1594.9984640624998</v>
      </c>
      <c r="AF7" s="103">
        <f>BS!AF155</f>
        <v>1634.8734256640621</v>
      </c>
      <c r="AG7" s="103">
        <f>BS!AG155</f>
        <v>859.03954777343802</v>
      </c>
      <c r="AH7" s="103">
        <f>BS!AH155</f>
        <v>0</v>
      </c>
      <c r="AI7" s="103">
        <f>BS!AI155</f>
        <v>0</v>
      </c>
      <c r="AJ7" s="103">
        <f>BS!AJ155</f>
        <v>0</v>
      </c>
      <c r="AK7" s="103">
        <f>BS!AK155</f>
        <v>0</v>
      </c>
      <c r="AL7" s="103">
        <f>BS!AL155</f>
        <v>0</v>
      </c>
      <c r="AM7" s="103">
        <f>BS!AM155</f>
        <v>0</v>
      </c>
      <c r="AN7" s="103">
        <f>BS!AN155</f>
        <v>0</v>
      </c>
    </row>
    <row r="8" spans="2:41" ht="12.75" customHeight="1" outlineLevel="1">
      <c r="B8" s="128" t="s">
        <v>268</v>
      </c>
      <c r="C8" s="113">
        <v>0</v>
      </c>
      <c r="D8" s="113">
        <v>0</v>
      </c>
      <c r="E8" s="113">
        <v>0</v>
      </c>
      <c r="F8" s="113">
        <v>0</v>
      </c>
      <c r="G8" s="113">
        <v>0</v>
      </c>
      <c r="H8" s="113">
        <v>0</v>
      </c>
      <c r="I8" s="112">
        <v>151.6</v>
      </c>
      <c r="J8" s="113">
        <v>376.6</v>
      </c>
      <c r="K8" s="113">
        <v>244.5</v>
      </c>
      <c r="L8" s="113">
        <v>251.6</v>
      </c>
      <c r="M8" s="113">
        <v>269.10000000000002</v>
      </c>
      <c r="N8" s="113">
        <v>203</v>
      </c>
      <c r="O8" s="113">
        <v>315</v>
      </c>
      <c r="P8" s="113">
        <v>0</v>
      </c>
      <c r="Q8" s="113">
        <v>0</v>
      </c>
      <c r="R8" s="536">
        <v>0</v>
      </c>
      <c r="S8" s="536">
        <v>0</v>
      </c>
      <c r="T8" s="536">
        <v>0</v>
      </c>
      <c r="U8" s="536">
        <v>0</v>
      </c>
      <c r="V8" s="536">
        <v>0</v>
      </c>
      <c r="W8" s="536">
        <v>0</v>
      </c>
      <c r="X8" s="536">
        <v>0</v>
      </c>
      <c r="Y8" s="536">
        <v>0</v>
      </c>
      <c r="Z8" s="536">
        <v>0</v>
      </c>
      <c r="AA8" s="536">
        <v>0</v>
      </c>
      <c r="AB8" s="511">
        <v>0</v>
      </c>
      <c r="AC8" s="511">
        <v>0</v>
      </c>
      <c r="AD8" s="511">
        <v>0</v>
      </c>
      <c r="AE8" s="511">
        <v>0</v>
      </c>
      <c r="AF8" s="511">
        <v>0</v>
      </c>
      <c r="AG8" s="511">
        <v>0</v>
      </c>
      <c r="AH8" s="511">
        <v>0</v>
      </c>
      <c r="AI8" s="511">
        <v>0</v>
      </c>
      <c r="AJ8" s="511">
        <v>0</v>
      </c>
      <c r="AK8" s="511">
        <v>0</v>
      </c>
      <c r="AL8" s="511">
        <v>0</v>
      </c>
      <c r="AM8" s="511">
        <v>0</v>
      </c>
      <c r="AN8" s="511">
        <v>0</v>
      </c>
      <c r="AO8" s="511"/>
    </row>
    <row r="9" spans="2:41" ht="12.75" customHeight="1" outlineLevel="1">
      <c r="B9" s="128" t="s">
        <v>269</v>
      </c>
      <c r="C9" s="113">
        <v>0</v>
      </c>
      <c r="D9" s="113">
        <v>0</v>
      </c>
      <c r="E9" s="113">
        <v>0</v>
      </c>
      <c r="F9" s="113">
        <v>0</v>
      </c>
      <c r="G9" s="113">
        <v>0</v>
      </c>
      <c r="H9" s="113">
        <v>0</v>
      </c>
      <c r="I9" s="112">
        <v>0</v>
      </c>
      <c r="J9" s="113">
        <v>0</v>
      </c>
      <c r="K9" s="113">
        <v>0</v>
      </c>
      <c r="L9" s="113">
        <v>0</v>
      </c>
      <c r="M9" s="113">
        <v>0</v>
      </c>
      <c r="N9" s="113">
        <v>0</v>
      </c>
      <c r="O9" s="113">
        <v>106</v>
      </c>
      <c r="P9" s="113">
        <v>403</v>
      </c>
      <c r="Q9" s="113">
        <v>263</v>
      </c>
      <c r="R9" s="536">
        <v>262</v>
      </c>
      <c r="S9" s="536">
        <v>284</v>
      </c>
      <c r="T9" s="536">
        <v>353</v>
      </c>
      <c r="U9" s="536">
        <v>341</v>
      </c>
      <c r="V9" s="536">
        <v>362</v>
      </c>
      <c r="W9" s="536">
        <v>403</v>
      </c>
      <c r="X9" s="536">
        <v>408</v>
      </c>
      <c r="Y9" s="536">
        <v>322</v>
      </c>
      <c r="Z9" s="536">
        <v>311</v>
      </c>
      <c r="AA9" s="536">
        <v>329</v>
      </c>
      <c r="AB9" s="511">
        <f>IS!CR44-IS!CR46+375</f>
        <v>375</v>
      </c>
      <c r="AC9" s="511">
        <f>IS!CW44-IS!CW46+400</f>
        <v>400</v>
      </c>
      <c r="AD9" s="511">
        <f>IS!DB44-IS!DB46+425</f>
        <v>425</v>
      </c>
      <c r="AE9" s="103">
        <f>IS!DG44-IS!DG46+425</f>
        <v>425</v>
      </c>
      <c r="AF9" s="156">
        <f>IS!DL44-IS!DL46+425</f>
        <v>425</v>
      </c>
      <c r="AG9" s="103">
        <f>IS!DQ44-IS!DQ46+425</f>
        <v>425</v>
      </c>
      <c r="AH9" s="103">
        <f>IS!DV44-IS!DV46+425</f>
        <v>425</v>
      </c>
      <c r="AI9" s="103">
        <f>IS!EA44-IS!EA46+425</f>
        <v>425</v>
      </c>
      <c r="AJ9" s="103">
        <f>IS!EF44-IS!EF46+425</f>
        <v>425</v>
      </c>
      <c r="AK9" s="103">
        <f>IS!EK44-IS!EK46+425</f>
        <v>425</v>
      </c>
      <c r="AL9" s="103">
        <f>IS!EP44-IS!EP46+425</f>
        <v>425</v>
      </c>
      <c r="AM9" s="103">
        <f>IS!EU44-IS!EU46+425</f>
        <v>425</v>
      </c>
      <c r="AN9" s="103">
        <f>IS!EZ44-IS!EZ46+425</f>
        <v>425</v>
      </c>
      <c r="AO9" s="103"/>
    </row>
    <row r="10" spans="2:41" ht="12.75" customHeight="1" outlineLevel="1">
      <c r="B10" s="128" t="s">
        <v>107</v>
      </c>
      <c r="C10" s="112">
        <v>7.9329999999999998</v>
      </c>
      <c r="D10" s="112">
        <v>2.8</v>
      </c>
      <c r="E10" s="112">
        <v>0</v>
      </c>
      <c r="F10" s="112">
        <v>0</v>
      </c>
      <c r="G10" s="112">
        <v>0</v>
      </c>
      <c r="H10" s="112">
        <f>33.1-17.3</f>
        <v>15.8</v>
      </c>
      <c r="I10" s="112">
        <v>0</v>
      </c>
      <c r="J10" s="113">
        <f>29.7-31.8</f>
        <v>-2.1000000000000014</v>
      </c>
      <c r="K10" s="113">
        <v>97.8</v>
      </c>
      <c r="L10" s="113">
        <v>24.9</v>
      </c>
      <c r="M10" s="113">
        <f>100-(2259.5-2259)</f>
        <v>99.5</v>
      </c>
      <c r="N10" s="113">
        <v>161</v>
      </c>
      <c r="O10" s="113">
        <v>60</v>
      </c>
      <c r="P10" s="113">
        <v>-81</v>
      </c>
      <c r="Q10" s="113">
        <f>81+404</f>
        <v>485</v>
      </c>
      <c r="R10" s="536">
        <f>59+8+244</f>
        <v>311</v>
      </c>
      <c r="S10" s="536">
        <f>21+110+111</f>
        <v>242</v>
      </c>
      <c r="T10" s="536">
        <f>118+140</f>
        <v>258</v>
      </c>
      <c r="U10" s="536">
        <f>6+63</f>
        <v>69</v>
      </c>
      <c r="V10" s="536">
        <f>178-74</f>
        <v>104</v>
      </c>
      <c r="W10" s="536">
        <f>19+84</f>
        <v>103</v>
      </c>
      <c r="X10" s="536">
        <f>97-213</f>
        <v>-116</v>
      </c>
      <c r="Y10" s="536">
        <v>-399</v>
      </c>
      <c r="Z10" s="536">
        <v>32</v>
      </c>
      <c r="AA10" s="536">
        <v>334</v>
      </c>
      <c r="AB10" s="511">
        <f>BS!AB30-BS!AA30</f>
        <v>0</v>
      </c>
      <c r="AC10" s="511">
        <f>BS!AC30-BS!AB30</f>
        <v>0</v>
      </c>
      <c r="AD10" s="511">
        <f>BS!AD30-BS!AC30</f>
        <v>0</v>
      </c>
      <c r="AE10" s="5">
        <f>BS!AE30-BS!AD30</f>
        <v>0</v>
      </c>
      <c r="AF10" s="156">
        <f>BS!AF30-BS!AE30</f>
        <v>0</v>
      </c>
      <c r="AG10" s="5">
        <f>BS!AG30-BS!AF30</f>
        <v>0</v>
      </c>
      <c r="AH10" s="5">
        <f>BS!AH30-BS!AG30</f>
        <v>0</v>
      </c>
      <c r="AI10" s="5">
        <f>BS!AI30-BS!AH30</f>
        <v>0</v>
      </c>
      <c r="AJ10" s="5">
        <f>BS!AJ30-BS!AI30</f>
        <v>0</v>
      </c>
      <c r="AK10" s="5">
        <f>BS!AK30-BS!AJ30</f>
        <v>0</v>
      </c>
      <c r="AL10" s="5">
        <f>BS!AL30-BS!AK30</f>
        <v>0</v>
      </c>
      <c r="AM10" s="5">
        <f>BS!AM30-BS!AL30</f>
        <v>0</v>
      </c>
      <c r="AN10" s="5">
        <f>BS!AN30-BS!AM30</f>
        <v>0</v>
      </c>
    </row>
    <row r="11" spans="2:41" ht="12.75" customHeight="1" outlineLevel="1">
      <c r="B11" s="128" t="s">
        <v>270</v>
      </c>
      <c r="C11" s="112">
        <v>17.379000000000001</v>
      </c>
      <c r="D11" s="112">
        <v>2.4</v>
      </c>
      <c r="E11" s="112">
        <v>23.9</v>
      </c>
      <c r="F11" s="112">
        <v>25.6</v>
      </c>
      <c r="G11" s="112">
        <v>-31.4</v>
      </c>
      <c r="H11" s="112">
        <v>-5.6</v>
      </c>
      <c r="I11" s="112">
        <v>9.8000000000000007</v>
      </c>
      <c r="J11" s="113">
        <v>6.6</v>
      </c>
      <c r="K11" s="113">
        <v>-148.30000000000001</v>
      </c>
      <c r="L11" s="113">
        <v>174.7</v>
      </c>
      <c r="M11" s="113">
        <v>-442</v>
      </c>
      <c r="N11" s="113">
        <v>57</v>
      </c>
      <c r="O11" s="113">
        <v>-95</v>
      </c>
      <c r="P11" s="113">
        <v>-540</v>
      </c>
      <c r="Q11" s="113">
        <v>136</v>
      </c>
      <c r="R11" s="536">
        <v>-137</v>
      </c>
      <c r="S11" s="536">
        <v>47</v>
      </c>
      <c r="T11" s="536">
        <v>-167</v>
      </c>
      <c r="U11" s="536">
        <v>-399</v>
      </c>
      <c r="V11" s="536">
        <v>28</v>
      </c>
      <c r="W11" s="536">
        <v>-189</v>
      </c>
      <c r="X11" s="536">
        <v>-108</v>
      </c>
      <c r="Y11" s="536">
        <v>-607</v>
      </c>
      <c r="Z11" s="536">
        <v>183</v>
      </c>
      <c r="AA11" s="536">
        <v>-1330</v>
      </c>
      <c r="AB11" s="511">
        <f>-(BS!AB7-BS!AA7)+(BS!AB26-BS!AA26)</f>
        <v>0</v>
      </c>
      <c r="AC11" s="511">
        <f>-(BS!AC7-BS!AB7)+(BS!AC26-BS!AB26)</f>
        <v>0</v>
      </c>
      <c r="AD11" s="511">
        <f>-(BS!AD7-BS!AC7)+(BS!AD26-BS!AC26)</f>
        <v>0</v>
      </c>
      <c r="AE11" s="511">
        <f>-(BS!AE7-BS!AD7)+(BS!AE26-BS!AD26)</f>
        <v>0</v>
      </c>
      <c r="AF11" s="511">
        <f>-(BS!AF7-BS!AE7)+(BS!AF26-BS!AE26)</f>
        <v>0</v>
      </c>
      <c r="AG11" s="511">
        <f>-(BS!AG7-BS!AF7)+(BS!AG26-BS!AF26)</f>
        <v>0</v>
      </c>
      <c r="AH11" s="511">
        <f>-(BS!AH7-BS!AG7)+(BS!AH26-BS!AG26)</f>
        <v>0</v>
      </c>
      <c r="AI11" s="511">
        <f>-(BS!AI7-BS!AH7)+(BS!AI26-BS!AH26)</f>
        <v>0</v>
      </c>
      <c r="AJ11" s="511">
        <f>-(BS!AJ7-BS!AI7)+(BS!AJ26-BS!AI26)</f>
        <v>0</v>
      </c>
      <c r="AK11" s="511">
        <f>-(BS!AK7-BS!AJ7)+(BS!AK26-BS!AJ26)</f>
        <v>0</v>
      </c>
      <c r="AL11" s="511">
        <f>-(BS!AL7-BS!AK7)+(BS!AL26-BS!AK26)</f>
        <v>0</v>
      </c>
      <c r="AM11" s="511">
        <f>-(BS!AM7-BS!AL7)+(BS!AM26-BS!AL26)</f>
        <v>0</v>
      </c>
      <c r="AN11" s="511">
        <f>-(BS!AN7-BS!AM7)+(BS!AN26-BS!AM26)</f>
        <v>0</v>
      </c>
      <c r="AO11" s="511"/>
    </row>
    <row r="12" spans="2:41" ht="12.75" customHeight="1" outlineLevel="1">
      <c r="B12" s="128" t="s">
        <v>271</v>
      </c>
      <c r="C12" s="112">
        <v>0</v>
      </c>
      <c r="D12" s="112">
        <v>0</v>
      </c>
      <c r="E12" s="112">
        <v>0</v>
      </c>
      <c r="F12" s="112">
        <v>0</v>
      </c>
      <c r="G12" s="112">
        <v>0</v>
      </c>
      <c r="H12" s="112">
        <v>0</v>
      </c>
      <c r="I12" s="112">
        <v>0</v>
      </c>
      <c r="J12" s="113">
        <v>0</v>
      </c>
      <c r="K12" s="113">
        <v>0</v>
      </c>
      <c r="L12" s="113">
        <v>0</v>
      </c>
      <c r="M12" s="113">
        <v>0</v>
      </c>
      <c r="N12" s="113">
        <v>0</v>
      </c>
      <c r="O12" s="113">
        <v>0</v>
      </c>
      <c r="P12" s="113">
        <v>0</v>
      </c>
      <c r="Q12" s="113">
        <v>52</v>
      </c>
      <c r="R12" s="536">
        <v>327</v>
      </c>
      <c r="S12" s="536">
        <v>33</v>
      </c>
      <c r="T12" s="536">
        <v>82</v>
      </c>
      <c r="U12" s="536">
        <v>0</v>
      </c>
      <c r="V12" s="536">
        <v>0</v>
      </c>
      <c r="W12" s="536">
        <v>0</v>
      </c>
      <c r="X12" s="536">
        <v>0</v>
      </c>
      <c r="Y12" s="536">
        <v>0</v>
      </c>
      <c r="Z12" s="536">
        <v>0</v>
      </c>
      <c r="AA12" s="536">
        <v>0</v>
      </c>
      <c r="AB12" s="511">
        <f>(BS!AB27+BS!AB21)-(BS!AA21+BS!AA27)</f>
        <v>7.1054273576010019E-15</v>
      </c>
      <c r="AC12" s="511">
        <f>(BS!AC27+BS!AC21)-(BS!AB21+BS!AB27)</f>
        <v>0</v>
      </c>
      <c r="AD12" s="511">
        <f>(BS!AD27+BS!AD21)-(BS!AC21+BS!AC27)</f>
        <v>0</v>
      </c>
      <c r="AE12" s="511">
        <f>(BS!AE27+BS!AE21)-(BS!AD21+BS!AD27)</f>
        <v>0</v>
      </c>
      <c r="AF12" s="511">
        <f>(BS!AF27+BS!AF21)-(BS!AE21+BS!AE27)</f>
        <v>0</v>
      </c>
      <c r="AG12" s="511">
        <f>(BS!AG27+BS!AG21)-(BS!AF21+BS!AF27)</f>
        <v>0</v>
      </c>
      <c r="AH12" s="511">
        <f>(BS!AH27+BS!AH21)-(BS!AG21+BS!AG27)</f>
        <v>0</v>
      </c>
      <c r="AI12" s="511">
        <f>(BS!AI27+BS!AI21)-(BS!AH21+BS!AH27)</f>
        <v>0</v>
      </c>
      <c r="AJ12" s="511">
        <f>(BS!AJ27+BS!AJ21)-(BS!AI21+BS!AI27)</f>
        <v>0</v>
      </c>
      <c r="AK12" s="511">
        <f>(BS!AK27+BS!AK21)-(BS!AJ21+BS!AJ27)</f>
        <v>0</v>
      </c>
      <c r="AL12" s="511">
        <f>(BS!AL27+BS!AL21)-(BS!AK21+BS!AK27)</f>
        <v>0</v>
      </c>
      <c r="AM12" s="511">
        <f>(BS!AM27+BS!AM21)-(BS!AL21+BS!AL27)</f>
        <v>0</v>
      </c>
      <c r="AN12" s="511">
        <f>(BS!AN27+BS!AN21)-(BS!AM21+BS!AM27)</f>
        <v>0</v>
      </c>
      <c r="AO12" s="511"/>
    </row>
    <row r="13" spans="2:41" ht="12.75" customHeight="1" outlineLevel="1">
      <c r="B13" s="128" t="s">
        <v>272</v>
      </c>
      <c r="C13" s="112">
        <v>12.589</v>
      </c>
      <c r="D13" s="112">
        <v>31.2</v>
      </c>
      <c r="E13" s="112">
        <v>53.3</v>
      </c>
      <c r="F13" s="112">
        <v>52.8</v>
      </c>
      <c r="G13" s="112">
        <v>36.1</v>
      </c>
      <c r="H13" s="112">
        <v>28.6</v>
      </c>
      <c r="I13" s="112">
        <v>16.8</v>
      </c>
      <c r="J13" s="113">
        <v>23.9</v>
      </c>
      <c r="K13" s="113">
        <v>0</v>
      </c>
      <c r="L13" s="113">
        <v>0</v>
      </c>
      <c r="M13" s="113">
        <v>0</v>
      </c>
      <c r="N13" s="113">
        <v>0</v>
      </c>
      <c r="O13" s="113">
        <v>0</v>
      </c>
      <c r="P13" s="113">
        <v>0</v>
      </c>
      <c r="Q13" s="113">
        <v>0</v>
      </c>
      <c r="R13" s="536">
        <v>0</v>
      </c>
      <c r="S13" s="536">
        <v>0</v>
      </c>
      <c r="T13" s="536">
        <v>0</v>
      </c>
      <c r="U13" s="536">
        <v>0</v>
      </c>
      <c r="V13" s="536">
        <v>0</v>
      </c>
      <c r="W13" s="536">
        <v>0</v>
      </c>
      <c r="X13" s="536">
        <v>0</v>
      </c>
      <c r="Y13" s="536">
        <v>0</v>
      </c>
      <c r="Z13" s="536">
        <v>0</v>
      </c>
      <c r="AA13" s="536">
        <v>0</v>
      </c>
      <c r="AB13" s="511">
        <v>0</v>
      </c>
      <c r="AC13" s="511">
        <v>0</v>
      </c>
      <c r="AD13" s="511">
        <v>0</v>
      </c>
      <c r="AE13" s="511">
        <v>0</v>
      </c>
      <c r="AF13" s="511">
        <v>0</v>
      </c>
      <c r="AG13" s="511">
        <v>0</v>
      </c>
      <c r="AH13" s="511">
        <v>0</v>
      </c>
      <c r="AI13" s="511">
        <v>0</v>
      </c>
      <c r="AJ13" s="511">
        <v>0</v>
      </c>
      <c r="AK13" s="511">
        <v>0</v>
      </c>
      <c r="AL13" s="511">
        <v>0</v>
      </c>
      <c r="AM13" s="511">
        <v>0</v>
      </c>
      <c r="AN13" s="511">
        <v>0</v>
      </c>
      <c r="AO13" s="511"/>
    </row>
    <row r="14" spans="2:41" ht="12.75" customHeight="1" outlineLevel="1">
      <c r="B14" s="193" t="s">
        <v>273</v>
      </c>
      <c r="C14" s="112"/>
      <c r="D14" s="112"/>
      <c r="E14" s="112"/>
      <c r="F14" s="112"/>
      <c r="G14" s="112"/>
      <c r="H14" s="112"/>
      <c r="I14" s="112"/>
      <c r="J14" s="113"/>
      <c r="K14" s="113"/>
      <c r="L14" s="113"/>
      <c r="M14" s="113"/>
      <c r="N14" s="113"/>
      <c r="O14" s="113"/>
      <c r="P14" s="113"/>
      <c r="Q14" s="113"/>
      <c r="R14" s="511"/>
      <c r="S14" s="511"/>
      <c r="T14" s="511"/>
      <c r="U14" s="511"/>
      <c r="V14" s="511"/>
      <c r="W14" s="511"/>
      <c r="X14" s="511"/>
      <c r="Y14" s="511"/>
      <c r="Z14" s="511"/>
      <c r="AA14" s="511"/>
      <c r="AB14" s="511"/>
      <c r="AC14" s="511"/>
      <c r="AD14" s="511"/>
      <c r="AF14" s="156"/>
    </row>
    <row r="15" spans="2:41" ht="12.75" customHeight="1" outlineLevel="1">
      <c r="B15" s="128" t="s">
        <v>274</v>
      </c>
      <c r="C15" s="113">
        <v>-8.2940000000000005</v>
      </c>
      <c r="D15" s="113">
        <v>-30.4</v>
      </c>
      <c r="E15" s="113">
        <v>-4.5999999999999996</v>
      </c>
      <c r="F15" s="113">
        <v>-26.1</v>
      </c>
      <c r="G15" s="113">
        <v>-43.6</v>
      </c>
      <c r="H15" s="113">
        <v>-50.9</v>
      </c>
      <c r="I15" s="113">
        <v>-92.3</v>
      </c>
      <c r="J15" s="113">
        <v>23</v>
      </c>
      <c r="K15" s="113">
        <v>-123</v>
      </c>
      <c r="L15" s="113">
        <v>-121.9</v>
      </c>
      <c r="M15" s="113">
        <v>-256</v>
      </c>
      <c r="N15" s="113">
        <v>-453</v>
      </c>
      <c r="O15" s="113">
        <v>-308</v>
      </c>
      <c r="P15" s="113">
        <v>-355</v>
      </c>
      <c r="Q15" s="113">
        <v>38</v>
      </c>
      <c r="R15" s="536">
        <v>65</v>
      </c>
      <c r="S15" s="536">
        <v>-36</v>
      </c>
      <c r="T15" s="536">
        <v>-210</v>
      </c>
      <c r="U15" s="536">
        <v>-557</v>
      </c>
      <c r="V15" s="536">
        <v>348</v>
      </c>
      <c r="W15" s="536">
        <v>-38</v>
      </c>
      <c r="X15" s="536">
        <v>136</v>
      </c>
      <c r="Y15" s="536">
        <v>-420</v>
      </c>
      <c r="Z15" s="536">
        <v>-214</v>
      </c>
      <c r="AA15" s="536">
        <v>-58</v>
      </c>
      <c r="AB15" s="511">
        <f>-(BS!AB5-BS!AA5)</f>
        <v>30.580723060927994</v>
      </c>
      <c r="AC15" s="511">
        <f>-(BS!AC5-BS!AB5)</f>
        <v>21.44991962785025</v>
      </c>
      <c r="AD15" s="511">
        <f>-(BS!AD5-BS!AC5)</f>
        <v>-34.690329611977631</v>
      </c>
      <c r="AE15" s="511">
        <f>-(BS!AE5-BS!AD5)</f>
        <v>20.606056578289554</v>
      </c>
      <c r="AF15" s="511">
        <f>-(BS!AF5-BS!AE5)</f>
        <v>-117.9550500067844</v>
      </c>
      <c r="AG15" s="511">
        <f>-(BS!AG5-BS!AF5)</f>
        <v>-166.88028647646388</v>
      </c>
      <c r="AH15" s="511">
        <f>-(BS!AH5-BS!AG5)</f>
        <v>-104.97692368674689</v>
      </c>
      <c r="AI15" s="511">
        <f>-(BS!AI5-BS!AH5)</f>
        <v>-55.317301429963209</v>
      </c>
      <c r="AJ15" s="511">
        <f>-(BS!AJ5-BS!AI5)</f>
        <v>18.988694968170876</v>
      </c>
      <c r="AK15" s="511">
        <f>-(BS!AK5-BS!AJ5)</f>
        <v>1.0724246204727024</v>
      </c>
      <c r="AL15" s="511">
        <f>-(BS!AL5-BS!AK5)</f>
        <v>252.05478903824906</v>
      </c>
      <c r="AM15" s="511">
        <f>-(BS!AM5-BS!AL5)</f>
        <v>133.71173069664155</v>
      </c>
      <c r="AN15" s="511">
        <f>-(BS!AN5-BS!AM5)</f>
        <v>83.465817994767804</v>
      </c>
      <c r="AO15" s="511"/>
    </row>
    <row r="16" spans="2:41" ht="12.75" customHeight="1" outlineLevel="1">
      <c r="B16" s="128" t="s">
        <v>275</v>
      </c>
      <c r="C16" s="113">
        <v>-17.911000000000001</v>
      </c>
      <c r="D16" s="113">
        <v>-23.3</v>
      </c>
      <c r="E16" s="113">
        <v>9.1999999999999993</v>
      </c>
      <c r="F16" s="113">
        <v>-8.6</v>
      </c>
      <c r="G16" s="113">
        <v>-11.8</v>
      </c>
      <c r="H16" s="113">
        <v>-1.6</v>
      </c>
      <c r="I16" s="113">
        <v>-73.5</v>
      </c>
      <c r="J16" s="113">
        <v>-120.9</v>
      </c>
      <c r="K16" s="113">
        <v>-85.5</v>
      </c>
      <c r="L16" s="113">
        <v>-101.7</v>
      </c>
      <c r="M16" s="113">
        <v>-168</v>
      </c>
      <c r="N16" s="113">
        <v>-175</v>
      </c>
      <c r="O16" s="113">
        <v>-370</v>
      </c>
      <c r="P16" s="113">
        <v>-561</v>
      </c>
      <c r="Q16" s="113">
        <v>-109</v>
      </c>
      <c r="R16" s="536">
        <v>-59</v>
      </c>
      <c r="S16" s="536">
        <v>-134</v>
      </c>
      <c r="T16" s="536">
        <v>153</v>
      </c>
      <c r="U16" s="536">
        <v>-383</v>
      </c>
      <c r="V16" s="536">
        <v>-150</v>
      </c>
      <c r="W16" s="536">
        <v>-7</v>
      </c>
      <c r="X16" s="536">
        <v>327</v>
      </c>
      <c r="Y16" s="536">
        <v>481</v>
      </c>
      <c r="Z16" s="536">
        <v>-80</v>
      </c>
      <c r="AA16" s="536">
        <v>133</v>
      </c>
      <c r="AB16" s="511">
        <f>-(BS!AB6-BS!AA6)</f>
        <v>147.62269548642416</v>
      </c>
      <c r="AC16" s="511">
        <f>-(BS!AC6-BS!AB6)</f>
        <v>-14.344573138974738</v>
      </c>
      <c r="AD16" s="511">
        <f>-(BS!AD6-BS!AC6)</f>
        <v>-62.345622952119356</v>
      </c>
      <c r="AE16" s="511">
        <f>-(BS!AE6-BS!AD6)</f>
        <v>-109.35341206178828</v>
      </c>
      <c r="AF16" s="511">
        <f>-(BS!AF6-BS!AE6)</f>
        <v>-248.84379544624244</v>
      </c>
      <c r="AG16" s="511">
        <f>-(BS!AG6-BS!AF6)</f>
        <v>-337.79763449762822</v>
      </c>
      <c r="AH16" s="511">
        <f>-(BS!AH6-BS!AG6)</f>
        <v>-235.79641627655383</v>
      </c>
      <c r="AI16" s="511">
        <f>-(BS!AI6-BS!AH6)</f>
        <v>-267.40983758057882</v>
      </c>
      <c r="AJ16" s="511">
        <f>-(BS!AJ6-BS!AI6)</f>
        <v>-182.20160753468781</v>
      </c>
      <c r="AK16" s="511">
        <f>-(BS!AK6-BS!AJ6)</f>
        <v>-211.38910820708134</v>
      </c>
      <c r="AL16" s="511">
        <f>-(BS!AL6-BS!AK6)</f>
        <v>89.761671607883727</v>
      </c>
      <c r="AM16" s="511">
        <f>-(BS!AM6-BS!AL6)</f>
        <v>-8.5390688573497755</v>
      </c>
      <c r="AN16" s="511">
        <f>-(BS!AN6-BS!AM6)</f>
        <v>-42.440194436197089</v>
      </c>
      <c r="AO16" s="511"/>
    </row>
    <row r="17" spans="2:41" ht="12.75" customHeight="1" outlineLevel="1">
      <c r="B17" s="128" t="s">
        <v>276</v>
      </c>
      <c r="C17" s="113">
        <v>-4.82</v>
      </c>
      <c r="D17" s="113">
        <v>1.8</v>
      </c>
      <c r="E17" s="113">
        <v>-8</v>
      </c>
      <c r="F17" s="113">
        <v>-11.8</v>
      </c>
      <c r="G17" s="113">
        <v>5</v>
      </c>
      <c r="H17" s="113">
        <v>-21.2</v>
      </c>
      <c r="I17" s="113">
        <v>-9</v>
      </c>
      <c r="J17" s="113">
        <v>-51.4</v>
      </c>
      <c r="K17" s="113">
        <v>-31.5</v>
      </c>
      <c r="L17" s="113">
        <v>-5.2</v>
      </c>
      <c r="M17" s="113">
        <v>-33</v>
      </c>
      <c r="N17" s="113">
        <v>-85</v>
      </c>
      <c r="O17" s="113">
        <v>-47</v>
      </c>
      <c r="P17" s="113">
        <v>-6</v>
      </c>
      <c r="Q17" s="113">
        <v>-119</v>
      </c>
      <c r="R17" s="536">
        <v>15</v>
      </c>
      <c r="S17" s="536">
        <v>-3</v>
      </c>
      <c r="T17" s="536">
        <v>36</v>
      </c>
      <c r="U17" s="536">
        <v>-133</v>
      </c>
      <c r="V17" s="536">
        <v>124</v>
      </c>
      <c r="W17" s="536">
        <v>-59</v>
      </c>
      <c r="X17" s="536">
        <v>-1</v>
      </c>
      <c r="Y17" s="536">
        <v>155</v>
      </c>
      <c r="Z17" s="536">
        <v>-128</v>
      </c>
      <c r="AA17" s="536">
        <v>-24</v>
      </c>
      <c r="AB17" s="511">
        <f>-(BS!AB8-BS!AA8)</f>
        <v>16.315387311159157</v>
      </c>
      <c r="AC17" s="511">
        <f>-(BS!AC8-BS!AB8)</f>
        <v>11.44393302357048</v>
      </c>
      <c r="AD17" s="511">
        <f>-(BS!AD8-BS!AC8)</f>
        <v>-18.507939215287251</v>
      </c>
      <c r="AE17" s="511">
        <f>-(BS!AE8-BS!AD8)</f>
        <v>10.993716314706717</v>
      </c>
      <c r="AF17" s="511">
        <f>-(BS!AF8-BS!AE8)</f>
        <v>-62.931223775630997</v>
      </c>
      <c r="AG17" s="511">
        <f>-(BS!AG8-BS!AF8)</f>
        <v>-89.033751851977968</v>
      </c>
      <c r="AH17" s="511">
        <f>-(BS!AH8-BS!AG8)</f>
        <v>-56.007150820825473</v>
      </c>
      <c r="AI17" s="511">
        <f>-(BS!AI8-BS!AH8)</f>
        <v>-29.512814201280889</v>
      </c>
      <c r="AJ17" s="511">
        <f>-(BS!AJ8-BS!AI8)</f>
        <v>10.130823666985179</v>
      </c>
      <c r="AK17" s="511">
        <f>-(BS!AK8-BS!AJ8)</f>
        <v>0.57215857879396026</v>
      </c>
      <c r="AL17" s="511">
        <f>-(BS!AL8-BS!AK8)</f>
        <v>134.47594089251061</v>
      </c>
      <c r="AM17" s="511">
        <f>-(BS!AM8-BS!AL8)</f>
        <v>71.337707418319269</v>
      </c>
      <c r="AN17" s="511">
        <f>-(BS!AN8-BS!AM8)</f>
        <v>44.530573888466051</v>
      </c>
      <c r="AO17" s="511"/>
    </row>
    <row r="18" spans="2:41" ht="12.75" customHeight="1" outlineLevel="1">
      <c r="B18" s="128" t="s">
        <v>277</v>
      </c>
      <c r="C18" s="113">
        <v>-14.97</v>
      </c>
      <c r="D18" s="113">
        <v>4.5999999999999996</v>
      </c>
      <c r="E18" s="113">
        <v>23.9</v>
      </c>
      <c r="F18" s="113">
        <v>20.6</v>
      </c>
      <c r="G18" s="113">
        <v>28.9</v>
      </c>
      <c r="H18" s="113">
        <v>17.7</v>
      </c>
      <c r="I18" s="113">
        <v>-38.200000000000003</v>
      </c>
      <c r="J18" s="113">
        <v>59.8</v>
      </c>
      <c r="K18" s="113">
        <v>-6.5</v>
      </c>
      <c r="L18" s="113">
        <v>11</v>
      </c>
      <c r="M18" s="113">
        <v>74</v>
      </c>
      <c r="N18" s="113">
        <v>179</v>
      </c>
      <c r="O18" s="113">
        <v>72</v>
      </c>
      <c r="P18" s="113">
        <v>-24</v>
      </c>
      <c r="Q18" s="113">
        <v>-181</v>
      </c>
      <c r="R18" s="536">
        <v>95</v>
      </c>
      <c r="S18" s="536">
        <v>71</v>
      </c>
      <c r="T18" s="536">
        <v>142</v>
      </c>
      <c r="U18" s="536">
        <v>-95</v>
      </c>
      <c r="V18" s="536">
        <v>161</v>
      </c>
      <c r="W18" s="536">
        <v>-184</v>
      </c>
      <c r="X18" s="536">
        <v>405</v>
      </c>
      <c r="Y18" s="536">
        <v>-12</v>
      </c>
      <c r="Z18" s="536">
        <v>-44</v>
      </c>
      <c r="AA18" s="536">
        <v>424</v>
      </c>
      <c r="AB18" s="511">
        <f>BS!AB18-BS!AA18</f>
        <v>-7.4601612423321058</v>
      </c>
      <c r="AC18" s="511">
        <f>BS!AC18-BS!AB18</f>
        <v>21.224145356725785</v>
      </c>
      <c r="AD18" s="511">
        <f>BS!AD18-BS!AC18</f>
        <v>27.645422033310069</v>
      </c>
      <c r="AE18" s="511">
        <f>BS!AE18-BS!AD18</f>
        <v>2.7019050094274917</v>
      </c>
      <c r="AF18" s="511">
        <f>BS!AF18-BS!AE18</f>
        <v>20.838386101143215</v>
      </c>
      <c r="AG18" s="511">
        <f>BS!AG18-BS!AF18</f>
        <v>43.793344789450202</v>
      </c>
      <c r="AH18" s="511">
        <f>BS!AH18-BS!AG18</f>
        <v>18.13051734737769</v>
      </c>
      <c r="AI18" s="511">
        <f>BS!AI18-BS!AH18</f>
        <v>11.275150974011467</v>
      </c>
      <c r="AJ18" s="511">
        <f>BS!AJ18-BS!AI18</f>
        <v>10.445509170310743</v>
      </c>
      <c r="AK18" s="511">
        <f>BS!AK18-BS!AJ18</f>
        <v>14.262477537052746</v>
      </c>
      <c r="AL18" s="511">
        <f>BS!AL18-BS!AK18</f>
        <v>-32.429678295397935</v>
      </c>
      <c r="AM18" s="511">
        <f>BS!AM18-BS!AL18</f>
        <v>-29.608223905530622</v>
      </c>
      <c r="AN18" s="511">
        <f>BS!AN18-BS!AM18</f>
        <v>-24.029595015082577</v>
      </c>
      <c r="AO18" s="511"/>
    </row>
    <row r="19" spans="2:41" ht="12.75" customHeight="1" outlineLevel="1">
      <c r="B19" s="128" t="s">
        <v>278</v>
      </c>
      <c r="C19" s="113">
        <v>7.0449999999999999</v>
      </c>
      <c r="D19" s="113">
        <v>32.200000000000003</v>
      </c>
      <c r="E19" s="113">
        <v>53.5</v>
      </c>
      <c r="F19" s="113">
        <v>-10</v>
      </c>
      <c r="G19" s="113">
        <v>158.30000000000001</v>
      </c>
      <c r="H19" s="113">
        <v>51.7</v>
      </c>
      <c r="I19" s="113">
        <v>-11.5</v>
      </c>
      <c r="J19" s="113">
        <v>-31.2</v>
      </c>
      <c r="K19" s="113">
        <v>147.1</v>
      </c>
      <c r="L19" s="113">
        <v>-31.8</v>
      </c>
      <c r="M19" s="113">
        <f>683+394</f>
        <v>1077</v>
      </c>
      <c r="N19" s="113">
        <f>477-318</f>
        <v>159</v>
      </c>
      <c r="O19" s="113">
        <f>582+81</f>
        <v>663</v>
      </c>
      <c r="P19" s="113">
        <f>581+828</f>
        <v>1409</v>
      </c>
      <c r="Q19" s="113">
        <f>-810+688</f>
        <v>-122</v>
      </c>
      <c r="R19" s="536">
        <f>14-30</f>
        <v>-16</v>
      </c>
      <c r="S19" s="536">
        <f>-142+320</f>
        <v>178</v>
      </c>
      <c r="T19" s="536">
        <f>-656+152</f>
        <v>-504</v>
      </c>
      <c r="U19" s="536">
        <f>-20+773</f>
        <v>753</v>
      </c>
      <c r="V19" s="536">
        <f>165+87</f>
        <v>252</v>
      </c>
      <c r="W19" s="536">
        <f>-326+221</f>
        <v>-105</v>
      </c>
      <c r="X19" s="536">
        <f>357-103</f>
        <v>254</v>
      </c>
      <c r="Y19" s="536">
        <f>509+1</f>
        <v>510</v>
      </c>
      <c r="Z19" s="536">
        <v>-301</v>
      </c>
      <c r="AA19" s="536">
        <v>523</v>
      </c>
      <c r="AB19" s="511">
        <f>BS!AB20-BS!AA20</f>
        <v>-35.954445750766354</v>
      </c>
      <c r="AC19" s="511">
        <f>BS!AC20-BS!AB20</f>
        <v>102.2903336867048</v>
      </c>
      <c r="AD19" s="511">
        <f>BS!AD20-BS!AC20</f>
        <v>133.23784761024308</v>
      </c>
      <c r="AE19" s="511">
        <f>BS!AE20-BS!AD20</f>
        <v>13.021903137152549</v>
      </c>
      <c r="AF19" s="511">
        <f>BS!AF20-BS!AE20</f>
        <v>100.43115668272821</v>
      </c>
      <c r="AG19" s="511">
        <f>BS!AG20-BS!AF20</f>
        <v>211.063191307735</v>
      </c>
      <c r="AH19" s="511">
        <f>BS!AH20-BS!AG20</f>
        <v>87.380511120942174</v>
      </c>
      <c r="AI19" s="511">
        <f>BS!AI20-BS!AH20</f>
        <v>54.340890345160915</v>
      </c>
      <c r="AJ19" s="511">
        <f>BS!AJ20-BS!AI20</f>
        <v>50.342409581172433</v>
      </c>
      <c r="AK19" s="511">
        <f>BS!AK20-BS!AJ20</f>
        <v>68.73839025993766</v>
      </c>
      <c r="AL19" s="511">
        <f>BS!AL20-BS!AK20</f>
        <v>-156.29569805681422</v>
      </c>
      <c r="AM19" s="511">
        <f>BS!AM20-BS!AL20</f>
        <v>-142.69762349736448</v>
      </c>
      <c r="AN19" s="511">
        <f>BS!AN20-BS!AM20</f>
        <v>-115.81127301647848</v>
      </c>
      <c r="AO19" s="511"/>
    </row>
    <row r="20" spans="2:41" ht="12.75" customHeight="1" outlineLevel="1">
      <c r="B20" s="128" t="s">
        <v>279</v>
      </c>
      <c r="C20" s="113"/>
      <c r="D20" s="113"/>
      <c r="E20" s="113"/>
      <c r="F20" s="113"/>
      <c r="G20" s="113"/>
      <c r="H20" s="113"/>
      <c r="I20" s="113"/>
      <c r="J20" s="113"/>
      <c r="K20" s="113"/>
      <c r="L20" s="113"/>
      <c r="M20" s="113"/>
      <c r="N20" s="113"/>
      <c r="O20" s="113"/>
      <c r="P20" s="113"/>
      <c r="Q20" s="113"/>
      <c r="R20" s="536">
        <v>0</v>
      </c>
      <c r="S20" s="536">
        <v>0</v>
      </c>
      <c r="T20" s="536">
        <v>0</v>
      </c>
      <c r="U20" s="536">
        <v>780</v>
      </c>
      <c r="V20" s="536">
        <v>-780</v>
      </c>
      <c r="W20" s="536">
        <v>0</v>
      </c>
      <c r="X20" s="536">
        <v>0</v>
      </c>
      <c r="Y20" s="536">
        <v>0</v>
      </c>
      <c r="Z20" s="536">
        <v>0</v>
      </c>
      <c r="AA20" s="536">
        <v>0</v>
      </c>
      <c r="AB20" s="511">
        <v>0</v>
      </c>
      <c r="AC20" s="511">
        <v>0</v>
      </c>
      <c r="AD20" s="511">
        <v>0</v>
      </c>
      <c r="AE20" s="511">
        <v>0</v>
      </c>
      <c r="AF20" s="511">
        <v>0</v>
      </c>
      <c r="AG20" s="511">
        <v>0</v>
      </c>
      <c r="AH20" s="511">
        <v>0</v>
      </c>
      <c r="AI20" s="511">
        <v>0</v>
      </c>
      <c r="AJ20" s="511">
        <v>0</v>
      </c>
      <c r="AK20" s="511">
        <v>0</v>
      </c>
      <c r="AL20" s="511">
        <v>0</v>
      </c>
      <c r="AM20" s="511">
        <v>0</v>
      </c>
      <c r="AN20" s="511">
        <v>0</v>
      </c>
      <c r="AO20" s="511"/>
    </row>
    <row r="21" spans="2:41" ht="12.75" customHeight="1" outlineLevel="1">
      <c r="B21" s="128" t="s">
        <v>280</v>
      </c>
      <c r="C21" s="102"/>
      <c r="D21" s="102"/>
      <c r="E21" s="113">
        <v>0</v>
      </c>
      <c r="F21" s="113">
        <v>0</v>
      </c>
      <c r="G21" s="113">
        <v>0</v>
      </c>
      <c r="H21" s="113">
        <v>0</v>
      </c>
      <c r="I21" s="113">
        <v>0</v>
      </c>
      <c r="J21" s="113">
        <v>0</v>
      </c>
      <c r="K21" s="113">
        <v>0</v>
      </c>
      <c r="L21" s="113">
        <v>0</v>
      </c>
      <c r="M21" s="113">
        <v>0</v>
      </c>
      <c r="N21" s="113">
        <v>0</v>
      </c>
      <c r="O21" s="113">
        <v>0</v>
      </c>
      <c r="P21" s="113">
        <v>0</v>
      </c>
      <c r="Q21" s="113">
        <v>0</v>
      </c>
      <c r="R21" s="536">
        <v>0</v>
      </c>
      <c r="S21" s="536">
        <v>0</v>
      </c>
      <c r="T21" s="536">
        <v>0</v>
      </c>
      <c r="U21" s="536">
        <v>0</v>
      </c>
      <c r="V21" s="536">
        <v>0</v>
      </c>
      <c r="W21" s="536">
        <v>0</v>
      </c>
      <c r="X21" s="536">
        <v>0</v>
      </c>
      <c r="Y21" s="536">
        <v>0</v>
      </c>
      <c r="Z21" s="536">
        <v>0</v>
      </c>
      <c r="AA21" s="536">
        <v>0</v>
      </c>
      <c r="AB21" s="511">
        <f>Debt!AC150</f>
        <v>0</v>
      </c>
      <c r="AC21" s="511">
        <f>Debt!AD150</f>
        <v>0</v>
      </c>
      <c r="AD21" s="511">
        <f>Debt!AE150</f>
        <v>0</v>
      </c>
      <c r="AE21" s="511">
        <f>Debt!AF150</f>
        <v>0</v>
      </c>
      <c r="AF21" s="511">
        <f>Debt!AG150</f>
        <v>0</v>
      </c>
      <c r="AG21" s="511">
        <f>Debt!AH150</f>
        <v>0</v>
      </c>
      <c r="AH21" s="511">
        <f>Debt!AI150</f>
        <v>0</v>
      </c>
      <c r="AI21" s="511">
        <f>Debt!AJ150</f>
        <v>0</v>
      </c>
      <c r="AJ21" s="511">
        <f>Debt!AK150</f>
        <v>0</v>
      </c>
      <c r="AK21" s="511">
        <f>Debt!AL150</f>
        <v>0</v>
      </c>
      <c r="AL21" s="511">
        <f>Debt!AM150</f>
        <v>0</v>
      </c>
      <c r="AM21" s="511">
        <f>Debt!AN150</f>
        <v>0</v>
      </c>
      <c r="AN21" s="511">
        <f>Debt!AO150</f>
        <v>0</v>
      </c>
      <c r="AO21" s="511"/>
    </row>
    <row r="22" spans="2:41" ht="12.75" customHeight="1" outlineLevel="1">
      <c r="B22" s="701" t="s">
        <v>923</v>
      </c>
      <c r="C22" s="102"/>
      <c r="D22" s="102"/>
      <c r="E22" s="113"/>
      <c r="F22" s="113"/>
      <c r="G22" s="113"/>
      <c r="H22" s="113"/>
      <c r="I22" s="113"/>
      <c r="J22" s="113"/>
      <c r="K22" s="113"/>
      <c r="L22" s="113"/>
      <c r="M22" s="113"/>
      <c r="N22" s="113"/>
      <c r="O22" s="113"/>
      <c r="P22" s="113"/>
      <c r="Q22" s="113"/>
      <c r="R22" s="536"/>
      <c r="S22" s="536">
        <v>0</v>
      </c>
      <c r="T22" s="536">
        <v>0</v>
      </c>
      <c r="U22" s="536">
        <v>0</v>
      </c>
      <c r="V22" s="536">
        <v>0</v>
      </c>
      <c r="W22" s="536">
        <v>0</v>
      </c>
      <c r="X22" s="536">
        <v>0</v>
      </c>
      <c r="Y22" s="536">
        <v>0</v>
      </c>
      <c r="Z22" s="536">
        <v>768</v>
      </c>
      <c r="AA22" s="536">
        <f>6681+231</f>
        <v>6912</v>
      </c>
      <c r="AB22" s="511">
        <v>0</v>
      </c>
      <c r="AC22" s="511">
        <v>0</v>
      </c>
      <c r="AD22" s="511">
        <v>0</v>
      </c>
      <c r="AE22" s="511">
        <v>0</v>
      </c>
      <c r="AF22" s="511">
        <v>0</v>
      </c>
      <c r="AG22" s="511">
        <v>0</v>
      </c>
      <c r="AH22" s="511">
        <v>0</v>
      </c>
      <c r="AI22" s="511">
        <v>0</v>
      </c>
      <c r="AJ22" s="511">
        <v>0</v>
      </c>
      <c r="AK22" s="511">
        <v>0</v>
      </c>
      <c r="AL22" s="511">
        <v>0</v>
      </c>
      <c r="AM22" s="511">
        <v>0</v>
      </c>
      <c r="AN22" s="511">
        <v>0</v>
      </c>
      <c r="AO22" s="511"/>
    </row>
    <row r="23" spans="2:41" ht="12.75" customHeight="1" outlineLevel="1">
      <c r="B23" s="115" t="s">
        <v>281</v>
      </c>
      <c r="C23" s="116">
        <f t="shared" ref="C23:T23" si="3">SUM(C8:C19)+SUM(C3:C5)</f>
        <v>433.69400000000002</v>
      </c>
      <c r="D23" s="116">
        <f t="shared" si="3"/>
        <v>532.19999999999993</v>
      </c>
      <c r="E23" s="116">
        <f t="shared" si="3"/>
        <v>773.5</v>
      </c>
      <c r="F23" s="116">
        <f t="shared" si="3"/>
        <v>822.8</v>
      </c>
      <c r="G23" s="116">
        <f t="shared" si="3"/>
        <v>902.6</v>
      </c>
      <c r="H23" s="116">
        <f t="shared" si="3"/>
        <v>1042.3</v>
      </c>
      <c r="I23" s="116">
        <f t="shared" si="3"/>
        <v>1226.5</v>
      </c>
      <c r="J23" s="116">
        <f t="shared" si="3"/>
        <v>1634.1</v>
      </c>
      <c r="K23" s="542">
        <f t="shared" si="3"/>
        <v>1480.1999999999998</v>
      </c>
      <c r="L23" s="542">
        <f t="shared" si="3"/>
        <v>2248.8000000000002</v>
      </c>
      <c r="M23" s="542">
        <f t="shared" si="3"/>
        <v>3566.6</v>
      </c>
      <c r="N23" s="116">
        <f t="shared" si="3"/>
        <v>3697</v>
      </c>
      <c r="O23" s="116">
        <f t="shared" si="3"/>
        <v>4911</v>
      </c>
      <c r="P23" s="116">
        <f t="shared" si="3"/>
        <v>5389</v>
      </c>
      <c r="Q23" s="116">
        <f t="shared" si="3"/>
        <v>5401</v>
      </c>
      <c r="R23" s="521">
        <f t="shared" si="3"/>
        <v>5988</v>
      </c>
      <c r="S23" s="521">
        <f t="shared" si="3"/>
        <v>6336</v>
      </c>
      <c r="T23" s="521">
        <f t="shared" si="3"/>
        <v>5787</v>
      </c>
      <c r="U23" s="521">
        <f>SUM(U8:U21)+SUM(U3:U5)</f>
        <v>5119</v>
      </c>
      <c r="V23" s="521">
        <f>SUM(V8:V21)+SUM(V3:V5)</f>
        <v>5882</v>
      </c>
      <c r="W23" s="521">
        <f t="shared" ref="W23:Y23" si="4">SUM(W8:W19)+SUM(W3:W5)</f>
        <v>6291</v>
      </c>
      <c r="X23" s="521">
        <f t="shared" si="4"/>
        <v>8555</v>
      </c>
      <c r="Y23" s="521">
        <f t="shared" si="4"/>
        <v>9077</v>
      </c>
      <c r="Z23" s="521">
        <f>SUM(Z8:Z19)+SUM(Z3:Z5)+Z22</f>
        <v>10354</v>
      </c>
      <c r="AA23" s="521">
        <f t="shared" ref="AA23:AN23" si="5">SUM(AA8:AA19)+SUM(AA3:AA5)+AA22</f>
        <v>11177</v>
      </c>
      <c r="AB23" s="521">
        <f t="shared" si="5"/>
        <v>12276.12973988466</v>
      </c>
      <c r="AC23" s="521">
        <f t="shared" si="5"/>
        <v>12361.795709854814</v>
      </c>
      <c r="AD23" s="521">
        <f t="shared" si="5"/>
        <v>12548.783791411512</v>
      </c>
      <c r="AE23" s="521">
        <f t="shared" si="5"/>
        <v>12589.979104525326</v>
      </c>
      <c r="AF23" s="521">
        <f t="shared" si="5"/>
        <v>13128.963608496539</v>
      </c>
      <c r="AG23" s="521">
        <f t="shared" si="5"/>
        <v>13099.969023568639</v>
      </c>
      <c r="AH23" s="521">
        <f t="shared" si="5"/>
        <v>12931.505249199465</v>
      </c>
      <c r="AI23" s="521">
        <f t="shared" si="5"/>
        <v>13296.622762102608</v>
      </c>
      <c r="AJ23" s="521">
        <f t="shared" si="5"/>
        <v>13467.700253154948</v>
      </c>
      <c r="AK23" s="521">
        <f t="shared" si="5"/>
        <v>13518.415421242176</v>
      </c>
      <c r="AL23" s="521">
        <f t="shared" si="5"/>
        <v>12793.035279849737</v>
      </c>
      <c r="AM23" s="521">
        <f t="shared" si="5"/>
        <v>12148.188834475599</v>
      </c>
      <c r="AN23" s="521">
        <f t="shared" si="5"/>
        <v>11921.692205259902</v>
      </c>
      <c r="AO23" s="521"/>
    </row>
    <row r="24" spans="2:41" ht="12.75" customHeight="1">
      <c r="B24" s="115"/>
      <c r="C24" s="116"/>
      <c r="D24" s="116"/>
      <c r="E24" s="116"/>
      <c r="F24" s="116"/>
      <c r="G24" s="116"/>
      <c r="H24" s="116"/>
      <c r="I24" s="116"/>
      <c r="J24" s="116"/>
      <c r="K24" s="116"/>
      <c r="L24" s="116"/>
      <c r="M24" s="116"/>
      <c r="N24" s="116"/>
      <c r="O24" s="116"/>
      <c r="P24" s="116"/>
      <c r="Q24" s="116"/>
      <c r="R24" s="521"/>
      <c r="S24" s="521"/>
      <c r="T24" s="521"/>
      <c r="U24" s="521"/>
      <c r="V24" s="521"/>
      <c r="W24" s="521"/>
      <c r="X24" s="521"/>
      <c r="Y24" s="521"/>
      <c r="Z24" s="521"/>
      <c r="AA24" s="521"/>
      <c r="AB24" s="521"/>
      <c r="AC24" s="521"/>
      <c r="AD24" s="521"/>
    </row>
    <row r="25" spans="2:41" ht="12.75" customHeight="1">
      <c r="B25" s="111" t="s">
        <v>541</v>
      </c>
      <c r="C25" s="117"/>
      <c r="D25" s="117"/>
      <c r="E25" s="117"/>
      <c r="F25" s="117"/>
      <c r="G25" s="117"/>
      <c r="H25" s="117"/>
      <c r="I25" s="117"/>
      <c r="J25" s="113"/>
      <c r="K25" s="118"/>
      <c r="L25" s="118"/>
      <c r="M25" s="118"/>
      <c r="N25" s="113"/>
      <c r="O25" s="113"/>
      <c r="P25" s="113"/>
      <c r="Q25" s="113"/>
      <c r="R25" s="511"/>
      <c r="S25" s="511"/>
      <c r="T25" s="511"/>
      <c r="U25" s="511"/>
      <c r="V25" s="511"/>
      <c r="W25" s="511"/>
      <c r="X25" s="511"/>
      <c r="Y25" s="511"/>
      <c r="Z25" s="511"/>
      <c r="AA25" s="511"/>
      <c r="AB25" s="511"/>
      <c r="AC25" s="511"/>
      <c r="AD25" s="511"/>
    </row>
    <row r="26" spans="2:41" ht="12.75" customHeight="1" outlineLevel="1">
      <c r="B26" s="198" t="s">
        <v>282</v>
      </c>
      <c r="C26" s="113">
        <v>-209.904</v>
      </c>
      <c r="D26" s="113">
        <v>-130.80000000000001</v>
      </c>
      <c r="E26" s="113">
        <v>-162.69999999999999</v>
      </c>
      <c r="F26" s="113">
        <v>-266.89999999999998</v>
      </c>
      <c r="G26" s="113">
        <v>-387.8</v>
      </c>
      <c r="H26" s="113">
        <v>-407.8</v>
      </c>
      <c r="I26" s="113">
        <v>-304.2</v>
      </c>
      <c r="J26" s="113">
        <v>-437.7</v>
      </c>
      <c r="K26" s="113">
        <v>-441.8</v>
      </c>
      <c r="L26" s="113">
        <v>-658.5</v>
      </c>
      <c r="M26" s="113">
        <v>-1356.8</v>
      </c>
      <c r="N26" s="113">
        <v>-1336</v>
      </c>
      <c r="O26" s="113">
        <v>-867</v>
      </c>
      <c r="P26" s="113">
        <v>-1218</v>
      </c>
      <c r="Q26" s="113">
        <v>-1267</v>
      </c>
      <c r="R26" s="536">
        <v>-672</v>
      </c>
      <c r="S26" s="536">
        <v>-530</v>
      </c>
      <c r="T26" s="536">
        <v>-580</v>
      </c>
      <c r="U26" s="536">
        <v>-567</v>
      </c>
      <c r="V26" s="536">
        <v>-689</v>
      </c>
      <c r="W26" s="536">
        <v>-693</v>
      </c>
      <c r="X26" s="536">
        <v>-718</v>
      </c>
      <c r="Y26" s="536">
        <v>-594</v>
      </c>
      <c r="Z26" s="536">
        <v>-738</v>
      </c>
      <c r="AA26" s="536">
        <f>-664+11</f>
        <v>-653</v>
      </c>
      <c r="AB26" s="511">
        <f>-BS!AB96-BS!AB99</f>
        <v>-678.99419887656029</v>
      </c>
      <c r="AC26" s="511">
        <f>-BS!AC96-BS!AC99</f>
        <v>-674.45194481190083</v>
      </c>
      <c r="AD26" s="511">
        <f>-BS!AD96-BS!AD99</f>
        <v>-681.79799987495994</v>
      </c>
      <c r="AE26" s="103">
        <f>-BS!AE96-BS!AE99</f>
        <v>-677.43444300047122</v>
      </c>
      <c r="AF26" s="103">
        <f>-BS!AF96-BS!AF99</f>
        <v>-702.41270933601356</v>
      </c>
      <c r="AG26" s="103">
        <f>-BS!AG96-BS!AG99</f>
        <v>-737.75142727577929</v>
      </c>
      <c r="AH26" s="103">
        <f>-BS!AH96-BS!AH99</f>
        <v>-759.98143403498671</v>
      </c>
      <c r="AI26" s="103">
        <f>-BS!AI96-BS!AI99</f>
        <v>-771.69547500230112</v>
      </c>
      <c r="AJ26" s="103">
        <f>-BS!AJ96-BS!AJ99</f>
        <v>-767.67441206135823</v>
      </c>
      <c r="AK26" s="103">
        <f>-BS!AK96-BS!AK99</f>
        <v>-1279.0788574492954</v>
      </c>
      <c r="AL26" s="103">
        <f>-BS!AL96-BS!AL99</f>
        <v>-1190.1199468108191</v>
      </c>
      <c r="AM26" s="103">
        <f>-BS!AM96-BS!AM99</f>
        <v>-1371.5141060582921</v>
      </c>
      <c r="AN26" s="103">
        <f>-BS!AN96-BS!AN99</f>
        <v>-2226.9408571665867</v>
      </c>
    </row>
    <row r="27" spans="2:41" ht="12.75" customHeight="1" outlineLevel="1">
      <c r="B27" s="198" t="s">
        <v>283</v>
      </c>
      <c r="C27" s="113">
        <v>0</v>
      </c>
      <c r="D27" s="113">
        <f>87.7+1505.8</f>
        <v>1593.5</v>
      </c>
      <c r="E27" s="113">
        <f>129.6+1018.8</f>
        <v>1148.3999999999999</v>
      </c>
      <c r="F27" s="113">
        <f>762.4+168.3</f>
        <v>930.7</v>
      </c>
      <c r="G27" s="113">
        <f>647.1+244.3</f>
        <v>891.40000000000009</v>
      </c>
      <c r="H27" s="113">
        <f>466.2+20.1</f>
        <v>486.3</v>
      </c>
      <c r="I27" s="113">
        <v>40</v>
      </c>
      <c r="J27" s="113">
        <v>0</v>
      </c>
      <c r="K27" s="113">
        <v>490.3</v>
      </c>
      <c r="L27" s="113">
        <v>778.2</v>
      </c>
      <c r="M27" s="113">
        <v>370.8</v>
      </c>
      <c r="N27" s="113">
        <v>208</v>
      </c>
      <c r="O27" s="113">
        <v>603</v>
      </c>
      <c r="P27" s="113">
        <v>785</v>
      </c>
      <c r="Q27" s="113">
        <v>454</v>
      </c>
      <c r="R27" s="536">
        <v>1018</v>
      </c>
      <c r="S27" s="536">
        <v>1443</v>
      </c>
      <c r="T27" s="536">
        <v>642</v>
      </c>
      <c r="U27" s="536">
        <v>749</v>
      </c>
      <c r="V27" s="536">
        <v>1994</v>
      </c>
      <c r="W27" s="536">
        <v>5090</v>
      </c>
      <c r="X27" s="536">
        <v>4199</v>
      </c>
      <c r="Y27" s="536">
        <v>3527</v>
      </c>
      <c r="Z27" s="536">
        <v>2459</v>
      </c>
      <c r="AA27" s="536">
        <v>6174</v>
      </c>
      <c r="AB27" s="511">
        <v>5000</v>
      </c>
      <c r="AC27" s="511">
        <v>0</v>
      </c>
      <c r="AD27" s="511">
        <f t="shared" ref="AD27:AN27" si="6">AC27*1.05</f>
        <v>0</v>
      </c>
      <c r="AE27" s="5">
        <f t="shared" si="6"/>
        <v>0</v>
      </c>
      <c r="AF27" s="156">
        <f t="shared" si="6"/>
        <v>0</v>
      </c>
      <c r="AG27" s="5">
        <f t="shared" si="6"/>
        <v>0</v>
      </c>
      <c r="AH27" s="5">
        <f t="shared" si="6"/>
        <v>0</v>
      </c>
      <c r="AI27" s="5">
        <f t="shared" si="6"/>
        <v>0</v>
      </c>
      <c r="AJ27" s="5">
        <f t="shared" si="6"/>
        <v>0</v>
      </c>
      <c r="AK27" s="5">
        <f t="shared" si="6"/>
        <v>0</v>
      </c>
      <c r="AL27" s="5">
        <f t="shared" si="6"/>
        <v>0</v>
      </c>
      <c r="AM27" s="5">
        <f t="shared" si="6"/>
        <v>0</v>
      </c>
      <c r="AN27" s="5">
        <f t="shared" si="6"/>
        <v>0</v>
      </c>
    </row>
    <row r="28" spans="2:41" ht="12.75" customHeight="1" outlineLevel="1">
      <c r="B28" s="198" t="s">
        <v>284</v>
      </c>
      <c r="C28" s="113">
        <v>0</v>
      </c>
      <c r="D28" s="113">
        <v>0</v>
      </c>
      <c r="E28" s="113">
        <v>0</v>
      </c>
      <c r="F28" s="113">
        <v>0</v>
      </c>
      <c r="G28" s="113">
        <v>0</v>
      </c>
      <c r="H28" s="113">
        <v>0</v>
      </c>
      <c r="I28" s="113">
        <v>843.5</v>
      </c>
      <c r="J28" s="113">
        <v>1067.8</v>
      </c>
      <c r="K28" s="113">
        <v>301.7</v>
      </c>
      <c r="L28" s="113">
        <v>1621.5</v>
      </c>
      <c r="M28" s="113">
        <v>3338.6</v>
      </c>
      <c r="N28" s="113">
        <v>6606</v>
      </c>
      <c r="O28" s="113">
        <v>9835</v>
      </c>
      <c r="P28" s="113">
        <v>3065</v>
      </c>
      <c r="Q28" s="113">
        <v>5073</v>
      </c>
      <c r="R28" s="536">
        <v>6762</v>
      </c>
      <c r="S28" s="536">
        <v>8252</v>
      </c>
      <c r="T28" s="536">
        <v>10485</v>
      </c>
      <c r="U28" s="536">
        <v>20871</v>
      </c>
      <c r="V28" s="536">
        <v>17372</v>
      </c>
      <c r="W28" s="536">
        <v>19123</v>
      </c>
      <c r="X28" s="536">
        <v>16697</v>
      </c>
      <c r="Y28" s="536">
        <v>18029</v>
      </c>
      <c r="Z28" s="536">
        <v>17958</v>
      </c>
      <c r="AA28" s="536">
        <v>24240</v>
      </c>
      <c r="AB28" s="511">
        <v>0</v>
      </c>
      <c r="AC28" s="511">
        <v>0</v>
      </c>
      <c r="AD28" s="511">
        <v>0</v>
      </c>
      <c r="AE28" s="5">
        <v>0</v>
      </c>
      <c r="AF28" s="156">
        <v>0</v>
      </c>
      <c r="AG28" s="5">
        <v>0</v>
      </c>
      <c r="AH28" s="5">
        <v>0</v>
      </c>
      <c r="AI28" s="5">
        <v>0</v>
      </c>
      <c r="AJ28" s="511">
        <v>5000</v>
      </c>
      <c r="AK28" s="5">
        <v>0</v>
      </c>
      <c r="AL28" s="511">
        <v>10000</v>
      </c>
      <c r="AM28" s="5">
        <v>0</v>
      </c>
      <c r="AN28" s="511">
        <v>5000</v>
      </c>
    </row>
    <row r="29" spans="2:41" ht="12.75" customHeight="1" outlineLevel="1">
      <c r="B29" s="198" t="s">
        <v>285</v>
      </c>
      <c r="C29" s="113">
        <v>-131.31299999999999</v>
      </c>
      <c r="D29" s="113">
        <v>-1395.1</v>
      </c>
      <c r="E29" s="113">
        <v>-1646.6</v>
      </c>
      <c r="F29" s="113">
        <v>-854.8</v>
      </c>
      <c r="G29" s="113">
        <v>-767.5</v>
      </c>
      <c r="H29" s="113">
        <v>-766.3</v>
      </c>
      <c r="I29" s="113">
        <v>-1032.7</v>
      </c>
      <c r="J29" s="113">
        <v>-1638.7</v>
      </c>
      <c r="K29" s="113">
        <v>-918.2</v>
      </c>
      <c r="L29" s="113">
        <v>-2952.8</v>
      </c>
      <c r="M29" s="113">
        <v>-5320.3</v>
      </c>
      <c r="N29" s="113">
        <v>-6869</v>
      </c>
      <c r="O29" s="113">
        <v>-9597</v>
      </c>
      <c r="P29" s="113">
        <v>-5386</v>
      </c>
      <c r="Q29" s="113">
        <v>-5579</v>
      </c>
      <c r="R29" s="536">
        <v>-10345</v>
      </c>
      <c r="S29" s="536">
        <f>-12418</f>
        <v>-12418</v>
      </c>
      <c r="T29" s="536">
        <v>-14602</v>
      </c>
      <c r="U29" s="536">
        <v>-21183</v>
      </c>
      <c r="V29" s="536">
        <v>-26241</v>
      </c>
      <c r="W29" s="536">
        <v>-21965</v>
      </c>
      <c r="X29" s="536">
        <v>-25878</v>
      </c>
      <c r="Y29" s="536">
        <v>-25977</v>
      </c>
      <c r="Z29" s="536">
        <v>-28094</v>
      </c>
      <c r="AA29" s="536">
        <v>-33607</v>
      </c>
      <c r="AB29" s="511">
        <v>0</v>
      </c>
      <c r="AC29" s="511">
        <v>0</v>
      </c>
      <c r="AD29" s="511">
        <v>0</v>
      </c>
      <c r="AE29" s="5">
        <v>0</v>
      </c>
      <c r="AF29" s="156">
        <v>0</v>
      </c>
      <c r="AG29" s="5">
        <v>0</v>
      </c>
      <c r="AH29" s="5">
        <v>0</v>
      </c>
      <c r="AI29" s="5">
        <v>0</v>
      </c>
      <c r="AJ29" s="5">
        <v>0</v>
      </c>
      <c r="AK29" s="5">
        <v>0</v>
      </c>
      <c r="AL29" s="5">
        <v>0</v>
      </c>
      <c r="AM29" s="5">
        <v>0</v>
      </c>
      <c r="AN29" s="5">
        <v>0</v>
      </c>
    </row>
    <row r="30" spans="2:41" ht="12.75" customHeight="1" outlineLevel="1">
      <c r="B30" s="198" t="s">
        <v>286</v>
      </c>
      <c r="C30" s="113">
        <v>0</v>
      </c>
      <c r="D30" s="113">
        <v>-240.8</v>
      </c>
      <c r="E30" s="113">
        <v>0</v>
      </c>
      <c r="F30" s="113">
        <v>0</v>
      </c>
      <c r="G30" s="113">
        <v>0</v>
      </c>
      <c r="H30" s="113">
        <v>0</v>
      </c>
      <c r="I30" s="113">
        <v>0</v>
      </c>
      <c r="J30" s="113">
        <v>0</v>
      </c>
      <c r="K30" s="113">
        <v>0</v>
      </c>
      <c r="L30" s="113">
        <f>-1899+389.9</f>
        <v>-1509.1</v>
      </c>
      <c r="M30" s="113">
        <v>0</v>
      </c>
      <c r="N30" s="113">
        <v>115</v>
      </c>
      <c r="O30" s="113">
        <v>0</v>
      </c>
      <c r="P30" s="113">
        <v>-2167</v>
      </c>
      <c r="Q30" s="113">
        <v>-697</v>
      </c>
      <c r="R30" s="536">
        <v>-56</v>
      </c>
      <c r="S30" s="536">
        <v>0</v>
      </c>
      <c r="T30" s="536">
        <v>0</v>
      </c>
      <c r="U30" s="536">
        <v>-701</v>
      </c>
      <c r="V30" s="536">
        <v>-2390</v>
      </c>
      <c r="W30" s="536">
        <v>-9434</v>
      </c>
      <c r="X30" s="536">
        <v>-165</v>
      </c>
      <c r="Y30" s="536">
        <v>-359</v>
      </c>
      <c r="Z30" s="536">
        <v>0</v>
      </c>
      <c r="AA30" s="536">
        <v>-19</v>
      </c>
      <c r="AB30" s="511">
        <f>-BS!AB142</f>
        <v>0</v>
      </c>
      <c r="AC30" s="511">
        <f>-BS!AC142</f>
        <v>0</v>
      </c>
      <c r="AD30" s="511">
        <f>-BS!AD142</f>
        <v>0</v>
      </c>
      <c r="AE30" s="5">
        <f>-BS!AE142</f>
        <v>0</v>
      </c>
      <c r="AF30" s="156">
        <f>-BS!AF142</f>
        <v>0</v>
      </c>
      <c r="AG30" s="5">
        <f>-BS!AG142</f>
        <v>0</v>
      </c>
      <c r="AH30" s="5">
        <f>-BS!AH142</f>
        <v>0</v>
      </c>
      <c r="AI30" s="5">
        <f>-BS!AI142</f>
        <v>0</v>
      </c>
      <c r="AJ30" s="5">
        <f>-BS!AJ142</f>
        <v>0</v>
      </c>
      <c r="AK30" s="5">
        <f>-BS!AK142</f>
        <v>0</v>
      </c>
      <c r="AL30" s="5">
        <f>-BS!AL142</f>
        <v>0</v>
      </c>
      <c r="AM30" s="5">
        <f>-BS!AM142</f>
        <v>0</v>
      </c>
      <c r="AN30" s="5">
        <f>-BS!AN142</f>
        <v>0</v>
      </c>
    </row>
    <row r="31" spans="2:41" ht="12.75" customHeight="1" outlineLevel="1">
      <c r="B31" s="198" t="s">
        <v>107</v>
      </c>
      <c r="C31" s="113">
        <f>-22.37+0.673-27.032</f>
        <v>-48.728999999999999</v>
      </c>
      <c r="D31" s="113">
        <f>4-21.8</f>
        <v>-17.8</v>
      </c>
      <c r="E31" s="113">
        <f>-13.7-19.5</f>
        <v>-33.200000000000003</v>
      </c>
      <c r="F31" s="113">
        <f>-104.6-14.6</f>
        <v>-119.19999999999999</v>
      </c>
      <c r="G31" s="113">
        <f>-35-3.3</f>
        <v>-38.299999999999997</v>
      </c>
      <c r="H31" s="113">
        <v>14.1</v>
      </c>
      <c r="I31" s="113">
        <v>-10.1</v>
      </c>
      <c r="J31" s="113">
        <v>-27.7</v>
      </c>
      <c r="K31" s="113">
        <v>28.4</v>
      </c>
      <c r="L31" s="113">
        <f>-5.6-137.5</f>
        <v>-143.1</v>
      </c>
      <c r="M31" s="113">
        <v>-242.5</v>
      </c>
      <c r="N31" s="113">
        <v>-123</v>
      </c>
      <c r="O31" s="113">
        <v>-33</v>
      </c>
      <c r="P31" s="113">
        <v>-210</v>
      </c>
      <c r="Q31" s="113">
        <v>24</v>
      </c>
      <c r="R31" s="536">
        <v>128</v>
      </c>
      <c r="S31" s="536">
        <v>51</v>
      </c>
      <c r="T31" s="536">
        <v>-97</v>
      </c>
      <c r="U31" s="536">
        <v>45</v>
      </c>
      <c r="V31" s="536">
        <v>-36</v>
      </c>
      <c r="W31" s="536">
        <v>-590</v>
      </c>
      <c r="X31" s="536">
        <f>533-135-285</f>
        <v>113</v>
      </c>
      <c r="Y31" s="536">
        <f>-55+274-392</f>
        <v>-173</v>
      </c>
      <c r="Z31" s="536">
        <f>-99+78-222</f>
        <v>-243</v>
      </c>
      <c r="AA31" s="536">
        <v>-159</v>
      </c>
      <c r="AB31" s="511">
        <v>0</v>
      </c>
      <c r="AC31" s="511">
        <v>0</v>
      </c>
      <c r="AD31" s="511">
        <v>0</v>
      </c>
      <c r="AE31" s="5">
        <v>0</v>
      </c>
      <c r="AF31" s="156">
        <v>0</v>
      </c>
      <c r="AG31" s="5">
        <v>0</v>
      </c>
      <c r="AH31" s="5">
        <v>0</v>
      </c>
      <c r="AI31" s="5">
        <v>0</v>
      </c>
      <c r="AJ31" s="5">
        <v>0</v>
      </c>
      <c r="AK31" s="5">
        <v>0</v>
      </c>
      <c r="AL31" s="5">
        <v>0</v>
      </c>
      <c r="AM31" s="5">
        <v>0</v>
      </c>
      <c r="AN31" s="5">
        <v>0</v>
      </c>
    </row>
    <row r="32" spans="2:41" ht="12.75" customHeight="1" outlineLevel="1">
      <c r="B32" s="115" t="s">
        <v>287</v>
      </c>
      <c r="C32" s="116">
        <f t="shared" ref="C32:Z32" si="7">SUM(C26:C31)</f>
        <v>-389.94599999999997</v>
      </c>
      <c r="D32" s="116">
        <f t="shared" si="7"/>
        <v>-190.99999999999989</v>
      </c>
      <c r="E32" s="116">
        <f t="shared" si="7"/>
        <v>-694.10000000000014</v>
      </c>
      <c r="F32" s="116">
        <f t="shared" si="7"/>
        <v>-310.19999999999987</v>
      </c>
      <c r="G32" s="116">
        <f t="shared" si="7"/>
        <v>-302.19999999999993</v>
      </c>
      <c r="H32" s="116">
        <f t="shared" si="7"/>
        <v>-673.69999999999993</v>
      </c>
      <c r="I32" s="116">
        <f t="shared" si="7"/>
        <v>-463.50000000000011</v>
      </c>
      <c r="J32" s="116">
        <f t="shared" si="7"/>
        <v>-1036.3000000000002</v>
      </c>
      <c r="K32" s="542">
        <f t="shared" si="7"/>
        <v>-539.6</v>
      </c>
      <c r="L32" s="542">
        <f t="shared" si="7"/>
        <v>-2863.7999999999997</v>
      </c>
      <c r="M32" s="542">
        <f t="shared" si="7"/>
        <v>-3210.2000000000003</v>
      </c>
      <c r="N32" s="116">
        <f t="shared" si="7"/>
        <v>-1399</v>
      </c>
      <c r="O32" s="116">
        <f t="shared" si="7"/>
        <v>-59</v>
      </c>
      <c r="P32" s="116">
        <f t="shared" si="7"/>
        <v>-5131</v>
      </c>
      <c r="Q32" s="116">
        <f t="shared" si="7"/>
        <v>-1992</v>
      </c>
      <c r="R32" s="521">
        <f t="shared" si="7"/>
        <v>-3165</v>
      </c>
      <c r="S32" s="521">
        <f t="shared" si="7"/>
        <v>-3202</v>
      </c>
      <c r="T32" s="521">
        <f t="shared" si="7"/>
        <v>-4152</v>
      </c>
      <c r="U32" s="521">
        <f t="shared" si="7"/>
        <v>-786</v>
      </c>
      <c r="V32" s="521">
        <f t="shared" si="7"/>
        <v>-9990</v>
      </c>
      <c r="W32" s="521">
        <f t="shared" si="7"/>
        <v>-8469</v>
      </c>
      <c r="X32" s="521">
        <f>SUM(X26:X31)</f>
        <v>-5752</v>
      </c>
      <c r="Y32" s="521">
        <f t="shared" si="7"/>
        <v>-5547</v>
      </c>
      <c r="Z32" s="521">
        <f t="shared" si="7"/>
        <v>-8658</v>
      </c>
      <c r="AA32" s="521">
        <f>SUM(AA26:AA31)</f>
        <v>-4024</v>
      </c>
      <c r="AB32" s="521">
        <f>SUM(AB26:AB31)</f>
        <v>4321.0058011234396</v>
      </c>
      <c r="AC32" s="521">
        <f>SUM(AC26:AC31)</f>
        <v>-674.45194481190083</v>
      </c>
      <c r="AD32" s="521">
        <f>SUM(AD26:AD31)</f>
        <v>-681.79799987495994</v>
      </c>
      <c r="AE32" s="521">
        <f t="shared" ref="AE32:AN32" si="8">SUM(AE26:AE31)</f>
        <v>-677.43444300047122</v>
      </c>
      <c r="AF32" s="521">
        <f t="shared" si="8"/>
        <v>-702.41270933601356</v>
      </c>
      <c r="AG32" s="521">
        <f t="shared" si="8"/>
        <v>-737.75142727577929</v>
      </c>
      <c r="AH32" s="521">
        <f t="shared" si="8"/>
        <v>-759.98143403498671</v>
      </c>
      <c r="AI32" s="521">
        <f t="shared" si="8"/>
        <v>-771.69547500230112</v>
      </c>
      <c r="AJ32" s="521">
        <f t="shared" si="8"/>
        <v>4232.3255879386415</v>
      </c>
      <c r="AK32" s="521">
        <f t="shared" si="8"/>
        <v>-1279.0788574492954</v>
      </c>
      <c r="AL32" s="521">
        <f t="shared" si="8"/>
        <v>8809.8800531891811</v>
      </c>
      <c r="AM32" s="521">
        <f t="shared" si="8"/>
        <v>-1371.5141060582921</v>
      </c>
      <c r="AN32" s="521">
        <f t="shared" si="8"/>
        <v>2773.0591428334133</v>
      </c>
      <c r="AO32" s="521"/>
    </row>
    <row r="33" spans="2:41" ht="12.75" customHeight="1">
      <c r="B33" s="115"/>
      <c r="C33" s="116"/>
      <c r="D33" s="116"/>
      <c r="E33" s="116"/>
      <c r="F33" s="116"/>
      <c r="G33" s="116"/>
      <c r="H33" s="116"/>
      <c r="I33" s="116"/>
      <c r="J33" s="116"/>
      <c r="K33" s="116"/>
      <c r="L33" s="116"/>
      <c r="M33" s="116"/>
      <c r="N33" s="116"/>
      <c r="O33" s="116"/>
      <c r="P33" s="116"/>
      <c r="Q33" s="116"/>
      <c r="R33" s="521"/>
      <c r="S33" s="521"/>
      <c r="T33" s="521"/>
      <c r="U33" s="521"/>
      <c r="V33" s="521"/>
      <c r="W33" s="521"/>
      <c r="X33" s="521"/>
      <c r="Y33" s="521"/>
      <c r="Z33" s="521"/>
      <c r="AA33" s="521"/>
      <c r="AB33" s="511"/>
      <c r="AC33" s="511"/>
      <c r="AD33" s="511"/>
    </row>
    <row r="34" spans="2:41" ht="12.75" customHeight="1">
      <c r="B34" s="111" t="s">
        <v>542</v>
      </c>
      <c r="C34" s="117"/>
      <c r="D34" s="117"/>
      <c r="E34" s="117"/>
      <c r="F34" s="117"/>
      <c r="G34" s="117"/>
      <c r="H34" s="117"/>
      <c r="I34" s="117"/>
      <c r="J34" s="113"/>
      <c r="K34" s="113"/>
      <c r="L34" s="113"/>
      <c r="M34" s="113"/>
      <c r="N34" s="113"/>
      <c r="O34" s="113"/>
      <c r="P34" s="113"/>
      <c r="Q34" s="113"/>
      <c r="R34" s="511"/>
      <c r="S34" s="511"/>
      <c r="T34" s="511"/>
      <c r="U34" s="511"/>
      <c r="V34" s="511"/>
      <c r="W34" s="511"/>
      <c r="X34" s="511"/>
      <c r="Y34" s="511"/>
      <c r="Z34" s="511"/>
      <c r="AA34" s="511"/>
      <c r="AB34" s="511"/>
      <c r="AC34" s="511"/>
      <c r="AD34" s="511"/>
    </row>
    <row r="35" spans="2:41" ht="12.75" customHeight="1" outlineLevel="1">
      <c r="B35" s="198" t="s">
        <v>288</v>
      </c>
      <c r="C35" s="113"/>
      <c r="D35" s="113"/>
      <c r="E35" s="113"/>
      <c r="F35" s="113"/>
      <c r="G35" s="113"/>
      <c r="H35" s="113"/>
      <c r="I35" s="113"/>
      <c r="J35" s="113"/>
      <c r="K35" s="113"/>
      <c r="L35" s="113"/>
      <c r="M35" s="113"/>
      <c r="N35" s="113"/>
      <c r="O35" s="113"/>
      <c r="P35" s="113"/>
      <c r="Q35" s="113"/>
      <c r="R35" s="511"/>
      <c r="S35" s="511"/>
      <c r="T35" s="511"/>
      <c r="U35" s="511"/>
      <c r="V35" s="511"/>
      <c r="W35" s="511"/>
      <c r="X35" s="511"/>
      <c r="Y35" s="511"/>
      <c r="Z35" s="511"/>
      <c r="AA35" s="511"/>
      <c r="AB35" s="511"/>
      <c r="AC35" s="511"/>
      <c r="AD35" s="511"/>
    </row>
    <row r="36" spans="2:41" ht="12.75" customHeight="1" outlineLevel="1">
      <c r="B36" s="198" t="s">
        <v>289</v>
      </c>
      <c r="C36" s="113">
        <f>21.454+5.913</f>
        <v>27.367000000000001</v>
      </c>
      <c r="D36" s="113">
        <f>44.5+15.3</f>
        <v>59.8</v>
      </c>
      <c r="E36" s="113">
        <f>102.7</f>
        <v>102.7</v>
      </c>
      <c r="F36" s="113">
        <v>113.5</v>
      </c>
      <c r="G36" s="113">
        <v>134.30000000000001</v>
      </c>
      <c r="H36" s="113">
        <v>345.5</v>
      </c>
      <c r="I36" s="113">
        <v>248.8</v>
      </c>
      <c r="J36" s="113">
        <v>333.7</v>
      </c>
      <c r="K36" s="113">
        <v>277.7</v>
      </c>
      <c r="L36" s="113">
        <v>427.8</v>
      </c>
      <c r="M36" s="113">
        <v>529</v>
      </c>
      <c r="N36" s="113">
        <v>453</v>
      </c>
      <c r="O36" s="113">
        <v>1087</v>
      </c>
      <c r="P36" s="113">
        <v>528</v>
      </c>
      <c r="Q36" s="113">
        <v>277</v>
      </c>
      <c r="R36" s="536">
        <v>155</v>
      </c>
      <c r="S36" s="536">
        <v>171</v>
      </c>
      <c r="T36" s="536">
        <v>80</v>
      </c>
      <c r="U36" s="536">
        <v>242</v>
      </c>
      <c r="V36" s="536">
        <v>1288</v>
      </c>
      <c r="W36" s="536">
        <v>296</v>
      </c>
      <c r="X36" s="536">
        <v>186</v>
      </c>
      <c r="Y36" s="536">
        <v>82</v>
      </c>
      <c r="Z36" s="536">
        <v>55</v>
      </c>
      <c r="AA36" s="536">
        <v>0</v>
      </c>
      <c r="AB36" s="511">
        <f>CF!AB74</f>
        <v>86.146199999999979</v>
      </c>
      <c r="AC36" s="511">
        <f>CF!AC74</f>
        <v>57.207329346774188</v>
      </c>
      <c r="AD36" s="511">
        <f>CF!AD74</f>
        <v>37.989818831129995</v>
      </c>
      <c r="AE36" s="511">
        <f>CF!AE74</f>
        <v>25.227997029430643</v>
      </c>
      <c r="AF36" s="511">
        <f>CF!AF74</f>
        <v>16.75322109184247</v>
      </c>
      <c r="AG36" s="511">
        <f>CF!AG74</f>
        <v>11.125354764578775</v>
      </c>
      <c r="AH36" s="511">
        <f>CF!AH74</f>
        <v>7.388043049106769</v>
      </c>
      <c r="AI36" s="511">
        <f>CF!AI74</f>
        <v>4.9061968135378784</v>
      </c>
      <c r="AJ36" s="511">
        <f>CF!AJ74</f>
        <v>3.2580707791191661</v>
      </c>
      <c r="AK36" s="511">
        <f>CF!AK74</f>
        <v>2.1635954702142559</v>
      </c>
      <c r="AL36" s="511">
        <f>CF!AL74</f>
        <v>1.436784427377362</v>
      </c>
      <c r="AM36" s="511">
        <f>CF!AM74</f>
        <v>0.95412914251926495</v>
      </c>
      <c r="AN36" s="511">
        <f>CF!AN74</f>
        <v>0.6336110019415232</v>
      </c>
    </row>
    <row r="37" spans="2:41" ht="12.75" customHeight="1" outlineLevel="1">
      <c r="B37" s="198" t="s">
        <v>290</v>
      </c>
      <c r="C37" s="113">
        <v>-207.45400000000001</v>
      </c>
      <c r="D37" s="113">
        <v>-300.5</v>
      </c>
      <c r="E37" s="113">
        <v>-285.7</v>
      </c>
      <c r="F37" s="113">
        <v>-450</v>
      </c>
      <c r="G37" s="113">
        <v>-737.9</v>
      </c>
      <c r="H37" s="113">
        <v>-912.1</v>
      </c>
      <c r="I37" s="113">
        <v>-1024.7</v>
      </c>
      <c r="J37" s="113">
        <v>-799.9</v>
      </c>
      <c r="K37" s="113">
        <v>-737.5</v>
      </c>
      <c r="L37" s="113">
        <v>-1420.4</v>
      </c>
      <c r="M37" s="113">
        <v>-1801</v>
      </c>
      <c r="N37" s="113">
        <v>-4072</v>
      </c>
      <c r="O37" s="113">
        <v>-4430</v>
      </c>
      <c r="P37" s="113">
        <f>-2000</f>
        <v>-2000</v>
      </c>
      <c r="Q37" s="113">
        <v>-5100</v>
      </c>
      <c r="R37" s="536">
        <v>-2268</v>
      </c>
      <c r="S37" s="536">
        <v>-3208</v>
      </c>
      <c r="T37" s="536">
        <v>-3786</v>
      </c>
      <c r="U37" s="536">
        <v>-8315</v>
      </c>
      <c r="V37" s="536">
        <v>-4607</v>
      </c>
      <c r="W37" s="536">
        <v>-832</v>
      </c>
      <c r="X37" s="536">
        <v>-138</v>
      </c>
      <c r="Y37" s="536">
        <v>-1867</v>
      </c>
      <c r="Z37" s="536">
        <v>-2965</v>
      </c>
      <c r="AA37" s="536">
        <v>-3160</v>
      </c>
      <c r="AB37" s="511">
        <f>-CF!AB82</f>
        <v>-14383.758824366532</v>
      </c>
      <c r="AC37" s="511">
        <f>-CF!AC82</f>
        <v>-2899.2263880363789</v>
      </c>
      <c r="AD37" s="511">
        <f>-CF!AD82</f>
        <v>-4155.5578228521435</v>
      </c>
      <c r="AE37" s="511">
        <f>-CF!AE82</f>
        <v>-4467.2246595660536</v>
      </c>
      <c r="AF37" s="511">
        <f>-CF!AF82</f>
        <v>-4562.1531835818323</v>
      </c>
      <c r="AG37" s="511">
        <f>-CF!AG82</f>
        <v>-4646.1928474899187</v>
      </c>
      <c r="AH37" s="511">
        <f>-CF!AH82</f>
        <v>-4717.1763493265698</v>
      </c>
      <c r="AI37" s="511">
        <f>-CF!AI82</f>
        <v>-4772.6725416715881</v>
      </c>
      <c r="AJ37" s="511">
        <f>-CF!AJ82</f>
        <v>-4809.9590459033971</v>
      </c>
      <c r="AK37" s="511">
        <f>-CF!AK82</f>
        <v>-3447.1373162307682</v>
      </c>
      <c r="AL37" s="511">
        <f>-CF!AL82</f>
        <v>-3705.6726149480755</v>
      </c>
      <c r="AM37" s="511">
        <f>-CF!AM82</f>
        <v>-3983.5980610691809</v>
      </c>
      <c r="AN37" s="511">
        <f>-CF!AN82</f>
        <v>-4282.367915649369</v>
      </c>
    </row>
    <row r="38" spans="2:41" ht="12.75" customHeight="1" outlineLevel="1">
      <c r="B38" s="128" t="s">
        <v>291</v>
      </c>
      <c r="C38" s="113">
        <v>0</v>
      </c>
      <c r="D38" s="113">
        <v>0</v>
      </c>
      <c r="E38" s="113">
        <v>0</v>
      </c>
      <c r="F38" s="113">
        <v>0</v>
      </c>
      <c r="G38" s="113">
        <v>0</v>
      </c>
      <c r="H38" s="113">
        <v>0</v>
      </c>
      <c r="I38" s="113">
        <v>0</v>
      </c>
      <c r="J38" s="113">
        <v>0</v>
      </c>
      <c r="K38" s="113">
        <v>0</v>
      </c>
      <c r="L38" s="113">
        <v>0</v>
      </c>
      <c r="M38" s="113">
        <v>0</v>
      </c>
      <c r="N38" s="113">
        <v>0</v>
      </c>
      <c r="O38" s="113">
        <v>0</v>
      </c>
      <c r="P38" s="113">
        <v>0</v>
      </c>
      <c r="Q38" s="113">
        <v>0</v>
      </c>
      <c r="R38" s="536">
        <v>0</v>
      </c>
      <c r="S38" s="536">
        <v>0</v>
      </c>
      <c r="T38" s="536">
        <v>0</v>
      </c>
      <c r="U38" s="536">
        <v>-500</v>
      </c>
      <c r="V38" s="536">
        <v>-1118</v>
      </c>
      <c r="W38" s="536">
        <v>-1415</v>
      </c>
      <c r="X38" s="536">
        <v>-1851</v>
      </c>
      <c r="Y38" s="536">
        <v>-2396</v>
      </c>
      <c r="Z38" s="536">
        <v>-2998</v>
      </c>
      <c r="AA38" s="536">
        <v>-3365</v>
      </c>
      <c r="AB38" s="511">
        <f>-IS!CR134*IS!CR86</f>
        <v>-3458.2471344175124</v>
      </c>
      <c r="AC38" s="511">
        <f>-IS!CW134*IS!CW86</f>
        <v>-3536.419425843384</v>
      </c>
      <c r="AD38" s="511">
        <f>-IS!DB134*IS!DB86</f>
        <v>-3698.4649629605124</v>
      </c>
      <c r="AE38" s="511">
        <f>-IS!DG134*IS!DG86</f>
        <v>-3819.958622980786</v>
      </c>
      <c r="AF38" s="511">
        <f>-IS!DL134*IS!DL86</f>
        <v>-4200.9133624615442</v>
      </c>
      <c r="AG38" s="511">
        <f>-IS!DQ134*IS!DQ86</f>
        <v>-4607.9508341359842</v>
      </c>
      <c r="AH38" s="511">
        <f>-IS!DV134*IS!DV86</f>
        <v>-4971.4673045970303</v>
      </c>
      <c r="AI38" s="511">
        <f>-IS!EA134*IS!EA86</f>
        <v>-5222.9481378053933</v>
      </c>
      <c r="AJ38" s="511">
        <f>-IS!EF134*IS!EF86</f>
        <v>-5309.2070506677201</v>
      </c>
      <c r="AK38" s="511">
        <f>-IS!EK134*IS!EK86</f>
        <v>-5309.976669483668</v>
      </c>
      <c r="AL38" s="511">
        <f>-IS!EP134*IS!EP86</f>
        <v>-4766.0557531999129</v>
      </c>
      <c r="AM38" s="511">
        <f>-IS!EU134*IS!EU86</f>
        <v>-4555.4601575676943</v>
      </c>
      <c r="AN38" s="511">
        <f>-IS!EZ134*IS!EZ86</f>
        <v>-4423.6570267141606</v>
      </c>
    </row>
    <row r="39" spans="2:41" ht="12.75" customHeight="1" outlineLevel="1">
      <c r="B39" s="128" t="s">
        <v>268</v>
      </c>
      <c r="C39" s="113">
        <v>34.835000000000001</v>
      </c>
      <c r="D39" s="113">
        <v>23</v>
      </c>
      <c r="E39" s="113">
        <v>42.8</v>
      </c>
      <c r="F39" s="113">
        <v>48.6</v>
      </c>
      <c r="G39" s="113">
        <v>54.7</v>
      </c>
      <c r="H39" s="113">
        <v>108.2</v>
      </c>
      <c r="I39" s="113">
        <v>0</v>
      </c>
      <c r="J39" s="113">
        <v>0</v>
      </c>
      <c r="K39" s="113">
        <v>0</v>
      </c>
      <c r="L39" s="113">
        <v>0</v>
      </c>
      <c r="M39" s="113">
        <v>0</v>
      </c>
      <c r="N39" s="113">
        <v>0</v>
      </c>
      <c r="O39" s="113">
        <v>0</v>
      </c>
      <c r="P39" s="113">
        <v>0</v>
      </c>
      <c r="Q39" s="113">
        <v>0</v>
      </c>
      <c r="R39" s="536">
        <v>0</v>
      </c>
      <c r="S39" s="536">
        <v>0</v>
      </c>
      <c r="T39" s="536">
        <v>0</v>
      </c>
      <c r="U39" s="536">
        <v>0</v>
      </c>
      <c r="V39" s="536">
        <v>0</v>
      </c>
      <c r="W39" s="536">
        <v>0</v>
      </c>
      <c r="X39" s="536">
        <v>0</v>
      </c>
      <c r="Y39" s="536">
        <v>0</v>
      </c>
      <c r="Z39" s="536">
        <v>0</v>
      </c>
      <c r="AA39" s="536">
        <v>0</v>
      </c>
      <c r="AB39" s="511">
        <f>+CF!AB75</f>
        <v>23.337069973666811</v>
      </c>
      <c r="AC39" s="511">
        <f>+CF!AC75</f>
        <v>15.942781593474773</v>
      </c>
      <c r="AD39" s="511">
        <f>+CF!AD75</f>
        <v>10.58716411544097</v>
      </c>
      <c r="AE39" s="511">
        <f>+CF!AE75</f>
        <v>7.0306453958547319</v>
      </c>
      <c r="AF39" s="511">
        <f>+CF!AF75</f>
        <v>4.6688588316262738</v>
      </c>
      <c r="AG39" s="511">
        <f>+CF!AG75</f>
        <v>3.1004611329860126</v>
      </c>
      <c r="AH39" s="511">
        <f>+CF!AH75</f>
        <v>2.0589312257720418</v>
      </c>
      <c r="AI39" s="511">
        <f>+CF!AI75</f>
        <v>1.3672797724693448</v>
      </c>
      <c r="AJ39" s="511">
        <f>+CF!AJ75</f>
        <v>0.90797300696764693</v>
      </c>
      <c r="AK39" s="511">
        <f>+CF!AK75</f>
        <v>0.60295997789315237</v>
      </c>
      <c r="AL39" s="511">
        <f>+CF!AL75</f>
        <v>0.40040918854525503</v>
      </c>
      <c r="AM39" s="511">
        <f>+CF!AM75</f>
        <v>0.26590076315128247</v>
      </c>
      <c r="AN39" s="511">
        <f>+CF!AN75</f>
        <v>0.17657740598138996</v>
      </c>
    </row>
    <row r="40" spans="2:41" ht="12.75" customHeight="1" outlineLevel="1">
      <c r="B40" s="128" t="s">
        <v>292</v>
      </c>
      <c r="C40" s="113">
        <v>109.767</v>
      </c>
      <c r="D40" s="113">
        <v>-10.1</v>
      </c>
      <c r="E40" s="113">
        <v>-30</v>
      </c>
      <c r="F40" s="113">
        <v>-69.7</v>
      </c>
      <c r="G40" s="113">
        <v>0</v>
      </c>
      <c r="H40" s="113">
        <v>99.7</v>
      </c>
      <c r="I40" s="113">
        <v>-0.2</v>
      </c>
      <c r="J40" s="113">
        <v>0</v>
      </c>
      <c r="K40" s="113">
        <v>0</v>
      </c>
      <c r="L40" s="113">
        <v>0</v>
      </c>
      <c r="M40" s="113">
        <v>0</v>
      </c>
      <c r="N40" s="113">
        <v>0</v>
      </c>
      <c r="O40" s="113">
        <v>0</v>
      </c>
      <c r="P40" s="113">
        <v>439</v>
      </c>
      <c r="Q40" s="113">
        <v>0</v>
      </c>
      <c r="R40" s="536">
        <v>0</v>
      </c>
      <c r="S40" s="536">
        <v>0</v>
      </c>
      <c r="T40" s="536">
        <v>0</v>
      </c>
      <c r="U40" s="536">
        <f>762-762</f>
        <v>0</v>
      </c>
      <c r="V40" s="536">
        <v>0</v>
      </c>
      <c r="W40" s="536">
        <v>0</v>
      </c>
      <c r="X40" s="536">
        <v>0</v>
      </c>
      <c r="Y40" s="536">
        <v>0</v>
      </c>
      <c r="Z40" s="536">
        <v>0</v>
      </c>
      <c r="AA40" s="511">
        <v>0</v>
      </c>
      <c r="AB40" s="511">
        <v>0</v>
      </c>
      <c r="AC40" s="511">
        <v>0</v>
      </c>
      <c r="AD40" s="511">
        <v>0</v>
      </c>
      <c r="AE40" s="511">
        <v>0</v>
      </c>
      <c r="AF40" s="511">
        <v>0</v>
      </c>
      <c r="AG40" s="511">
        <v>0</v>
      </c>
      <c r="AH40" s="511">
        <v>0</v>
      </c>
      <c r="AI40" s="511">
        <v>0</v>
      </c>
      <c r="AJ40" s="511">
        <v>0</v>
      </c>
      <c r="AK40" s="511">
        <v>0</v>
      </c>
      <c r="AL40" s="511">
        <v>0</v>
      </c>
      <c r="AM40" s="511">
        <v>0</v>
      </c>
      <c r="AN40" s="511">
        <v>0</v>
      </c>
    </row>
    <row r="41" spans="2:41" ht="12.75" customHeight="1" outlineLevel="1">
      <c r="B41" s="128" t="s">
        <v>293</v>
      </c>
      <c r="C41" s="113">
        <v>53.054000000000002</v>
      </c>
      <c r="D41" s="113">
        <v>12.5</v>
      </c>
      <c r="E41" s="113">
        <v>0</v>
      </c>
      <c r="F41" s="113">
        <v>0</v>
      </c>
      <c r="G41" s="113">
        <v>200</v>
      </c>
      <c r="H41" s="113">
        <v>0</v>
      </c>
      <c r="I41" s="113">
        <v>0</v>
      </c>
      <c r="J41" s="113">
        <v>0</v>
      </c>
      <c r="K41" s="113">
        <v>0</v>
      </c>
      <c r="L41" s="113">
        <v>0</v>
      </c>
      <c r="M41" s="113">
        <v>0</v>
      </c>
      <c r="N41" s="113">
        <v>1989</v>
      </c>
      <c r="O41" s="113">
        <v>0</v>
      </c>
      <c r="P41" s="113">
        <v>0</v>
      </c>
      <c r="Q41" s="113">
        <v>3982</v>
      </c>
      <c r="R41" s="536">
        <v>991</v>
      </c>
      <c r="S41" s="536">
        <v>1980</v>
      </c>
      <c r="T41" s="536">
        <v>2471</v>
      </c>
      <c r="U41" s="536">
        <v>10387</v>
      </c>
      <c r="V41" s="536">
        <v>4933</v>
      </c>
      <c r="W41" s="536">
        <v>8054</v>
      </c>
      <c r="X41" s="536">
        <v>4476</v>
      </c>
      <c r="Y41" s="536">
        <v>3465</v>
      </c>
      <c r="Z41" s="536">
        <v>7318</v>
      </c>
      <c r="AA41" s="536">
        <v>4476</v>
      </c>
      <c r="AB41" s="511">
        <f>IF(SUM(Debt!AC80:AC133)&gt;0,SUM(Debt!AC80:AC133),0)</f>
        <v>0</v>
      </c>
      <c r="AC41" s="511">
        <f>IF(SUM(Debt!AD80:AD133)&gt;0,SUM(Debt!AD80:AD133),0)</f>
        <v>0</v>
      </c>
      <c r="AD41" s="511">
        <f>IF(SUM(Debt!AE80:AE133)&gt;0,SUM(Debt!AE80:AE133),0)</f>
        <v>0</v>
      </c>
      <c r="AE41" s="511">
        <f>IF(SUM(Debt!AF80:AF133)&gt;0,SUM(Debt!AF80:AF133),0)</f>
        <v>0</v>
      </c>
      <c r="AF41" s="511">
        <f>IF(SUM(Debt!AG80:AG133)&gt;0,SUM(Debt!AG80:AG133),0)</f>
        <v>0</v>
      </c>
      <c r="AG41" s="511">
        <f>IF(SUM(Debt!AH80:AH133)&gt;0,SUM(Debt!AH80:AH133),0)</f>
        <v>0</v>
      </c>
      <c r="AH41" s="511">
        <f>IF(SUM(Debt!AI80:AI133)&gt;0,SUM(Debt!AI80:AI133),0)</f>
        <v>0</v>
      </c>
      <c r="AI41" s="511">
        <f>IF(SUM(Debt!AJ80:AJ133)&gt;0,SUM(Debt!AJ80:AJ133),0)</f>
        <v>0</v>
      </c>
      <c r="AJ41" s="511">
        <f>IF(SUM(Debt!AK80:AK133)&gt;0,SUM(Debt!AK80:AK133),0)</f>
        <v>0</v>
      </c>
      <c r="AK41" s="511">
        <f>IF(SUM(Debt!AL80:AL133)&gt;0,SUM(Debt!AL80:AL133),0)</f>
        <v>0</v>
      </c>
      <c r="AL41" s="511">
        <f>IF(SUM(Debt!AM80:AM133)&gt;0,SUM(Debt!AM80:AM133),0)</f>
        <v>0</v>
      </c>
      <c r="AM41" s="511">
        <f>IF(SUM(Debt!AN80:AN133)&gt;0,SUM(Debt!AN80:AN133),0)</f>
        <v>0</v>
      </c>
      <c r="AN41" s="511">
        <f>IF(SUM(Debt!AO80:AO133)&gt;0,SUM(Debt!AO80:AO133),0)</f>
        <v>0</v>
      </c>
    </row>
    <row r="42" spans="2:41" ht="12.75" customHeight="1" outlineLevel="1">
      <c r="B42" s="128" t="s">
        <v>294</v>
      </c>
      <c r="C42" s="113">
        <v>0</v>
      </c>
      <c r="D42" s="113">
        <v>0</v>
      </c>
      <c r="E42" s="113">
        <v>0</v>
      </c>
      <c r="F42" s="113">
        <v>0</v>
      </c>
      <c r="G42" s="113">
        <v>0</v>
      </c>
      <c r="H42" s="113">
        <v>0</v>
      </c>
      <c r="I42" s="113">
        <v>0</v>
      </c>
      <c r="J42" s="113">
        <v>0</v>
      </c>
      <c r="K42" s="113">
        <v>0</v>
      </c>
      <c r="L42" s="113">
        <v>0</v>
      </c>
      <c r="M42" s="113">
        <v>0</v>
      </c>
      <c r="N42" s="113">
        <v>0</v>
      </c>
      <c r="O42" s="113">
        <v>0</v>
      </c>
      <c r="P42" s="113">
        <v>0</v>
      </c>
      <c r="Q42" s="113">
        <v>0</v>
      </c>
      <c r="R42" s="536">
        <v>0</v>
      </c>
      <c r="S42" s="536">
        <v>0</v>
      </c>
      <c r="T42" s="536">
        <v>0</v>
      </c>
      <c r="U42" s="536">
        <v>0</v>
      </c>
      <c r="V42" s="536">
        <v>0</v>
      </c>
      <c r="W42" s="536">
        <v>0</v>
      </c>
      <c r="X42" s="536">
        <v>0</v>
      </c>
      <c r="Y42" s="536">
        <v>0</v>
      </c>
      <c r="Z42" s="536">
        <v>0</v>
      </c>
      <c r="AA42" s="536">
        <v>0</v>
      </c>
      <c r="AB42" s="511">
        <f>Debt!AC78+Debt!AC79-Debt!AC150</f>
        <v>0</v>
      </c>
      <c r="AC42" s="511">
        <f>Debt!AD78+Debt!AD79-Debt!AD150</f>
        <v>0</v>
      </c>
      <c r="AD42" s="511">
        <f>Debt!AE78+Debt!AE79-Debt!AE150</f>
        <v>0</v>
      </c>
      <c r="AE42" s="511">
        <f>Debt!AF78+Debt!AF79-Debt!AF150</f>
        <v>0</v>
      </c>
      <c r="AF42" s="511">
        <f>Debt!AG78+Debt!AG79-Debt!AG150</f>
        <v>0</v>
      </c>
      <c r="AG42" s="511">
        <f>Debt!AH78+Debt!AH79-Debt!AH150</f>
        <v>0</v>
      </c>
      <c r="AH42" s="511">
        <f>Debt!AI78+Debt!AI79-Debt!AI150</f>
        <v>0</v>
      </c>
      <c r="AI42" s="511">
        <f>Debt!AJ78+Debt!AJ79-Debt!AJ150</f>
        <v>0</v>
      </c>
      <c r="AJ42" s="511">
        <f>Debt!AK78+Debt!AK79-Debt!AK150</f>
        <v>0</v>
      </c>
      <c r="AK42" s="511">
        <f>Debt!AL78+Debt!AL79-Debt!AL150</f>
        <v>0</v>
      </c>
      <c r="AL42" s="511">
        <f>Debt!AM78+Debt!AM79-Debt!AM150</f>
        <v>0</v>
      </c>
      <c r="AM42" s="511">
        <f>Debt!AN78+Debt!AN79-Debt!AN150</f>
        <v>0</v>
      </c>
      <c r="AN42" s="511">
        <f>Debt!AO78+Debt!AO79-Debt!AO150</f>
        <v>0</v>
      </c>
    </row>
    <row r="43" spans="2:41" ht="12.75" customHeight="1" outlineLevel="1">
      <c r="B43" s="128" t="s">
        <v>295</v>
      </c>
      <c r="C43" s="113">
        <v>-1.9910000000000001</v>
      </c>
      <c r="D43" s="113">
        <v>-12</v>
      </c>
      <c r="E43" s="113">
        <v>-6.2</v>
      </c>
      <c r="F43" s="113">
        <v>0</v>
      </c>
      <c r="G43" s="113">
        <v>-118.2</v>
      </c>
      <c r="H43" s="113">
        <v>-30</v>
      </c>
      <c r="I43" s="113">
        <v>0</v>
      </c>
      <c r="J43" s="113">
        <v>0</v>
      </c>
      <c r="K43" s="113">
        <v>0</v>
      </c>
      <c r="L43" s="113">
        <v>2764.7</v>
      </c>
      <c r="M43" s="113">
        <v>-123</v>
      </c>
      <c r="N43" s="113">
        <v>0</v>
      </c>
      <c r="O43" s="113">
        <v>-1175</v>
      </c>
      <c r="P43" s="113">
        <v>-653</v>
      </c>
      <c r="Q43" s="113">
        <v>-1840</v>
      </c>
      <c r="R43" s="536">
        <v>-2000</v>
      </c>
      <c r="S43" s="536">
        <v>-1000</v>
      </c>
      <c r="T43" s="536">
        <v>0</v>
      </c>
      <c r="U43" s="536">
        <v>-2500</v>
      </c>
      <c r="V43" s="536">
        <v>-123</v>
      </c>
      <c r="W43" s="536">
        <v>-3371</v>
      </c>
      <c r="X43" s="536">
        <v>-5605</v>
      </c>
      <c r="Y43" s="536">
        <v>-2400</v>
      </c>
      <c r="Z43" s="536">
        <v>-3725</v>
      </c>
      <c r="AA43" s="536">
        <v>-4405</v>
      </c>
      <c r="AB43" s="511">
        <f>IF(SUM(Debt!AC80:AC135)&lt;0,SUM(Debt!AC80:AC135),0)</f>
        <v>-224</v>
      </c>
      <c r="AC43" s="511">
        <f>IF(SUM(Debt!AD80:AD135)&lt;0,SUM(Debt!AD80:AD135),0)</f>
        <v>-4460</v>
      </c>
      <c r="AD43" s="511">
        <f>IF(SUM(Debt!AE80:AE135)&lt;0,SUM(Debt!AE80:AE135),0)</f>
        <v>-2950</v>
      </c>
      <c r="AE43" s="511">
        <f>IF(SUM(Debt!AF80:AF135)&lt;0,SUM(Debt!AF80:AF135),0)</f>
        <v>-3500</v>
      </c>
      <c r="AF43" s="511">
        <f>IF(SUM(Debt!AG80:AG135)&lt;0,SUM(Debt!AG80:AG135),0)</f>
        <v>-4251</v>
      </c>
      <c r="AG43" s="511">
        <f>IF(SUM(Debt!AH80:AH135)&lt;0,SUM(Debt!AH80:AH135),0)</f>
        <v>-1469</v>
      </c>
      <c r="AH43" s="511">
        <f>IF(SUM(Debt!AI80:AI135)&lt;0,SUM(Debt!AI80:AI135),0)</f>
        <v>-1400</v>
      </c>
      <c r="AI43" s="511">
        <f>IF(SUM(Debt!AJ80:AJ135)&lt;0,SUM(Debt!AJ80:AJ135),0)</f>
        <v>-1000</v>
      </c>
      <c r="AJ43" s="511">
        <f>IF(SUM(Debt!AK80:AK135)&lt;0,SUM(Debt!AK80:AK135),0)</f>
        <v>-2793</v>
      </c>
      <c r="AK43" s="511">
        <f>IF(SUM(Debt!AL80:AL135)&lt;0,SUM(Debt!AL80:AL135),0)</f>
        <v>-1000</v>
      </c>
      <c r="AL43" s="511">
        <f>IF(SUM(Debt!AM80:AM135)&lt;0,SUM(Debt!AM80:AM135),0)</f>
        <v>0</v>
      </c>
      <c r="AM43" s="511">
        <f>IF(SUM(Debt!AN80:AN135)&lt;0,SUM(Debt!AN80:AN135),0)</f>
        <v>-946</v>
      </c>
      <c r="AN43" s="511">
        <f>IF(SUM(Debt!AO80:AO135)&lt;0,SUM(Debt!AO80:AO135),0)</f>
        <v>0</v>
      </c>
    </row>
    <row r="44" spans="2:41" ht="12.75" customHeight="1" outlineLevel="1">
      <c r="B44" s="128" t="s">
        <v>107</v>
      </c>
      <c r="C44" s="113">
        <v>-22.181999999999999</v>
      </c>
      <c r="D44" s="113">
        <v>-30.8</v>
      </c>
      <c r="E44" s="113">
        <v>-47.3</v>
      </c>
      <c r="F44" s="113">
        <v>-52.2</v>
      </c>
      <c r="G44" s="113">
        <v>-63.8</v>
      </c>
      <c r="H44" s="113">
        <v>-17.100000000000001</v>
      </c>
      <c r="I44" s="113">
        <v>-57.5</v>
      </c>
      <c r="J44" s="113">
        <v>-36.5</v>
      </c>
      <c r="K44" s="113">
        <v>-18.2</v>
      </c>
      <c r="L44" s="113">
        <v>5.5</v>
      </c>
      <c r="M44" s="113">
        <v>23.5</v>
      </c>
      <c r="N44" s="113">
        <v>21</v>
      </c>
      <c r="O44" s="113">
        <v>-20</v>
      </c>
      <c r="P44" s="113">
        <f>97+774</f>
        <v>871</v>
      </c>
      <c r="Q44" s="113">
        <v>13</v>
      </c>
      <c r="R44" s="536">
        <v>49</v>
      </c>
      <c r="S44" s="536">
        <v>33</v>
      </c>
      <c r="T44" s="536">
        <v>3</v>
      </c>
      <c r="U44" s="536">
        <v>12</v>
      </c>
      <c r="V44" s="536">
        <v>46</v>
      </c>
      <c r="W44" s="536">
        <v>-6</v>
      </c>
      <c r="X44" s="536">
        <v>55</v>
      </c>
      <c r="Y44" s="536">
        <f>252-253</f>
        <v>-1</v>
      </c>
      <c r="Z44" s="536">
        <f>-260-24</f>
        <v>-284</v>
      </c>
      <c r="AA44" s="536">
        <f>-191+51</f>
        <v>-140</v>
      </c>
      <c r="AB44" s="511">
        <v>0</v>
      </c>
      <c r="AC44" s="511">
        <v>0</v>
      </c>
      <c r="AD44" s="511">
        <v>0</v>
      </c>
      <c r="AE44" s="511">
        <v>0</v>
      </c>
      <c r="AF44" s="511">
        <v>0</v>
      </c>
      <c r="AG44" s="511">
        <v>0</v>
      </c>
      <c r="AH44" s="511">
        <v>0</v>
      </c>
      <c r="AI44" s="511">
        <v>0</v>
      </c>
      <c r="AJ44" s="511">
        <v>0</v>
      </c>
      <c r="AK44" s="511">
        <v>0</v>
      </c>
      <c r="AL44" s="511">
        <v>0</v>
      </c>
      <c r="AM44" s="511">
        <v>0</v>
      </c>
      <c r="AN44" s="511">
        <v>0</v>
      </c>
    </row>
    <row r="45" spans="2:41" ht="12.75" customHeight="1" outlineLevel="1">
      <c r="B45" s="115" t="s">
        <v>296</v>
      </c>
      <c r="C45" s="116">
        <f>+SUM(C35:C44)</f>
        <v>-6.6040000000000099</v>
      </c>
      <c r="D45" s="116">
        <f t="shared" ref="D45:Z45" si="9">SUM(D35:D44)</f>
        <v>-258.09999999999997</v>
      </c>
      <c r="E45" s="116">
        <f t="shared" si="9"/>
        <v>-223.7</v>
      </c>
      <c r="F45" s="116">
        <f t="shared" si="9"/>
        <v>-409.79999999999995</v>
      </c>
      <c r="G45" s="116">
        <f t="shared" si="9"/>
        <v>-530.89999999999986</v>
      </c>
      <c r="H45" s="116">
        <f t="shared" si="9"/>
        <v>-405.80000000000007</v>
      </c>
      <c r="I45" s="116">
        <f t="shared" si="9"/>
        <v>-833.60000000000014</v>
      </c>
      <c r="J45" s="116">
        <f t="shared" si="9"/>
        <v>-502.7</v>
      </c>
      <c r="K45" s="542">
        <f t="shared" si="9"/>
        <v>-478</v>
      </c>
      <c r="L45" s="542">
        <f t="shared" si="9"/>
        <v>1777.5999999999997</v>
      </c>
      <c r="M45" s="542">
        <f t="shared" si="9"/>
        <v>-1371.5</v>
      </c>
      <c r="N45" s="116">
        <f t="shared" si="9"/>
        <v>-1609</v>
      </c>
      <c r="O45" s="116">
        <f t="shared" si="9"/>
        <v>-4538</v>
      </c>
      <c r="P45" s="116">
        <f t="shared" si="9"/>
        <v>-815</v>
      </c>
      <c r="Q45" s="116">
        <f t="shared" si="9"/>
        <v>-2668</v>
      </c>
      <c r="R45" s="521">
        <f t="shared" si="9"/>
        <v>-3073</v>
      </c>
      <c r="S45" s="521">
        <f t="shared" si="9"/>
        <v>-2024</v>
      </c>
      <c r="T45" s="521">
        <f t="shared" si="9"/>
        <v>-1232</v>
      </c>
      <c r="U45" s="521">
        <f t="shared" si="9"/>
        <v>-674</v>
      </c>
      <c r="V45" s="521">
        <f t="shared" si="9"/>
        <v>419</v>
      </c>
      <c r="W45" s="521">
        <f t="shared" si="9"/>
        <v>2726</v>
      </c>
      <c r="X45" s="521">
        <f t="shared" si="9"/>
        <v>-2877</v>
      </c>
      <c r="Y45" s="521">
        <f t="shared" si="9"/>
        <v>-3117</v>
      </c>
      <c r="Z45" s="521">
        <f t="shared" si="9"/>
        <v>-2599</v>
      </c>
      <c r="AA45" s="521">
        <f>SUM(AA35:AA44)</f>
        <v>-6594</v>
      </c>
      <c r="AB45" s="521">
        <f>SUM(AB35:AB44)</f>
        <v>-17956.522688810379</v>
      </c>
      <c r="AC45" s="521">
        <f>SUM(AC35:AC44)</f>
        <v>-10822.495702939514</v>
      </c>
      <c r="AD45" s="521">
        <f>SUM(AD35:AD44)</f>
        <v>-10755.445802866085</v>
      </c>
      <c r="AE45" s="521">
        <f t="shared" ref="AE45:AN45" si="10">SUM(AE35:AE44)</f>
        <v>-11754.924640121555</v>
      </c>
      <c r="AF45" s="521">
        <f t="shared" si="10"/>
        <v>-12992.644466119908</v>
      </c>
      <c r="AG45" s="521">
        <f t="shared" si="10"/>
        <v>-10708.917865728339</v>
      </c>
      <c r="AH45" s="521">
        <f t="shared" si="10"/>
        <v>-11079.196679648721</v>
      </c>
      <c r="AI45" s="521">
        <f t="shared" si="10"/>
        <v>-10989.347202890975</v>
      </c>
      <c r="AJ45" s="521">
        <f t="shared" si="10"/>
        <v>-12908.00005278503</v>
      </c>
      <c r="AK45" s="521">
        <f t="shared" si="10"/>
        <v>-9754.347430266329</v>
      </c>
      <c r="AL45" s="521">
        <f t="shared" si="10"/>
        <v>-8469.8911745320656</v>
      </c>
      <c r="AM45" s="521">
        <f t="shared" si="10"/>
        <v>-9483.8381887312044</v>
      </c>
      <c r="AN45" s="521">
        <f t="shared" si="10"/>
        <v>-8705.2147539556063</v>
      </c>
      <c r="AO45" s="521"/>
    </row>
    <row r="46" spans="2:41" ht="12.75" customHeight="1">
      <c r="B46" s="115"/>
      <c r="C46" s="116"/>
      <c r="D46" s="116"/>
      <c r="E46" s="116"/>
      <c r="F46" s="116"/>
      <c r="G46" s="116"/>
      <c r="H46" s="116"/>
      <c r="I46" s="116"/>
      <c r="J46" s="116"/>
      <c r="K46" s="116"/>
      <c r="L46" s="116"/>
      <c r="M46" s="116"/>
      <c r="N46" s="116"/>
      <c r="O46" s="116"/>
      <c r="P46" s="116"/>
      <c r="Q46" s="116"/>
      <c r="R46" s="116"/>
      <c r="S46" s="116"/>
      <c r="T46" s="116"/>
      <c r="U46" s="116"/>
      <c r="V46" s="116"/>
      <c r="W46" s="116"/>
      <c r="X46" s="116"/>
      <c r="Y46" s="116"/>
      <c r="Z46" s="116"/>
      <c r="AA46" s="116"/>
      <c r="AB46" s="116"/>
      <c r="AC46" s="116"/>
      <c r="AD46" s="116"/>
      <c r="AF46" s="156"/>
    </row>
    <row r="47" spans="2:41" ht="12.75" customHeight="1">
      <c r="B47" s="121" t="s">
        <v>297</v>
      </c>
      <c r="C47" s="112">
        <f t="shared" ref="C47:Z47" si="11">C45+C32+C23</f>
        <v>37.144000000000062</v>
      </c>
      <c r="D47" s="112">
        <f t="shared" si="11"/>
        <v>83.10000000000008</v>
      </c>
      <c r="E47" s="112">
        <f t="shared" si="11"/>
        <v>-144.30000000000018</v>
      </c>
      <c r="F47" s="112">
        <f t="shared" si="11"/>
        <v>102.80000000000018</v>
      </c>
      <c r="G47" s="112">
        <f t="shared" si="11"/>
        <v>69.500000000000227</v>
      </c>
      <c r="H47" s="112">
        <f t="shared" si="11"/>
        <v>-37.200000000000045</v>
      </c>
      <c r="I47" s="112">
        <f t="shared" si="11"/>
        <v>-70.600000000000364</v>
      </c>
      <c r="J47" s="112">
        <f t="shared" si="11"/>
        <v>95.099999999999682</v>
      </c>
      <c r="K47" s="112">
        <f t="shared" si="11"/>
        <v>462.5999999999998</v>
      </c>
      <c r="L47" s="543">
        <f t="shared" si="11"/>
        <v>1162.6000000000001</v>
      </c>
      <c r="M47" s="112">
        <f t="shared" si="11"/>
        <v>-1015.1000000000008</v>
      </c>
      <c r="N47" s="112">
        <f t="shared" si="11"/>
        <v>689</v>
      </c>
      <c r="O47" s="112">
        <f t="shared" si="11"/>
        <v>314</v>
      </c>
      <c r="P47" s="112">
        <f t="shared" si="11"/>
        <v>-557</v>
      </c>
      <c r="Q47" s="112">
        <f t="shared" si="11"/>
        <v>741</v>
      </c>
      <c r="R47" s="540">
        <f t="shared" si="11"/>
        <v>-250</v>
      </c>
      <c r="S47" s="540">
        <f t="shared" si="11"/>
        <v>1110</v>
      </c>
      <c r="T47" s="540">
        <f t="shared" si="11"/>
        <v>403</v>
      </c>
      <c r="U47" s="540">
        <f t="shared" si="11"/>
        <v>3659</v>
      </c>
      <c r="V47" s="540">
        <f t="shared" si="11"/>
        <v>-3689</v>
      </c>
      <c r="W47" s="540">
        <f t="shared" si="11"/>
        <v>548</v>
      </c>
      <c r="X47" s="540">
        <f>X45+X32+X23</f>
        <v>-74</v>
      </c>
      <c r="Y47" s="540">
        <f t="shared" si="11"/>
        <v>413</v>
      </c>
      <c r="Z47" s="540">
        <f t="shared" si="11"/>
        <v>-903</v>
      </c>
      <c r="AA47" s="540">
        <f>AA45+AA32+AA23</f>
        <v>559</v>
      </c>
      <c r="AB47" s="540">
        <f>AB45+AB32+AB23</f>
        <v>-1359.3871478022793</v>
      </c>
      <c r="AC47" s="540">
        <f>AC45+AC32+AC23</f>
        <v>864.84806210339957</v>
      </c>
      <c r="AD47" s="540">
        <f>AD45+AD32+AD23</f>
        <v>1111.5399886704672</v>
      </c>
      <c r="AE47" s="540">
        <f t="shared" ref="AE47:AN47" si="12">AE45+AE32+AE23</f>
        <v>157.62002140329969</v>
      </c>
      <c r="AF47" s="540">
        <f t="shared" si="12"/>
        <v>-566.09356695938186</v>
      </c>
      <c r="AG47" s="540">
        <f t="shared" si="12"/>
        <v>1653.2997305645204</v>
      </c>
      <c r="AH47" s="540">
        <f t="shared" si="12"/>
        <v>1092.3271355157558</v>
      </c>
      <c r="AI47" s="540">
        <f t="shared" si="12"/>
        <v>1535.5800842093322</v>
      </c>
      <c r="AJ47" s="540">
        <f t="shared" si="12"/>
        <v>4792.0257883085596</v>
      </c>
      <c r="AK47" s="540">
        <f t="shared" si="12"/>
        <v>2484.9891335265511</v>
      </c>
      <c r="AL47" s="540">
        <f t="shared" si="12"/>
        <v>13133.024158506852</v>
      </c>
      <c r="AM47" s="540">
        <f t="shared" si="12"/>
        <v>1292.8365396861027</v>
      </c>
      <c r="AN47" s="540">
        <f t="shared" si="12"/>
        <v>5989.5365941377095</v>
      </c>
      <c r="AO47" s="540"/>
    </row>
    <row r="48" spans="2:41" ht="12.75" customHeight="1">
      <c r="B48" s="121" t="s">
        <v>298</v>
      </c>
      <c r="C48" s="113">
        <v>92.048000000000002</v>
      </c>
      <c r="D48" s="113">
        <v>128.5</v>
      </c>
      <c r="E48" s="113">
        <f>+D49</f>
        <v>211.60000000000008</v>
      </c>
      <c r="F48" s="112">
        <f t="shared" ref="F48:Z48" si="13">E49</f>
        <v>67.299999999999898</v>
      </c>
      <c r="G48" s="112">
        <f t="shared" si="13"/>
        <v>170.10000000000008</v>
      </c>
      <c r="H48" s="112">
        <f t="shared" si="13"/>
        <v>239.60000000000031</v>
      </c>
      <c r="I48" s="112">
        <f t="shared" si="13"/>
        <v>202.40000000000026</v>
      </c>
      <c r="J48" s="112">
        <f t="shared" si="13"/>
        <v>131.7999999999999</v>
      </c>
      <c r="K48" s="112">
        <f t="shared" si="13"/>
        <v>226.89999999999958</v>
      </c>
      <c r="L48" s="543">
        <f>K49-0.4</f>
        <v>689.09999999999934</v>
      </c>
      <c r="M48" s="112">
        <f t="shared" si="13"/>
        <v>1851.6999999999994</v>
      </c>
      <c r="N48" s="112">
        <f t="shared" si="13"/>
        <v>836.59999999999854</v>
      </c>
      <c r="O48" s="112">
        <f t="shared" si="13"/>
        <v>1525.5999999999985</v>
      </c>
      <c r="P48" s="112">
        <f t="shared" si="13"/>
        <v>1839.5999999999985</v>
      </c>
      <c r="Q48" s="112">
        <f t="shared" si="13"/>
        <v>1282.5999999999985</v>
      </c>
      <c r="R48" s="540">
        <f t="shared" si="13"/>
        <v>2023.5999999999985</v>
      </c>
      <c r="S48" s="540">
        <f t="shared" si="13"/>
        <v>1773.5999999999985</v>
      </c>
      <c r="T48" s="540">
        <f t="shared" si="13"/>
        <v>2883.5999999999985</v>
      </c>
      <c r="U48" s="540">
        <f t="shared" si="13"/>
        <v>3286.5999999999985</v>
      </c>
      <c r="V48" s="540">
        <f t="shared" si="13"/>
        <v>6945.5999999999985</v>
      </c>
      <c r="W48" s="540">
        <f t="shared" si="13"/>
        <v>3256.5999999999985</v>
      </c>
      <c r="X48" s="540">
        <f t="shared" si="13"/>
        <v>3804.5999999999985</v>
      </c>
      <c r="Y48" s="540">
        <f t="shared" si="13"/>
        <v>3730.5999999999985</v>
      </c>
      <c r="Z48" s="540">
        <f t="shared" si="13"/>
        <v>4143.5999999999985</v>
      </c>
      <c r="AA48" s="540">
        <f>Z49</f>
        <v>3240.5999999999985</v>
      </c>
      <c r="AB48" s="540">
        <f>AA49</f>
        <v>3799.5999999999985</v>
      </c>
      <c r="AC48" s="540">
        <f>AB49</f>
        <v>2440.2128521977193</v>
      </c>
      <c r="AD48" s="540">
        <f>AC49</f>
        <v>3305.0609143011188</v>
      </c>
      <c r="AE48" s="540">
        <f t="shared" ref="AE48:AN48" si="14">AD49</f>
        <v>4416.600902971586</v>
      </c>
      <c r="AF48" s="540">
        <f t="shared" si="14"/>
        <v>4574.2209243748857</v>
      </c>
      <c r="AG48" s="540">
        <f t="shared" si="14"/>
        <v>4008.1273574155039</v>
      </c>
      <c r="AH48" s="540">
        <f t="shared" si="14"/>
        <v>5661.4270879800242</v>
      </c>
      <c r="AI48" s="540">
        <f t="shared" si="14"/>
        <v>6753.75422349578</v>
      </c>
      <c r="AJ48" s="540">
        <f t="shared" si="14"/>
        <v>8289.3343077051122</v>
      </c>
      <c r="AK48" s="540">
        <f t="shared" si="14"/>
        <v>13081.360096013672</v>
      </c>
      <c r="AL48" s="540">
        <f t="shared" si="14"/>
        <v>15566.349229540223</v>
      </c>
      <c r="AM48" s="540">
        <f t="shared" si="14"/>
        <v>28699.373388047075</v>
      </c>
      <c r="AN48" s="540">
        <f t="shared" si="14"/>
        <v>29992.20992773318</v>
      </c>
      <c r="AO48" s="540"/>
    </row>
    <row r="49" spans="2:41" ht="12.75" customHeight="1">
      <c r="B49" s="122" t="s">
        <v>299</v>
      </c>
      <c r="C49" s="123">
        <f t="shared" ref="C49:Z49" si="15">C48+C47</f>
        <v>129.19200000000006</v>
      </c>
      <c r="D49" s="123">
        <f t="shared" si="15"/>
        <v>211.60000000000008</v>
      </c>
      <c r="E49" s="123">
        <f t="shared" si="15"/>
        <v>67.299999999999898</v>
      </c>
      <c r="F49" s="123">
        <f t="shared" si="15"/>
        <v>170.10000000000008</v>
      </c>
      <c r="G49" s="123">
        <f t="shared" si="15"/>
        <v>239.60000000000031</v>
      </c>
      <c r="H49" s="123">
        <f t="shared" si="15"/>
        <v>202.40000000000026</v>
      </c>
      <c r="I49" s="123">
        <f t="shared" si="15"/>
        <v>131.7999999999999</v>
      </c>
      <c r="J49" s="123">
        <f t="shared" si="15"/>
        <v>226.89999999999958</v>
      </c>
      <c r="K49" s="123">
        <f t="shared" si="15"/>
        <v>689.49999999999932</v>
      </c>
      <c r="L49" s="144">
        <f t="shared" si="15"/>
        <v>1851.6999999999994</v>
      </c>
      <c r="M49" s="123">
        <f t="shared" si="15"/>
        <v>836.59999999999854</v>
      </c>
      <c r="N49" s="123">
        <f t="shared" si="15"/>
        <v>1525.5999999999985</v>
      </c>
      <c r="O49" s="123">
        <f t="shared" si="15"/>
        <v>1839.5999999999985</v>
      </c>
      <c r="P49" s="123">
        <f t="shared" si="15"/>
        <v>1282.5999999999985</v>
      </c>
      <c r="Q49" s="123">
        <f t="shared" si="15"/>
        <v>2023.5999999999985</v>
      </c>
      <c r="R49" s="521">
        <f t="shared" si="15"/>
        <v>1773.5999999999985</v>
      </c>
      <c r="S49" s="521">
        <f t="shared" si="15"/>
        <v>2883.5999999999985</v>
      </c>
      <c r="T49" s="521">
        <f t="shared" si="15"/>
        <v>3286.5999999999985</v>
      </c>
      <c r="U49" s="521">
        <f t="shared" si="15"/>
        <v>6945.5999999999985</v>
      </c>
      <c r="V49" s="521">
        <f t="shared" si="15"/>
        <v>3256.5999999999985</v>
      </c>
      <c r="W49" s="521">
        <f t="shared" si="15"/>
        <v>3804.5999999999985</v>
      </c>
      <c r="X49" s="521">
        <f t="shared" si="15"/>
        <v>3730.5999999999985</v>
      </c>
      <c r="Y49" s="521">
        <f t="shared" si="15"/>
        <v>4143.5999999999985</v>
      </c>
      <c r="Z49" s="521">
        <f t="shared" si="15"/>
        <v>3240.5999999999985</v>
      </c>
      <c r="AA49" s="521">
        <f>AA48+AA47</f>
        <v>3799.5999999999985</v>
      </c>
      <c r="AB49" s="521">
        <f>AB48+AB47</f>
        <v>2440.2128521977193</v>
      </c>
      <c r="AC49" s="521">
        <f>AC48+AC47</f>
        <v>3305.0609143011188</v>
      </c>
      <c r="AD49" s="521">
        <f>AD48+AD47</f>
        <v>4416.600902971586</v>
      </c>
      <c r="AE49" s="521">
        <f t="shared" ref="AE49:AN49" si="16">AE48+AE47</f>
        <v>4574.2209243748857</v>
      </c>
      <c r="AF49" s="521">
        <f t="shared" si="16"/>
        <v>4008.1273574155039</v>
      </c>
      <c r="AG49" s="521">
        <f t="shared" si="16"/>
        <v>5661.4270879800242</v>
      </c>
      <c r="AH49" s="521">
        <f t="shared" si="16"/>
        <v>6753.75422349578</v>
      </c>
      <c r="AI49" s="521">
        <f t="shared" si="16"/>
        <v>8289.3343077051122</v>
      </c>
      <c r="AJ49" s="521">
        <f t="shared" si="16"/>
        <v>13081.360096013672</v>
      </c>
      <c r="AK49" s="521">
        <f t="shared" si="16"/>
        <v>15566.349229540223</v>
      </c>
      <c r="AL49" s="521">
        <f t="shared" si="16"/>
        <v>28699.373388047075</v>
      </c>
      <c r="AM49" s="521">
        <f t="shared" si="16"/>
        <v>29992.20992773318</v>
      </c>
      <c r="AN49" s="521">
        <f t="shared" si="16"/>
        <v>35981.746521870889</v>
      </c>
      <c r="AO49" s="521"/>
    </row>
    <row r="50" spans="2:41" ht="12.75" customHeight="1">
      <c r="B50" s="115" t="s">
        <v>300</v>
      </c>
      <c r="C50" s="116">
        <f>BS!C3+BS!C4</f>
        <v>723.18399999999997</v>
      </c>
      <c r="D50" s="116">
        <f>BS!D3+BS!D4</f>
        <v>696.7</v>
      </c>
      <c r="E50" s="116">
        <f>BS!E3+BS!E4</f>
        <v>1050.3</v>
      </c>
      <c r="F50" s="116">
        <f>BS!F3+BS!F4</f>
        <v>1077</v>
      </c>
      <c r="G50" s="116">
        <f>BS!G3+BS!G4</f>
        <v>1026.5</v>
      </c>
      <c r="H50" s="116">
        <f>BS!H3+BS!H4</f>
        <v>1276</v>
      </c>
      <c r="I50" s="116">
        <f>BS!I3+BS!I4</f>
        <v>1333</v>
      </c>
      <c r="J50" s="116">
        <f>BS!J3+BS!J4</f>
        <v>2028.1</v>
      </c>
      <c r="K50" s="116">
        <f>BS!K3+BS!K4</f>
        <v>2662.2</v>
      </c>
      <c r="L50" s="116">
        <f>BS!L3+BS!L4</f>
        <v>4663.8999999999996</v>
      </c>
      <c r="M50" s="116">
        <f>BS!M3+BS!M4</f>
        <v>5123</v>
      </c>
      <c r="N50" s="116">
        <f>BS!N3+BS!N4</f>
        <v>5808</v>
      </c>
      <c r="O50" s="116">
        <f>BS!O3+BS!O4</f>
        <v>5255</v>
      </c>
      <c r="P50" s="116">
        <f>BS!P3+BS!P4</f>
        <v>6277</v>
      </c>
      <c r="Q50" s="116">
        <f>BS!Q3+BS!Q4</f>
        <v>7151</v>
      </c>
      <c r="R50" s="521">
        <f>BS!R3+BS!R4</f>
        <v>9552</v>
      </c>
      <c r="S50" s="521">
        <f>BS!S3+BS!S4</f>
        <v>13442</v>
      </c>
      <c r="T50" s="521">
        <f>BS!T3+BS!T4</f>
        <v>17422</v>
      </c>
      <c r="U50" s="521">
        <f>BS!U3+BS!U4</f>
        <v>20641</v>
      </c>
      <c r="V50" s="521">
        <f>BS!V3+BS!V4</f>
        <v>24061</v>
      </c>
      <c r="W50" s="521">
        <f>BS!W3+BS!W4</f>
        <v>19401</v>
      </c>
      <c r="X50" s="521">
        <f>BS!X3+BS!X4</f>
        <v>27026</v>
      </c>
      <c r="Y50" s="521">
        <f>BS!Y3+BS!Y4</f>
        <v>31382</v>
      </c>
      <c r="Z50" s="521">
        <f>BS!Z3+BS!Z4</f>
        <v>38085</v>
      </c>
      <c r="AA50" s="521">
        <f>BS!AA3+BS!AA4</f>
        <v>41678</v>
      </c>
      <c r="AB50" s="521">
        <f>BS!AB3+BS!AB4</f>
        <v>35318.612852197723</v>
      </c>
      <c r="AC50" s="521">
        <f>BS!AC3+BS!AC4</f>
        <v>36183.460914301118</v>
      </c>
      <c r="AD50" s="521">
        <f>BS!AD3+BS!AD4</f>
        <v>37295.000902971587</v>
      </c>
      <c r="AE50" s="521">
        <f>BS!AE3+BS!AE4</f>
        <v>37452.620924374889</v>
      </c>
      <c r="AF50" s="521">
        <f>BS!AF3+BS!AF4</f>
        <v>36886.527357415507</v>
      </c>
      <c r="AG50" s="521">
        <f>BS!AG3+BS!AG4</f>
        <v>38539.827087980026</v>
      </c>
      <c r="AH50" s="521">
        <f>BS!AH3+BS!AH4</f>
        <v>39632.154223495781</v>
      </c>
      <c r="AI50" s="521">
        <f>BS!AI3+BS!AI4</f>
        <v>41167.734307705112</v>
      </c>
      <c r="AJ50" s="521">
        <f>BS!AJ3+BS!AJ4</f>
        <v>40959.760096013677</v>
      </c>
      <c r="AK50" s="521">
        <f>BS!AK3+BS!AK4</f>
        <v>43444.749229540226</v>
      </c>
      <c r="AL50" s="521">
        <f>BS!AL3+BS!AL4</f>
        <v>46577.773388047077</v>
      </c>
      <c r="AM50" s="521">
        <f>BS!AM3+BS!AM4</f>
        <v>47870.609927733181</v>
      </c>
      <c r="AN50" s="521">
        <f>BS!AN3+BS!AN4</f>
        <v>48860.146521870891</v>
      </c>
      <c r="AO50" s="521"/>
    </row>
    <row r="51" spans="2:41" ht="12.75" customHeight="1">
      <c r="B51" s="102"/>
      <c r="C51" s="112"/>
      <c r="D51" s="112"/>
      <c r="E51" s="112"/>
      <c r="F51" s="112"/>
      <c r="G51" s="112"/>
      <c r="H51" s="112"/>
      <c r="I51" s="112"/>
      <c r="J51" s="113"/>
      <c r="K51" s="113"/>
      <c r="L51" s="113"/>
      <c r="M51" s="113"/>
      <c r="N51" s="113"/>
      <c r="O51" s="113"/>
      <c r="P51" s="113"/>
      <c r="Q51" s="113"/>
      <c r="R51" s="113"/>
      <c r="S51" s="113"/>
      <c r="T51" s="113"/>
      <c r="U51" s="113"/>
      <c r="V51" s="113"/>
      <c r="W51" s="113"/>
      <c r="X51" s="120"/>
      <c r="Y51" s="113"/>
      <c r="Z51" s="113"/>
      <c r="AA51" s="113"/>
    </row>
    <row r="52" spans="2:41" ht="12.75" customHeight="1">
      <c r="B52" s="114" t="s">
        <v>301</v>
      </c>
      <c r="C52" s="126"/>
      <c r="D52" s="126"/>
      <c r="E52" s="126"/>
      <c r="F52" s="126"/>
      <c r="G52" s="126"/>
      <c r="H52" s="126"/>
      <c r="I52" s="126"/>
      <c r="J52" s="126"/>
      <c r="K52" s="126"/>
      <c r="L52" s="126"/>
      <c r="M52" s="126"/>
      <c r="N52" s="126"/>
      <c r="O52" s="126"/>
      <c r="P52" s="126"/>
      <c r="Q52" s="126"/>
      <c r="R52" s="126"/>
      <c r="S52" s="126"/>
      <c r="T52" s="606"/>
      <c r="U52" s="606"/>
      <c r="V52" s="606"/>
      <c r="W52" s="126"/>
      <c r="X52" s="126"/>
      <c r="Y52" s="126"/>
      <c r="Z52" s="126"/>
      <c r="AA52" s="125"/>
    </row>
    <row r="53" spans="2:41" ht="12.75" customHeight="1" outlineLevel="1">
      <c r="B53" s="128" t="s">
        <v>302</v>
      </c>
      <c r="C53" s="127">
        <f t="shared" ref="C53:Z53" si="17">C23</f>
        <v>433.69400000000002</v>
      </c>
      <c r="D53" s="127">
        <f t="shared" si="17"/>
        <v>532.19999999999993</v>
      </c>
      <c r="E53" s="127">
        <f t="shared" si="17"/>
        <v>773.5</v>
      </c>
      <c r="F53" s="127">
        <f t="shared" si="17"/>
        <v>822.8</v>
      </c>
      <c r="G53" s="127">
        <f t="shared" si="17"/>
        <v>902.6</v>
      </c>
      <c r="H53" s="127">
        <f t="shared" si="17"/>
        <v>1042.3</v>
      </c>
      <c r="I53" s="127">
        <f t="shared" si="17"/>
        <v>1226.5</v>
      </c>
      <c r="J53" s="127">
        <f t="shared" si="17"/>
        <v>1634.1</v>
      </c>
      <c r="K53" s="127">
        <f t="shared" si="17"/>
        <v>1480.1999999999998</v>
      </c>
      <c r="L53" s="127">
        <f t="shared" si="17"/>
        <v>2248.8000000000002</v>
      </c>
      <c r="M53" s="127">
        <f t="shared" si="17"/>
        <v>3566.6</v>
      </c>
      <c r="N53" s="127">
        <f t="shared" si="17"/>
        <v>3697</v>
      </c>
      <c r="O53" s="127">
        <f t="shared" si="17"/>
        <v>4911</v>
      </c>
      <c r="P53" s="127">
        <f t="shared" si="17"/>
        <v>5389</v>
      </c>
      <c r="Q53" s="127">
        <f t="shared" si="17"/>
        <v>5401</v>
      </c>
      <c r="R53" s="127">
        <f t="shared" si="17"/>
        <v>5988</v>
      </c>
      <c r="S53" s="127">
        <f t="shared" si="17"/>
        <v>6336</v>
      </c>
      <c r="T53" s="127">
        <f t="shared" si="17"/>
        <v>5787</v>
      </c>
      <c r="U53" s="127">
        <f t="shared" si="17"/>
        <v>5119</v>
      </c>
      <c r="V53" s="127">
        <f t="shared" si="17"/>
        <v>5882</v>
      </c>
      <c r="W53" s="127">
        <f t="shared" si="17"/>
        <v>6291</v>
      </c>
      <c r="X53" s="127">
        <f t="shared" si="17"/>
        <v>8555</v>
      </c>
      <c r="Y53" s="127">
        <f t="shared" si="17"/>
        <v>9077</v>
      </c>
      <c r="Z53" s="127">
        <f t="shared" si="17"/>
        <v>10354</v>
      </c>
      <c r="AA53" s="127">
        <f>AA23</f>
        <v>11177</v>
      </c>
      <c r="AB53" s="127">
        <f>AB23</f>
        <v>12276.12973988466</v>
      </c>
      <c r="AC53" s="127">
        <f>AC23</f>
        <v>12361.795709854814</v>
      </c>
      <c r="AD53" s="127">
        <f>AD23</f>
        <v>12548.783791411512</v>
      </c>
      <c r="AE53" s="127">
        <f t="shared" ref="AE53:AN53" si="18">AE23</f>
        <v>12589.979104525326</v>
      </c>
      <c r="AF53" s="127">
        <f t="shared" si="18"/>
        <v>13128.963608496539</v>
      </c>
      <c r="AG53" s="127">
        <f t="shared" si="18"/>
        <v>13099.969023568639</v>
      </c>
      <c r="AH53" s="127">
        <f t="shared" si="18"/>
        <v>12931.505249199465</v>
      </c>
      <c r="AI53" s="127">
        <f t="shared" si="18"/>
        <v>13296.622762102608</v>
      </c>
      <c r="AJ53" s="127">
        <f t="shared" si="18"/>
        <v>13467.700253154948</v>
      </c>
      <c r="AK53" s="127">
        <f t="shared" si="18"/>
        <v>13518.415421242176</v>
      </c>
      <c r="AL53" s="127">
        <f t="shared" si="18"/>
        <v>12793.035279849737</v>
      </c>
      <c r="AM53" s="127">
        <f t="shared" si="18"/>
        <v>12148.188834475599</v>
      </c>
      <c r="AN53" s="127">
        <f t="shared" si="18"/>
        <v>11921.692205259902</v>
      </c>
      <c r="AO53" s="127"/>
    </row>
    <row r="54" spans="2:41" ht="12.75" customHeight="1" outlineLevel="1">
      <c r="B54" s="196" t="s">
        <v>303</v>
      </c>
      <c r="C54" s="127">
        <f t="shared" ref="C54:Z54" si="19">C26</f>
        <v>-209.904</v>
      </c>
      <c r="D54" s="127">
        <f t="shared" si="19"/>
        <v>-130.80000000000001</v>
      </c>
      <c r="E54" s="127">
        <f t="shared" si="19"/>
        <v>-162.69999999999999</v>
      </c>
      <c r="F54" s="127">
        <f t="shared" si="19"/>
        <v>-266.89999999999998</v>
      </c>
      <c r="G54" s="127">
        <f t="shared" si="19"/>
        <v>-387.8</v>
      </c>
      <c r="H54" s="127">
        <f t="shared" si="19"/>
        <v>-407.8</v>
      </c>
      <c r="I54" s="127">
        <f t="shared" si="19"/>
        <v>-304.2</v>
      </c>
      <c r="J54" s="127">
        <f t="shared" si="19"/>
        <v>-437.7</v>
      </c>
      <c r="K54" s="127">
        <f t="shared" si="19"/>
        <v>-441.8</v>
      </c>
      <c r="L54" s="127">
        <f t="shared" si="19"/>
        <v>-658.5</v>
      </c>
      <c r="M54" s="127">
        <f t="shared" si="19"/>
        <v>-1356.8</v>
      </c>
      <c r="N54" s="127">
        <f t="shared" si="19"/>
        <v>-1336</v>
      </c>
      <c r="O54" s="127">
        <f t="shared" si="19"/>
        <v>-867</v>
      </c>
      <c r="P54" s="127">
        <f t="shared" si="19"/>
        <v>-1218</v>
      </c>
      <c r="Q54" s="127">
        <f t="shared" si="19"/>
        <v>-1267</v>
      </c>
      <c r="R54" s="127">
        <f t="shared" si="19"/>
        <v>-672</v>
      </c>
      <c r="S54" s="127">
        <f t="shared" si="19"/>
        <v>-530</v>
      </c>
      <c r="T54" s="127">
        <f t="shared" si="19"/>
        <v>-580</v>
      </c>
      <c r="U54" s="127">
        <f t="shared" si="19"/>
        <v>-567</v>
      </c>
      <c r="V54" s="127">
        <f t="shared" si="19"/>
        <v>-689</v>
      </c>
      <c r="W54" s="127">
        <f t="shared" si="19"/>
        <v>-693</v>
      </c>
      <c r="X54" s="127">
        <f t="shared" si="19"/>
        <v>-718</v>
      </c>
      <c r="Y54" s="127">
        <f t="shared" si="19"/>
        <v>-594</v>
      </c>
      <c r="Z54" s="127">
        <f t="shared" si="19"/>
        <v>-738</v>
      </c>
      <c r="AA54" s="127">
        <f>AA26</f>
        <v>-653</v>
      </c>
      <c r="AB54" s="127">
        <f>AB26</f>
        <v>-678.99419887656029</v>
      </c>
      <c r="AC54" s="127">
        <f>AC26</f>
        <v>-674.45194481190083</v>
      </c>
      <c r="AD54" s="127">
        <f>AD26</f>
        <v>-681.79799987495994</v>
      </c>
      <c r="AE54" s="127">
        <f t="shared" ref="AE54:AN54" si="20">AE26</f>
        <v>-677.43444300047122</v>
      </c>
      <c r="AF54" s="127">
        <f t="shared" si="20"/>
        <v>-702.41270933601356</v>
      </c>
      <c r="AG54" s="127">
        <f t="shared" si="20"/>
        <v>-737.75142727577929</v>
      </c>
      <c r="AH54" s="127">
        <f t="shared" si="20"/>
        <v>-759.98143403498671</v>
      </c>
      <c r="AI54" s="127">
        <f t="shared" si="20"/>
        <v>-771.69547500230112</v>
      </c>
      <c r="AJ54" s="127">
        <f t="shared" si="20"/>
        <v>-767.67441206135823</v>
      </c>
      <c r="AK54" s="127">
        <f t="shared" si="20"/>
        <v>-1279.0788574492954</v>
      </c>
      <c r="AL54" s="127">
        <f t="shared" si="20"/>
        <v>-1190.1199468108191</v>
      </c>
      <c r="AM54" s="127">
        <f t="shared" si="20"/>
        <v>-1371.5141060582921</v>
      </c>
      <c r="AN54" s="127">
        <f t="shared" si="20"/>
        <v>-2226.9408571665867</v>
      </c>
      <c r="AO54" s="127"/>
    </row>
    <row r="55" spans="2:41" ht="12.75" customHeight="1" outlineLevel="1">
      <c r="B55" s="196" t="s">
        <v>304</v>
      </c>
      <c r="C55" s="127">
        <f t="shared" ref="C55:Z55" si="21">+C39+C8</f>
        <v>34.835000000000001</v>
      </c>
      <c r="D55" s="127">
        <f t="shared" si="21"/>
        <v>23</v>
      </c>
      <c r="E55" s="127">
        <f t="shared" si="21"/>
        <v>42.8</v>
      </c>
      <c r="F55" s="127">
        <f t="shared" si="21"/>
        <v>48.6</v>
      </c>
      <c r="G55" s="127">
        <f t="shared" si="21"/>
        <v>54.7</v>
      </c>
      <c r="H55" s="127">
        <f t="shared" si="21"/>
        <v>108.2</v>
      </c>
      <c r="I55" s="127">
        <f t="shared" si="21"/>
        <v>151.6</v>
      </c>
      <c r="J55" s="127">
        <f t="shared" si="21"/>
        <v>376.6</v>
      </c>
      <c r="K55" s="127">
        <f t="shared" si="21"/>
        <v>244.5</v>
      </c>
      <c r="L55" s="127">
        <f t="shared" si="21"/>
        <v>251.6</v>
      </c>
      <c r="M55" s="127">
        <f t="shared" si="21"/>
        <v>269.10000000000002</v>
      </c>
      <c r="N55" s="127">
        <f t="shared" si="21"/>
        <v>203</v>
      </c>
      <c r="O55" s="127">
        <f t="shared" si="21"/>
        <v>315</v>
      </c>
      <c r="P55" s="127">
        <f t="shared" si="21"/>
        <v>0</v>
      </c>
      <c r="Q55" s="127">
        <f t="shared" si="21"/>
        <v>0</v>
      </c>
      <c r="R55" s="127">
        <f t="shared" si="21"/>
        <v>0</v>
      </c>
      <c r="S55" s="127">
        <f t="shared" si="21"/>
        <v>0</v>
      </c>
      <c r="T55" s="127">
        <f t="shared" si="21"/>
        <v>0</v>
      </c>
      <c r="U55" s="127">
        <f t="shared" si="21"/>
        <v>0</v>
      </c>
      <c r="V55" s="127">
        <f t="shared" si="21"/>
        <v>0</v>
      </c>
      <c r="W55" s="127">
        <f t="shared" si="21"/>
        <v>0</v>
      </c>
      <c r="X55" s="127">
        <f t="shared" si="21"/>
        <v>0</v>
      </c>
      <c r="Y55" s="127">
        <f t="shared" si="21"/>
        <v>0</v>
      </c>
      <c r="Z55" s="127">
        <f t="shared" si="21"/>
        <v>0</v>
      </c>
      <c r="AA55" s="127">
        <f>+AA39+AA8</f>
        <v>0</v>
      </c>
      <c r="AB55" s="127">
        <f>+AB39+AB8</f>
        <v>23.337069973666811</v>
      </c>
      <c r="AC55" s="127">
        <f>+AC39+AC8</f>
        <v>15.942781593474773</v>
      </c>
      <c r="AD55" s="127">
        <f>+AD39+AD8</f>
        <v>10.58716411544097</v>
      </c>
      <c r="AE55" s="127">
        <f t="shared" ref="AE55:AN55" si="22">+AE39+AE8</f>
        <v>7.0306453958547319</v>
      </c>
      <c r="AF55" s="127">
        <f t="shared" si="22"/>
        <v>4.6688588316262738</v>
      </c>
      <c r="AG55" s="127">
        <f t="shared" si="22"/>
        <v>3.1004611329860126</v>
      </c>
      <c r="AH55" s="127">
        <f t="shared" si="22"/>
        <v>2.0589312257720418</v>
      </c>
      <c r="AI55" s="127">
        <f t="shared" si="22"/>
        <v>1.3672797724693448</v>
      </c>
      <c r="AJ55" s="127">
        <f t="shared" si="22"/>
        <v>0.90797300696764693</v>
      </c>
      <c r="AK55" s="127">
        <f t="shared" si="22"/>
        <v>0.60295997789315237</v>
      </c>
      <c r="AL55" s="127">
        <f t="shared" si="22"/>
        <v>0.40040918854525503</v>
      </c>
      <c r="AM55" s="127">
        <f t="shared" si="22"/>
        <v>0.26590076315128247</v>
      </c>
      <c r="AN55" s="127">
        <f t="shared" si="22"/>
        <v>0.17657740598138996</v>
      </c>
      <c r="AO55" s="127"/>
    </row>
    <row r="56" spans="2:41" ht="12.75" customHeight="1" outlineLevel="1">
      <c r="B56" s="178" t="s">
        <v>305</v>
      </c>
      <c r="C56" s="130">
        <f t="shared" ref="C56:Z56" si="23">SUM(C53:C55)</f>
        <v>258.625</v>
      </c>
      <c r="D56" s="130">
        <f t="shared" si="23"/>
        <v>424.39999999999992</v>
      </c>
      <c r="E56" s="130">
        <f t="shared" si="23"/>
        <v>653.59999999999991</v>
      </c>
      <c r="F56" s="130">
        <f t="shared" si="23"/>
        <v>604.5</v>
      </c>
      <c r="G56" s="130">
        <f t="shared" si="23"/>
        <v>569.5</v>
      </c>
      <c r="H56" s="130">
        <f t="shared" si="23"/>
        <v>742.7</v>
      </c>
      <c r="I56" s="130">
        <f t="shared" si="23"/>
        <v>1073.8999999999999</v>
      </c>
      <c r="J56" s="130">
        <f t="shared" si="23"/>
        <v>1573</v>
      </c>
      <c r="K56" s="130">
        <f t="shared" si="23"/>
        <v>1282.8999999999999</v>
      </c>
      <c r="L56" s="130">
        <f t="shared" si="23"/>
        <v>1841.9</v>
      </c>
      <c r="M56" s="130">
        <f t="shared" si="23"/>
        <v>2478.9</v>
      </c>
      <c r="N56" s="130">
        <f t="shared" si="23"/>
        <v>2564</v>
      </c>
      <c r="O56" s="130">
        <f t="shared" si="23"/>
        <v>4359</v>
      </c>
      <c r="P56" s="130">
        <f t="shared" si="23"/>
        <v>4171</v>
      </c>
      <c r="Q56" s="130">
        <f t="shared" si="23"/>
        <v>4134</v>
      </c>
      <c r="R56" s="130">
        <f t="shared" si="23"/>
        <v>5316</v>
      </c>
      <c r="S56" s="130">
        <f t="shared" si="23"/>
        <v>5806</v>
      </c>
      <c r="T56" s="130">
        <f t="shared" si="23"/>
        <v>5207</v>
      </c>
      <c r="U56" s="130">
        <f t="shared" si="23"/>
        <v>4552</v>
      </c>
      <c r="V56" s="130">
        <f t="shared" si="23"/>
        <v>5193</v>
      </c>
      <c r="W56" s="130">
        <f t="shared" si="23"/>
        <v>5598</v>
      </c>
      <c r="X56" s="130">
        <f>SUM(X53:X55)</f>
        <v>7837</v>
      </c>
      <c r="Y56" s="130">
        <f t="shared" si="23"/>
        <v>8483</v>
      </c>
      <c r="Z56" s="130">
        <f t="shared" si="23"/>
        <v>9616</v>
      </c>
      <c r="AA56" s="130">
        <f>SUM(AA53:AA55)</f>
        <v>10524</v>
      </c>
      <c r="AB56" s="130">
        <f>SUM(AB53:AB55)</f>
        <v>11620.472610981766</v>
      </c>
      <c r="AC56" s="130">
        <f>SUM(AC53:AC55)</f>
        <v>11703.286546636387</v>
      </c>
      <c r="AD56" s="130">
        <f>SUM(AD53:AD55)</f>
        <v>11877.572955651993</v>
      </c>
      <c r="AE56" s="130">
        <f t="shared" ref="AE56:AN56" si="24">SUM(AE53:AE55)</f>
        <v>11919.575306920709</v>
      </c>
      <c r="AF56" s="130">
        <f t="shared" si="24"/>
        <v>12431.219757992152</v>
      </c>
      <c r="AG56" s="130">
        <f t="shared" si="24"/>
        <v>12365.318057425846</v>
      </c>
      <c r="AH56" s="130">
        <f t="shared" si="24"/>
        <v>12173.58274639025</v>
      </c>
      <c r="AI56" s="130">
        <f t="shared" si="24"/>
        <v>12526.294566872775</v>
      </c>
      <c r="AJ56" s="130">
        <f t="shared" si="24"/>
        <v>12700.933814100557</v>
      </c>
      <c r="AK56" s="130">
        <f t="shared" si="24"/>
        <v>12239.939523770774</v>
      </c>
      <c r="AL56" s="130">
        <f t="shared" si="24"/>
        <v>11603.315742227463</v>
      </c>
      <c r="AM56" s="130">
        <f t="shared" si="24"/>
        <v>10776.940629180459</v>
      </c>
      <c r="AN56" s="130">
        <f t="shared" si="24"/>
        <v>9694.927925499298</v>
      </c>
      <c r="AO56" s="130"/>
    </row>
    <row r="57" spans="2:41" ht="12.75" customHeight="1" outlineLevel="1">
      <c r="B57" s="128" t="s">
        <v>306</v>
      </c>
      <c r="C57" s="127"/>
      <c r="D57" s="127"/>
      <c r="E57" s="127"/>
      <c r="F57" s="127"/>
      <c r="G57" s="127"/>
      <c r="H57" s="127"/>
      <c r="I57" s="127"/>
      <c r="J57" s="127"/>
      <c r="K57" s="127"/>
      <c r="L57" s="127"/>
      <c r="M57" s="127"/>
      <c r="N57" s="127"/>
      <c r="O57" s="127"/>
      <c r="P57" s="127"/>
      <c r="Q57" s="127"/>
      <c r="R57" s="112">
        <f>IS!AT87</f>
        <v>1075</v>
      </c>
      <c r="S57" s="112">
        <f>IS!AY87</f>
        <v>1021</v>
      </c>
      <c r="T57" s="112">
        <f>IS!BD87</f>
        <v>965</v>
      </c>
      <c r="U57" s="112">
        <f>IS!BI87</f>
        <v>913</v>
      </c>
      <c r="V57" s="112">
        <f>IS!BN87</f>
        <v>787</v>
      </c>
      <c r="W57" s="112">
        <f>IS!BS87</f>
        <v>765</v>
      </c>
      <c r="X57" s="112">
        <f>IS!BX87</f>
        <v>769.75</v>
      </c>
      <c r="Y57" s="112">
        <f>IS!CC87</f>
        <v>765.75</v>
      </c>
      <c r="Z57" s="112">
        <f>IS!CH87</f>
        <v>754.25</v>
      </c>
      <c r="AA57" s="112">
        <f>IS!CM87</f>
        <v>734</v>
      </c>
      <c r="AB57" s="112">
        <f>IS!CR87</f>
        <v>674.875</v>
      </c>
      <c r="AC57" s="112">
        <f>IS!CW87</f>
        <v>646.02555671459027</v>
      </c>
      <c r="AD57" s="112">
        <f>IS!DB87</f>
        <v>632.11949703688936</v>
      </c>
      <c r="AE57" s="112">
        <f>IS!DG87</f>
        <v>615.42485494323205</v>
      </c>
      <c r="AF57" s="112">
        <f>IS!DL87</f>
        <v>599.06758701544754</v>
      </c>
      <c r="AG57" s="112">
        <f>IS!DQ87</f>
        <v>583.61514688481441</v>
      </c>
      <c r="AH57" s="112">
        <f>IS!DV87</f>
        <v>569.10683997376384</v>
      </c>
      <c r="AI57" s="112">
        <f>IS!EA87</f>
        <v>555.5669468900229</v>
      </c>
      <c r="AJ57" s="112">
        <f>IS!EF87</f>
        <v>543.01046678320415</v>
      </c>
      <c r="AK57" s="112">
        <f>IS!EK87</f>
        <v>533.4619694750113</v>
      </c>
      <c r="AL57" s="112">
        <f>IS!EP87</f>
        <v>526.42335266291684</v>
      </c>
      <c r="AM57" s="112">
        <f>IS!EU87</f>
        <v>519.37902187605187</v>
      </c>
      <c r="AN57" s="112">
        <f>IS!EZ87</f>
        <v>512.33116132735267</v>
      </c>
      <c r="AO57" s="112"/>
    </row>
    <row r="58" spans="2:41" ht="12.75" customHeight="1" outlineLevel="1">
      <c r="B58" s="182" t="s">
        <v>307</v>
      </c>
      <c r="C58" s="131"/>
      <c r="D58" s="131"/>
      <c r="E58" s="131"/>
      <c r="F58" s="131"/>
      <c r="G58" s="131"/>
      <c r="H58" s="131"/>
      <c r="I58" s="131"/>
      <c r="J58" s="131"/>
      <c r="K58" s="131"/>
      <c r="L58" s="131"/>
      <c r="M58" s="131"/>
      <c r="N58" s="131"/>
      <c r="O58" s="131"/>
      <c r="P58" s="131"/>
      <c r="Q58" s="131"/>
      <c r="R58" s="132">
        <v>57.75</v>
      </c>
      <c r="S58" s="132">
        <v>56.57</v>
      </c>
      <c r="T58" s="132">
        <v>54.9</v>
      </c>
      <c r="U58" s="132">
        <v>63.26</v>
      </c>
      <c r="V58" s="132">
        <v>85.73</v>
      </c>
      <c r="W58" s="132">
        <f t="shared" ref="W58:AN58" si="25">W63</f>
        <v>103.93036102380937</v>
      </c>
      <c r="X58" s="132">
        <f t="shared" si="25"/>
        <v>131.029404761905</v>
      </c>
      <c r="Y58" s="132">
        <f t="shared" si="25"/>
        <v>158.12408730158728</v>
      </c>
      <c r="Z58" s="132">
        <f t="shared" si="25"/>
        <v>156.01956349206347</v>
      </c>
      <c r="AA58" s="132">
        <f t="shared" si="25"/>
        <v>167.25300958565737</v>
      </c>
      <c r="AB58" s="132">
        <f t="shared" si="25"/>
        <v>179.79698530458165</v>
      </c>
      <c r="AC58" s="132">
        <f t="shared" si="25"/>
        <v>193.28175920242526</v>
      </c>
      <c r="AD58" s="132">
        <f t="shared" si="25"/>
        <v>207.77789114260716</v>
      </c>
      <c r="AE58" s="132">
        <f t="shared" si="25"/>
        <v>223.3612329783027</v>
      </c>
      <c r="AF58" s="132">
        <f t="shared" si="25"/>
        <v>240.11332545167539</v>
      </c>
      <c r="AG58" s="132">
        <f t="shared" si="25"/>
        <v>258.12182486055104</v>
      </c>
      <c r="AH58" s="132">
        <f t="shared" si="25"/>
        <v>277.48096172509236</v>
      </c>
      <c r="AI58" s="132">
        <f t="shared" si="25"/>
        <v>298.29203385447425</v>
      </c>
      <c r="AJ58" s="132">
        <f t="shared" si="25"/>
        <v>320.66393639355982</v>
      </c>
      <c r="AK58" s="132">
        <f t="shared" si="25"/>
        <v>344.7137316230768</v>
      </c>
      <c r="AL58" s="132">
        <f t="shared" si="25"/>
        <v>370.56726149480755</v>
      </c>
      <c r="AM58" s="132">
        <f t="shared" si="25"/>
        <v>398.35980610691809</v>
      </c>
      <c r="AN58" s="132">
        <f t="shared" si="25"/>
        <v>428.23679156493694</v>
      </c>
      <c r="AO58" s="132"/>
    </row>
    <row r="59" spans="2:41" ht="12.75" customHeight="1" outlineLevel="1">
      <c r="B59" s="178" t="s">
        <v>308</v>
      </c>
      <c r="C59" s="130"/>
      <c r="D59" s="130"/>
      <c r="E59" s="130"/>
      <c r="F59" s="130"/>
      <c r="G59" s="130"/>
      <c r="H59" s="130"/>
      <c r="I59" s="130"/>
      <c r="J59" s="130"/>
      <c r="K59" s="130"/>
      <c r="L59" s="130"/>
      <c r="M59" s="130"/>
      <c r="N59" s="130"/>
      <c r="O59" s="130"/>
      <c r="P59" s="130"/>
      <c r="Q59" s="130"/>
      <c r="R59" s="130">
        <f t="shared" ref="R59:Z59" si="26">+R57*R58</f>
        <v>62081.25</v>
      </c>
      <c r="S59" s="130">
        <f t="shared" si="26"/>
        <v>57757.97</v>
      </c>
      <c r="T59" s="130">
        <f t="shared" si="26"/>
        <v>52978.5</v>
      </c>
      <c r="U59" s="130">
        <f t="shared" si="26"/>
        <v>57756.38</v>
      </c>
      <c r="V59" s="130">
        <f t="shared" si="26"/>
        <v>67469.510000000009</v>
      </c>
      <c r="W59" s="130">
        <f t="shared" si="26"/>
        <v>79506.726183214167</v>
      </c>
      <c r="X59" s="130">
        <f t="shared" si="26"/>
        <v>100859.88431547637</v>
      </c>
      <c r="Y59" s="130">
        <f t="shared" si="26"/>
        <v>121083.51985119046</v>
      </c>
      <c r="Z59" s="130">
        <f t="shared" si="26"/>
        <v>117677.75576388887</v>
      </c>
      <c r="AA59" s="130">
        <f>+AA57*AA58</f>
        <v>122763.70903587251</v>
      </c>
      <c r="AB59" s="130">
        <f>+AB57*AB58</f>
        <v>121340.49045742955</v>
      </c>
      <c r="AC59" s="130">
        <f>+AC57*AC58</f>
        <v>124864.95609152217</v>
      </c>
      <c r="AD59" s="130">
        <f>+AD57*AD58</f>
        <v>131340.45604445037</v>
      </c>
      <c r="AE59" s="130">
        <f t="shared" ref="AE59:AN59" si="27">+AE57*AE58</f>
        <v>137462.05440561339</v>
      </c>
      <c r="AF59" s="130">
        <f t="shared" si="27"/>
        <v>143844.11048859003</v>
      </c>
      <c r="AG59" s="130">
        <f t="shared" si="27"/>
        <v>150643.80673016683</v>
      </c>
      <c r="AH59" s="130">
        <f t="shared" si="27"/>
        <v>157916.31328024823</v>
      </c>
      <c r="AI59" s="130">
        <f t="shared" si="27"/>
        <v>165721.19453014561</v>
      </c>
      <c r="AJ59" s="130">
        <f t="shared" si="27"/>
        <v>174123.87378160661</v>
      </c>
      <c r="AK59" s="130">
        <f t="shared" si="27"/>
        <v>183891.66617672704</v>
      </c>
      <c r="AL59" s="130">
        <f t="shared" si="27"/>
        <v>195075.26018321241</v>
      </c>
      <c r="AM59" s="130">
        <f t="shared" si="27"/>
        <v>206899.72645054478</v>
      </c>
      <c r="AN59" s="130">
        <f t="shared" si="27"/>
        <v>219399.05274556362</v>
      </c>
      <c r="AO59" s="130"/>
    </row>
    <row r="60" spans="2:41" ht="12.75" customHeight="1" outlineLevel="1">
      <c r="B60" s="199" t="s">
        <v>309</v>
      </c>
      <c r="C60" s="134"/>
      <c r="D60" s="134"/>
      <c r="E60" s="134"/>
      <c r="F60" s="134"/>
      <c r="G60" s="134"/>
      <c r="H60" s="134"/>
      <c r="I60" s="134"/>
      <c r="J60" s="134"/>
      <c r="K60" s="134"/>
      <c r="L60" s="134"/>
      <c r="M60" s="134"/>
      <c r="N60" s="134"/>
      <c r="O60" s="134"/>
      <c r="P60" s="134"/>
      <c r="Q60" s="134"/>
      <c r="R60" s="135">
        <f t="shared" ref="R60:Z60" si="28">+R56/R59</f>
        <v>8.562971911809121E-2</v>
      </c>
      <c r="S60" s="135">
        <f t="shared" si="28"/>
        <v>0.10052292350302477</v>
      </c>
      <c r="T60" s="135">
        <f t="shared" si="28"/>
        <v>9.8285153411289489E-2</v>
      </c>
      <c r="U60" s="135">
        <f t="shared" si="28"/>
        <v>7.881380377371297E-2</v>
      </c>
      <c r="V60" s="135">
        <f t="shared" si="28"/>
        <v>7.69681001092197E-2</v>
      </c>
      <c r="W60" s="135">
        <f t="shared" si="28"/>
        <v>7.0409137298648783E-2</v>
      </c>
      <c r="X60" s="135">
        <f t="shared" si="28"/>
        <v>7.7701853945091798E-2</v>
      </c>
      <c r="Y60" s="135">
        <f t="shared" si="28"/>
        <v>7.0059079967492346E-2</v>
      </c>
      <c r="Z60" s="135">
        <f t="shared" si="28"/>
        <v>8.1714678679747646E-2</v>
      </c>
      <c r="AA60" s="135">
        <f>+AA56/AA59</f>
        <v>8.57256601535622E-2</v>
      </c>
      <c r="AB60" s="135">
        <f>+AB56/AB59</f>
        <v>9.5767476851089786E-2</v>
      </c>
      <c r="AC60" s="135">
        <f>+AC56/AC59</f>
        <v>9.372755105169972E-2</v>
      </c>
      <c r="AD60" s="135">
        <f>+AD56/AD59</f>
        <v>9.0433468204436498E-2</v>
      </c>
      <c r="AE60" s="135">
        <f t="shared" ref="AE60:AN60" si="29">+AE56/AE59</f>
        <v>8.6711750078674529E-2</v>
      </c>
      <c r="AF60" s="135">
        <f t="shared" si="29"/>
        <v>8.6421471937693395E-2</v>
      </c>
      <c r="AG60" s="135">
        <f t="shared" si="29"/>
        <v>8.2083149157101437E-2</v>
      </c>
      <c r="AH60" s="135">
        <f t="shared" si="29"/>
        <v>7.7088823146385418E-2</v>
      </c>
      <c r="AI60" s="135">
        <f t="shared" si="29"/>
        <v>7.5586557304196667E-2</v>
      </c>
      <c r="AJ60" s="135">
        <f t="shared" si="29"/>
        <v>7.2941943791295358E-2</v>
      </c>
      <c r="AK60" s="135">
        <f t="shared" si="29"/>
        <v>6.6560599391207412E-2</v>
      </c>
      <c r="AL60" s="135">
        <f t="shared" si="29"/>
        <v>5.9481226534465546E-2</v>
      </c>
      <c r="AM60" s="135">
        <f t="shared" si="29"/>
        <v>5.2087747113365418E-2</v>
      </c>
      <c r="AN60" s="135">
        <f t="shared" si="29"/>
        <v>4.4188558720636206E-2</v>
      </c>
      <c r="AO60" s="135"/>
    </row>
    <row r="61" spans="2:41" ht="12.75" customHeight="1">
      <c r="B61" s="600" t="s">
        <v>699</v>
      </c>
      <c r="C61" s="107"/>
      <c r="D61" s="107"/>
      <c r="E61" s="107"/>
      <c r="F61" s="107"/>
      <c r="G61" s="107"/>
      <c r="H61" s="107"/>
      <c r="I61" s="107"/>
      <c r="J61" s="107"/>
      <c r="K61" s="107"/>
      <c r="L61" s="107"/>
      <c r="M61" s="107"/>
      <c r="N61" s="107"/>
      <c r="O61" s="107"/>
      <c r="P61" s="107"/>
      <c r="Q61" s="107"/>
      <c r="R61" s="136"/>
      <c r="S61" s="136"/>
      <c r="T61" s="136"/>
      <c r="U61" s="136"/>
      <c r="V61" s="136"/>
      <c r="W61" s="136"/>
      <c r="X61" s="136"/>
      <c r="Y61" s="136"/>
      <c r="Z61" s="136"/>
      <c r="AA61" s="107"/>
    </row>
    <row r="62" spans="2:41" ht="12.75" customHeight="1">
      <c r="B62" s="114" t="s">
        <v>310</v>
      </c>
      <c r="C62" s="123"/>
      <c r="D62" s="123"/>
      <c r="E62" s="123"/>
      <c r="F62" s="123"/>
      <c r="G62" s="123"/>
      <c r="H62" s="123"/>
      <c r="I62" s="126"/>
      <c r="J62" s="126"/>
      <c r="K62" s="126"/>
      <c r="L62" s="126"/>
      <c r="M62" s="126"/>
      <c r="N62" s="126"/>
      <c r="O62" s="126"/>
      <c r="P62" s="126"/>
      <c r="Q62" s="126"/>
      <c r="R62" s="126"/>
      <c r="S62" s="126"/>
      <c r="T62" s="126"/>
      <c r="U62" s="126"/>
      <c r="V62" s="126"/>
      <c r="W62" s="126"/>
      <c r="X62" s="126"/>
      <c r="Y62" s="126"/>
      <c r="Z62" s="126"/>
      <c r="AA62" s="123"/>
    </row>
    <row r="63" spans="2:41" ht="12.75" customHeight="1" outlineLevel="1">
      <c r="B63" s="200" t="s">
        <v>311</v>
      </c>
      <c r="C63" s="4"/>
      <c r="D63" s="4"/>
      <c r="E63" s="4"/>
      <c r="F63" s="4"/>
      <c r="G63" s="4"/>
      <c r="H63" s="4"/>
      <c r="I63" s="137"/>
      <c r="J63" s="138"/>
      <c r="K63" s="138"/>
      <c r="L63" s="138"/>
      <c r="M63" s="138"/>
      <c r="N63" s="138"/>
      <c r="O63" s="138"/>
      <c r="P63" s="138"/>
      <c r="Q63" s="138"/>
      <c r="R63" s="138">
        <v>51.14125826086952</v>
      </c>
      <c r="S63" s="138">
        <v>54.914957079365053</v>
      </c>
      <c r="T63" s="138">
        <v>55.765885070588176</v>
      </c>
      <c r="U63" s="138">
        <v>56.038088416666639</v>
      </c>
      <c r="V63" s="138">
        <v>76.366388319999913</v>
      </c>
      <c r="W63" s="138">
        <v>103.93036102380937</v>
      </c>
      <c r="X63" s="138">
        <v>131.029404761905</v>
      </c>
      <c r="Y63" s="138">
        <v>158.12408730158728</v>
      </c>
      <c r="Z63" s="138">
        <v>156.01956349206347</v>
      </c>
      <c r="AA63" s="138">
        <v>167.25300958565737</v>
      </c>
      <c r="AB63" s="138">
        <f>+AA63*(1+$AO$63)</f>
        <v>179.79698530458165</v>
      </c>
      <c r="AC63" s="138">
        <f>+AB63*(1+$AO$63)</f>
        <v>193.28175920242526</v>
      </c>
      <c r="AD63" s="138">
        <f>+AC63*(1+$AO$63)</f>
        <v>207.77789114260716</v>
      </c>
      <c r="AE63" s="138">
        <f t="shared" ref="AE63:AN63" si="30">+AD63*(1+$AO$63)</f>
        <v>223.3612329783027</v>
      </c>
      <c r="AF63" s="138">
        <f t="shared" si="30"/>
        <v>240.11332545167539</v>
      </c>
      <c r="AG63" s="138">
        <f t="shared" si="30"/>
        <v>258.12182486055104</v>
      </c>
      <c r="AH63" s="138">
        <f t="shared" si="30"/>
        <v>277.48096172509236</v>
      </c>
      <c r="AI63" s="138">
        <f t="shared" si="30"/>
        <v>298.29203385447425</v>
      </c>
      <c r="AJ63" s="138">
        <f t="shared" si="30"/>
        <v>320.66393639355982</v>
      </c>
      <c r="AK63" s="138">
        <f t="shared" si="30"/>
        <v>344.7137316230768</v>
      </c>
      <c r="AL63" s="138">
        <f t="shared" si="30"/>
        <v>370.56726149480755</v>
      </c>
      <c r="AM63" s="138">
        <f t="shared" si="30"/>
        <v>398.35980610691809</v>
      </c>
      <c r="AN63" s="138">
        <f t="shared" si="30"/>
        <v>428.23679156493694</v>
      </c>
      <c r="AO63" s="696">
        <v>7.4999999999999997E-2</v>
      </c>
    </row>
    <row r="64" spans="2:41" ht="12.75" customHeight="1" outlineLevel="1">
      <c r="B64" s="194" t="s">
        <v>312</v>
      </c>
      <c r="C64" s="105"/>
      <c r="D64" s="105"/>
      <c r="E64" s="105"/>
      <c r="F64" s="105"/>
      <c r="G64" s="105"/>
      <c r="H64" s="105"/>
      <c r="I64" s="139"/>
      <c r="J64" s="140">
        <v>115.8</v>
      </c>
      <c r="K64" s="140">
        <v>98.7</v>
      </c>
      <c r="L64" s="140">
        <v>94.4</v>
      </c>
      <c r="M64" s="140">
        <v>103</v>
      </c>
      <c r="N64" s="140">
        <v>95</v>
      </c>
      <c r="O64" s="140">
        <v>89</v>
      </c>
      <c r="P64" s="140">
        <v>67.599999999999994</v>
      </c>
      <c r="Q64" s="140">
        <v>68.2</v>
      </c>
      <c r="R64" s="140">
        <v>62.1</v>
      </c>
      <c r="S64" s="140">
        <v>50.8</v>
      </c>
      <c r="T64" s="140">
        <v>50.8</v>
      </c>
      <c r="U64" s="140">
        <v>46.8</v>
      </c>
      <c r="V64" s="140">
        <v>34.200000000000003</v>
      </c>
      <c r="W64" s="544">
        <v>12.3</v>
      </c>
      <c r="X64" s="544">
        <v>7.4</v>
      </c>
      <c r="Y64" s="544">
        <v>4.0999999999999996</v>
      </c>
      <c r="Z64" s="544">
        <v>2.8</v>
      </c>
      <c r="AA64" s="544">
        <v>3.1</v>
      </c>
      <c r="AB64" s="140">
        <f t="shared" ref="AB64:AN64" si="31">AA64-AA70+AA76-AA68</f>
        <v>3.9999999999999996</v>
      </c>
      <c r="AC64" s="140">
        <f t="shared" si="31"/>
        <v>2.4709677419354836</v>
      </c>
      <c r="AD64" s="140">
        <f t="shared" si="31"/>
        <v>1.5264203954214359</v>
      </c>
      <c r="AE64" s="140">
        <f t="shared" si="31"/>
        <v>0.94293388942969358</v>
      </c>
      <c r="AF64" s="140">
        <f t="shared" si="31"/>
        <v>0.58248980588963328</v>
      </c>
      <c r="AG64" s="140">
        <f t="shared" si="31"/>
        <v>0.35982838008988638</v>
      </c>
      <c r="AH64" s="140">
        <f t="shared" si="31"/>
        <v>0.2222810799587524</v>
      </c>
      <c r="AI64" s="140">
        <f t="shared" si="31"/>
        <v>0.13731234455516481</v>
      </c>
      <c r="AJ64" s="140">
        <f t="shared" si="31"/>
        <v>8.4823593491335683E-2</v>
      </c>
      <c r="AK64" s="140">
        <f t="shared" si="31"/>
        <v>5.2399090818034788E-2</v>
      </c>
      <c r="AL64" s="140">
        <f t="shared" si="31"/>
        <v>3.2369115779527939E-2</v>
      </c>
      <c r="AM64" s="140">
        <f t="shared" si="31"/>
        <v>1.9995760231547099E-2</v>
      </c>
      <c r="AN64" s="140">
        <f t="shared" si="31"/>
        <v>1.2352219626907321E-2</v>
      </c>
      <c r="AO64" s="140"/>
    </row>
    <row r="65" spans="2:41" ht="12.75" customHeight="1" outlineLevel="1">
      <c r="B65" s="194" t="s">
        <v>313</v>
      </c>
      <c r="C65" s="105"/>
      <c r="D65" s="105"/>
      <c r="E65" s="105"/>
      <c r="F65" s="105"/>
      <c r="G65" s="105"/>
      <c r="H65" s="105"/>
      <c r="I65" s="139"/>
      <c r="J65" s="140">
        <v>55.5</v>
      </c>
      <c r="K65" s="140">
        <v>53.4</v>
      </c>
      <c r="L65" s="140">
        <v>62.4</v>
      </c>
      <c r="M65" s="140">
        <v>52.4</v>
      </c>
      <c r="N65" s="140">
        <v>47</v>
      </c>
      <c r="O65" s="140">
        <v>34</v>
      </c>
      <c r="P65" s="140">
        <v>40.299999999999997</v>
      </c>
      <c r="Q65" s="140">
        <v>41.7</v>
      </c>
      <c r="R65" s="140">
        <v>34.6</v>
      </c>
      <c r="S65" s="140">
        <v>35.4</v>
      </c>
      <c r="T65" s="140">
        <v>31.7</v>
      </c>
      <c r="U65" s="140">
        <v>23.6</v>
      </c>
      <c r="V65" s="140">
        <v>6.3</v>
      </c>
      <c r="W65" s="140">
        <v>4.8</v>
      </c>
      <c r="X65" s="140">
        <v>3.5</v>
      </c>
      <c r="Y65" s="140">
        <f t="shared" ref="Y65:AD65" si="32">((Z64+Y64)/2)*Y66</f>
        <v>1.7249999999999999</v>
      </c>
      <c r="Z65" s="140">
        <f t="shared" si="32"/>
        <v>1.4750000000000001</v>
      </c>
      <c r="AA65" s="140">
        <f t="shared" si="32"/>
        <v>1.7749999999999999</v>
      </c>
      <c r="AB65" s="140">
        <f t="shared" si="32"/>
        <v>1.6177419354838709</v>
      </c>
      <c r="AC65" s="140">
        <f t="shared" si="32"/>
        <v>0.99934703433922989</v>
      </c>
      <c r="AD65" s="140">
        <f t="shared" si="32"/>
        <v>0.61733857121278235</v>
      </c>
      <c r="AE65" s="140">
        <f t="shared" ref="AE65:AN65" si="33">((AF64+AE64)/2)*AE66</f>
        <v>0.38135592382983174</v>
      </c>
      <c r="AF65" s="140">
        <f t="shared" si="33"/>
        <v>0.23557954649487992</v>
      </c>
      <c r="AG65" s="140">
        <f t="shared" si="33"/>
        <v>0.14552736501215968</v>
      </c>
      <c r="AH65" s="140">
        <f t="shared" si="33"/>
        <v>8.9898356128479295E-2</v>
      </c>
      <c r="AI65" s="140">
        <f t="shared" si="33"/>
        <v>5.5533984511625126E-2</v>
      </c>
      <c r="AJ65" s="140">
        <f t="shared" si="33"/>
        <v>3.4305671077342614E-2</v>
      </c>
      <c r="AK65" s="140">
        <f t="shared" si="33"/>
        <v>2.1192051649390684E-2</v>
      </c>
      <c r="AL65" s="140">
        <f t="shared" si="33"/>
        <v>1.3091219002768759E-2</v>
      </c>
      <c r="AM65" s="140">
        <f t="shared" si="33"/>
        <v>8.0869949646136044E-3</v>
      </c>
      <c r="AN65" s="140">
        <f t="shared" si="33"/>
        <v>3.0880549067268301E-3</v>
      </c>
      <c r="AO65" s="140"/>
    </row>
    <row r="66" spans="2:41" ht="12.75" customHeight="1" outlineLevel="1">
      <c r="B66" s="195" t="s">
        <v>314</v>
      </c>
      <c r="I66" s="124"/>
      <c r="J66" s="141">
        <f t="shared" ref="J66:T66" si="34">J65/((J64+K64)/2)</f>
        <v>0.5174825174825175</v>
      </c>
      <c r="K66" s="141">
        <f t="shared" si="34"/>
        <v>0.55308130502330388</v>
      </c>
      <c r="L66" s="141">
        <f t="shared" si="34"/>
        <v>0.63221884498480241</v>
      </c>
      <c r="M66" s="141">
        <f t="shared" si="34"/>
        <v>0.52929292929292926</v>
      </c>
      <c r="N66" s="141">
        <f t="shared" si="34"/>
        <v>0.51086956521739135</v>
      </c>
      <c r="O66" s="141">
        <f t="shared" si="34"/>
        <v>0.43422733077905495</v>
      </c>
      <c r="P66" s="141">
        <f t="shared" si="34"/>
        <v>0.59351988217967588</v>
      </c>
      <c r="Q66" s="141">
        <f t="shared" si="34"/>
        <v>0.64006139677666918</v>
      </c>
      <c r="R66" s="141">
        <f t="shared" si="34"/>
        <v>0.61293179805137288</v>
      </c>
      <c r="S66" s="141">
        <f t="shared" si="34"/>
        <v>0.69685039370078738</v>
      </c>
      <c r="T66" s="141">
        <f t="shared" si="34"/>
        <v>0.64959016393442626</v>
      </c>
      <c r="U66" s="141">
        <f>U65/((U64+V64)/2)</f>
        <v>0.58271604938271604</v>
      </c>
      <c r="V66" s="141">
        <f>V65/((V64+W64)/2)</f>
        <v>0.27096774193548384</v>
      </c>
      <c r="W66" s="141">
        <f>W65/((W64+X64)/2)</f>
        <v>0.48730964467005067</v>
      </c>
      <c r="X66" s="142">
        <v>0.5</v>
      </c>
      <c r="Y66" s="142">
        <v>0.5</v>
      </c>
      <c r="Z66" s="142">
        <v>0.5</v>
      </c>
      <c r="AA66" s="142">
        <v>0.5</v>
      </c>
      <c r="AB66" s="142">
        <v>0.5</v>
      </c>
      <c r="AC66" s="142">
        <v>0.5</v>
      </c>
      <c r="AD66" s="142">
        <v>0.5</v>
      </c>
      <c r="AE66" s="142">
        <v>0.5</v>
      </c>
      <c r="AF66" s="142">
        <v>0.5</v>
      </c>
      <c r="AG66" s="142">
        <v>0.5</v>
      </c>
      <c r="AH66" s="142">
        <v>0.5</v>
      </c>
      <c r="AI66" s="142">
        <v>0.5</v>
      </c>
      <c r="AJ66" s="142">
        <v>0.5</v>
      </c>
      <c r="AK66" s="142">
        <v>0.5</v>
      </c>
      <c r="AL66" s="142">
        <v>0.5</v>
      </c>
      <c r="AM66" s="142">
        <v>0.5</v>
      </c>
      <c r="AN66" s="142">
        <v>0.5</v>
      </c>
      <c r="AO66" s="142"/>
    </row>
    <row r="67" spans="2:41" ht="12.75" customHeight="1" outlineLevel="1">
      <c r="B67" s="195" t="s">
        <v>315</v>
      </c>
      <c r="I67" s="124"/>
      <c r="J67" s="132">
        <v>15.35</v>
      </c>
      <c r="K67" s="132">
        <v>20.81</v>
      </c>
      <c r="L67" s="132">
        <v>27.03</v>
      </c>
      <c r="M67" s="132">
        <v>34.380000000000003</v>
      </c>
      <c r="N67" s="132">
        <v>44.69</v>
      </c>
      <c r="O67" s="132">
        <v>51.92</v>
      </c>
      <c r="P67" s="132">
        <v>56.97</v>
      </c>
      <c r="Q67" s="132">
        <v>58.41</v>
      </c>
      <c r="R67" s="132">
        <v>60.09</v>
      </c>
      <c r="S67" s="132">
        <v>62.2</v>
      </c>
      <c r="T67" s="132">
        <v>61.05</v>
      </c>
      <c r="U67" s="132">
        <v>61.49</v>
      </c>
      <c r="V67" s="132">
        <v>56.59</v>
      </c>
      <c r="W67" s="547">
        <v>53.95</v>
      </c>
      <c r="X67" s="547">
        <v>54.45</v>
      </c>
      <c r="Y67" s="547">
        <v>56.19</v>
      </c>
      <c r="Z67" s="547">
        <v>57.95</v>
      </c>
      <c r="AA67" s="547">
        <v>58.23</v>
      </c>
      <c r="AB67" s="132">
        <v>80</v>
      </c>
      <c r="AC67" s="132">
        <v>80</v>
      </c>
      <c r="AD67" s="132">
        <v>80</v>
      </c>
      <c r="AE67" s="132">
        <v>80</v>
      </c>
      <c r="AF67" s="132">
        <v>80</v>
      </c>
      <c r="AG67" s="132">
        <v>80</v>
      </c>
      <c r="AH67" s="132">
        <v>80</v>
      </c>
      <c r="AI67" s="132">
        <v>80</v>
      </c>
      <c r="AJ67" s="132">
        <v>80</v>
      </c>
      <c r="AK67" s="132">
        <v>80</v>
      </c>
      <c r="AL67" s="132">
        <v>80</v>
      </c>
      <c r="AM67" s="132">
        <v>80</v>
      </c>
      <c r="AN67" s="132">
        <v>80</v>
      </c>
      <c r="AO67" s="132"/>
    </row>
    <row r="68" spans="2:41" ht="12.75" customHeight="1" outlineLevel="1">
      <c r="B68" s="201" t="s">
        <v>316</v>
      </c>
      <c r="C68" s="143"/>
      <c r="D68" s="143"/>
      <c r="E68" s="143"/>
      <c r="F68" s="143"/>
      <c r="G68" s="143"/>
      <c r="H68" s="143"/>
      <c r="I68" s="144"/>
      <c r="J68" s="145">
        <v>2</v>
      </c>
      <c r="K68" s="145">
        <v>2.2999999999999998</v>
      </c>
      <c r="L68" s="145">
        <v>4.9000000000000004</v>
      </c>
      <c r="M68" s="145">
        <v>4</v>
      </c>
      <c r="N68" s="145">
        <v>6</v>
      </c>
      <c r="O68" s="145">
        <v>5.6</v>
      </c>
      <c r="P68" s="145">
        <v>2.7</v>
      </c>
      <c r="Q68" s="145">
        <v>9.5</v>
      </c>
      <c r="R68" s="145">
        <v>14.4</v>
      </c>
      <c r="S68" s="145">
        <v>2.7</v>
      </c>
      <c r="T68" s="145">
        <v>9.4</v>
      </c>
      <c r="U68" s="145">
        <v>9.9</v>
      </c>
      <c r="V68" s="145">
        <v>1.1000000000000001</v>
      </c>
      <c r="W68" s="545">
        <v>0.3</v>
      </c>
      <c r="X68" s="545">
        <v>0.2</v>
      </c>
      <c r="Y68" s="545">
        <v>0</v>
      </c>
      <c r="Z68" s="545">
        <v>0.1</v>
      </c>
      <c r="AA68" s="545">
        <v>0.1</v>
      </c>
      <c r="AB68" s="145">
        <f t="shared" ref="AB68:AN68" si="35">AB69*AB64</f>
        <v>0.1290322580645161</v>
      </c>
      <c r="AC68" s="145">
        <f t="shared" si="35"/>
        <v>7.9708636836628502E-2</v>
      </c>
      <c r="AD68" s="145">
        <f t="shared" si="35"/>
        <v>4.9239367594239865E-2</v>
      </c>
      <c r="AE68" s="145">
        <f t="shared" si="35"/>
        <v>3.0417222239667533E-2</v>
      </c>
      <c r="AF68" s="145">
        <f t="shared" si="35"/>
        <v>1.8789993738375265E-2</v>
      </c>
      <c r="AG68" s="145">
        <f t="shared" si="35"/>
        <v>1.1607367099673754E-2</v>
      </c>
      <c r="AH68" s="145">
        <f t="shared" si="35"/>
        <v>7.170357418024271E-3</v>
      </c>
      <c r="AI68" s="145">
        <f t="shared" si="35"/>
        <v>4.429430469521445E-3</v>
      </c>
      <c r="AJ68" s="145">
        <f t="shared" si="35"/>
        <v>2.7362449513334093E-3</v>
      </c>
      <c r="AK68" s="145">
        <f t="shared" si="35"/>
        <v>1.6902932521946706E-3</v>
      </c>
      <c r="AL68" s="145">
        <f t="shared" si="35"/>
        <v>1.0441650251460624E-3</v>
      </c>
      <c r="AM68" s="145">
        <f t="shared" si="35"/>
        <v>6.4502452359829353E-4</v>
      </c>
      <c r="AN68" s="145">
        <f t="shared" si="35"/>
        <v>3.984586976421716E-4</v>
      </c>
      <c r="AO68" s="145"/>
    </row>
    <row r="69" spans="2:41" ht="12.75" customHeight="1" outlineLevel="1">
      <c r="B69" s="195" t="s">
        <v>317</v>
      </c>
      <c r="I69" s="124"/>
      <c r="J69" s="141">
        <f t="shared" ref="J69:AA69" si="36">J68/J64</f>
        <v>1.7271157167530225E-2</v>
      </c>
      <c r="K69" s="141">
        <f t="shared" si="36"/>
        <v>2.3302938196555215E-2</v>
      </c>
      <c r="L69" s="141">
        <f t="shared" si="36"/>
        <v>5.190677966101695E-2</v>
      </c>
      <c r="M69" s="141">
        <f t="shared" si="36"/>
        <v>3.8834951456310676E-2</v>
      </c>
      <c r="N69" s="141">
        <f t="shared" si="36"/>
        <v>6.3157894736842107E-2</v>
      </c>
      <c r="O69" s="141">
        <f t="shared" si="36"/>
        <v>6.2921348314606731E-2</v>
      </c>
      <c r="P69" s="141">
        <f t="shared" si="36"/>
        <v>3.9940828402366867E-2</v>
      </c>
      <c r="Q69" s="141">
        <f t="shared" si="36"/>
        <v>0.13929618768328444</v>
      </c>
      <c r="R69" s="141">
        <f t="shared" si="36"/>
        <v>0.2318840579710145</v>
      </c>
      <c r="S69" s="141">
        <f t="shared" si="36"/>
        <v>5.3149606299212608E-2</v>
      </c>
      <c r="T69" s="141">
        <f t="shared" si="36"/>
        <v>0.18503937007874016</v>
      </c>
      <c r="U69" s="141">
        <f t="shared" si="36"/>
        <v>0.21153846153846156</v>
      </c>
      <c r="V69" s="141">
        <f t="shared" si="36"/>
        <v>3.2163742690058478E-2</v>
      </c>
      <c r="W69" s="546">
        <f t="shared" si="36"/>
        <v>2.4390243902439022E-2</v>
      </c>
      <c r="X69" s="546">
        <f t="shared" si="36"/>
        <v>2.7027027027027029E-2</v>
      </c>
      <c r="Y69" s="546">
        <f t="shared" si="36"/>
        <v>0</v>
      </c>
      <c r="Z69" s="546">
        <f t="shared" si="36"/>
        <v>3.5714285714285719E-2</v>
      </c>
      <c r="AA69" s="546">
        <f t="shared" si="36"/>
        <v>3.2258064516129031E-2</v>
      </c>
      <c r="AB69" s="146">
        <f>AA69</f>
        <v>3.2258064516129031E-2</v>
      </c>
      <c r="AC69" s="146">
        <f>AB69</f>
        <v>3.2258064516129031E-2</v>
      </c>
      <c r="AD69" s="146">
        <f>AC69</f>
        <v>3.2258064516129031E-2</v>
      </c>
      <c r="AE69" s="146">
        <f>AD69</f>
        <v>3.2258064516129031E-2</v>
      </c>
      <c r="AF69" s="146">
        <f t="shared" ref="AF69:AN69" si="37">AE69</f>
        <v>3.2258064516129031E-2</v>
      </c>
      <c r="AG69" s="146">
        <f t="shared" si="37"/>
        <v>3.2258064516129031E-2</v>
      </c>
      <c r="AH69" s="146">
        <f t="shared" si="37"/>
        <v>3.2258064516129031E-2</v>
      </c>
      <c r="AI69" s="146">
        <f t="shared" si="37"/>
        <v>3.2258064516129031E-2</v>
      </c>
      <c r="AJ69" s="146">
        <f t="shared" si="37"/>
        <v>3.2258064516129031E-2</v>
      </c>
      <c r="AK69" s="146">
        <f t="shared" si="37"/>
        <v>3.2258064516129031E-2</v>
      </c>
      <c r="AL69" s="146">
        <f t="shared" si="37"/>
        <v>3.2258064516129031E-2</v>
      </c>
      <c r="AM69" s="146">
        <f t="shared" si="37"/>
        <v>3.2258064516129031E-2</v>
      </c>
      <c r="AN69" s="146">
        <f t="shared" si="37"/>
        <v>3.2258064516129031E-2</v>
      </c>
      <c r="AO69" s="146"/>
    </row>
    <row r="70" spans="2:41" ht="12.75" customHeight="1" outlineLevel="1">
      <c r="B70" s="194" t="s">
        <v>318</v>
      </c>
      <c r="C70" s="105"/>
      <c r="D70" s="105"/>
      <c r="E70" s="105"/>
      <c r="F70" s="105"/>
      <c r="G70" s="105"/>
      <c r="H70" s="105"/>
      <c r="I70" s="139"/>
      <c r="J70" s="140">
        <v>28.2</v>
      </c>
      <c r="K70" s="140">
        <v>20.6</v>
      </c>
      <c r="L70" s="140">
        <v>26.2</v>
      </c>
      <c r="M70" s="140">
        <v>23</v>
      </c>
      <c r="N70" s="140">
        <v>20</v>
      </c>
      <c r="O70" s="140">
        <v>25.5</v>
      </c>
      <c r="P70" s="140">
        <v>10.7</v>
      </c>
      <c r="Q70" s="140">
        <v>4.2</v>
      </c>
      <c r="R70" s="140">
        <v>3.8</v>
      </c>
      <c r="S70" s="140">
        <v>3.9</v>
      </c>
      <c r="T70" s="140">
        <v>1.3</v>
      </c>
      <c r="U70" s="140">
        <v>5</v>
      </c>
      <c r="V70" s="140">
        <v>20.9</v>
      </c>
      <c r="W70" s="544">
        <v>4.7</v>
      </c>
      <c r="X70" s="544">
        <v>3.1</v>
      </c>
      <c r="Y70" s="544">
        <v>1.3</v>
      </c>
      <c r="Z70" s="544">
        <v>1</v>
      </c>
      <c r="AA70" s="544">
        <v>0.5</v>
      </c>
      <c r="AB70" s="140">
        <f t="shared" ref="AB70:AN70" si="38">AB71*AB64</f>
        <v>1.3999999999999997</v>
      </c>
      <c r="AC70" s="140">
        <f t="shared" si="38"/>
        <v>0.86483870967741927</v>
      </c>
      <c r="AD70" s="140">
        <f t="shared" si="38"/>
        <v>0.53424713839750249</v>
      </c>
      <c r="AE70" s="140">
        <f t="shared" si="38"/>
        <v>0.33002686130039272</v>
      </c>
      <c r="AF70" s="140">
        <f t="shared" si="38"/>
        <v>0.20387143206137165</v>
      </c>
      <c r="AG70" s="140">
        <f t="shared" si="38"/>
        <v>0.12593993303146023</v>
      </c>
      <c r="AH70" s="140">
        <f t="shared" si="38"/>
        <v>7.7798377985563341E-2</v>
      </c>
      <c r="AI70" s="140">
        <f t="shared" si="38"/>
        <v>4.8059320594307682E-2</v>
      </c>
      <c r="AJ70" s="140">
        <f t="shared" si="38"/>
        <v>2.9688257721967488E-2</v>
      </c>
      <c r="AK70" s="140">
        <f t="shared" si="38"/>
        <v>1.8339681786312175E-2</v>
      </c>
      <c r="AL70" s="140">
        <f t="shared" si="38"/>
        <v>1.1329190522834778E-2</v>
      </c>
      <c r="AM70" s="140">
        <f t="shared" si="38"/>
        <v>6.9985160810414841E-3</v>
      </c>
      <c r="AN70" s="140">
        <f t="shared" si="38"/>
        <v>4.3232768694175623E-3</v>
      </c>
      <c r="AO70" s="140"/>
    </row>
    <row r="71" spans="2:41" ht="12.75" customHeight="1" outlineLevel="1">
      <c r="B71" s="195" t="s">
        <v>319</v>
      </c>
      <c r="I71" s="124"/>
      <c r="J71" s="142">
        <f t="shared" ref="J71:AA71" si="39">J70/J64</f>
        <v>0.24352331606217617</v>
      </c>
      <c r="K71" s="142">
        <f t="shared" si="39"/>
        <v>0.2087132725430598</v>
      </c>
      <c r="L71" s="142">
        <f t="shared" si="39"/>
        <v>0.27754237288135591</v>
      </c>
      <c r="M71" s="142">
        <f t="shared" si="39"/>
        <v>0.22330097087378642</v>
      </c>
      <c r="N71" s="142">
        <f t="shared" si="39"/>
        <v>0.21052631578947367</v>
      </c>
      <c r="O71" s="142">
        <f t="shared" si="39"/>
        <v>0.28651685393258425</v>
      </c>
      <c r="P71" s="142">
        <f t="shared" si="39"/>
        <v>0.15828402366863906</v>
      </c>
      <c r="Q71" s="142">
        <f t="shared" si="39"/>
        <v>6.1583577712609971E-2</v>
      </c>
      <c r="R71" s="147">
        <f t="shared" si="39"/>
        <v>6.1191626409017708E-2</v>
      </c>
      <c r="S71" s="147">
        <f t="shared" si="39"/>
        <v>7.6771653543307089E-2</v>
      </c>
      <c r="T71" s="147">
        <f t="shared" si="39"/>
        <v>2.5590551181102365E-2</v>
      </c>
      <c r="U71" s="147">
        <f t="shared" si="39"/>
        <v>0.10683760683760685</v>
      </c>
      <c r="V71" s="147">
        <f t="shared" si="39"/>
        <v>0.61111111111111105</v>
      </c>
      <c r="W71" s="548">
        <f t="shared" si="39"/>
        <v>0.38211382113821135</v>
      </c>
      <c r="X71" s="548">
        <f t="shared" si="39"/>
        <v>0.41891891891891891</v>
      </c>
      <c r="Y71" s="548">
        <f t="shared" si="39"/>
        <v>0.31707317073170738</v>
      </c>
      <c r="Z71" s="548">
        <f t="shared" si="39"/>
        <v>0.35714285714285715</v>
      </c>
      <c r="AA71" s="548">
        <f t="shared" si="39"/>
        <v>0.16129032258064516</v>
      </c>
      <c r="AB71" s="147">
        <v>0.35</v>
      </c>
      <c r="AC71" s="147">
        <f t="shared" ref="AC71:AN71" si="40">AB71</f>
        <v>0.35</v>
      </c>
      <c r="AD71" s="147">
        <f t="shared" si="40"/>
        <v>0.35</v>
      </c>
      <c r="AE71" s="147">
        <f t="shared" si="40"/>
        <v>0.35</v>
      </c>
      <c r="AF71" s="147">
        <f t="shared" si="40"/>
        <v>0.35</v>
      </c>
      <c r="AG71" s="147">
        <f t="shared" si="40"/>
        <v>0.35</v>
      </c>
      <c r="AH71" s="147">
        <f t="shared" si="40"/>
        <v>0.35</v>
      </c>
      <c r="AI71" s="147">
        <f t="shared" si="40"/>
        <v>0.35</v>
      </c>
      <c r="AJ71" s="147">
        <f t="shared" si="40"/>
        <v>0.35</v>
      </c>
      <c r="AK71" s="147">
        <f t="shared" si="40"/>
        <v>0.35</v>
      </c>
      <c r="AL71" s="147">
        <f t="shared" si="40"/>
        <v>0.35</v>
      </c>
      <c r="AM71" s="147">
        <f t="shared" si="40"/>
        <v>0.35</v>
      </c>
      <c r="AN71" s="147">
        <f t="shared" si="40"/>
        <v>0.35</v>
      </c>
      <c r="AO71" s="147"/>
    </row>
    <row r="72" spans="2:41" ht="12.75" customHeight="1" outlineLevel="1">
      <c r="B72" s="195" t="s">
        <v>320</v>
      </c>
      <c r="I72" s="124"/>
      <c r="J72" s="132">
        <v>11.03</v>
      </c>
      <c r="K72" s="132">
        <v>13.12</v>
      </c>
      <c r="L72" s="132">
        <v>15.9</v>
      </c>
      <c r="M72" s="132">
        <v>20.98</v>
      </c>
      <c r="N72" s="132">
        <v>20.420000000000002</v>
      </c>
      <c r="O72" s="132">
        <v>39.729999999999997</v>
      </c>
      <c r="P72" s="132">
        <v>40.94</v>
      </c>
      <c r="Q72" s="132">
        <v>42.92</v>
      </c>
      <c r="R72" s="132">
        <v>37.82</v>
      </c>
      <c r="S72" s="132">
        <v>39.96</v>
      </c>
      <c r="T72" s="132">
        <v>46.13</v>
      </c>
      <c r="U72" s="132">
        <v>50.22</v>
      </c>
      <c r="V72" s="132">
        <v>56.1</v>
      </c>
      <c r="W72" s="547">
        <v>58.05</v>
      </c>
      <c r="X72" s="547">
        <v>55.42</v>
      </c>
      <c r="Y72" s="547">
        <v>50.99</v>
      </c>
      <c r="Z72" s="547">
        <v>52.98</v>
      </c>
      <c r="AA72" s="547">
        <v>57.24</v>
      </c>
      <c r="AB72" s="132">
        <f>AA72*(1+$AO$63)</f>
        <v>61.533000000000001</v>
      </c>
      <c r="AC72" s="132">
        <f>AB72*(1+$AO$63)</f>
        <v>66.147975000000002</v>
      </c>
      <c r="AD72" s="132">
        <f>AC72*(1+$AO$63)</f>
        <v>71.109073124999995</v>
      </c>
      <c r="AE72" s="132">
        <f t="shared" ref="AE72:AN72" si="41">AD72*(1+$AO$63)</f>
        <v>76.442253609374987</v>
      </c>
      <c r="AF72" s="132">
        <f t="shared" si="41"/>
        <v>82.175422630078103</v>
      </c>
      <c r="AG72" s="132">
        <f t="shared" si="41"/>
        <v>88.33857932733396</v>
      </c>
      <c r="AH72" s="132">
        <f t="shared" si="41"/>
        <v>94.963972776884006</v>
      </c>
      <c r="AI72" s="132">
        <f t="shared" si="41"/>
        <v>102.08627073515031</v>
      </c>
      <c r="AJ72" s="132">
        <f t="shared" si="41"/>
        <v>109.74274104028657</v>
      </c>
      <c r="AK72" s="132">
        <f t="shared" si="41"/>
        <v>117.97344661830806</v>
      </c>
      <c r="AL72" s="132">
        <f t="shared" si="41"/>
        <v>126.82145511468116</v>
      </c>
      <c r="AM72" s="132">
        <f t="shared" si="41"/>
        <v>136.33306424828223</v>
      </c>
      <c r="AN72" s="132">
        <f t="shared" si="41"/>
        <v>146.55804406690339</v>
      </c>
      <c r="AO72" s="132"/>
    </row>
    <row r="73" spans="2:41" ht="12.75" customHeight="1" outlineLevel="1">
      <c r="B73" s="195" t="s">
        <v>525</v>
      </c>
      <c r="C73" s="188">
        <v>0.35</v>
      </c>
      <c r="D73" s="188">
        <v>0.35</v>
      </c>
      <c r="E73" s="188">
        <v>0.35</v>
      </c>
      <c r="F73" s="188">
        <v>0.35</v>
      </c>
      <c r="G73" s="188">
        <v>0.35</v>
      </c>
      <c r="H73" s="188">
        <v>0.35</v>
      </c>
      <c r="I73" s="188">
        <v>0.35</v>
      </c>
      <c r="J73" s="188">
        <f>IS!J35</f>
        <v>0.32019115890083633</v>
      </c>
      <c r="K73" s="188">
        <f>IS!K35</f>
        <v>0.33629893238434166</v>
      </c>
      <c r="L73" s="188">
        <f>IS!P35</f>
        <v>0.31021594684385384</v>
      </c>
      <c r="M73" s="188">
        <f>IS!U35</f>
        <v>0.29511382565241534</v>
      </c>
      <c r="N73" s="188">
        <f>IS!Z35</f>
        <v>0.27197039777983351</v>
      </c>
      <c r="O73" s="188">
        <f>IS!AE35</f>
        <v>0.24393910919000189</v>
      </c>
      <c r="P73" s="188">
        <f>IS!AJ35</f>
        <v>0.22261484098939929</v>
      </c>
      <c r="Q73" s="188">
        <f>IS!AO35</f>
        <v>0.21271714192068175</v>
      </c>
      <c r="R73" s="188">
        <f>IS!AT35</f>
        <v>0.21689644116704071</v>
      </c>
      <c r="S73" s="188">
        <f>IS!AY35</f>
        <v>0.16931742876076872</v>
      </c>
      <c r="T73" s="188">
        <f>IS!BD35</f>
        <v>0.1881060116354234</v>
      </c>
      <c r="U73" s="188">
        <f>IS!BI35</f>
        <v>0.14290755116443191</v>
      </c>
      <c r="V73" s="188">
        <f>IS!BN35</f>
        <v>0.15930366234192805</v>
      </c>
      <c r="W73" s="188">
        <f>IS!BS35</f>
        <v>9.2129918800749527E-2</v>
      </c>
      <c r="X73" s="188">
        <f>IS!BX35</f>
        <v>0.14855763121108145</v>
      </c>
      <c r="Y73" s="188">
        <f>IS!CC35</f>
        <v>0.16799163179916318</v>
      </c>
      <c r="Z73" s="188">
        <f>IS!CH35</f>
        <v>0.18770226537216828</v>
      </c>
      <c r="AA73" s="188">
        <f>IS!CM35</f>
        <v>0.18046445665662117</v>
      </c>
      <c r="AB73" s="188">
        <f>IS!CR35</f>
        <v>0.14095022802204277</v>
      </c>
      <c r="AC73" s="188">
        <f>IS!CW35</f>
        <v>0.14499999999999999</v>
      </c>
      <c r="AD73" s="188">
        <f>IS!DB35</f>
        <v>0.14499999999999999</v>
      </c>
      <c r="AE73" s="188">
        <f>IS!DG35</f>
        <v>0.14499999999999999</v>
      </c>
      <c r="AF73" s="188">
        <f>IS!DL35</f>
        <v>0.14499999999999999</v>
      </c>
      <c r="AG73" s="188">
        <f>IS!DQ35</f>
        <v>0.14499999999999999</v>
      </c>
      <c r="AH73" s="188">
        <f>IS!DV35</f>
        <v>0.14499999999999999</v>
      </c>
      <c r="AI73" s="188">
        <f>IS!EA35</f>
        <v>0.14499999999999999</v>
      </c>
      <c r="AJ73" s="188">
        <f>IS!EF35</f>
        <v>0.14499999999999999</v>
      </c>
      <c r="AK73" s="188">
        <f>IS!EK35</f>
        <v>0.14499999999999999</v>
      </c>
      <c r="AL73" s="188">
        <f>IS!EP35</f>
        <v>0.14499999999999999</v>
      </c>
      <c r="AM73" s="188">
        <f>IS!EU35</f>
        <v>0.14499999999999999</v>
      </c>
      <c r="AN73" s="188">
        <f>IS!EZ35</f>
        <v>0.14499999999999999</v>
      </c>
      <c r="AO73" s="188"/>
    </row>
    <row r="74" spans="2:41" ht="12.75" customHeight="1" outlineLevel="1">
      <c r="B74" s="128" t="s">
        <v>321</v>
      </c>
      <c r="C74" s="102"/>
      <c r="D74" s="102"/>
      <c r="E74" s="102"/>
      <c r="F74" s="102"/>
      <c r="G74" s="102"/>
      <c r="H74" s="102"/>
      <c r="I74" s="113"/>
      <c r="J74" s="127">
        <v>333.7</v>
      </c>
      <c r="K74" s="127">
        <v>282.3</v>
      </c>
      <c r="L74" s="127">
        <v>435.4</v>
      </c>
      <c r="M74" s="127">
        <v>538</v>
      </c>
      <c r="N74" s="127">
        <v>513</v>
      </c>
      <c r="O74" s="127">
        <v>1087</v>
      </c>
      <c r="P74" s="127">
        <f>528-284-104</f>
        <v>140</v>
      </c>
      <c r="Q74" s="127">
        <v>333</v>
      </c>
      <c r="R74" s="127">
        <v>198</v>
      </c>
      <c r="S74" s="127">
        <v>190</v>
      </c>
      <c r="T74" s="127">
        <v>69</v>
      </c>
      <c r="U74" s="127">
        <v>230</v>
      </c>
      <c r="V74" s="127">
        <v>1288</v>
      </c>
      <c r="W74" s="549">
        <v>296</v>
      </c>
      <c r="X74" s="549">
        <v>186</v>
      </c>
      <c r="Y74" s="549">
        <v>82</v>
      </c>
      <c r="Z74" s="549">
        <v>55</v>
      </c>
      <c r="AA74" s="549">
        <v>52</v>
      </c>
      <c r="AB74" s="127">
        <f t="shared" ref="AB74:AN74" si="42">AB70*AB72</f>
        <v>86.146199999999979</v>
      </c>
      <c r="AC74" s="127">
        <f t="shared" si="42"/>
        <v>57.207329346774188</v>
      </c>
      <c r="AD74" s="127">
        <f t="shared" si="42"/>
        <v>37.989818831129995</v>
      </c>
      <c r="AE74" s="127">
        <f t="shared" si="42"/>
        <v>25.227997029430643</v>
      </c>
      <c r="AF74" s="127">
        <f t="shared" si="42"/>
        <v>16.75322109184247</v>
      </c>
      <c r="AG74" s="127">
        <f t="shared" si="42"/>
        <v>11.125354764578775</v>
      </c>
      <c r="AH74" s="127">
        <f t="shared" si="42"/>
        <v>7.388043049106769</v>
      </c>
      <c r="AI74" s="127">
        <f t="shared" si="42"/>
        <v>4.9061968135378784</v>
      </c>
      <c r="AJ74" s="127">
        <f t="shared" si="42"/>
        <v>3.2580707791191661</v>
      </c>
      <c r="AK74" s="127">
        <f t="shared" si="42"/>
        <v>2.1635954702142559</v>
      </c>
      <c r="AL74" s="127">
        <f t="shared" si="42"/>
        <v>1.436784427377362</v>
      </c>
      <c r="AM74" s="127">
        <f t="shared" si="42"/>
        <v>0.95412914251926495</v>
      </c>
      <c r="AN74" s="127">
        <f t="shared" si="42"/>
        <v>0.6336110019415232</v>
      </c>
      <c r="AO74" s="127"/>
    </row>
    <row r="75" spans="2:41" ht="12.75" customHeight="1" outlineLevel="1">
      <c r="B75" s="128" t="s">
        <v>322</v>
      </c>
      <c r="C75" s="102"/>
      <c r="D75" s="102"/>
      <c r="E75" s="102"/>
      <c r="F75" s="102"/>
      <c r="G75" s="102"/>
      <c r="H75" s="102"/>
      <c r="I75" s="113"/>
      <c r="J75" s="127">
        <v>376.6</v>
      </c>
      <c r="K75" s="127">
        <v>244.5</v>
      </c>
      <c r="L75" s="127">
        <v>251.6</v>
      </c>
      <c r="M75" s="127">
        <v>113</v>
      </c>
      <c r="N75" s="127">
        <v>167</v>
      </c>
      <c r="O75" s="127">
        <v>276</v>
      </c>
      <c r="P75" s="127">
        <v>58</v>
      </c>
      <c r="Q75" s="127">
        <v>26</v>
      </c>
      <c r="R75" s="127">
        <v>86</v>
      </c>
      <c r="S75" s="127">
        <v>-11</v>
      </c>
      <c r="T75" s="127">
        <v>-71</v>
      </c>
      <c r="U75" s="127">
        <v>-89</v>
      </c>
      <c r="V75" s="127">
        <v>-87</v>
      </c>
      <c r="W75" s="549">
        <v>-42</v>
      </c>
      <c r="X75" s="549">
        <v>-71</v>
      </c>
      <c r="Y75" s="549">
        <v>-162</v>
      </c>
      <c r="Z75" s="549">
        <v>-262</v>
      </c>
      <c r="AA75" s="549">
        <v>-191</v>
      </c>
      <c r="AB75" s="127">
        <f t="shared" ref="AB75:AN75" si="43">((AB63-AB72)*AB70)*AB73</f>
        <v>23.337069973666811</v>
      </c>
      <c r="AC75" s="127">
        <f t="shared" si="43"/>
        <v>15.942781593474773</v>
      </c>
      <c r="AD75" s="127">
        <f t="shared" si="43"/>
        <v>10.58716411544097</v>
      </c>
      <c r="AE75" s="127">
        <f t="shared" si="43"/>
        <v>7.0306453958547319</v>
      </c>
      <c r="AF75" s="127">
        <f t="shared" si="43"/>
        <v>4.6688588316262738</v>
      </c>
      <c r="AG75" s="127">
        <f t="shared" si="43"/>
        <v>3.1004611329860126</v>
      </c>
      <c r="AH75" s="127">
        <f t="shared" si="43"/>
        <v>2.0589312257720418</v>
      </c>
      <c r="AI75" s="127">
        <f t="shared" si="43"/>
        <v>1.3672797724693448</v>
      </c>
      <c r="AJ75" s="127">
        <f t="shared" si="43"/>
        <v>0.90797300696764693</v>
      </c>
      <c r="AK75" s="127">
        <f t="shared" si="43"/>
        <v>0.60295997789315237</v>
      </c>
      <c r="AL75" s="127">
        <f t="shared" si="43"/>
        <v>0.40040918854525503</v>
      </c>
      <c r="AM75" s="127">
        <f t="shared" si="43"/>
        <v>0.26590076315128247</v>
      </c>
      <c r="AN75" s="127">
        <f t="shared" si="43"/>
        <v>0.17657740598138996</v>
      </c>
      <c r="AO75" s="127"/>
    </row>
    <row r="76" spans="2:41" ht="12.75" customHeight="1" outlineLevel="1">
      <c r="B76" s="201" t="s">
        <v>323</v>
      </c>
      <c r="C76" s="143"/>
      <c r="D76" s="143"/>
      <c r="E76" s="143"/>
      <c r="F76" s="143"/>
      <c r="G76" s="143"/>
      <c r="H76" s="143"/>
      <c r="I76" s="144"/>
      <c r="J76" s="145">
        <v>13.1</v>
      </c>
      <c r="K76" s="145">
        <v>18.600000000000001</v>
      </c>
      <c r="L76" s="145">
        <f>17.3+22.4</f>
        <v>39.700000000000003</v>
      </c>
      <c r="M76" s="145">
        <v>19</v>
      </c>
      <c r="N76" s="145">
        <f>16+4</f>
        <v>20</v>
      </c>
      <c r="O76" s="145">
        <v>9.6999999999999993</v>
      </c>
      <c r="P76" s="145">
        <f>11.8+2.2</f>
        <v>14</v>
      </c>
      <c r="Q76" s="145">
        <v>7.6</v>
      </c>
      <c r="R76" s="145">
        <v>6.9</v>
      </c>
      <c r="S76" s="145">
        <v>6.6</v>
      </c>
      <c r="T76" s="145">
        <v>6.7</v>
      </c>
      <c r="U76" s="145">
        <v>2.2999999999999998</v>
      </c>
      <c r="V76" s="145">
        <v>0.1</v>
      </c>
      <c r="W76" s="545">
        <v>0.1</v>
      </c>
      <c r="X76" s="545">
        <v>0</v>
      </c>
      <c r="Y76" s="545">
        <v>0</v>
      </c>
      <c r="Z76" s="545">
        <v>1.4</v>
      </c>
      <c r="AA76" s="545">
        <v>1.5</v>
      </c>
      <c r="AB76" s="145">
        <f t="shared" ref="AB76:AN76" si="44">AB77*AB64</f>
        <v>0</v>
      </c>
      <c r="AC76" s="145">
        <f t="shared" si="44"/>
        <v>0</v>
      </c>
      <c r="AD76" s="145">
        <f t="shared" si="44"/>
        <v>0</v>
      </c>
      <c r="AE76" s="145">
        <f t="shared" si="44"/>
        <v>0</v>
      </c>
      <c r="AF76" s="145">
        <f t="shared" si="44"/>
        <v>0</v>
      </c>
      <c r="AG76" s="145">
        <f t="shared" si="44"/>
        <v>0</v>
      </c>
      <c r="AH76" s="145">
        <f t="shared" si="44"/>
        <v>0</v>
      </c>
      <c r="AI76" s="145">
        <f t="shared" si="44"/>
        <v>0</v>
      </c>
      <c r="AJ76" s="145">
        <f t="shared" si="44"/>
        <v>0</v>
      </c>
      <c r="AK76" s="145">
        <f t="shared" si="44"/>
        <v>0</v>
      </c>
      <c r="AL76" s="145">
        <f t="shared" si="44"/>
        <v>0</v>
      </c>
      <c r="AM76" s="145">
        <f t="shared" si="44"/>
        <v>0</v>
      </c>
      <c r="AN76" s="145">
        <f t="shared" si="44"/>
        <v>0</v>
      </c>
      <c r="AO76" s="145"/>
    </row>
    <row r="77" spans="2:41" ht="12.75" customHeight="1" outlineLevel="1">
      <c r="B77" s="195" t="s">
        <v>324</v>
      </c>
      <c r="I77" s="124"/>
      <c r="J77" s="142">
        <f t="shared" ref="J77:W77" si="45">J76/J64</f>
        <v>0.11312607944732297</v>
      </c>
      <c r="K77" s="142">
        <f t="shared" si="45"/>
        <v>0.18844984802431611</v>
      </c>
      <c r="L77" s="142">
        <f t="shared" si="45"/>
        <v>0.42055084745762711</v>
      </c>
      <c r="M77" s="142">
        <f t="shared" si="45"/>
        <v>0.18446601941747573</v>
      </c>
      <c r="N77" s="142">
        <f t="shared" si="45"/>
        <v>0.21052631578947367</v>
      </c>
      <c r="O77" s="142">
        <f t="shared" si="45"/>
        <v>0.10898876404494381</v>
      </c>
      <c r="P77" s="142">
        <f t="shared" si="45"/>
        <v>0.20710059171597636</v>
      </c>
      <c r="Q77" s="142">
        <f t="shared" si="45"/>
        <v>0.11143695014662755</v>
      </c>
      <c r="R77" s="147">
        <f t="shared" si="45"/>
        <v>0.11111111111111112</v>
      </c>
      <c r="S77" s="147">
        <f t="shared" si="45"/>
        <v>0.12992125984251968</v>
      </c>
      <c r="T77" s="147">
        <f t="shared" si="45"/>
        <v>0.13188976377952757</v>
      </c>
      <c r="U77" s="147">
        <f t="shared" si="45"/>
        <v>4.9145299145299144E-2</v>
      </c>
      <c r="V77" s="147">
        <f t="shared" si="45"/>
        <v>2.9239766081871343E-3</v>
      </c>
      <c r="W77" s="147">
        <f t="shared" si="45"/>
        <v>8.1300813008130073E-3</v>
      </c>
      <c r="X77" s="147">
        <f>X76/X64</f>
        <v>0</v>
      </c>
      <c r="Y77" s="147">
        <f>Y76/Y64</f>
        <v>0</v>
      </c>
      <c r="Z77" s="147">
        <f>Z76/Z64</f>
        <v>0.5</v>
      </c>
      <c r="AA77" s="147">
        <f>AA76/AA64</f>
        <v>0.48387096774193544</v>
      </c>
      <c r="AB77" s="147">
        <v>0</v>
      </c>
      <c r="AC77" s="147">
        <f t="shared" ref="AC77:AN77" si="46">AB77</f>
        <v>0</v>
      </c>
      <c r="AD77" s="147">
        <f t="shared" si="46"/>
        <v>0</v>
      </c>
      <c r="AE77" s="147">
        <f t="shared" si="46"/>
        <v>0</v>
      </c>
      <c r="AF77" s="147">
        <f t="shared" si="46"/>
        <v>0</v>
      </c>
      <c r="AG77" s="147">
        <f t="shared" si="46"/>
        <v>0</v>
      </c>
      <c r="AH77" s="147">
        <f t="shared" si="46"/>
        <v>0</v>
      </c>
      <c r="AI77" s="147">
        <f t="shared" si="46"/>
        <v>0</v>
      </c>
      <c r="AJ77" s="147">
        <f t="shared" si="46"/>
        <v>0</v>
      </c>
      <c r="AK77" s="147">
        <f t="shared" si="46"/>
        <v>0</v>
      </c>
      <c r="AL77" s="147">
        <f t="shared" si="46"/>
        <v>0</v>
      </c>
      <c r="AM77" s="147">
        <f t="shared" si="46"/>
        <v>0</v>
      </c>
      <c r="AN77" s="147">
        <f t="shared" si="46"/>
        <v>0</v>
      </c>
      <c r="AO77" s="147"/>
    </row>
    <row r="78" spans="2:41" ht="12.75" customHeight="1" outlineLevel="1">
      <c r="B78" s="194" t="s">
        <v>325</v>
      </c>
      <c r="C78" s="105"/>
      <c r="D78" s="105"/>
      <c r="E78" s="105"/>
      <c r="F78" s="105"/>
      <c r="G78" s="105"/>
      <c r="H78" s="105"/>
      <c r="I78" s="139"/>
      <c r="J78" s="140">
        <v>0</v>
      </c>
      <c r="K78" s="140">
        <v>0</v>
      </c>
      <c r="L78" s="140">
        <v>0</v>
      </c>
      <c r="M78" s="140">
        <v>0</v>
      </c>
      <c r="N78" s="140">
        <v>0</v>
      </c>
      <c r="O78" s="140">
        <v>0</v>
      </c>
      <c r="P78" s="140">
        <v>0</v>
      </c>
      <c r="Q78" s="140">
        <v>0</v>
      </c>
      <c r="R78" s="127">
        <v>0</v>
      </c>
      <c r="S78" s="127">
        <v>0</v>
      </c>
      <c r="T78" s="127">
        <v>0</v>
      </c>
      <c r="U78" s="127">
        <v>0</v>
      </c>
      <c r="V78" s="127">
        <v>0</v>
      </c>
      <c r="W78" s="127">
        <v>0</v>
      </c>
      <c r="X78" s="127">
        <v>0</v>
      </c>
      <c r="Y78" s="127">
        <v>0</v>
      </c>
      <c r="Z78" s="127">
        <v>0</v>
      </c>
      <c r="AA78" s="127">
        <v>0</v>
      </c>
      <c r="AB78" s="127">
        <v>0</v>
      </c>
      <c r="AC78" s="127">
        <v>0</v>
      </c>
      <c r="AD78" s="127">
        <v>0</v>
      </c>
      <c r="AE78" s="127">
        <v>0</v>
      </c>
      <c r="AF78" s="127">
        <v>0</v>
      </c>
      <c r="AG78" s="127">
        <v>0</v>
      </c>
      <c r="AH78" s="127">
        <v>0</v>
      </c>
      <c r="AI78" s="127">
        <v>0</v>
      </c>
      <c r="AJ78" s="127">
        <v>0</v>
      </c>
      <c r="AK78" s="127">
        <v>0</v>
      </c>
      <c r="AL78" s="127">
        <v>0</v>
      </c>
      <c r="AM78" s="127">
        <v>0</v>
      </c>
      <c r="AN78" s="127">
        <v>0</v>
      </c>
      <c r="AO78" s="127"/>
    </row>
    <row r="79" spans="2:41" ht="12.75" customHeight="1" outlineLevel="1">
      <c r="B79" s="128" t="s">
        <v>326</v>
      </c>
      <c r="C79" s="102"/>
      <c r="D79" s="102"/>
      <c r="E79" s="102"/>
      <c r="F79" s="102"/>
      <c r="G79" s="102"/>
      <c r="H79" s="102"/>
      <c r="I79" s="113"/>
      <c r="J79" s="127">
        <f t="shared" ref="J79:AN79" si="47">J78*J63</f>
        <v>0</v>
      </c>
      <c r="K79" s="127">
        <f t="shared" si="47"/>
        <v>0</v>
      </c>
      <c r="L79" s="127">
        <f t="shared" si="47"/>
        <v>0</v>
      </c>
      <c r="M79" s="127">
        <f t="shared" si="47"/>
        <v>0</v>
      </c>
      <c r="N79" s="127">
        <f t="shared" si="47"/>
        <v>0</v>
      </c>
      <c r="O79" s="127">
        <f t="shared" si="47"/>
        <v>0</v>
      </c>
      <c r="P79" s="127">
        <f t="shared" si="47"/>
        <v>0</v>
      </c>
      <c r="Q79" s="127">
        <f t="shared" si="47"/>
        <v>0</v>
      </c>
      <c r="R79" s="127">
        <f t="shared" si="47"/>
        <v>0</v>
      </c>
      <c r="S79" s="127">
        <f t="shared" si="47"/>
        <v>0</v>
      </c>
      <c r="T79" s="127">
        <f t="shared" si="47"/>
        <v>0</v>
      </c>
      <c r="U79" s="127">
        <f t="shared" si="47"/>
        <v>0</v>
      </c>
      <c r="V79" s="127">
        <f t="shared" si="47"/>
        <v>0</v>
      </c>
      <c r="W79" s="127">
        <f t="shared" si="47"/>
        <v>0</v>
      </c>
      <c r="X79" s="127">
        <f t="shared" si="47"/>
        <v>0</v>
      </c>
      <c r="Y79" s="127">
        <f t="shared" si="47"/>
        <v>0</v>
      </c>
      <c r="Z79" s="127">
        <f t="shared" si="47"/>
        <v>0</v>
      </c>
      <c r="AA79" s="127">
        <f t="shared" si="47"/>
        <v>0</v>
      </c>
      <c r="AB79" s="127">
        <f t="shared" si="47"/>
        <v>0</v>
      </c>
      <c r="AC79" s="127">
        <f t="shared" si="47"/>
        <v>0</v>
      </c>
      <c r="AD79" s="127">
        <f t="shared" si="47"/>
        <v>0</v>
      </c>
      <c r="AE79" s="127">
        <f t="shared" si="47"/>
        <v>0</v>
      </c>
      <c r="AF79" s="127">
        <f t="shared" si="47"/>
        <v>0</v>
      </c>
      <c r="AG79" s="127">
        <f t="shared" si="47"/>
        <v>0</v>
      </c>
      <c r="AH79" s="127">
        <f t="shared" si="47"/>
        <v>0</v>
      </c>
      <c r="AI79" s="127">
        <f t="shared" si="47"/>
        <v>0</v>
      </c>
      <c r="AJ79" s="127">
        <f t="shared" si="47"/>
        <v>0</v>
      </c>
      <c r="AK79" s="127">
        <f t="shared" si="47"/>
        <v>0</v>
      </c>
      <c r="AL79" s="127">
        <f t="shared" si="47"/>
        <v>0</v>
      </c>
      <c r="AM79" s="127">
        <f t="shared" si="47"/>
        <v>0</v>
      </c>
      <c r="AN79" s="127">
        <f t="shared" si="47"/>
        <v>0</v>
      </c>
      <c r="AO79" s="127"/>
    </row>
    <row r="80" spans="2:41" ht="12.75" customHeight="1" outlineLevel="1">
      <c r="B80" s="194" t="s">
        <v>327</v>
      </c>
      <c r="C80" s="105"/>
      <c r="D80" s="105"/>
      <c r="E80" s="105"/>
      <c r="F80" s="105"/>
      <c r="G80" s="105"/>
      <c r="H80" s="105"/>
      <c r="I80" s="139"/>
      <c r="J80" s="189">
        <f>IS!J116</f>
        <v>12</v>
      </c>
      <c r="K80" s="189">
        <f>IS!K116</f>
        <v>13</v>
      </c>
      <c r="L80" s="189">
        <f>IS!P116</f>
        <v>28</v>
      </c>
      <c r="M80" s="189">
        <f>IS!U116</f>
        <v>30</v>
      </c>
      <c r="N80" s="189">
        <f>IS!Z116</f>
        <v>69</v>
      </c>
      <c r="O80" s="189">
        <f>IS!AE116</f>
        <v>63</v>
      </c>
      <c r="P80" s="189">
        <f>IS!AJ116</f>
        <v>70</v>
      </c>
      <c r="Q80" s="189">
        <f>IS!AO116</f>
        <v>87</v>
      </c>
      <c r="R80" s="189">
        <f>IS!AT116</f>
        <v>45</v>
      </c>
      <c r="S80" s="189">
        <f>IS!AY116</f>
        <v>59</v>
      </c>
      <c r="T80" s="189">
        <f>IS!BD116</f>
        <v>66</v>
      </c>
      <c r="U80" s="189">
        <f>IS!BI116</f>
        <v>144</v>
      </c>
      <c r="V80" s="189">
        <f>IS!BN116</f>
        <v>63</v>
      </c>
      <c r="W80" s="189">
        <f>IS!BS116</f>
        <v>9.0724999999999998</v>
      </c>
      <c r="X80" s="189">
        <f>IS!BX116</f>
        <v>0</v>
      </c>
      <c r="Y80" s="549">
        <v>11.990992</v>
      </c>
      <c r="Z80" s="549">
        <v>19.693193000000001</v>
      </c>
      <c r="AA80" s="549">
        <v>18.528594999999999</v>
      </c>
      <c r="AB80" s="127">
        <v>80</v>
      </c>
      <c r="AC80" s="127">
        <v>15</v>
      </c>
      <c r="AD80" s="127">
        <v>20</v>
      </c>
      <c r="AE80" s="127">
        <v>20</v>
      </c>
      <c r="AF80" s="127">
        <v>19</v>
      </c>
      <c r="AG80" s="127">
        <v>18</v>
      </c>
      <c r="AH80" s="127">
        <v>17</v>
      </c>
      <c r="AI80" s="127">
        <v>16</v>
      </c>
      <c r="AJ80" s="127">
        <v>15</v>
      </c>
      <c r="AK80" s="127">
        <v>10</v>
      </c>
      <c r="AL80" s="127">
        <v>10</v>
      </c>
      <c r="AM80" s="127">
        <v>10</v>
      </c>
      <c r="AN80" s="127">
        <v>10</v>
      </c>
      <c r="AO80" s="127"/>
    </row>
    <row r="81" spans="2:41" ht="12.75" customHeight="1" outlineLevel="1">
      <c r="B81" s="194" t="s">
        <v>328</v>
      </c>
      <c r="C81" s="105"/>
      <c r="D81" s="105"/>
      <c r="E81" s="105"/>
      <c r="F81" s="105"/>
      <c r="G81" s="105"/>
      <c r="H81" s="105"/>
      <c r="I81" s="139"/>
      <c r="J81" s="140"/>
      <c r="K81" s="140"/>
      <c r="L81" s="140"/>
      <c r="M81" s="140"/>
      <c r="N81" s="140"/>
      <c r="O81" s="140"/>
      <c r="P81" s="140"/>
      <c r="Q81" s="140"/>
      <c r="R81" s="140"/>
      <c r="S81" s="140"/>
      <c r="T81" s="140"/>
      <c r="U81" s="140">
        <v>83.333333300000007</v>
      </c>
      <c r="V81" s="127">
        <v>0</v>
      </c>
      <c r="W81" s="549">
        <v>0</v>
      </c>
      <c r="X81" s="127">
        <v>0</v>
      </c>
      <c r="Y81" s="127">
        <v>0</v>
      </c>
      <c r="Z81" s="127">
        <v>0</v>
      </c>
      <c r="AA81" s="127">
        <v>0</v>
      </c>
      <c r="AB81" s="127">
        <v>0</v>
      </c>
      <c r="AC81" s="127">
        <v>0</v>
      </c>
      <c r="AD81" s="127">
        <v>0</v>
      </c>
      <c r="AE81" s="127">
        <v>0</v>
      </c>
      <c r="AF81" s="127">
        <v>0</v>
      </c>
      <c r="AG81" s="127">
        <v>0</v>
      </c>
      <c r="AH81" s="127">
        <v>0</v>
      </c>
      <c r="AI81" s="127">
        <v>0</v>
      </c>
      <c r="AJ81" s="127">
        <v>0</v>
      </c>
      <c r="AK81" s="127">
        <v>0</v>
      </c>
      <c r="AL81" s="127">
        <v>0</v>
      </c>
      <c r="AM81" s="127">
        <v>0</v>
      </c>
      <c r="AN81" s="127">
        <v>0</v>
      </c>
      <c r="AO81" s="127"/>
    </row>
    <row r="82" spans="2:41" ht="12.75" customHeight="1" outlineLevel="1">
      <c r="B82" s="128" t="s">
        <v>329</v>
      </c>
      <c r="C82" s="102"/>
      <c r="D82" s="102"/>
      <c r="E82" s="102"/>
      <c r="F82" s="102"/>
      <c r="G82" s="102"/>
      <c r="H82" s="102"/>
      <c r="I82" s="113"/>
      <c r="J82" s="127">
        <v>799.9</v>
      </c>
      <c r="K82" s="127">
        <v>737.5</v>
      </c>
      <c r="L82" s="127">
        <v>1420.4</v>
      </c>
      <c r="M82" s="127">
        <v>1801</v>
      </c>
      <c r="N82" s="127">
        <v>4072</v>
      </c>
      <c r="O82" s="127">
        <v>4430</v>
      </c>
      <c r="P82" s="127">
        <v>5021</v>
      </c>
      <c r="Q82" s="127">
        <v>5123</v>
      </c>
      <c r="R82" s="127">
        <v>2294</v>
      </c>
      <c r="S82" s="127">
        <v>3254</v>
      </c>
      <c r="T82" s="127">
        <v>3800</v>
      </c>
      <c r="U82" s="189">
        <f>IS!BI118</f>
        <v>8367</v>
      </c>
      <c r="V82" s="189">
        <f>IS!BN118</f>
        <v>4629</v>
      </c>
      <c r="W82" s="189">
        <f>IS!BS118</f>
        <v>771.43467499999997</v>
      </c>
      <c r="X82" s="189">
        <f>IS!BX118</f>
        <v>0</v>
      </c>
      <c r="Y82" s="549">
        <f>Y80*154.49</f>
        <v>1852.4883540800001</v>
      </c>
      <c r="Z82" s="549">
        <f>Z80*153.68</f>
        <v>3026.4499002400003</v>
      </c>
      <c r="AA82" s="549">
        <f>AA80*168.71</f>
        <v>3125.9592624500001</v>
      </c>
      <c r="AB82" s="127">
        <f t="shared" ref="AB82:AN82" si="48">AB80*AB63</f>
        <v>14383.758824366532</v>
      </c>
      <c r="AC82" s="127">
        <f t="shared" si="48"/>
        <v>2899.2263880363789</v>
      </c>
      <c r="AD82" s="127">
        <f t="shared" si="48"/>
        <v>4155.5578228521435</v>
      </c>
      <c r="AE82" s="127">
        <f t="shared" si="48"/>
        <v>4467.2246595660536</v>
      </c>
      <c r="AF82" s="127">
        <f t="shared" si="48"/>
        <v>4562.1531835818323</v>
      </c>
      <c r="AG82" s="127">
        <f t="shared" si="48"/>
        <v>4646.1928474899187</v>
      </c>
      <c r="AH82" s="127">
        <f t="shared" si="48"/>
        <v>4717.1763493265698</v>
      </c>
      <c r="AI82" s="127">
        <f t="shared" si="48"/>
        <v>4772.6725416715881</v>
      </c>
      <c r="AJ82" s="127">
        <f t="shared" si="48"/>
        <v>4809.9590459033971</v>
      </c>
      <c r="AK82" s="127">
        <f t="shared" si="48"/>
        <v>3447.1373162307682</v>
      </c>
      <c r="AL82" s="127">
        <f t="shared" si="48"/>
        <v>3705.6726149480755</v>
      </c>
      <c r="AM82" s="127">
        <f t="shared" si="48"/>
        <v>3983.5980610691809</v>
      </c>
      <c r="AN82" s="127">
        <f t="shared" si="48"/>
        <v>4282.367915649369</v>
      </c>
      <c r="AO82" s="127"/>
    </row>
    <row r="83" spans="2:41" ht="12.75" customHeight="1" outlineLevel="1">
      <c r="B83" s="128" t="s">
        <v>330</v>
      </c>
      <c r="C83" s="102"/>
      <c r="D83" s="102"/>
      <c r="E83" s="102"/>
      <c r="F83" s="102"/>
      <c r="G83" s="102"/>
      <c r="H83" s="102"/>
      <c r="I83" s="113"/>
      <c r="J83" s="127">
        <v>164.7</v>
      </c>
      <c r="K83" s="127">
        <v>0</v>
      </c>
      <c r="L83" s="127">
        <f>14313+870.2</f>
        <v>15183.2</v>
      </c>
      <c r="M83" s="127">
        <v>0</v>
      </c>
      <c r="N83" s="127">
        <f>1332+71</f>
        <v>1403</v>
      </c>
      <c r="O83" s="127">
        <v>0</v>
      </c>
      <c r="P83" s="127">
        <v>61</v>
      </c>
      <c r="Q83" s="127">
        <v>0</v>
      </c>
      <c r="R83" s="127">
        <v>0</v>
      </c>
      <c r="S83" s="127">
        <v>0</v>
      </c>
      <c r="T83" s="127">
        <v>0</v>
      </c>
      <c r="U83" s="127">
        <v>0</v>
      </c>
      <c r="V83" s="127">
        <v>0</v>
      </c>
      <c r="W83" s="127">
        <v>0</v>
      </c>
      <c r="X83" s="127">
        <v>0</v>
      </c>
      <c r="Y83" s="127">
        <v>0</v>
      </c>
      <c r="Z83" s="127">
        <v>0</v>
      </c>
      <c r="AA83" s="127">
        <v>0</v>
      </c>
      <c r="AB83" s="127">
        <v>0</v>
      </c>
      <c r="AC83" s="127">
        <v>0</v>
      </c>
      <c r="AD83" s="127">
        <v>0</v>
      </c>
      <c r="AE83" s="127">
        <v>0</v>
      </c>
      <c r="AF83" s="127">
        <v>0</v>
      </c>
      <c r="AG83" s="127">
        <v>0</v>
      </c>
      <c r="AH83" s="127">
        <v>0</v>
      </c>
      <c r="AI83" s="127">
        <v>0</v>
      </c>
      <c r="AJ83" s="127">
        <v>0</v>
      </c>
      <c r="AK83" s="127">
        <v>0</v>
      </c>
      <c r="AL83" s="127">
        <v>0</v>
      </c>
      <c r="AM83" s="127">
        <v>0</v>
      </c>
      <c r="AN83" s="127">
        <v>0</v>
      </c>
      <c r="AO83" s="127"/>
    </row>
    <row r="84" spans="2:41" ht="12.75" customHeight="1" outlineLevel="1">
      <c r="B84" s="128" t="s">
        <v>331</v>
      </c>
      <c r="C84" s="102"/>
      <c r="D84" s="102"/>
      <c r="E84" s="102"/>
      <c r="F84" s="102"/>
      <c r="G84" s="102"/>
      <c r="H84" s="102"/>
      <c r="I84" s="113"/>
      <c r="J84" s="127"/>
      <c r="K84" s="127"/>
      <c r="L84" s="127"/>
      <c r="M84" s="127"/>
      <c r="N84" s="127"/>
      <c r="O84" s="127">
        <v>120</v>
      </c>
      <c r="P84" s="127">
        <v>335</v>
      </c>
      <c r="Q84" s="127">
        <v>462</v>
      </c>
      <c r="R84" s="127">
        <v>267</v>
      </c>
      <c r="S84" s="127">
        <v>324</v>
      </c>
      <c r="T84" s="127">
        <v>357</v>
      </c>
      <c r="U84" s="127">
        <v>337</v>
      </c>
      <c r="V84" s="127">
        <v>359</v>
      </c>
      <c r="W84" s="549">
        <v>400</v>
      </c>
      <c r="X84" s="549">
        <v>404</v>
      </c>
      <c r="Y84" s="549">
        <v>319</v>
      </c>
      <c r="Z84" s="549">
        <v>342</v>
      </c>
      <c r="AA84" s="549">
        <v>347</v>
      </c>
      <c r="AB84" s="127">
        <f>+CF!AB9</f>
        <v>375</v>
      </c>
      <c r="AC84" s="127">
        <f>+CF!AC9</f>
        <v>400</v>
      </c>
      <c r="AD84" s="127">
        <f>+CF!AD9</f>
        <v>425</v>
      </c>
      <c r="AE84" s="127">
        <f>+CF!AE9</f>
        <v>425</v>
      </c>
      <c r="AF84" s="127">
        <f>+CF!AF9</f>
        <v>425</v>
      </c>
      <c r="AG84" s="127">
        <f>+CF!AG9</f>
        <v>425</v>
      </c>
      <c r="AH84" s="127">
        <f>+CF!AH9</f>
        <v>425</v>
      </c>
      <c r="AI84" s="127">
        <f>+CF!AI9</f>
        <v>425</v>
      </c>
      <c r="AJ84" s="127">
        <f>+CF!AJ9</f>
        <v>425</v>
      </c>
      <c r="AK84" s="127">
        <f>+CF!AK9</f>
        <v>425</v>
      </c>
      <c r="AL84" s="127">
        <f>+CF!AL9</f>
        <v>425</v>
      </c>
      <c r="AM84" s="127">
        <f>+CF!AM9</f>
        <v>425</v>
      </c>
      <c r="AN84" s="127">
        <f>+CF!AN9</f>
        <v>425</v>
      </c>
      <c r="AO84" s="127"/>
    </row>
    <row r="85" spans="2:41" ht="12.75" customHeight="1" outlineLevel="1">
      <c r="B85" s="178" t="s">
        <v>332</v>
      </c>
      <c r="C85" s="115">
        <f>21.682+5.913+34.835-207.454</f>
        <v>-145.024</v>
      </c>
      <c r="D85" s="115">
        <f>44.8+15.3+23-300.5</f>
        <v>-217.4</v>
      </c>
      <c r="E85" s="116">
        <f>102.7+42.8-285.7</f>
        <v>-140.19999999999999</v>
      </c>
      <c r="F85" s="116">
        <f>113.5+48.6-157.4-450</f>
        <v>-445.3</v>
      </c>
      <c r="G85" s="116">
        <f>134.3+54.7+157.4-737.9</f>
        <v>-391.5</v>
      </c>
      <c r="H85" s="116">
        <f>345.5+108.2-912.1</f>
        <v>-458.40000000000003</v>
      </c>
      <c r="I85" s="116">
        <f>248.8+151.6-1024.7</f>
        <v>-624.30000000000007</v>
      </c>
      <c r="J85" s="116">
        <f>J79-J82+J74+J75+J83</f>
        <v>75.100000000000023</v>
      </c>
      <c r="K85" s="116">
        <f t="shared" ref="K85:AN85" si="49">K79-K82+K74+K75+K84+K83</f>
        <v>-210.7</v>
      </c>
      <c r="L85" s="116">
        <f t="shared" si="49"/>
        <v>14449.800000000001</v>
      </c>
      <c r="M85" s="116">
        <f t="shared" si="49"/>
        <v>-1150</v>
      </c>
      <c r="N85" s="116">
        <f t="shared" si="49"/>
        <v>-1989</v>
      </c>
      <c r="O85" s="116">
        <f t="shared" si="49"/>
        <v>-2947</v>
      </c>
      <c r="P85" s="116">
        <f t="shared" si="49"/>
        <v>-4427</v>
      </c>
      <c r="Q85" s="116">
        <f t="shared" si="49"/>
        <v>-4302</v>
      </c>
      <c r="R85" s="130">
        <f t="shared" si="49"/>
        <v>-1743</v>
      </c>
      <c r="S85" s="130">
        <f t="shared" si="49"/>
        <v>-2751</v>
      </c>
      <c r="T85" s="130">
        <f t="shared" si="49"/>
        <v>-3445</v>
      </c>
      <c r="U85" s="130">
        <f t="shared" si="49"/>
        <v>-7889</v>
      </c>
      <c r="V85" s="130">
        <f t="shared" si="49"/>
        <v>-3069</v>
      </c>
      <c r="W85" s="130">
        <f>W79-W82+W74+W75+W84+W83</f>
        <v>-117.43467499999997</v>
      </c>
      <c r="X85" s="130">
        <f>X79-X82+X74+X75+X84+X83</f>
        <v>519</v>
      </c>
      <c r="Y85" s="130">
        <f t="shared" si="49"/>
        <v>-1613.4883540800001</v>
      </c>
      <c r="Z85" s="130">
        <f t="shared" si="49"/>
        <v>-2891.4499002400003</v>
      </c>
      <c r="AA85" s="130">
        <f t="shared" si="49"/>
        <v>-2917.9592624500001</v>
      </c>
      <c r="AB85" s="130">
        <f t="shared" si="49"/>
        <v>-13899.275554392867</v>
      </c>
      <c r="AC85" s="130">
        <f t="shared" si="49"/>
        <v>-2426.0762770961301</v>
      </c>
      <c r="AD85" s="130">
        <f t="shared" si="49"/>
        <v>-3681.9808399055728</v>
      </c>
      <c r="AE85" s="130">
        <f t="shared" si="49"/>
        <v>-4009.9660171407686</v>
      </c>
      <c r="AF85" s="130">
        <f t="shared" si="49"/>
        <v>-4115.7311036583633</v>
      </c>
      <c r="AG85" s="130">
        <f t="shared" si="49"/>
        <v>-4206.967031592354</v>
      </c>
      <c r="AH85" s="130">
        <f t="shared" si="49"/>
        <v>-4282.729375051691</v>
      </c>
      <c r="AI85" s="130">
        <f t="shared" si="49"/>
        <v>-4341.3990650855812</v>
      </c>
      <c r="AJ85" s="130">
        <f t="shared" si="49"/>
        <v>-4380.7930021173097</v>
      </c>
      <c r="AK85" s="130">
        <f t="shared" si="49"/>
        <v>-3019.3707607826609</v>
      </c>
      <c r="AL85" s="130">
        <f t="shared" si="49"/>
        <v>-3278.8354213321527</v>
      </c>
      <c r="AM85" s="130">
        <f t="shared" si="49"/>
        <v>-3557.3780311635101</v>
      </c>
      <c r="AN85" s="130">
        <f t="shared" si="49"/>
        <v>-3856.5577272414457</v>
      </c>
      <c r="AO85" s="130"/>
    </row>
    <row r="86" spans="2:41" ht="12.75" customHeight="1" outlineLevel="1">
      <c r="B86" s="128" t="s">
        <v>333</v>
      </c>
      <c r="C86" s="102"/>
      <c r="D86" s="102"/>
      <c r="E86" s="102"/>
      <c r="F86" s="102"/>
      <c r="G86" s="102"/>
      <c r="H86" s="102"/>
      <c r="I86" s="113"/>
      <c r="J86" s="127">
        <f t="shared" ref="J86:Z86" si="50">I87</f>
        <v>1017.9</v>
      </c>
      <c r="K86" s="127">
        <f t="shared" si="50"/>
        <v>1037.4000000000001</v>
      </c>
      <c r="L86" s="127">
        <f t="shared" si="50"/>
        <v>1045.8</v>
      </c>
      <c r="M86" s="127">
        <f t="shared" si="50"/>
        <v>1289.0999999999999</v>
      </c>
      <c r="N86" s="127">
        <f t="shared" si="50"/>
        <v>1284</v>
      </c>
      <c r="O86" s="127">
        <f t="shared" si="50"/>
        <v>1260</v>
      </c>
      <c r="P86" s="127">
        <f t="shared" si="50"/>
        <v>1224</v>
      </c>
      <c r="Q86" s="127">
        <f t="shared" si="50"/>
        <v>1166</v>
      </c>
      <c r="R86" s="127">
        <f t="shared" si="50"/>
        <v>1087</v>
      </c>
      <c r="S86" s="127">
        <f t="shared" si="50"/>
        <v>1047</v>
      </c>
      <c r="T86" s="127">
        <f t="shared" si="50"/>
        <v>995</v>
      </c>
      <c r="U86" s="127">
        <f t="shared" si="50"/>
        <v>932.1</v>
      </c>
      <c r="V86" s="127">
        <f t="shared" si="50"/>
        <v>795.6</v>
      </c>
      <c r="W86" s="127">
        <f t="shared" si="50"/>
        <v>756.3</v>
      </c>
      <c r="X86" s="127">
        <f>W87</f>
        <v>754.6</v>
      </c>
      <c r="Y86" s="127">
        <f>X87</f>
        <v>760.7</v>
      </c>
      <c r="Z86" s="127">
        <f t="shared" si="50"/>
        <v>753.00900799999999</v>
      </c>
      <c r="AA86" s="127">
        <f>Z87</f>
        <v>737.31581500000004</v>
      </c>
      <c r="AB86" s="127">
        <f>AA87</f>
        <v>722.28722000000005</v>
      </c>
      <c r="AC86" s="127">
        <f>AB87</f>
        <v>646.68722000000002</v>
      </c>
      <c r="AD86" s="127">
        <f>AC87</f>
        <v>635.55205870967745</v>
      </c>
      <c r="AE86" s="127">
        <f t="shared" ref="AE86:AN86" si="51">AD87</f>
        <v>619.08630584807497</v>
      </c>
      <c r="AF86" s="127">
        <f t="shared" si="51"/>
        <v>602.41633270937541</v>
      </c>
      <c r="AG86" s="127">
        <f t="shared" si="51"/>
        <v>586.62020414143683</v>
      </c>
      <c r="AH86" s="127">
        <f t="shared" si="51"/>
        <v>571.74614407446825</v>
      </c>
      <c r="AI86" s="127">
        <f t="shared" si="51"/>
        <v>557.82394245245382</v>
      </c>
      <c r="AJ86" s="127">
        <f t="shared" si="51"/>
        <v>544.87200177304817</v>
      </c>
      <c r="AK86" s="127">
        <f t="shared" si="51"/>
        <v>532.90169003077017</v>
      </c>
      <c r="AL86" s="127">
        <f t="shared" si="51"/>
        <v>525.92002971255647</v>
      </c>
      <c r="AM86" s="127">
        <f t="shared" si="51"/>
        <v>518.93135890307929</v>
      </c>
      <c r="AN86" s="127">
        <f t="shared" si="51"/>
        <v>511.9383574191603</v>
      </c>
      <c r="AO86" s="127"/>
    </row>
    <row r="87" spans="2:41" ht="12.75" customHeight="1" outlineLevel="1">
      <c r="B87" s="128" t="s">
        <v>334</v>
      </c>
      <c r="C87" s="102">
        <f>134.214*2*2*2</f>
        <v>1073.712</v>
      </c>
      <c r="D87" s="102">
        <f>264.7*2*2</f>
        <v>1058.8</v>
      </c>
      <c r="E87" s="102">
        <f>265.7*2*2</f>
        <v>1062.8</v>
      </c>
      <c r="F87" s="102">
        <f>264.7*2*2</f>
        <v>1058.8</v>
      </c>
      <c r="G87" s="102">
        <f>516.6*2</f>
        <v>1033.2</v>
      </c>
      <c r="H87" s="102">
        <v>1018.5</v>
      </c>
      <c r="I87" s="102">
        <v>1017.9</v>
      </c>
      <c r="J87" s="102">
        <v>1037.4000000000001</v>
      </c>
      <c r="K87" s="102">
        <v>1045.8</v>
      </c>
      <c r="L87" s="102">
        <v>1289.0999999999999</v>
      </c>
      <c r="M87" s="149">
        <v>1284</v>
      </c>
      <c r="N87" s="102">
        <v>1260</v>
      </c>
      <c r="O87" s="102">
        <v>1224</v>
      </c>
      <c r="P87" s="102">
        <v>1166</v>
      </c>
      <c r="Q87" s="102">
        <v>1087</v>
      </c>
      <c r="R87" s="102">
        <v>1047</v>
      </c>
      <c r="S87" s="102">
        <v>995</v>
      </c>
      <c r="T87" s="102">
        <v>932.1</v>
      </c>
      <c r="U87" s="102">
        <v>795.6</v>
      </c>
      <c r="V87" s="102">
        <v>756.3</v>
      </c>
      <c r="W87" s="102">
        <v>754.6</v>
      </c>
      <c r="X87" s="102">
        <f t="shared" ref="X87:AD87" si="52">X86+X70-X80+X78+3</f>
        <v>760.7</v>
      </c>
      <c r="Y87" s="102">
        <f t="shared" si="52"/>
        <v>753.00900799999999</v>
      </c>
      <c r="Z87" s="102">
        <f t="shared" si="52"/>
        <v>737.31581500000004</v>
      </c>
      <c r="AA87" s="102">
        <f t="shared" si="52"/>
        <v>722.28722000000005</v>
      </c>
      <c r="AB87" s="102">
        <f t="shared" si="52"/>
        <v>646.68722000000002</v>
      </c>
      <c r="AC87" s="102">
        <f t="shared" si="52"/>
        <v>635.55205870967745</v>
      </c>
      <c r="AD87" s="102">
        <f t="shared" si="52"/>
        <v>619.08630584807497</v>
      </c>
      <c r="AE87" s="102">
        <f t="shared" ref="AE87:AN87" si="53">AE86+AE70-AE80+AE78+3</f>
        <v>602.41633270937541</v>
      </c>
      <c r="AF87" s="102">
        <f t="shared" si="53"/>
        <v>586.62020414143683</v>
      </c>
      <c r="AG87" s="102">
        <f t="shared" si="53"/>
        <v>571.74614407446825</v>
      </c>
      <c r="AH87" s="102">
        <f t="shared" si="53"/>
        <v>557.82394245245382</v>
      </c>
      <c r="AI87" s="102">
        <f t="shared" si="53"/>
        <v>544.87200177304817</v>
      </c>
      <c r="AJ87" s="102">
        <f t="shared" si="53"/>
        <v>532.90169003077017</v>
      </c>
      <c r="AK87" s="102">
        <f t="shared" si="53"/>
        <v>525.92002971255647</v>
      </c>
      <c r="AL87" s="102">
        <f t="shared" si="53"/>
        <v>518.93135890307929</v>
      </c>
      <c r="AM87" s="102">
        <f t="shared" si="53"/>
        <v>511.9383574191603</v>
      </c>
      <c r="AN87" s="102">
        <f t="shared" si="53"/>
        <v>504.9426806960297</v>
      </c>
      <c r="AO87" s="102"/>
    </row>
    <row r="88" spans="2:41" ht="12.75" customHeight="1">
      <c r="B88" s="102"/>
      <c r="C88" s="102"/>
      <c r="D88" s="102"/>
      <c r="E88" s="102"/>
      <c r="F88" s="102"/>
      <c r="G88" s="102"/>
      <c r="H88" s="102"/>
      <c r="I88" s="102"/>
      <c r="J88" s="102"/>
      <c r="K88" s="102"/>
      <c r="L88" s="102"/>
      <c r="M88" s="149"/>
      <c r="N88" s="102"/>
      <c r="O88" s="102"/>
      <c r="P88" s="102"/>
      <c r="Q88" s="102"/>
      <c r="R88" s="102"/>
      <c r="S88" s="102"/>
      <c r="T88" s="102"/>
      <c r="U88" s="150"/>
      <c r="V88" s="150"/>
      <c r="W88" s="150"/>
      <c r="X88" s="150"/>
      <c r="Y88" s="150"/>
      <c r="Z88" s="150"/>
      <c r="AA88" s="150"/>
      <c r="AB88" s="150"/>
      <c r="AC88" s="150"/>
      <c r="AD88" s="150"/>
      <c r="AE88" s="150"/>
      <c r="AF88" s="150"/>
      <c r="AG88" s="150"/>
      <c r="AH88" s="150"/>
      <c r="AI88" s="150"/>
      <c r="AJ88" s="150"/>
      <c r="AK88" s="150"/>
      <c r="AL88" s="150"/>
      <c r="AM88" s="150"/>
      <c r="AN88" s="150"/>
      <c r="AO88" s="150"/>
    </row>
    <row r="89" spans="2:41" ht="12.75" customHeight="1">
      <c r="B89" s="114" t="s">
        <v>335</v>
      </c>
      <c r="C89" s="123"/>
      <c r="D89" s="123"/>
      <c r="E89" s="123"/>
      <c r="F89" s="123"/>
      <c r="G89" s="123"/>
      <c r="H89" s="123"/>
      <c r="I89" s="123"/>
      <c r="J89" s="123"/>
      <c r="K89" s="154"/>
      <c r="L89" s="154"/>
      <c r="M89" s="154"/>
      <c r="N89" s="154"/>
      <c r="O89" s="154"/>
      <c r="P89" s="154"/>
      <c r="Q89" s="154"/>
      <c r="R89" s="154"/>
      <c r="S89" s="154"/>
      <c r="T89" s="154"/>
      <c r="U89" s="154"/>
      <c r="V89" s="154"/>
      <c r="W89" s="154"/>
      <c r="X89" s="154"/>
      <c r="Y89" s="154"/>
      <c r="Z89" s="154"/>
      <c r="AA89" s="154"/>
    </row>
    <row r="90" spans="2:41" ht="12.75" customHeight="1" outlineLevel="1">
      <c r="B90" s="190" t="s">
        <v>336</v>
      </c>
      <c r="C90" s="153"/>
      <c r="D90" s="153"/>
      <c r="E90" s="153"/>
      <c r="F90" s="153"/>
      <c r="G90" s="153"/>
      <c r="H90" s="153"/>
      <c r="I90" s="154"/>
      <c r="J90" s="154"/>
      <c r="K90" s="154"/>
      <c r="L90" s="154"/>
      <c r="M90" s="154"/>
      <c r="N90" s="154"/>
      <c r="O90" s="154"/>
      <c r="P90" s="154">
        <f>IS!AJ39</f>
        <v>3.8954468802698146</v>
      </c>
      <c r="Q90" s="154">
        <f>IS!AO39</f>
        <v>4.2854594112399642</v>
      </c>
      <c r="R90" s="154">
        <f>IS!AT39</f>
        <v>4.5484171322160147</v>
      </c>
      <c r="S90" s="154">
        <f>IS!AY39</f>
        <v>4.9108716944172377</v>
      </c>
      <c r="T90" s="154">
        <f>IS!BD39</f>
        <v>5.2062176165803109</v>
      </c>
      <c r="U90" s="154">
        <f>IS!BI39</f>
        <v>5.3267543859649127</v>
      </c>
      <c r="V90" s="154">
        <f>IS!BN39</f>
        <v>6.5127226463104329</v>
      </c>
      <c r="W90" s="154">
        <f>IS!BS39</f>
        <v>7.6</v>
      </c>
      <c r="X90" s="154">
        <f>IS!BX39</f>
        <v>8.7069525666016894</v>
      </c>
      <c r="Y90" s="154">
        <f>IS!CC39</f>
        <v>10.383812010443863</v>
      </c>
      <c r="Z90" s="154">
        <f>IS!CH39</f>
        <v>11.647331786542923</v>
      </c>
      <c r="AA90" s="154">
        <f>IS!CM39</f>
        <v>12.575314518871131</v>
      </c>
      <c r="AB90" s="154">
        <f>IS!CR39</f>
        <v>13.946488348725346</v>
      </c>
      <c r="AC90" s="154">
        <f>IS!CW39</f>
        <v>14.506801170553276</v>
      </c>
      <c r="AD90" s="154">
        <f>IS!DB39</f>
        <v>15.107959400418851</v>
      </c>
      <c r="AE90" s="154">
        <f>IS!DG39</f>
        <v>15.627096349373407</v>
      </c>
      <c r="AF90" s="154">
        <f>IS!DL39</f>
        <v>17.224433272044365</v>
      </c>
      <c r="AG90" s="154">
        <f>IS!DQ39</f>
        <v>18.932101800097357</v>
      </c>
      <c r="AH90" s="154">
        <f>IS!DV39</f>
        <v>20.45949142982116</v>
      </c>
      <c r="AI90" s="154">
        <f>IS!EA39</f>
        <v>21.518131379411418</v>
      </c>
      <c r="AJ90" s="154">
        <f>IS!EF39</f>
        <v>21.882253007172974</v>
      </c>
      <c r="AK90" s="154">
        <f>IS!EK39</f>
        <v>22.277154789323916</v>
      </c>
      <c r="AL90" s="154">
        <f>IS!EP39</f>
        <v>20.262570793507503</v>
      </c>
      <c r="AM90" s="154">
        <f>IS!EU39</f>
        <v>19.629915134161465</v>
      </c>
      <c r="AN90" s="154">
        <f>IS!EZ39</f>
        <v>19.324187823171567</v>
      </c>
      <c r="AO90" s="154"/>
    </row>
    <row r="91" spans="2:41" ht="12.75" customHeight="1" outlineLevel="1">
      <c r="B91" s="128" t="s">
        <v>337</v>
      </c>
      <c r="C91" s="127"/>
      <c r="D91" s="127"/>
      <c r="E91" s="127"/>
      <c r="F91" s="127"/>
      <c r="G91" s="127"/>
      <c r="H91" s="127"/>
      <c r="I91" s="127"/>
      <c r="J91" s="127"/>
      <c r="K91" s="127"/>
      <c r="L91" s="127"/>
      <c r="M91" s="127"/>
      <c r="N91" s="127"/>
      <c r="O91" s="127"/>
      <c r="P91" s="127">
        <f>IS!AJ44</f>
        <v>233</v>
      </c>
      <c r="Q91" s="127">
        <f>IS!AO44</f>
        <v>181</v>
      </c>
      <c r="R91" s="127">
        <f>IS!AT44</f>
        <v>103</v>
      </c>
      <c r="S91" s="127">
        <f>IS!AY44</f>
        <v>115</v>
      </c>
      <c r="T91" s="127">
        <f>IS!BD44</f>
        <v>124</v>
      </c>
      <c r="U91" s="127">
        <f>IS!BI44</f>
        <v>85</v>
      </c>
      <c r="V91" s="127">
        <f>IS!BN44</f>
        <v>60</v>
      </c>
      <c r="W91" s="127">
        <f>IS!BS44</f>
        <v>34</v>
      </c>
      <c r="X91" s="127">
        <f>IS!BX44</f>
        <v>16</v>
      </c>
      <c r="Y91" s="127">
        <f>IS!CC44</f>
        <v>0</v>
      </c>
      <c r="Z91" s="127">
        <f>IS!CH44</f>
        <v>0</v>
      </c>
      <c r="AA91" s="127">
        <f>IS!CM44</f>
        <v>0</v>
      </c>
      <c r="AB91" s="127">
        <f>IS!CR44</f>
        <v>0</v>
      </c>
      <c r="AC91" s="127">
        <f>IS!CW44</f>
        <v>0</v>
      </c>
      <c r="AD91" s="127">
        <f>IS!DB44</f>
        <v>0</v>
      </c>
      <c r="AE91" s="127">
        <f>IS!DG44</f>
        <v>0</v>
      </c>
      <c r="AF91" s="127">
        <f>IS!DL44</f>
        <v>0</v>
      </c>
      <c r="AG91" s="127">
        <f>IS!DQ44</f>
        <v>0</v>
      </c>
      <c r="AH91" s="127">
        <f>IS!DV44</f>
        <v>0</v>
      </c>
      <c r="AI91" s="127">
        <f>IS!EA44</f>
        <v>0</v>
      </c>
      <c r="AJ91" s="127">
        <f>IS!EF44</f>
        <v>0</v>
      </c>
      <c r="AK91" s="127">
        <f>IS!EK44</f>
        <v>0</v>
      </c>
      <c r="AL91" s="127">
        <f>IS!EP44</f>
        <v>0</v>
      </c>
      <c r="AM91" s="127">
        <f>IS!EU44</f>
        <v>0</v>
      </c>
      <c r="AN91" s="127">
        <f>IS!EZ44</f>
        <v>0</v>
      </c>
      <c r="AO91" s="127"/>
    </row>
    <row r="92" spans="2:41" ht="12.75" customHeight="1" outlineLevel="1">
      <c r="B92" s="191" t="s">
        <v>338</v>
      </c>
      <c r="C92" s="153"/>
      <c r="D92" s="153"/>
      <c r="E92" s="153"/>
      <c r="F92" s="153"/>
      <c r="G92" s="153"/>
      <c r="H92" s="153"/>
      <c r="I92" s="154"/>
      <c r="J92" s="154"/>
      <c r="K92" s="154"/>
      <c r="L92" s="154"/>
      <c r="M92" s="154"/>
      <c r="N92" s="154"/>
      <c r="O92" s="154"/>
      <c r="P92" s="154">
        <f t="shared" ref="P92:AD92" si="54">+P90-P91/P94</f>
        <v>3.6996485609420833</v>
      </c>
      <c r="Q92" s="154">
        <f t="shared" si="54"/>
        <v>4.1242839882657876</v>
      </c>
      <c r="R92" s="154">
        <f t="shared" si="54"/>
        <v>4.4526031787276423</v>
      </c>
      <c r="S92" s="154">
        <f t="shared" si="54"/>
        <v>4.7982370225269344</v>
      </c>
      <c r="T92" s="154">
        <f t="shared" si="54"/>
        <v>5.0777202072538863</v>
      </c>
      <c r="U92" s="154">
        <f t="shared" si="54"/>
        <v>5.2336547145519878</v>
      </c>
      <c r="V92" s="154">
        <f t="shared" si="54"/>
        <v>6.4364837644807</v>
      </c>
      <c r="W92" s="154">
        <f t="shared" si="54"/>
        <v>7.5555555555555554</v>
      </c>
      <c r="X92" s="154">
        <f t="shared" si="54"/>
        <v>8.6861665971310824</v>
      </c>
      <c r="Y92" s="154">
        <f t="shared" si="54"/>
        <v>10.383812010443863</v>
      </c>
      <c r="Z92" s="154">
        <f t="shared" si="54"/>
        <v>11.647331786542923</v>
      </c>
      <c r="AA92" s="154">
        <f t="shared" si="54"/>
        <v>12.575314518871131</v>
      </c>
      <c r="AB92" s="154">
        <f t="shared" si="54"/>
        <v>13.946488348725346</v>
      </c>
      <c r="AC92" s="154">
        <f t="shared" si="54"/>
        <v>14.506801170553276</v>
      </c>
      <c r="AD92" s="154">
        <f t="shared" si="54"/>
        <v>15.107959400418851</v>
      </c>
      <c r="AE92" s="154">
        <f t="shared" ref="AE92:AN92" si="55">+AE90-AE91/AE94</f>
        <v>15.627096349373407</v>
      </c>
      <c r="AF92" s="154">
        <f t="shared" si="55"/>
        <v>17.224433272044365</v>
      </c>
      <c r="AG92" s="154">
        <f t="shared" si="55"/>
        <v>18.932101800097357</v>
      </c>
      <c r="AH92" s="154">
        <f t="shared" si="55"/>
        <v>20.45949142982116</v>
      </c>
      <c r="AI92" s="154">
        <f t="shared" si="55"/>
        <v>21.518131379411418</v>
      </c>
      <c r="AJ92" s="154">
        <f t="shared" si="55"/>
        <v>21.882253007172974</v>
      </c>
      <c r="AK92" s="154">
        <f t="shared" si="55"/>
        <v>22.277154789323916</v>
      </c>
      <c r="AL92" s="154">
        <f t="shared" si="55"/>
        <v>20.262570793507503</v>
      </c>
      <c r="AM92" s="154">
        <f t="shared" si="55"/>
        <v>19.629915134161465</v>
      </c>
      <c r="AN92" s="154">
        <f t="shared" si="55"/>
        <v>19.324187823171567</v>
      </c>
      <c r="AO92" s="154"/>
    </row>
    <row r="93" spans="2:41" ht="12.75" customHeight="1" outlineLevel="1">
      <c r="B93" s="192" t="s">
        <v>530</v>
      </c>
      <c r="C93" s="151"/>
      <c r="D93" s="151"/>
      <c r="E93" s="151"/>
      <c r="F93" s="151"/>
      <c r="G93" s="151"/>
      <c r="H93" s="151"/>
      <c r="I93" s="152"/>
      <c r="J93" s="152"/>
      <c r="K93" s="104"/>
      <c r="L93" s="104"/>
      <c r="M93" s="104"/>
      <c r="N93" s="104"/>
      <c r="O93" s="104"/>
      <c r="P93" s="104">
        <f t="shared" ref="P93:AD93" si="56">+P92/P90-1</f>
        <v>-5.0263378078504228E-2</v>
      </c>
      <c r="Q93" s="104">
        <f t="shared" si="56"/>
        <v>-3.7609835377612866E-2</v>
      </c>
      <c r="R93" s="104">
        <f t="shared" si="56"/>
        <v>-2.1065340029992163E-2</v>
      </c>
      <c r="S93" s="104">
        <f t="shared" si="56"/>
        <v>-2.2935779816513735E-2</v>
      </c>
      <c r="T93" s="104">
        <f t="shared" si="56"/>
        <v>-2.4681528662420349E-2</v>
      </c>
      <c r="U93" s="104">
        <f t="shared" si="56"/>
        <v>-1.7477748112101121E-2</v>
      </c>
      <c r="V93" s="104">
        <f t="shared" si="56"/>
        <v>-1.1706145950023394E-2</v>
      </c>
      <c r="W93" s="104">
        <f t="shared" si="56"/>
        <v>-5.8479532163742132E-3</v>
      </c>
      <c r="X93" s="104">
        <f t="shared" si="56"/>
        <v>-2.3872841056167271E-3</v>
      </c>
      <c r="Y93" s="104">
        <f t="shared" si="56"/>
        <v>0</v>
      </c>
      <c r="Z93" s="104">
        <f t="shared" si="56"/>
        <v>0</v>
      </c>
      <c r="AA93" s="104">
        <f t="shared" si="56"/>
        <v>0</v>
      </c>
      <c r="AB93" s="104">
        <f t="shared" si="56"/>
        <v>0</v>
      </c>
      <c r="AC93" s="104">
        <f t="shared" si="56"/>
        <v>0</v>
      </c>
      <c r="AD93" s="104">
        <f t="shared" si="56"/>
        <v>0</v>
      </c>
      <c r="AE93" s="104">
        <f t="shared" ref="AE93:AN93" si="57">+AE92/AE90-1</f>
        <v>0</v>
      </c>
      <c r="AF93" s="104">
        <f t="shared" si="57"/>
        <v>0</v>
      </c>
      <c r="AG93" s="104">
        <f t="shared" si="57"/>
        <v>0</v>
      </c>
      <c r="AH93" s="104">
        <f t="shared" si="57"/>
        <v>0</v>
      </c>
      <c r="AI93" s="104">
        <f t="shared" si="57"/>
        <v>0</v>
      </c>
      <c r="AJ93" s="104">
        <f t="shared" si="57"/>
        <v>0</v>
      </c>
      <c r="AK93" s="104">
        <f t="shared" si="57"/>
        <v>0</v>
      </c>
      <c r="AL93" s="104">
        <f t="shared" si="57"/>
        <v>0</v>
      </c>
      <c r="AM93" s="104">
        <f t="shared" si="57"/>
        <v>0</v>
      </c>
      <c r="AN93" s="104">
        <f t="shared" si="57"/>
        <v>0</v>
      </c>
      <c r="AO93" s="104"/>
    </row>
    <row r="94" spans="2:41" ht="12.75" customHeight="1" outlineLevel="1">
      <c r="B94" s="128" t="s">
        <v>531</v>
      </c>
      <c r="C94" s="127"/>
      <c r="D94" s="127"/>
      <c r="E94" s="127"/>
      <c r="F94" s="127"/>
      <c r="G94" s="127"/>
      <c r="H94" s="127"/>
      <c r="I94" s="127"/>
      <c r="J94" s="127"/>
      <c r="K94" s="127"/>
      <c r="L94" s="127"/>
      <c r="M94" s="127"/>
      <c r="N94" s="127"/>
      <c r="O94" s="127"/>
      <c r="P94" s="127">
        <f>IS!AJ87</f>
        <v>1190</v>
      </c>
      <c r="Q94" s="127">
        <f>IS!AO87</f>
        <v>1123</v>
      </c>
      <c r="R94" s="127">
        <f>IS!AT87</f>
        <v>1075</v>
      </c>
      <c r="S94" s="127">
        <f>IS!AY87</f>
        <v>1021</v>
      </c>
      <c r="T94" s="127">
        <f>IS!BD87</f>
        <v>965</v>
      </c>
      <c r="U94" s="127">
        <f>IS!BI87</f>
        <v>913</v>
      </c>
      <c r="V94" s="127">
        <f>IS!BN87</f>
        <v>787</v>
      </c>
      <c r="W94" s="127">
        <f>IS!BS87</f>
        <v>765</v>
      </c>
      <c r="X94" s="127">
        <f>IS!BX87</f>
        <v>769.75</v>
      </c>
      <c r="Y94" s="127">
        <f>IS!CC87</f>
        <v>765.75</v>
      </c>
      <c r="Z94" s="127">
        <f>IS!CH87</f>
        <v>754.25</v>
      </c>
      <c r="AA94" s="127">
        <f>IS!CM87</f>
        <v>734</v>
      </c>
      <c r="AB94" s="127">
        <f>IS!CR87</f>
        <v>674.875</v>
      </c>
      <c r="AC94" s="127">
        <f>IS!CW87</f>
        <v>646.02555671459027</v>
      </c>
      <c r="AD94" s="127">
        <f>IS!DB87</f>
        <v>632.11949703688936</v>
      </c>
      <c r="AE94" s="127">
        <f>IS!DG87</f>
        <v>615.42485494323205</v>
      </c>
      <c r="AF94" s="127">
        <f>IS!DL87</f>
        <v>599.06758701544754</v>
      </c>
      <c r="AG94" s="127">
        <f>IS!DQ87</f>
        <v>583.61514688481441</v>
      </c>
      <c r="AH94" s="127">
        <f>IS!DV87</f>
        <v>569.10683997376384</v>
      </c>
      <c r="AI94" s="127">
        <f>IS!EA87</f>
        <v>555.5669468900229</v>
      </c>
      <c r="AJ94" s="127">
        <f>IS!EF87</f>
        <v>543.01046678320415</v>
      </c>
      <c r="AK94" s="127">
        <f>IS!EK87</f>
        <v>533.4619694750113</v>
      </c>
      <c r="AL94" s="127">
        <f>IS!EP87</f>
        <v>526.42335266291684</v>
      </c>
      <c r="AM94" s="127">
        <f>IS!EU87</f>
        <v>519.37902187605187</v>
      </c>
      <c r="AN94" s="127">
        <f>IS!EZ87</f>
        <v>512.33116132735267</v>
      </c>
      <c r="AO94" s="127"/>
    </row>
    <row r="96" spans="2:41" ht="12.75" customHeight="1">
      <c r="B96" s="4" t="s">
        <v>339</v>
      </c>
      <c r="S96" s="102">
        <f t="shared" ref="S96:AN96" si="58">S82</f>
        <v>3254</v>
      </c>
      <c r="T96" s="102">
        <f t="shared" si="58"/>
        <v>3800</v>
      </c>
      <c r="U96" s="102">
        <f t="shared" si="58"/>
        <v>8367</v>
      </c>
      <c r="V96" s="102">
        <f t="shared" si="58"/>
        <v>4629</v>
      </c>
      <c r="W96" s="102">
        <f t="shared" si="58"/>
        <v>771.43467499999997</v>
      </c>
      <c r="X96" s="102">
        <f t="shared" si="58"/>
        <v>0</v>
      </c>
      <c r="Y96" s="102">
        <f>Y82</f>
        <v>1852.4883540800001</v>
      </c>
      <c r="Z96" s="102">
        <f t="shared" si="58"/>
        <v>3026.4499002400003</v>
      </c>
      <c r="AA96" s="102">
        <f t="shared" si="58"/>
        <v>3125.9592624500001</v>
      </c>
      <c r="AB96" s="102">
        <f t="shared" si="58"/>
        <v>14383.758824366532</v>
      </c>
      <c r="AC96" s="102">
        <f t="shared" si="58"/>
        <v>2899.2263880363789</v>
      </c>
      <c r="AD96" s="102">
        <f t="shared" si="58"/>
        <v>4155.5578228521435</v>
      </c>
      <c r="AE96" s="102">
        <f t="shared" si="58"/>
        <v>4467.2246595660536</v>
      </c>
      <c r="AF96" s="102">
        <f t="shared" si="58"/>
        <v>4562.1531835818323</v>
      </c>
      <c r="AG96" s="102">
        <f t="shared" si="58"/>
        <v>4646.1928474899187</v>
      </c>
      <c r="AH96" s="102">
        <f t="shared" si="58"/>
        <v>4717.1763493265698</v>
      </c>
      <c r="AI96" s="102">
        <f t="shared" si="58"/>
        <v>4772.6725416715881</v>
      </c>
      <c r="AJ96" s="102">
        <f t="shared" si="58"/>
        <v>4809.9590459033971</v>
      </c>
      <c r="AK96" s="102">
        <f t="shared" si="58"/>
        <v>3447.1373162307682</v>
      </c>
      <c r="AL96" s="102">
        <f t="shared" si="58"/>
        <v>3705.6726149480755</v>
      </c>
      <c r="AM96" s="102">
        <f t="shared" si="58"/>
        <v>3983.5980610691809</v>
      </c>
      <c r="AN96" s="102">
        <f t="shared" si="58"/>
        <v>4282.367915649369</v>
      </c>
      <c r="AO96" s="102"/>
    </row>
    <row r="97" spans="2:41" ht="12.75" customHeight="1" outlineLevel="1">
      <c r="B97" s="5" t="s">
        <v>340</v>
      </c>
      <c r="Q97" s="156"/>
      <c r="R97" s="102"/>
      <c r="S97" s="102">
        <f t="shared" ref="S97:AN97" si="59">-S38</f>
        <v>0</v>
      </c>
      <c r="T97" s="102">
        <f t="shared" si="59"/>
        <v>0</v>
      </c>
      <c r="U97" s="102">
        <f t="shared" si="59"/>
        <v>500</v>
      </c>
      <c r="V97" s="102">
        <f t="shared" si="59"/>
        <v>1118</v>
      </c>
      <c r="W97" s="102">
        <f t="shared" si="59"/>
        <v>1415</v>
      </c>
      <c r="X97" s="102">
        <f t="shared" si="59"/>
        <v>1851</v>
      </c>
      <c r="Y97" s="102">
        <f t="shared" si="59"/>
        <v>2396</v>
      </c>
      <c r="Z97" s="102">
        <f t="shared" si="59"/>
        <v>2998</v>
      </c>
      <c r="AA97" s="102">
        <f t="shared" si="59"/>
        <v>3365</v>
      </c>
      <c r="AB97" s="102">
        <f t="shared" si="59"/>
        <v>3458.2471344175124</v>
      </c>
      <c r="AC97" s="102">
        <f t="shared" si="59"/>
        <v>3536.419425843384</v>
      </c>
      <c r="AD97" s="102">
        <f t="shared" si="59"/>
        <v>3698.4649629605124</v>
      </c>
      <c r="AE97" s="102">
        <f t="shared" si="59"/>
        <v>3819.958622980786</v>
      </c>
      <c r="AF97" s="102">
        <f t="shared" si="59"/>
        <v>4200.9133624615442</v>
      </c>
      <c r="AG97" s="102">
        <f t="shared" si="59"/>
        <v>4607.9508341359842</v>
      </c>
      <c r="AH97" s="102">
        <f t="shared" si="59"/>
        <v>4971.4673045970303</v>
      </c>
      <c r="AI97" s="102">
        <f t="shared" si="59"/>
        <v>5222.9481378053933</v>
      </c>
      <c r="AJ97" s="102">
        <f t="shared" si="59"/>
        <v>5309.2070506677201</v>
      </c>
      <c r="AK97" s="102">
        <f t="shared" si="59"/>
        <v>5309.976669483668</v>
      </c>
      <c r="AL97" s="102">
        <f t="shared" si="59"/>
        <v>4766.0557531999129</v>
      </c>
      <c r="AM97" s="102">
        <f t="shared" si="59"/>
        <v>4555.4601575676943</v>
      </c>
      <c r="AN97" s="102">
        <f t="shared" si="59"/>
        <v>4423.6570267141606</v>
      </c>
      <c r="AO97" s="102"/>
    </row>
    <row r="98" spans="2:41" ht="12.75" customHeight="1" outlineLevel="1">
      <c r="B98" s="157" t="s">
        <v>341</v>
      </c>
      <c r="C98" s="158"/>
      <c r="D98" s="158"/>
      <c r="E98" s="158"/>
      <c r="F98" s="158"/>
      <c r="G98" s="158"/>
      <c r="H98" s="158"/>
      <c r="I98" s="158"/>
      <c r="J98" s="158"/>
      <c r="K98" s="158"/>
      <c r="L98" s="158"/>
      <c r="M98" s="158"/>
      <c r="N98" s="158"/>
      <c r="O98" s="158"/>
      <c r="P98" s="158"/>
      <c r="Q98" s="159"/>
      <c r="R98" s="150"/>
      <c r="S98" s="150"/>
      <c r="T98" s="150"/>
      <c r="U98" s="71">
        <f>IS!BI135</f>
        <v>0.22023285899094439</v>
      </c>
      <c r="V98" s="71">
        <f>IS!BN135</f>
        <v>0.22110568470404374</v>
      </c>
      <c r="W98" s="71">
        <f>IS!BS135</f>
        <v>0.24736842105263154</v>
      </c>
      <c r="X98" s="71">
        <f>IS!BX135</f>
        <v>0.2802358208955224</v>
      </c>
      <c r="Y98" s="71">
        <f>IS!CC135</f>
        <v>0.33023582089552239</v>
      </c>
      <c r="Z98" s="71">
        <f>IS!CH135</f>
        <v>0.35023582089552241</v>
      </c>
      <c r="AA98" s="71">
        <f>IS!CM135</f>
        <v>0.36023582089552242</v>
      </c>
      <c r="AB98" s="71">
        <f>IS!CR135</f>
        <v>0.37023582089552243</v>
      </c>
      <c r="AC98" s="71">
        <f>IS!CW135</f>
        <v>0.38023582089552244</v>
      </c>
      <c r="AD98" s="71">
        <f>IS!DB135</f>
        <v>0.39023582089552245</v>
      </c>
      <c r="AE98" s="71">
        <f>IS!DG135</f>
        <v>0.40023582089552245</v>
      </c>
      <c r="AF98" s="71">
        <f>IS!DL135</f>
        <v>0.41023582089552246</v>
      </c>
      <c r="AG98" s="71">
        <f>IS!DQ135</f>
        <v>0.42023582089552247</v>
      </c>
      <c r="AH98" s="71">
        <f>IS!DV135</f>
        <v>0.43023582089552248</v>
      </c>
      <c r="AI98" s="71">
        <f>IS!EA135</f>
        <v>0.44023582089552249</v>
      </c>
      <c r="AJ98" s="71">
        <f>IS!EF135</f>
        <v>0.4502358208955225</v>
      </c>
      <c r="AK98" s="71">
        <f>IS!EK135</f>
        <v>0.4502358208955225</v>
      </c>
      <c r="AL98" s="71">
        <f>IS!EP135</f>
        <v>0.4502358208955225</v>
      </c>
      <c r="AM98" s="71">
        <f>IS!EU135</f>
        <v>0.4502358208955225</v>
      </c>
      <c r="AN98" s="71">
        <f>IS!EZ135</f>
        <v>0.4502358208955225</v>
      </c>
      <c r="AO98" s="71"/>
    </row>
    <row r="99" spans="2:41" ht="12.75" customHeight="1" outlineLevel="1">
      <c r="B99" s="4" t="s">
        <v>342</v>
      </c>
      <c r="C99" s="4"/>
      <c r="D99" s="4"/>
      <c r="E99" s="4"/>
      <c r="F99" s="4"/>
      <c r="G99" s="4"/>
      <c r="H99" s="4"/>
      <c r="I99" s="4"/>
      <c r="J99" s="4"/>
      <c r="K99" s="4"/>
      <c r="L99" s="4"/>
      <c r="M99" s="4"/>
      <c r="N99" s="4"/>
      <c r="O99" s="4"/>
      <c r="P99" s="4"/>
      <c r="Q99" s="161"/>
      <c r="R99" s="114"/>
      <c r="S99" s="114">
        <f t="shared" ref="S99:Z99" si="60">SUM(S96:S97)</f>
        <v>3254</v>
      </c>
      <c r="T99" s="114">
        <f t="shared" si="60"/>
        <v>3800</v>
      </c>
      <c r="U99" s="114">
        <f t="shared" si="60"/>
        <v>8867</v>
      </c>
      <c r="V99" s="114">
        <f t="shared" si="60"/>
        <v>5747</v>
      </c>
      <c r="W99" s="114">
        <f t="shared" si="60"/>
        <v>2186.434675</v>
      </c>
      <c r="X99" s="114">
        <f t="shared" si="60"/>
        <v>1851</v>
      </c>
      <c r="Y99" s="114">
        <f t="shared" si="60"/>
        <v>4248.4883540800001</v>
      </c>
      <c r="Z99" s="114">
        <f t="shared" si="60"/>
        <v>6024.4499002400007</v>
      </c>
      <c r="AA99" s="114">
        <f>SUM(AA96:AA97)</f>
        <v>6490.9592624500001</v>
      </c>
      <c r="AB99" s="114">
        <f>SUM(AB96:AB97)</f>
        <v>17842.005958784044</v>
      </c>
      <c r="AC99" s="114">
        <f>SUM(AC96:AC97)</f>
        <v>6435.6458138797625</v>
      </c>
      <c r="AD99" s="114">
        <f>SUM(AD96:AD97)</f>
        <v>7854.0227858126564</v>
      </c>
      <c r="AE99" s="114">
        <f t="shared" ref="AE99:AN99" si="61">SUM(AE96:AE97)</f>
        <v>8287.1832825468391</v>
      </c>
      <c r="AF99" s="114">
        <f t="shared" si="61"/>
        <v>8763.0665460433775</v>
      </c>
      <c r="AG99" s="114">
        <f t="shared" si="61"/>
        <v>9254.1436816259029</v>
      </c>
      <c r="AH99" s="114">
        <f t="shared" si="61"/>
        <v>9688.6436539236001</v>
      </c>
      <c r="AI99" s="114">
        <f t="shared" si="61"/>
        <v>9995.6206794769823</v>
      </c>
      <c r="AJ99" s="114">
        <f t="shared" si="61"/>
        <v>10119.166096571116</v>
      </c>
      <c r="AK99" s="114">
        <f t="shared" si="61"/>
        <v>8757.1139857144371</v>
      </c>
      <c r="AL99" s="114">
        <f t="shared" si="61"/>
        <v>8471.7283681479894</v>
      </c>
      <c r="AM99" s="114">
        <f t="shared" si="61"/>
        <v>8539.0582186368756</v>
      </c>
      <c r="AN99" s="114">
        <f t="shared" si="61"/>
        <v>8706.0249423635287</v>
      </c>
      <c r="AO99" s="114"/>
    </row>
    <row r="100" spans="2:41" ht="12.75" customHeight="1" outlineLevel="1">
      <c r="B100" s="5" t="s">
        <v>343</v>
      </c>
      <c r="S100" s="162">
        <f>S3</f>
        <v>4605</v>
      </c>
      <c r="T100" s="162">
        <f t="shared" ref="T100:Z100" si="62">T3</f>
        <v>4627</v>
      </c>
      <c r="U100" s="162">
        <f t="shared" si="62"/>
        <v>3683</v>
      </c>
      <c r="V100" s="162">
        <f t="shared" si="62"/>
        <v>4345</v>
      </c>
      <c r="W100" s="162">
        <f t="shared" si="62"/>
        <v>5081</v>
      </c>
      <c r="X100" s="162">
        <f t="shared" si="62"/>
        <v>5158</v>
      </c>
      <c r="Y100" s="162">
        <f t="shared" si="62"/>
        <v>6939</v>
      </c>
      <c r="Z100" s="162">
        <f t="shared" si="62"/>
        <v>7722</v>
      </c>
      <c r="AA100" s="162">
        <f>AA3</f>
        <v>1979</v>
      </c>
      <c r="AB100" s="162">
        <f>AB3</f>
        <v>9416.1363243460182</v>
      </c>
      <c r="AC100" s="162">
        <f>AC3</f>
        <v>9371.7643023545497</v>
      </c>
      <c r="AD100" s="162">
        <f>AD3</f>
        <v>9550.0356974465085</v>
      </c>
      <c r="AE100" s="162">
        <f t="shared" ref="AE100:AN100" si="63">AE3</f>
        <v>9617.30350399704</v>
      </c>
      <c r="AF100" s="162">
        <f t="shared" si="63"/>
        <v>10318.599677992208</v>
      </c>
      <c r="AG100" s="162">
        <f t="shared" si="63"/>
        <v>11049.061372902079</v>
      </c>
      <c r="AH100" s="162">
        <f t="shared" si="63"/>
        <v>11643.636515095823</v>
      </c>
      <c r="AI100" s="162">
        <f t="shared" si="63"/>
        <v>11954.762553237999</v>
      </c>
      <c r="AJ100" s="162">
        <f t="shared" si="63"/>
        <v>11882.292419693169</v>
      </c>
      <c r="AK100" s="162">
        <f t="shared" si="63"/>
        <v>11884.014868212416</v>
      </c>
      <c r="AL100" s="162">
        <f t="shared" si="63"/>
        <v>10666.69045068792</v>
      </c>
      <c r="AM100" s="162">
        <f t="shared" si="63"/>
        <v>10195.366121890689</v>
      </c>
      <c r="AN100" s="162">
        <f t="shared" si="63"/>
        <v>9900.3835891533763</v>
      </c>
      <c r="AO100" s="162"/>
    </row>
    <row r="101" spans="2:41" ht="12.75" customHeight="1" outlineLevel="1">
      <c r="B101" s="5" t="s">
        <v>543</v>
      </c>
      <c r="S101" s="104">
        <f t="shared" ref="S101:Z101" si="64">S99/S100</f>
        <v>0.70662323561346363</v>
      </c>
      <c r="T101" s="104">
        <f t="shared" si="64"/>
        <v>0.82126647936027664</v>
      </c>
      <c r="U101" s="104">
        <f t="shared" si="64"/>
        <v>2.4075481944067336</v>
      </c>
      <c r="V101" s="104">
        <f t="shared" si="64"/>
        <v>1.3226697353279633</v>
      </c>
      <c r="W101" s="104">
        <f t="shared" si="64"/>
        <v>0.43031581873646918</v>
      </c>
      <c r="X101" s="104">
        <f t="shared" si="64"/>
        <v>0.35886002326483135</v>
      </c>
      <c r="Y101" s="104">
        <f t="shared" si="64"/>
        <v>0.61226233665946106</v>
      </c>
      <c r="Z101" s="104">
        <f t="shared" si="64"/>
        <v>0.78016704224812239</v>
      </c>
      <c r="AA101" s="104">
        <f>AA99/AA100</f>
        <v>3.2799187783981809</v>
      </c>
      <c r="AB101" s="104">
        <f>AB99/AB100</f>
        <v>1.8948330126288002</v>
      </c>
      <c r="AC101" s="104">
        <f>AC99/AC100</f>
        <v>0.68670589723035169</v>
      </c>
      <c r="AD101" s="104">
        <f>AD99/AD100</f>
        <v>0.82240768879143222</v>
      </c>
      <c r="AE101" s="104">
        <f t="shared" ref="AE101:AN101" si="65">AE99/AE100</f>
        <v>0.86169509770619268</v>
      </c>
      <c r="AF101" s="104">
        <f t="shared" si="65"/>
        <v>0.84924959001302147</v>
      </c>
      <c r="AG101" s="104">
        <f t="shared" si="65"/>
        <v>0.83755021076466929</v>
      </c>
      <c r="AH101" s="104">
        <f t="shared" si="65"/>
        <v>0.83209774208962983</v>
      </c>
      <c r="AI101" s="104">
        <f t="shared" si="65"/>
        <v>0.83612038591010118</v>
      </c>
      <c r="AJ101" s="104">
        <f t="shared" si="65"/>
        <v>0.85161732594630246</v>
      </c>
      <c r="AK101" s="104">
        <f t="shared" si="65"/>
        <v>0.73688177630424612</v>
      </c>
      <c r="AL101" s="104">
        <f t="shared" si="65"/>
        <v>0.79422276359408439</v>
      </c>
      <c r="AM101" s="104">
        <f t="shared" si="65"/>
        <v>0.83754306775727072</v>
      </c>
      <c r="AN101" s="104">
        <f t="shared" si="65"/>
        <v>0.8793623867161714</v>
      </c>
      <c r="AO101" s="104"/>
    </row>
    <row r="102" spans="2:41" ht="12.75" customHeight="1" outlineLevel="1">
      <c r="B102" s="5" t="s">
        <v>344</v>
      </c>
      <c r="S102" s="162">
        <f t="shared" ref="S102:Z102" si="66">S56</f>
        <v>5806</v>
      </c>
      <c r="T102" s="162">
        <f t="shared" si="66"/>
        <v>5207</v>
      </c>
      <c r="U102" s="162">
        <f t="shared" si="66"/>
        <v>4552</v>
      </c>
      <c r="V102" s="162">
        <f t="shared" si="66"/>
        <v>5193</v>
      </c>
      <c r="W102" s="162">
        <f t="shared" si="66"/>
        <v>5598</v>
      </c>
      <c r="X102" s="162">
        <f t="shared" si="66"/>
        <v>7837</v>
      </c>
      <c r="Y102" s="162">
        <f t="shared" si="66"/>
        <v>8483</v>
      </c>
      <c r="Z102" s="162">
        <f t="shared" si="66"/>
        <v>9616</v>
      </c>
      <c r="AA102" s="162">
        <f>AA56</f>
        <v>10524</v>
      </c>
      <c r="AB102" s="162">
        <f>AB56</f>
        <v>11620.472610981766</v>
      </c>
      <c r="AC102" s="162">
        <f>AC56</f>
        <v>11703.286546636387</v>
      </c>
      <c r="AD102" s="162">
        <f>AD56</f>
        <v>11877.572955651993</v>
      </c>
      <c r="AE102" s="162">
        <f t="shared" ref="AE102:AN102" si="67">AE56</f>
        <v>11919.575306920709</v>
      </c>
      <c r="AF102" s="162">
        <f t="shared" si="67"/>
        <v>12431.219757992152</v>
      </c>
      <c r="AG102" s="162">
        <f t="shared" si="67"/>
        <v>12365.318057425846</v>
      </c>
      <c r="AH102" s="162">
        <f t="shared" si="67"/>
        <v>12173.58274639025</v>
      </c>
      <c r="AI102" s="162">
        <f t="shared" si="67"/>
        <v>12526.294566872775</v>
      </c>
      <c r="AJ102" s="162">
        <f t="shared" si="67"/>
        <v>12700.933814100557</v>
      </c>
      <c r="AK102" s="162">
        <f t="shared" si="67"/>
        <v>12239.939523770774</v>
      </c>
      <c r="AL102" s="162">
        <f t="shared" si="67"/>
        <v>11603.315742227463</v>
      </c>
      <c r="AM102" s="162">
        <f t="shared" si="67"/>
        <v>10776.940629180459</v>
      </c>
      <c r="AN102" s="162">
        <f t="shared" si="67"/>
        <v>9694.927925499298</v>
      </c>
      <c r="AO102" s="162"/>
    </row>
    <row r="103" spans="2:41" ht="12.75" customHeight="1" outlineLevel="1">
      <c r="B103" s="5" t="s">
        <v>345</v>
      </c>
      <c r="S103" s="160">
        <v>0.3</v>
      </c>
      <c r="T103" s="160">
        <f t="shared" ref="T103:Z103" si="68">S103</f>
        <v>0.3</v>
      </c>
      <c r="U103" s="160">
        <f t="shared" si="68"/>
        <v>0.3</v>
      </c>
      <c r="V103" s="160">
        <f t="shared" si="68"/>
        <v>0.3</v>
      </c>
      <c r="W103" s="160">
        <f t="shared" si="68"/>
        <v>0.3</v>
      </c>
      <c r="X103" s="160">
        <f t="shared" si="68"/>
        <v>0.3</v>
      </c>
      <c r="Y103" s="160">
        <f t="shared" si="68"/>
        <v>0.3</v>
      </c>
      <c r="Z103" s="160">
        <f t="shared" si="68"/>
        <v>0.3</v>
      </c>
      <c r="AA103" s="160">
        <f>Z103</f>
        <v>0.3</v>
      </c>
      <c r="AB103" s="160">
        <f>AA103</f>
        <v>0.3</v>
      </c>
      <c r="AC103" s="160">
        <f>AB103</f>
        <v>0.3</v>
      </c>
      <c r="AD103" s="160">
        <f>AC103</f>
        <v>0.3</v>
      </c>
      <c r="AE103" s="160">
        <f t="shared" ref="AE103:AN103" si="69">AD103</f>
        <v>0.3</v>
      </c>
      <c r="AF103" s="160">
        <f t="shared" si="69"/>
        <v>0.3</v>
      </c>
      <c r="AG103" s="160">
        <f t="shared" si="69"/>
        <v>0.3</v>
      </c>
      <c r="AH103" s="160">
        <f t="shared" si="69"/>
        <v>0.3</v>
      </c>
      <c r="AI103" s="160">
        <f t="shared" si="69"/>
        <v>0.3</v>
      </c>
      <c r="AJ103" s="160">
        <f t="shared" si="69"/>
        <v>0.3</v>
      </c>
      <c r="AK103" s="160">
        <f t="shared" si="69"/>
        <v>0.3</v>
      </c>
      <c r="AL103" s="160">
        <f t="shared" si="69"/>
        <v>0.3</v>
      </c>
      <c r="AM103" s="160">
        <f t="shared" si="69"/>
        <v>0.3</v>
      </c>
      <c r="AN103" s="160">
        <f t="shared" si="69"/>
        <v>0.3</v>
      </c>
      <c r="AO103" s="160"/>
    </row>
    <row r="104" spans="2:41" ht="12.75" customHeight="1" outlineLevel="1">
      <c r="B104" s="5" t="s">
        <v>346</v>
      </c>
      <c r="S104" s="162">
        <f t="shared" ref="S104:Z104" si="70">S102*S103</f>
        <v>1741.8</v>
      </c>
      <c r="T104" s="162">
        <f t="shared" si="70"/>
        <v>1562.1</v>
      </c>
      <c r="U104" s="162">
        <f t="shared" si="70"/>
        <v>1365.6</v>
      </c>
      <c r="V104" s="162">
        <f t="shared" si="70"/>
        <v>1557.8999999999999</v>
      </c>
      <c r="W104" s="162">
        <f t="shared" si="70"/>
        <v>1679.3999999999999</v>
      </c>
      <c r="X104" s="162">
        <f t="shared" si="70"/>
        <v>2351.1</v>
      </c>
      <c r="Y104" s="162">
        <f t="shared" si="70"/>
        <v>2544.9</v>
      </c>
      <c r="Z104" s="162">
        <f t="shared" si="70"/>
        <v>2884.7999999999997</v>
      </c>
      <c r="AA104" s="162">
        <f>AA102*AA103</f>
        <v>3157.2</v>
      </c>
      <c r="AB104" s="162">
        <f>AB102*AB103</f>
        <v>3486.1417832945294</v>
      </c>
      <c r="AC104" s="162">
        <f>AC102*AC103</f>
        <v>3510.9859639909159</v>
      </c>
      <c r="AD104" s="162">
        <f>AD102*AD103</f>
        <v>3563.2718866955979</v>
      </c>
      <c r="AE104" s="162">
        <f t="shared" ref="AE104:AN104" si="71">AE102*AE103</f>
        <v>3575.8725920762126</v>
      </c>
      <c r="AF104" s="162">
        <f t="shared" si="71"/>
        <v>3729.3659273976455</v>
      </c>
      <c r="AG104" s="162">
        <f t="shared" si="71"/>
        <v>3709.5954172277534</v>
      </c>
      <c r="AH104" s="162">
        <f t="shared" si="71"/>
        <v>3652.0748239170748</v>
      </c>
      <c r="AI104" s="162">
        <f t="shared" si="71"/>
        <v>3757.8883700618326</v>
      </c>
      <c r="AJ104" s="162">
        <f t="shared" si="71"/>
        <v>3810.280144230167</v>
      </c>
      <c r="AK104" s="162">
        <f t="shared" si="71"/>
        <v>3671.9818571312321</v>
      </c>
      <c r="AL104" s="162">
        <f t="shared" si="71"/>
        <v>3480.9947226682389</v>
      </c>
      <c r="AM104" s="162">
        <f t="shared" si="71"/>
        <v>3233.0821887541374</v>
      </c>
      <c r="AN104" s="162">
        <f t="shared" si="71"/>
        <v>2908.4783776497893</v>
      </c>
      <c r="AO104" s="162"/>
    </row>
    <row r="105" spans="2:41" ht="12.75" customHeight="1" outlineLevel="1">
      <c r="B105" s="5" t="s">
        <v>347</v>
      </c>
      <c r="S105" s="162">
        <f t="shared" ref="S105:Z105" si="72">S104-S99</f>
        <v>-1512.2</v>
      </c>
      <c r="T105" s="162">
        <f t="shared" si="72"/>
        <v>-2237.9</v>
      </c>
      <c r="U105" s="162">
        <f t="shared" si="72"/>
        <v>-7501.4</v>
      </c>
      <c r="V105" s="162">
        <f t="shared" si="72"/>
        <v>-4189.1000000000004</v>
      </c>
      <c r="W105" s="162">
        <f t="shared" si="72"/>
        <v>-507.03467500000011</v>
      </c>
      <c r="X105" s="162">
        <f t="shared" si="72"/>
        <v>500.09999999999991</v>
      </c>
      <c r="Y105" s="162">
        <f t="shared" si="72"/>
        <v>-1703.58835408</v>
      </c>
      <c r="Z105" s="162">
        <f t="shared" si="72"/>
        <v>-3139.649900240001</v>
      </c>
      <c r="AA105" s="162">
        <f>AA104-AA99</f>
        <v>-3333.7592624500003</v>
      </c>
      <c r="AB105" s="162">
        <f>AB104-AB99</f>
        <v>-14355.864175489514</v>
      </c>
      <c r="AC105" s="162">
        <f>AC104-AC99</f>
        <v>-2924.6598498888466</v>
      </c>
      <c r="AD105" s="162">
        <f>AD104-AD99</f>
        <v>-4290.750899117058</v>
      </c>
      <c r="AE105" s="162">
        <f t="shared" ref="AE105:AN105" si="73">AE104-AE99</f>
        <v>-4711.3106904706265</v>
      </c>
      <c r="AF105" s="162">
        <f t="shared" si="73"/>
        <v>-5033.700618645732</v>
      </c>
      <c r="AG105" s="162">
        <f t="shared" si="73"/>
        <v>-5544.5482643981495</v>
      </c>
      <c r="AH105" s="162">
        <f t="shared" si="73"/>
        <v>-6036.5688300065249</v>
      </c>
      <c r="AI105" s="162">
        <f t="shared" si="73"/>
        <v>-6237.7323094151498</v>
      </c>
      <c r="AJ105" s="162">
        <f t="shared" si="73"/>
        <v>-6308.8859523409492</v>
      </c>
      <c r="AK105" s="162">
        <f t="shared" si="73"/>
        <v>-5085.1321285832055</v>
      </c>
      <c r="AL105" s="162">
        <f t="shared" si="73"/>
        <v>-4990.7336454797505</v>
      </c>
      <c r="AM105" s="162">
        <f t="shared" si="73"/>
        <v>-5305.9760298827387</v>
      </c>
      <c r="AN105" s="162">
        <f t="shared" si="73"/>
        <v>-5797.5465647137389</v>
      </c>
      <c r="AO105" s="162"/>
    </row>
    <row r="106" spans="2:41" ht="12.75" customHeight="1">
      <c r="B106" s="4"/>
      <c r="S106" s="162"/>
      <c r="T106" s="162"/>
      <c r="U106" s="162"/>
      <c r="V106" s="162"/>
      <c r="W106" s="162"/>
      <c r="X106" s="162"/>
      <c r="Y106" s="162"/>
      <c r="Z106" s="162"/>
    </row>
    <row r="107" spans="2:41" ht="12.75" customHeight="1">
      <c r="B107" s="4"/>
      <c r="S107" s="162"/>
      <c r="T107" s="162"/>
      <c r="U107" s="162"/>
      <c r="V107" s="162"/>
      <c r="W107" s="162"/>
      <c r="X107" s="162"/>
      <c r="Y107" s="162"/>
      <c r="Z107" s="162"/>
    </row>
    <row r="108" spans="2:41" ht="12.75" customHeight="1">
      <c r="B108" s="4"/>
      <c r="S108" s="162"/>
      <c r="T108" s="162"/>
      <c r="U108" s="162"/>
      <c r="V108" s="162"/>
      <c r="W108" s="162"/>
      <c r="X108" s="162"/>
      <c r="Y108" s="162"/>
      <c r="Z108" s="162"/>
    </row>
    <row r="109" spans="2:41" ht="12.75" customHeight="1">
      <c r="B109" s="375" t="s">
        <v>429</v>
      </c>
      <c r="C109" s="102">
        <f>C37+C35+C36</f>
        <v>-180.08700000000002</v>
      </c>
      <c r="D109" s="102">
        <f>D37+D35+D36</f>
        <v>-240.7</v>
      </c>
      <c r="E109" s="102">
        <f t="shared" ref="E109:AD109" si="74">E37+E35+E36</f>
        <v>-183</v>
      </c>
      <c r="F109" s="102">
        <f t="shared" si="74"/>
        <v>-336.5</v>
      </c>
      <c r="G109" s="102">
        <f t="shared" si="74"/>
        <v>-603.59999999999991</v>
      </c>
      <c r="H109" s="102">
        <f t="shared" si="74"/>
        <v>-566.6</v>
      </c>
      <c r="I109" s="102">
        <f t="shared" si="74"/>
        <v>-775.90000000000009</v>
      </c>
      <c r="J109" s="102">
        <f t="shared" si="74"/>
        <v>-466.2</v>
      </c>
      <c r="K109" s="102">
        <f t="shared" si="74"/>
        <v>-459.8</v>
      </c>
      <c r="L109" s="102">
        <f t="shared" si="74"/>
        <v>-992.60000000000014</v>
      </c>
      <c r="M109" s="102">
        <f t="shared" si="74"/>
        <v>-1272</v>
      </c>
      <c r="N109" s="102">
        <f t="shared" si="74"/>
        <v>-3619</v>
      </c>
      <c r="O109" s="102">
        <f t="shared" si="74"/>
        <v>-3343</v>
      </c>
      <c r="P109" s="102">
        <f t="shared" si="74"/>
        <v>-1472</v>
      </c>
      <c r="Q109" s="102">
        <f t="shared" si="74"/>
        <v>-4823</v>
      </c>
      <c r="R109" s="102">
        <f t="shared" si="74"/>
        <v>-2113</v>
      </c>
      <c r="S109" s="102">
        <f t="shared" si="74"/>
        <v>-3037</v>
      </c>
      <c r="T109" s="102">
        <f t="shared" si="74"/>
        <v>-3706</v>
      </c>
      <c r="U109" s="102">
        <f t="shared" si="74"/>
        <v>-8073</v>
      </c>
      <c r="V109" s="102">
        <f t="shared" si="74"/>
        <v>-3319</v>
      </c>
      <c r="W109" s="102">
        <f t="shared" si="74"/>
        <v>-536</v>
      </c>
      <c r="X109" s="102">
        <f t="shared" si="74"/>
        <v>48</v>
      </c>
      <c r="Y109" s="102">
        <f t="shared" si="74"/>
        <v>-1785</v>
      </c>
      <c r="Z109" s="102">
        <f t="shared" si="74"/>
        <v>-2910</v>
      </c>
      <c r="AA109" s="102">
        <f t="shared" si="74"/>
        <v>-3160</v>
      </c>
      <c r="AB109" s="102">
        <f t="shared" si="74"/>
        <v>-14297.612624366533</v>
      </c>
      <c r="AC109" s="102">
        <f t="shared" si="74"/>
        <v>-2842.0190586896047</v>
      </c>
      <c r="AD109" s="102">
        <f t="shared" si="74"/>
        <v>-4117.5680040210136</v>
      </c>
      <c r="AE109" s="102">
        <f t="shared" ref="AE109:AN109" si="75">AE37+AE35+AE36</f>
        <v>-4441.9966625366233</v>
      </c>
      <c r="AF109" s="102">
        <f t="shared" si="75"/>
        <v>-4545.3999624899898</v>
      </c>
      <c r="AG109" s="102">
        <f t="shared" si="75"/>
        <v>-4635.0674927253403</v>
      </c>
      <c r="AH109" s="102">
        <f t="shared" si="75"/>
        <v>-4709.7883062774627</v>
      </c>
      <c r="AI109" s="102">
        <f t="shared" si="75"/>
        <v>-4767.7663448580506</v>
      </c>
      <c r="AJ109" s="102">
        <f t="shared" si="75"/>
        <v>-4806.7009751242776</v>
      </c>
      <c r="AK109" s="102">
        <f t="shared" si="75"/>
        <v>-3444.973720760554</v>
      </c>
      <c r="AL109" s="102">
        <f t="shared" si="75"/>
        <v>-3704.2358305206981</v>
      </c>
      <c r="AM109" s="102">
        <f t="shared" si="75"/>
        <v>-3982.6439319266615</v>
      </c>
      <c r="AN109" s="102">
        <f t="shared" si="75"/>
        <v>-4281.7343046474271</v>
      </c>
      <c r="AO109" s="102"/>
    </row>
    <row r="110" spans="2:41" ht="12.75" customHeight="1">
      <c r="B110" s="375" t="s">
        <v>430</v>
      </c>
      <c r="C110" s="102">
        <f>C38</f>
        <v>0</v>
      </c>
      <c r="D110" s="102">
        <f>D38</f>
        <v>0</v>
      </c>
      <c r="E110" s="102">
        <f t="shared" ref="E110:AD110" si="76">E38</f>
        <v>0</v>
      </c>
      <c r="F110" s="102">
        <f t="shared" si="76"/>
        <v>0</v>
      </c>
      <c r="G110" s="102">
        <f t="shared" si="76"/>
        <v>0</v>
      </c>
      <c r="H110" s="102">
        <f t="shared" si="76"/>
        <v>0</v>
      </c>
      <c r="I110" s="102">
        <f t="shared" si="76"/>
        <v>0</v>
      </c>
      <c r="J110" s="102">
        <f t="shared" si="76"/>
        <v>0</v>
      </c>
      <c r="K110" s="102">
        <f t="shared" si="76"/>
        <v>0</v>
      </c>
      <c r="L110" s="102">
        <f t="shared" si="76"/>
        <v>0</v>
      </c>
      <c r="M110" s="102">
        <f t="shared" si="76"/>
        <v>0</v>
      </c>
      <c r="N110" s="102">
        <f t="shared" si="76"/>
        <v>0</v>
      </c>
      <c r="O110" s="102">
        <f t="shared" si="76"/>
        <v>0</v>
      </c>
      <c r="P110" s="102">
        <f t="shared" si="76"/>
        <v>0</v>
      </c>
      <c r="Q110" s="102">
        <f t="shared" si="76"/>
        <v>0</v>
      </c>
      <c r="R110" s="102">
        <f t="shared" si="76"/>
        <v>0</v>
      </c>
      <c r="S110" s="102">
        <f t="shared" si="76"/>
        <v>0</v>
      </c>
      <c r="T110" s="102">
        <f t="shared" si="76"/>
        <v>0</v>
      </c>
      <c r="U110" s="102">
        <f t="shared" si="76"/>
        <v>-500</v>
      </c>
      <c r="V110" s="102">
        <f t="shared" si="76"/>
        <v>-1118</v>
      </c>
      <c r="W110" s="102">
        <f t="shared" si="76"/>
        <v>-1415</v>
      </c>
      <c r="X110" s="102">
        <f t="shared" si="76"/>
        <v>-1851</v>
      </c>
      <c r="Y110" s="102">
        <f t="shared" si="76"/>
        <v>-2396</v>
      </c>
      <c r="Z110" s="102">
        <f t="shared" si="76"/>
        <v>-2998</v>
      </c>
      <c r="AA110" s="102">
        <f t="shared" si="76"/>
        <v>-3365</v>
      </c>
      <c r="AB110" s="102">
        <f t="shared" si="76"/>
        <v>-3458.2471344175124</v>
      </c>
      <c r="AC110" s="102">
        <f t="shared" si="76"/>
        <v>-3536.419425843384</v>
      </c>
      <c r="AD110" s="102">
        <f t="shared" si="76"/>
        <v>-3698.4649629605124</v>
      </c>
      <c r="AE110" s="102">
        <f t="shared" ref="AE110:AN110" si="77">AE38</f>
        <v>-3819.958622980786</v>
      </c>
      <c r="AF110" s="102">
        <f t="shared" si="77"/>
        <v>-4200.9133624615442</v>
      </c>
      <c r="AG110" s="102">
        <f t="shared" si="77"/>
        <v>-4607.9508341359842</v>
      </c>
      <c r="AH110" s="102">
        <f t="shared" si="77"/>
        <v>-4971.4673045970303</v>
      </c>
      <c r="AI110" s="102">
        <f t="shared" si="77"/>
        <v>-5222.9481378053933</v>
      </c>
      <c r="AJ110" s="102">
        <f t="shared" si="77"/>
        <v>-5309.2070506677201</v>
      </c>
      <c r="AK110" s="102">
        <f t="shared" si="77"/>
        <v>-5309.976669483668</v>
      </c>
      <c r="AL110" s="102">
        <f t="shared" si="77"/>
        <v>-4766.0557531999129</v>
      </c>
      <c r="AM110" s="102">
        <f t="shared" si="77"/>
        <v>-4555.4601575676943</v>
      </c>
      <c r="AN110" s="102">
        <f t="shared" si="77"/>
        <v>-4423.6570267141606</v>
      </c>
      <c r="AO110" s="102"/>
    </row>
    <row r="111" spans="2:41" ht="12.75" customHeight="1">
      <c r="B111" s="375" t="s">
        <v>371</v>
      </c>
      <c r="C111" s="102"/>
      <c r="D111" s="102">
        <f>BS!D37-BS!C37-CF!D109-CF!D110-IS!D82</f>
        <v>22.979999999999961</v>
      </c>
      <c r="E111" s="102">
        <f>BS!E37-BS!D37-CF!E109-CF!E110-IS!E82</f>
        <v>42.5</v>
      </c>
      <c r="F111" s="102">
        <f>BS!F37-BS!E37-CF!F109-CF!F110-IS!F82</f>
        <v>-108.99999999999977</v>
      </c>
      <c r="G111" s="102">
        <f>BS!G37-BS!F37-CF!G109-CF!G110-IS!G82</f>
        <v>192.59999999999991</v>
      </c>
      <c r="H111" s="102">
        <f>BS!H37-BS!G37-CF!H109-CF!H110-IS!H82</f>
        <v>125.49999999999966</v>
      </c>
      <c r="I111" s="102">
        <f>BS!I37-BS!H37-CF!I109-CF!I110-IS!I82</f>
        <v>141.20000000000027</v>
      </c>
      <c r="J111" s="102">
        <f>BS!J37-BS!I37-CF!J109-CF!J110-IS!J82</f>
        <v>619.20000000000005</v>
      </c>
      <c r="K111" s="102">
        <f>BS!K37-BS!J37-CF!K109-CF!K110-IS!K82</f>
        <v>243.49999999999977</v>
      </c>
      <c r="L111" s="102">
        <f>BS!L37-BS!K37-CF!L109-CF!L110-IS!P82</f>
        <v>15454.4</v>
      </c>
      <c r="M111" s="102">
        <f>BS!M37-BS!L37-CF!M109-CF!M110-IS!U82</f>
        <v>117</v>
      </c>
      <c r="N111" s="102">
        <f>BS!N37-BS!M37-CF!N109-CF!N110-IS!Z82</f>
        <v>1572</v>
      </c>
      <c r="O111" s="102">
        <f>BS!O37-BS!N37-CF!O109-CF!O110-IS!AE82</f>
        <v>415</v>
      </c>
      <c r="P111" s="102">
        <f>BS!P37-BS!O37-CF!P109-CF!P110-IS!AJ82</f>
        <v>-2965</v>
      </c>
      <c r="Q111" s="102">
        <f>BS!Q37-BS!P37-CF!Q109-CF!Q110-IS!AO82</f>
        <v>562</v>
      </c>
      <c r="R111" s="102">
        <f>BS!R37-BS!Q37-CF!R109-CF!R110-IS!AT82</f>
        <v>1077</v>
      </c>
      <c r="S111" s="102">
        <f>BS!S37-BS!R37-CF!S109-CF!S110-IS!AY82</f>
        <v>214</v>
      </c>
      <c r="T111" s="102">
        <f>BS!T37-BS!S37-CF!T109-CF!T110-IS!BD82</f>
        <v>356</v>
      </c>
      <c r="U111" s="102">
        <f>BS!U37-BS!T37-CF!U109-CF!U110-IS!BI82</f>
        <v>-25</v>
      </c>
      <c r="V111" s="102">
        <f>BS!V37-BS!U37-CF!V109-CF!V110-IS!BN82</f>
        <v>124</v>
      </c>
      <c r="W111" s="102">
        <f>BS!W37-BS!V37-CF!W109-CF!W110-IS!BS82</f>
        <v>-94</v>
      </c>
      <c r="X111" s="102">
        <f>BS!X37-BS!W37-CF!X109-CF!X110-IS!BX82</f>
        <v>327</v>
      </c>
      <c r="Y111" s="102">
        <f>BS!Y37-BS!X37-CF!Y109-CF!Y110-IS!CC82</f>
        <v>-453</v>
      </c>
      <c r="Z111" s="102">
        <f>BS!Z37-BS!Y37-CF!Z109-CF!Z110-IS!CH82</f>
        <v>-22</v>
      </c>
      <c r="AA111" s="102">
        <f>BS!AA37-BS!Z37-CF!AA109-CF!AA110-IS!CM82</f>
        <v>-88</v>
      </c>
      <c r="AB111" s="102">
        <f>BS!AB37-BS!AA37-CF!AB109-CF!AB110-IS!CR82</f>
        <v>398.33706997366608</v>
      </c>
      <c r="AC111" s="102">
        <f>BS!AC37-BS!AB37-CF!AC109-CF!AC110-IS!CW82</f>
        <v>415.94278159347596</v>
      </c>
      <c r="AD111" s="102">
        <f>BS!AD37-BS!AC37-CF!AD109-CF!AD110-IS!DB82</f>
        <v>435.58716411544265</v>
      </c>
      <c r="AE111" s="102">
        <f>BS!AE37-BS!AD37-CF!AE109-CF!AE110-IS!DC82</f>
        <v>10049.334149392895</v>
      </c>
      <c r="AF111" s="102">
        <f>BS!AF37-BS!AE37-CF!AF109-CF!AF110-IS!DD82</f>
        <v>10748.268536823834</v>
      </c>
      <c r="AG111" s="102">
        <f>BS!AG37-BS!AF37-CF!AG109-CF!AG110-IS!DE82</f>
        <v>11477.161834035069</v>
      </c>
      <c r="AH111" s="102">
        <f>BS!AH37-BS!AG37-CF!AH109-CF!AH110-IS!DF82</f>
        <v>12070.695446321592</v>
      </c>
      <c r="AI111" s="102">
        <f>BS!AI37-BS!AH37-CF!AI109-CF!AI110-IS!DG82</f>
        <v>2763.8263290134182</v>
      </c>
      <c r="AJ111" s="102">
        <f>BS!AJ37-BS!AI37-CF!AJ109-CF!AJ110-IS!DH82</f>
        <v>12308.200392700141</v>
      </c>
      <c r="AK111" s="102">
        <f>BS!AK37-BS!AJ37-CF!AK109-CF!AK110-IS!DI82</f>
        <v>12309.617828190319</v>
      </c>
      <c r="AL111" s="102">
        <f>BS!AL37-BS!AK37-CF!AL109-CF!AL110-IS!DJ82</f>
        <v>11092.090859876453</v>
      </c>
      <c r="AM111" s="102">
        <f>BS!AM37-BS!AL37-CF!AM109-CF!AM110-IS!DK82</f>
        <v>10620.632022653834</v>
      </c>
      <c r="AN111" s="102">
        <f>BS!AN37-BS!AM37-CF!AN109-CF!AN110-IS!DL82</f>
        <v>6.9604885671597003</v>
      </c>
      <c r="AO111" s="102"/>
    </row>
    <row r="112" spans="2:41" ht="12.75" customHeight="1">
      <c r="B112" s="375" t="s">
        <v>34</v>
      </c>
      <c r="C112" s="102">
        <v>0</v>
      </c>
      <c r="D112" s="102">
        <v>0</v>
      </c>
      <c r="E112" s="102">
        <v>0</v>
      </c>
      <c r="F112" s="102">
        <v>0</v>
      </c>
      <c r="G112" s="102">
        <v>0</v>
      </c>
      <c r="H112" s="102">
        <v>0</v>
      </c>
      <c r="I112" s="102">
        <v>0</v>
      </c>
      <c r="J112" s="102">
        <v>0</v>
      </c>
      <c r="K112" s="102">
        <v>0</v>
      </c>
      <c r="L112" s="102">
        <v>0</v>
      </c>
      <c r="M112" s="102">
        <v>0</v>
      </c>
      <c r="N112" s="102">
        <v>0</v>
      </c>
      <c r="O112" s="102">
        <v>0</v>
      </c>
      <c r="P112" s="102">
        <v>0</v>
      </c>
      <c r="Q112" s="102">
        <v>0</v>
      </c>
      <c r="R112" s="102">
        <v>0</v>
      </c>
      <c r="S112" s="102">
        <v>0</v>
      </c>
      <c r="T112" s="102">
        <v>0</v>
      </c>
      <c r="U112" s="102">
        <v>0</v>
      </c>
      <c r="V112" s="102">
        <v>0</v>
      </c>
      <c r="W112" s="102">
        <v>0</v>
      </c>
      <c r="X112" s="102">
        <v>0</v>
      </c>
      <c r="Y112" s="102">
        <v>0</v>
      </c>
      <c r="Z112" s="102">
        <v>0</v>
      </c>
      <c r="AA112" s="102">
        <v>0</v>
      </c>
      <c r="AB112" s="102">
        <v>0</v>
      </c>
      <c r="AC112" s="102">
        <v>0</v>
      </c>
      <c r="AD112" s="102">
        <v>0</v>
      </c>
      <c r="AE112" s="102">
        <v>0</v>
      </c>
      <c r="AF112" s="102">
        <v>0</v>
      </c>
      <c r="AG112" s="102">
        <v>0</v>
      </c>
      <c r="AH112" s="102">
        <v>0</v>
      </c>
      <c r="AI112" s="102">
        <v>0</v>
      </c>
      <c r="AJ112" s="102">
        <v>0</v>
      </c>
      <c r="AK112" s="102">
        <v>0</v>
      </c>
      <c r="AL112" s="102">
        <v>0</v>
      </c>
      <c r="AM112" s="102">
        <v>0</v>
      </c>
      <c r="AN112" s="102">
        <v>0</v>
      </c>
      <c r="AO112" s="102"/>
    </row>
    <row r="113" spans="2:41" ht="12.75" customHeight="1">
      <c r="B113" s="377" t="s">
        <v>648</v>
      </c>
      <c r="C113" s="172">
        <f>+(207.3+21)/592.4</f>
        <v>0.38538149898717089</v>
      </c>
      <c r="D113" s="172">
        <f>35%+4.1%</f>
        <v>0.39099999999999996</v>
      </c>
      <c r="E113" s="172">
        <v>0.35</v>
      </c>
      <c r="F113" s="172">
        <v>0.35</v>
      </c>
      <c r="G113" s="172">
        <v>0.35</v>
      </c>
      <c r="H113" s="172">
        <v>0.35</v>
      </c>
      <c r="I113" s="172">
        <v>0.35</v>
      </c>
      <c r="J113" s="172">
        <f>35%+1.7%</f>
        <v>0.36699999999999999</v>
      </c>
      <c r="K113" s="172">
        <f>35%+1.4%</f>
        <v>0.36399999999999999</v>
      </c>
      <c r="L113" s="172">
        <f>35%+15.5%-6.5%</f>
        <v>0.44</v>
      </c>
      <c r="M113" s="172">
        <f>35%-7.5%+1.7%</f>
        <v>0.29199999999999998</v>
      </c>
      <c r="N113" s="172">
        <f>35%-12.8%+3%</f>
        <v>0.252</v>
      </c>
      <c r="O113" s="172">
        <f>35%-10.3%+1.5%</f>
        <v>0.26199999999999996</v>
      </c>
      <c r="P113" s="172">
        <f>35%-18.3%+1.6%</f>
        <v>0.183</v>
      </c>
      <c r="Q113" s="172">
        <f>35%-16.9%+1.2%</f>
        <v>0.193</v>
      </c>
      <c r="R113" s="172">
        <f>35%-16.7%+1.4%</f>
        <v>0.19700000000000001</v>
      </c>
      <c r="S113" s="172">
        <f>35%-19.6%+1.1%</f>
        <v>0.16499999999999998</v>
      </c>
      <c r="T113" s="172">
        <f>35%-19.1%+1.6%</f>
        <v>0.17499999999999999</v>
      </c>
      <c r="U113" s="172">
        <f>35%-19.4%+0.7%</f>
        <v>0.16300000000000001</v>
      </c>
      <c r="V113" s="172">
        <f>35%-17.8%+0.6%</f>
        <v>0.17799999999999996</v>
      </c>
      <c r="W113" s="172">
        <f>+V113</f>
        <v>0.17799999999999996</v>
      </c>
      <c r="X113" s="172">
        <f t="shared" ref="X113:AD113" si="78">+W113</f>
        <v>0.17799999999999996</v>
      </c>
      <c r="Y113" s="172">
        <f t="shared" si="78"/>
        <v>0.17799999999999996</v>
      </c>
      <c r="Z113" s="172">
        <f t="shared" si="78"/>
        <v>0.17799999999999996</v>
      </c>
      <c r="AA113" s="172">
        <f t="shared" si="78"/>
        <v>0.17799999999999996</v>
      </c>
      <c r="AB113" s="172">
        <f t="shared" si="78"/>
        <v>0.17799999999999996</v>
      </c>
      <c r="AC113" s="172">
        <f t="shared" si="78"/>
        <v>0.17799999999999996</v>
      </c>
      <c r="AD113" s="172">
        <f t="shared" si="78"/>
        <v>0.17799999999999996</v>
      </c>
      <c r="AE113" s="172">
        <f t="shared" ref="AE113:AN113" si="79">+AD113</f>
        <v>0.17799999999999996</v>
      </c>
      <c r="AF113" s="172">
        <f t="shared" si="79"/>
        <v>0.17799999999999996</v>
      </c>
      <c r="AG113" s="172">
        <f t="shared" si="79"/>
        <v>0.17799999999999996</v>
      </c>
      <c r="AH113" s="172">
        <f t="shared" si="79"/>
        <v>0.17799999999999996</v>
      </c>
      <c r="AI113" s="172">
        <f t="shared" si="79"/>
        <v>0.17799999999999996</v>
      </c>
      <c r="AJ113" s="172">
        <f t="shared" si="79"/>
        <v>0.17799999999999996</v>
      </c>
      <c r="AK113" s="172">
        <f t="shared" si="79"/>
        <v>0.17799999999999996</v>
      </c>
      <c r="AL113" s="172">
        <f t="shared" si="79"/>
        <v>0.17799999999999996</v>
      </c>
      <c r="AM113" s="172">
        <f t="shared" si="79"/>
        <v>0.17799999999999996</v>
      </c>
      <c r="AN113" s="172">
        <f t="shared" si="79"/>
        <v>0.17799999999999996</v>
      </c>
      <c r="AO113" s="172"/>
    </row>
    <row r="114" spans="2:41" ht="12.75" customHeight="1">
      <c r="X114" s="148"/>
      <c r="Y114" s="103"/>
    </row>
    <row r="115" spans="2:41" customFormat="1" ht="12.75" customHeight="1"/>
    <row r="116" spans="2:41" ht="12.75" customHeight="1">
      <c r="Y116" s="103"/>
    </row>
    <row r="117" spans="2:41" ht="12.75" customHeight="1">
      <c r="Y117" s="104"/>
    </row>
    <row r="120" spans="2:41" ht="12.75" customHeight="1">
      <c r="B120" s="105"/>
      <c r="C120" s="105"/>
      <c r="D120" s="105"/>
      <c r="E120" s="105"/>
      <c r="F120" s="105"/>
      <c r="G120" s="105"/>
      <c r="H120" s="105"/>
      <c r="I120" s="105"/>
      <c r="J120" s="105"/>
      <c r="K120" s="105"/>
      <c r="L120" s="105"/>
      <c r="M120" s="105"/>
      <c r="N120" s="105"/>
      <c r="O120" s="105"/>
      <c r="P120" s="105"/>
      <c r="Q120" s="105"/>
      <c r="R120" s="105"/>
      <c r="S120" s="105"/>
      <c r="T120" s="105"/>
      <c r="U120" s="105"/>
      <c r="V120" s="105"/>
      <c r="W120" s="105"/>
      <c r="X120" s="105"/>
      <c r="Y120" s="105"/>
      <c r="Z120" s="105"/>
      <c r="AA120" s="105"/>
      <c r="AB120" s="105"/>
      <c r="AC120" s="105"/>
      <c r="AD120" s="105"/>
    </row>
    <row r="143" spans="2:30" ht="12.75" customHeight="1">
      <c r="B143" s="106"/>
      <c r="C143" s="106"/>
      <c r="D143" s="106"/>
      <c r="E143" s="106"/>
      <c r="F143" s="106"/>
      <c r="G143" s="106"/>
      <c r="H143" s="106"/>
      <c r="I143" s="106"/>
      <c r="J143" s="106"/>
      <c r="K143" s="106"/>
      <c r="L143" s="106"/>
      <c r="M143" s="106"/>
      <c r="N143" s="106"/>
      <c r="O143" s="106"/>
      <c r="P143" s="106"/>
      <c r="Q143" s="106"/>
      <c r="R143" s="106"/>
      <c r="S143" s="106"/>
      <c r="T143" s="106"/>
      <c r="U143" s="106"/>
      <c r="V143" s="106"/>
      <c r="W143" s="106"/>
      <c r="X143" s="106"/>
      <c r="Y143" s="106"/>
      <c r="Z143" s="106"/>
      <c r="AA143" s="106"/>
      <c r="AB143" s="106"/>
      <c r="AC143" s="106"/>
      <c r="AD143" s="106"/>
    </row>
    <row r="144" spans="2:30" ht="12.75" customHeight="1">
      <c r="B144" s="106"/>
      <c r="C144" s="106"/>
      <c r="D144" s="106"/>
      <c r="E144" s="106"/>
      <c r="F144" s="106"/>
      <c r="G144" s="106"/>
      <c r="H144" s="106"/>
      <c r="I144" s="106"/>
      <c r="J144" s="106"/>
      <c r="K144" s="106"/>
      <c r="L144" s="106"/>
      <c r="M144" s="106"/>
      <c r="N144" s="106"/>
      <c r="O144" s="106"/>
      <c r="P144" s="106"/>
      <c r="Q144" s="106"/>
      <c r="R144" s="106"/>
      <c r="S144" s="106"/>
      <c r="T144" s="106"/>
      <c r="U144" s="106"/>
      <c r="V144" s="106"/>
      <c r="W144" s="106"/>
      <c r="X144" s="106"/>
      <c r="Y144" s="106"/>
      <c r="Z144" s="106"/>
      <c r="AA144" s="106"/>
      <c r="AB144" s="106"/>
      <c r="AC144" s="106"/>
      <c r="AD144" s="106"/>
    </row>
    <row r="145" spans="2:30" ht="12.75" customHeight="1">
      <c r="B145" s="106"/>
      <c r="C145" s="106"/>
      <c r="D145" s="106"/>
      <c r="E145" s="106"/>
      <c r="F145" s="106"/>
      <c r="G145" s="106"/>
      <c r="H145" s="106"/>
      <c r="I145" s="106"/>
      <c r="J145" s="106"/>
      <c r="K145" s="106"/>
      <c r="L145" s="106"/>
      <c r="M145" s="106"/>
      <c r="N145" s="106"/>
      <c r="O145" s="106"/>
      <c r="P145" s="106"/>
      <c r="Q145" s="106"/>
      <c r="R145" s="106"/>
      <c r="S145" s="106"/>
      <c r="T145" s="106"/>
      <c r="U145" s="106"/>
      <c r="V145" s="106"/>
      <c r="W145" s="106"/>
      <c r="X145" s="106"/>
      <c r="Y145" s="106"/>
      <c r="Z145" s="106"/>
      <c r="AA145" s="106"/>
      <c r="AB145" s="106"/>
      <c r="AC145" s="106"/>
      <c r="AD145" s="106"/>
    </row>
    <row r="146" spans="2:30" ht="12.75" customHeight="1">
      <c r="B146" s="106"/>
      <c r="C146" s="106"/>
      <c r="D146" s="106"/>
      <c r="E146" s="106"/>
      <c r="F146" s="106"/>
      <c r="G146" s="106"/>
      <c r="H146" s="106"/>
      <c r="I146" s="106"/>
      <c r="J146" s="106"/>
      <c r="K146" s="106"/>
      <c r="L146" s="106"/>
      <c r="M146" s="106"/>
      <c r="N146" s="106"/>
      <c r="O146" s="106"/>
      <c r="P146" s="106"/>
      <c r="Q146" s="106"/>
      <c r="R146" s="106"/>
      <c r="S146" s="106"/>
      <c r="T146" s="106"/>
      <c r="U146" s="106"/>
      <c r="V146" s="106"/>
      <c r="W146" s="106"/>
      <c r="X146" s="106"/>
      <c r="Y146" s="106"/>
      <c r="Z146" s="106"/>
      <c r="AA146" s="106"/>
      <c r="AB146" s="106"/>
      <c r="AC146" s="106"/>
      <c r="AD146" s="106"/>
    </row>
    <row r="147" spans="2:30" ht="12.75" customHeight="1">
      <c r="B147" s="106"/>
      <c r="C147" s="106"/>
      <c r="D147" s="106"/>
      <c r="E147" s="106"/>
      <c r="F147" s="106"/>
      <c r="G147" s="106"/>
      <c r="H147" s="106"/>
      <c r="I147" s="106"/>
      <c r="J147" s="106"/>
      <c r="K147" s="106"/>
      <c r="L147" s="106"/>
      <c r="M147" s="106"/>
      <c r="N147" s="106"/>
      <c r="O147" s="106"/>
      <c r="P147" s="106"/>
      <c r="Q147" s="106"/>
      <c r="R147" s="106"/>
      <c r="S147" s="106"/>
      <c r="T147" s="106"/>
      <c r="U147" s="106"/>
      <c r="V147" s="106"/>
      <c r="W147" s="106"/>
      <c r="X147" s="106"/>
      <c r="Y147" s="106"/>
      <c r="Z147" s="106"/>
      <c r="AA147" s="106"/>
      <c r="AB147" s="106"/>
      <c r="AC147" s="106"/>
      <c r="AD147" s="106"/>
    </row>
    <row r="148" spans="2:30" ht="12.75" customHeight="1">
      <c r="B148" s="106"/>
      <c r="C148" s="106"/>
      <c r="D148" s="106"/>
      <c r="E148" s="106"/>
      <c r="F148" s="106"/>
      <c r="G148" s="106"/>
      <c r="H148" s="106"/>
      <c r="I148" s="106"/>
      <c r="J148" s="106"/>
      <c r="K148" s="106"/>
      <c r="L148" s="106"/>
      <c r="M148" s="106"/>
      <c r="N148" s="106"/>
      <c r="O148" s="106"/>
      <c r="P148" s="106"/>
      <c r="Q148" s="106"/>
      <c r="R148" s="106"/>
      <c r="S148" s="106"/>
      <c r="T148" s="106"/>
      <c r="U148" s="106"/>
      <c r="V148" s="106"/>
      <c r="W148" s="106"/>
      <c r="X148" s="106"/>
      <c r="Y148" s="106"/>
      <c r="Z148" s="106"/>
      <c r="AA148" s="106"/>
      <c r="AB148" s="106"/>
      <c r="AC148" s="106"/>
      <c r="AD148" s="106"/>
    </row>
    <row r="149" spans="2:30" ht="12.75" customHeight="1">
      <c r="AC149" s="163"/>
      <c r="AD149" s="163"/>
    </row>
    <row r="150" spans="2:30" ht="12.75" customHeight="1">
      <c r="AC150" s="123"/>
      <c r="AD150" s="123"/>
    </row>
    <row r="151" spans="2:30" ht="12.75" customHeight="1">
      <c r="AC151" s="164"/>
      <c r="AD151" s="164"/>
    </row>
    <row r="152" spans="2:30" ht="12.75" customHeight="1">
      <c r="AC152" s="113"/>
      <c r="AD152" s="113"/>
    </row>
    <row r="153" spans="2:30" ht="12.75" customHeight="1">
      <c r="AC153" s="113"/>
      <c r="AD153" s="113"/>
    </row>
    <row r="154" spans="2:30" ht="12.75" customHeight="1">
      <c r="AC154" s="165"/>
      <c r="AD154" s="165"/>
    </row>
    <row r="155" spans="2:30" ht="12.75" customHeight="1">
      <c r="AC155" s="113"/>
      <c r="AD155" s="113"/>
    </row>
    <row r="156" spans="2:30" ht="12.75" customHeight="1">
      <c r="AC156" s="120"/>
      <c r="AD156" s="120"/>
    </row>
    <row r="157" spans="2:30" ht="12.75" customHeight="1">
      <c r="AC157" s="164"/>
      <c r="AD157" s="164"/>
    </row>
    <row r="158" spans="2:30" ht="12.75" customHeight="1">
      <c r="AC158" s="120"/>
      <c r="AD158" s="120"/>
    </row>
    <row r="159" spans="2:30" ht="12.75" customHeight="1">
      <c r="AC159" s="164"/>
      <c r="AD159" s="164"/>
    </row>
    <row r="160" spans="2:30" ht="12.75" customHeight="1">
      <c r="AC160" s="113"/>
      <c r="AD160" s="113"/>
    </row>
    <row r="161" spans="28:30" ht="12.75" customHeight="1">
      <c r="AC161" s="164"/>
      <c r="AD161" s="124"/>
    </row>
    <row r="162" spans="28:30" ht="12.75" customHeight="1">
      <c r="AC162" s="124"/>
      <c r="AD162" s="124"/>
    </row>
    <row r="163" spans="28:30" ht="12.75" customHeight="1">
      <c r="AC163" s="124"/>
      <c r="AD163" s="124"/>
    </row>
    <row r="164" spans="28:30" ht="12.75" customHeight="1">
      <c r="AB164" s="4"/>
      <c r="AC164" s="109"/>
      <c r="AD164" s="109"/>
    </row>
    <row r="166" spans="28:30" ht="12.75" customHeight="1">
      <c r="AB166" s="166"/>
      <c r="AC166" s="167"/>
      <c r="AD166" s="167"/>
    </row>
    <row r="167" spans="28:30" ht="12.75" customHeight="1">
      <c r="AB167" s="106"/>
      <c r="AC167" s="106"/>
      <c r="AD167" s="106"/>
    </row>
    <row r="168" spans="28:30" ht="12.75" customHeight="1">
      <c r="AB168" s="166"/>
      <c r="AC168" s="167"/>
      <c r="AD168" s="167"/>
    </row>
    <row r="169" spans="28:30" ht="12.75" customHeight="1">
      <c r="AB169" s="106"/>
      <c r="AC169" s="106"/>
      <c r="AD169" s="106"/>
    </row>
    <row r="170" spans="28:30" ht="12.75" customHeight="1">
      <c r="AB170" s="166"/>
      <c r="AC170" s="167"/>
      <c r="AD170" s="167"/>
    </row>
    <row r="171" spans="28:30" ht="12.75" customHeight="1">
      <c r="AB171" s="106"/>
      <c r="AC171" s="106"/>
      <c r="AD171" s="106"/>
    </row>
  </sheetData>
  <phoneticPr fontId="57" type="noConversion"/>
  <pageMargins left="0" right="0" top="0" bottom="0" header="0" footer="0"/>
  <pageSetup paperSize="5" scale="41" orientation="landscape" r:id="rId1"/>
  <ignoredErrors>
    <ignoredError sqref="AC70:AN70" formula="1"/>
    <ignoredError sqref="AA23" formulaRange="1"/>
  </ignoredErrors>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2:BV60"/>
  <sheetViews>
    <sheetView showGridLines="0" zoomScale="90" zoomScaleNormal="90" workbookViewId="0">
      <pane xSplit="3" ySplit="2" topLeftCell="H9" activePane="bottomRight" state="frozen"/>
      <selection pane="topRight" activeCell="D1" sqref="D1"/>
      <selection pane="bottomLeft" activeCell="A3" sqref="A3"/>
      <selection pane="bottomRight" activeCell="B28" sqref="B28"/>
    </sheetView>
  </sheetViews>
  <sheetFormatPr defaultRowHeight="12.75" outlineLevelCol="1"/>
  <cols>
    <col min="1" max="1" width="9.140625" style="773"/>
    <col min="2" max="2" width="14.140625" style="750" bestFit="1" customWidth="1"/>
    <col min="3" max="3" width="9.85546875" style="750" bestFit="1" customWidth="1"/>
    <col min="4" max="7" width="9.140625" style="750" hidden="1" customWidth="1" outlineLevel="1"/>
    <col min="8" max="8" width="9.140625" style="756" collapsed="1"/>
    <col min="9" max="12" width="9.140625" style="750" hidden="1" customWidth="1" outlineLevel="1"/>
    <col min="13" max="13" width="9.140625" style="756" collapsed="1"/>
    <col min="14" max="17" width="9.140625" style="750" hidden="1" customWidth="1" outlineLevel="1"/>
    <col min="18" max="18" width="9.140625" style="756" collapsed="1"/>
    <col min="19" max="22" width="9.140625" style="750" hidden="1" customWidth="1" outlineLevel="1"/>
    <col min="23" max="23" width="9.140625" style="756" collapsed="1"/>
    <col min="24" max="27" width="9.140625" style="750" hidden="1" customWidth="1" outlineLevel="1"/>
    <col min="28" max="28" width="9.140625" style="756" collapsed="1"/>
    <col min="29" max="32" width="9.140625" style="750" hidden="1" customWidth="1" outlineLevel="1"/>
    <col min="33" max="33" width="9.140625" style="756" collapsed="1"/>
    <col min="34" max="37" width="9.140625" style="750" hidden="1" customWidth="1" outlineLevel="1"/>
    <col min="38" max="38" width="9.140625" style="756" collapsed="1"/>
    <col min="39" max="42" width="9.140625" style="750" hidden="1" customWidth="1" outlineLevel="1"/>
    <col min="43" max="43" width="9.140625" style="756" collapsed="1"/>
    <col min="44" max="47" width="9.140625" style="750" hidden="1" customWidth="1" outlineLevel="1"/>
    <col min="48" max="48" width="9.140625" style="756" collapsed="1"/>
    <col min="49" max="52" width="9.140625" style="750" hidden="1" customWidth="1" outlineLevel="1"/>
    <col min="53" max="53" width="9.140625" style="756" collapsed="1"/>
    <col min="54" max="57" width="9.140625" style="750" hidden="1" customWidth="1" outlineLevel="1"/>
    <col min="58" max="58" width="9.140625" style="756" collapsed="1"/>
    <col min="59" max="62" width="9.140625" style="750" hidden="1" customWidth="1" outlineLevel="1"/>
    <col min="63" max="63" width="9.140625" style="756" collapsed="1"/>
    <col min="64" max="67" width="9.140625" style="750" hidden="1" customWidth="1" outlineLevel="1"/>
    <col min="68" max="68" width="9.140625" style="756" collapsed="1"/>
    <col min="69" max="72" width="9.140625" style="750" hidden="1" customWidth="1" outlineLevel="1"/>
    <col min="73" max="73" width="9.140625" style="756" collapsed="1"/>
    <col min="74" max="16384" width="9.140625" style="750"/>
  </cols>
  <sheetData>
    <row r="2" spans="1:74" ht="17.25" customHeight="1">
      <c r="B2" s="759" t="s">
        <v>920</v>
      </c>
      <c r="C2" s="753"/>
      <c r="D2" s="754" t="s">
        <v>926</v>
      </c>
      <c r="E2" s="754" t="s">
        <v>937</v>
      </c>
      <c r="F2" s="754" t="s">
        <v>938</v>
      </c>
      <c r="G2" s="754" t="s">
        <v>941</v>
      </c>
      <c r="H2" s="754" t="s">
        <v>942</v>
      </c>
      <c r="I2" s="754" t="s">
        <v>954</v>
      </c>
      <c r="J2" s="754" t="s">
        <v>814</v>
      </c>
      <c r="K2" s="754" t="s">
        <v>815</v>
      </c>
      <c r="L2" s="754" t="s">
        <v>534</v>
      </c>
      <c r="M2" s="754" t="s">
        <v>114</v>
      </c>
      <c r="N2" s="754" t="s">
        <v>816</v>
      </c>
      <c r="O2" s="754" t="s">
        <v>817</v>
      </c>
      <c r="P2" s="754" t="s">
        <v>818</v>
      </c>
      <c r="Q2" s="754" t="s">
        <v>533</v>
      </c>
      <c r="R2" s="754" t="s">
        <v>113</v>
      </c>
      <c r="S2" s="754" t="s">
        <v>819</v>
      </c>
      <c r="T2" s="754" t="s">
        <v>803</v>
      </c>
      <c r="U2" s="754" t="s">
        <v>804</v>
      </c>
      <c r="V2" s="754" t="s">
        <v>532</v>
      </c>
      <c r="W2" s="754" t="s">
        <v>67</v>
      </c>
      <c r="X2" s="754" t="s">
        <v>802</v>
      </c>
      <c r="Y2" s="754" t="s">
        <v>820</v>
      </c>
      <c r="Z2" s="754" t="s">
        <v>821</v>
      </c>
      <c r="AA2" s="754" t="s">
        <v>822</v>
      </c>
      <c r="AB2" s="754" t="s">
        <v>787</v>
      </c>
      <c r="AC2" s="754" t="s">
        <v>823</v>
      </c>
      <c r="AD2" s="754" t="s">
        <v>824</v>
      </c>
      <c r="AE2" s="754" t="s">
        <v>825</v>
      </c>
      <c r="AF2" s="754" t="s">
        <v>826</v>
      </c>
      <c r="AG2" s="754" t="s">
        <v>788</v>
      </c>
      <c r="AH2" s="754" t="s">
        <v>827</v>
      </c>
      <c r="AI2" s="754" t="s">
        <v>828</v>
      </c>
      <c r="AJ2" s="754" t="s">
        <v>829</v>
      </c>
      <c r="AK2" s="754" t="s">
        <v>830</v>
      </c>
      <c r="AL2" s="754" t="s">
        <v>789</v>
      </c>
      <c r="AM2" s="754" t="s">
        <v>831</v>
      </c>
      <c r="AN2" s="754" t="s">
        <v>832</v>
      </c>
      <c r="AO2" s="754" t="s">
        <v>833</v>
      </c>
      <c r="AP2" s="754" t="s">
        <v>834</v>
      </c>
      <c r="AQ2" s="754" t="s">
        <v>790</v>
      </c>
      <c r="AR2" s="754" t="s">
        <v>835</v>
      </c>
      <c r="AS2" s="754" t="s">
        <v>836</v>
      </c>
      <c r="AT2" s="754" t="s">
        <v>837</v>
      </c>
      <c r="AU2" s="754" t="s">
        <v>838</v>
      </c>
      <c r="AV2" s="754" t="s">
        <v>791</v>
      </c>
      <c r="AW2" s="754" t="s">
        <v>839</v>
      </c>
      <c r="AX2" s="754" t="s">
        <v>840</v>
      </c>
      <c r="AY2" s="754" t="s">
        <v>841</v>
      </c>
      <c r="AZ2" s="754" t="s">
        <v>842</v>
      </c>
      <c r="BA2" s="754" t="s">
        <v>792</v>
      </c>
      <c r="BB2" s="754" t="s">
        <v>843</v>
      </c>
      <c r="BC2" s="754" t="s">
        <v>844</v>
      </c>
      <c r="BD2" s="754" t="s">
        <v>845</v>
      </c>
      <c r="BE2" s="754" t="s">
        <v>846</v>
      </c>
      <c r="BF2" s="754" t="s">
        <v>793</v>
      </c>
      <c r="BG2" s="754" t="s">
        <v>847</v>
      </c>
      <c r="BH2" s="754" t="s">
        <v>848</v>
      </c>
      <c r="BI2" s="754" t="s">
        <v>849</v>
      </c>
      <c r="BJ2" s="754" t="s">
        <v>850</v>
      </c>
      <c r="BK2" s="754" t="s">
        <v>794</v>
      </c>
      <c r="BL2" s="754" t="s">
        <v>851</v>
      </c>
      <c r="BM2" s="754" t="s">
        <v>852</v>
      </c>
      <c r="BN2" s="754" t="s">
        <v>853</v>
      </c>
      <c r="BO2" s="754" t="s">
        <v>854</v>
      </c>
      <c r="BP2" s="754" t="s">
        <v>795</v>
      </c>
      <c r="BQ2" s="754" t="s">
        <v>855</v>
      </c>
      <c r="BR2" s="754" t="s">
        <v>856</v>
      </c>
      <c r="BS2" s="754" t="s">
        <v>857</v>
      </c>
      <c r="BT2" s="754" t="s">
        <v>858</v>
      </c>
      <c r="BU2" s="754" t="s">
        <v>796</v>
      </c>
    </row>
    <row r="3" spans="1:74" ht="17.25" customHeight="1">
      <c r="A3" s="781" t="s">
        <v>591</v>
      </c>
      <c r="B3" s="756" t="s">
        <v>123</v>
      </c>
      <c r="C3" s="758" t="s">
        <v>662</v>
      </c>
      <c r="D3" s="755">
        <v>278</v>
      </c>
      <c r="E3" s="755">
        <v>288</v>
      </c>
      <c r="F3" s="755">
        <v>285</v>
      </c>
      <c r="G3" s="755">
        <v>290.04783541250004</v>
      </c>
      <c r="H3" s="806">
        <f>SUM(D3:G3)</f>
        <v>1141.0478354125</v>
      </c>
      <c r="I3" s="755">
        <v>225</v>
      </c>
      <c r="J3" s="755">
        <v>235.21465287020786</v>
      </c>
      <c r="K3" s="755">
        <v>236.47469212474175</v>
      </c>
      <c r="L3" s="755">
        <v>259.16137418344562</v>
      </c>
      <c r="M3" s="757">
        <f>SUM(I3:L3)</f>
        <v>955.85071917839514</v>
      </c>
      <c r="N3" s="755">
        <v>249.57384943630132</v>
      </c>
      <c r="O3" s="755">
        <v>231.24958212386863</v>
      </c>
      <c r="P3" s="755">
        <v>217.5655295084407</v>
      </c>
      <c r="Q3" s="755">
        <v>221.58850827218166</v>
      </c>
      <c r="R3" s="757">
        <f>SUM(N3:Q3)</f>
        <v>919.97746934079237</v>
      </c>
      <c r="S3" s="755">
        <v>215.27681441750892</v>
      </c>
      <c r="T3" s="755">
        <v>213.45439178396427</v>
      </c>
      <c r="U3" s="755">
        <v>216.33043434378695</v>
      </c>
      <c r="V3" s="755">
        <v>239.04080944072277</v>
      </c>
      <c r="W3" s="757">
        <f>SUM(S3:V3)</f>
        <v>884.10244998598296</v>
      </c>
      <c r="X3" s="755">
        <v>205.01475344511948</v>
      </c>
      <c r="Y3" s="755">
        <v>202.84004407901497</v>
      </c>
      <c r="Z3" s="755">
        <v>205.11797261038978</v>
      </c>
      <c r="AA3" s="755">
        <v>226.14152021142007</v>
      </c>
      <c r="AB3" s="757">
        <f>SUM(X3:AA3)</f>
        <v>839.11429034594426</v>
      </c>
      <c r="AC3" s="755">
        <v>194.57025763215606</v>
      </c>
      <c r="AD3" s="755">
        <v>193.63225154554289</v>
      </c>
      <c r="AE3" s="755">
        <v>196.97607611343687</v>
      </c>
      <c r="AF3" s="755">
        <v>218.47772804647278</v>
      </c>
      <c r="AG3" s="757">
        <f>SUM(AC3:AF3)</f>
        <v>803.65631333760859</v>
      </c>
      <c r="AH3" s="755">
        <v>188.29065522940954</v>
      </c>
      <c r="AI3" s="755">
        <v>187.33161942929055</v>
      </c>
      <c r="AJ3" s="755">
        <v>190.51366837800501</v>
      </c>
      <c r="AK3" s="755">
        <v>211.25078303645358</v>
      </c>
      <c r="AL3" s="757">
        <f>SUM(AH3:AK3)</f>
        <v>777.3867260731588</v>
      </c>
      <c r="AM3" s="755">
        <v>182.01105282666308</v>
      </c>
      <c r="AN3" s="755">
        <v>180.6095253131347</v>
      </c>
      <c r="AO3" s="755">
        <v>178.00142571605352</v>
      </c>
      <c r="AP3" s="755">
        <v>195.21516816945066</v>
      </c>
      <c r="AQ3" s="757">
        <f>SUM(AM3:AP3)</f>
        <v>735.83717202530192</v>
      </c>
      <c r="AR3" s="755">
        <v>162.89632859437995</v>
      </c>
      <c r="AS3" s="755">
        <v>151.76581793709119</v>
      </c>
      <c r="AT3" s="755">
        <v>143.94497338564446</v>
      </c>
      <c r="AU3" s="755">
        <v>151.26795337403297</v>
      </c>
      <c r="AV3" s="757">
        <f>SUM(AR3:AU3)</f>
        <v>609.87507329114851</v>
      </c>
      <c r="AW3" s="755">
        <v>122.94348533170347</v>
      </c>
      <c r="AX3" s="755">
        <v>112.18043743465364</v>
      </c>
      <c r="AY3" s="755">
        <v>103.86027967544391</v>
      </c>
      <c r="AZ3" s="755">
        <v>106.12186328867806</v>
      </c>
      <c r="BA3" s="757">
        <f>SUM(AW3:AZ3)</f>
        <v>445.10606573047909</v>
      </c>
      <c r="BB3" s="755">
        <v>90.036357199420465</v>
      </c>
      <c r="BC3" s="755">
        <v>89.242230328809583</v>
      </c>
      <c r="BD3" s="755">
        <v>90.41662452453896</v>
      </c>
      <c r="BE3" s="755">
        <v>101.90325024418819</v>
      </c>
      <c r="BF3" s="757">
        <f>SUM(BB3:BE3)</f>
        <v>371.59846229695722</v>
      </c>
      <c r="BG3" s="755">
        <v>89.223916462476566</v>
      </c>
      <c r="BH3" s="755">
        <v>88.415212143605046</v>
      </c>
      <c r="BI3" s="755">
        <v>89.557075276998589</v>
      </c>
      <c r="BJ3" s="755">
        <v>100.91073339523462</v>
      </c>
      <c r="BK3" s="757">
        <f>SUM(BG3:BJ3)</f>
        <v>368.10693727831483</v>
      </c>
      <c r="BL3" s="755">
        <v>88.334629617992789</v>
      </c>
      <c r="BM3" s="755">
        <v>87.513747702756291</v>
      </c>
      <c r="BN3" s="755">
        <v>88.623814595949014</v>
      </c>
      <c r="BO3" s="755">
        <v>99.837023279815227</v>
      </c>
      <c r="BP3" s="757">
        <f>SUM(BL3:BO3)</f>
        <v>364.30921519651332</v>
      </c>
      <c r="BQ3" s="755">
        <v>87.375856914752291</v>
      </c>
      <c r="BR3" s="755">
        <v>86.545030046547652</v>
      </c>
      <c r="BS3" s="755">
        <v>87.6240283376722</v>
      </c>
      <c r="BT3" s="755">
        <v>98.690106829856006</v>
      </c>
      <c r="BU3" s="757">
        <f>SUM(BQ3:BT3)</f>
        <v>360.23502212882812</v>
      </c>
      <c r="BV3" s="751"/>
    </row>
    <row r="4" spans="1:74" ht="17.25" customHeight="1">
      <c r="B4" s="751"/>
      <c r="C4" s="758" t="s">
        <v>663</v>
      </c>
      <c r="D4" s="755">
        <v>278</v>
      </c>
      <c r="E4" s="755">
        <v>288</v>
      </c>
      <c r="F4" s="755">
        <v>285</v>
      </c>
      <c r="G4" s="755">
        <v>263</v>
      </c>
      <c r="H4" s="806">
        <f t="shared" ref="H4:H5" si="0">SUM(D4:G4)</f>
        <v>1114</v>
      </c>
      <c r="I4" s="755">
        <v>225</v>
      </c>
      <c r="J4" s="755">
        <v>213.83150260927988</v>
      </c>
      <c r="K4" s="755">
        <v>214.97699284067428</v>
      </c>
      <c r="L4" s="755">
        <v>235.60124925767789</v>
      </c>
      <c r="M4" s="757">
        <f t="shared" ref="M4:M5" si="1">SUM(I4:L4)</f>
        <v>889.40974470763206</v>
      </c>
      <c r="N4" s="755">
        <v>226.88531766936484</v>
      </c>
      <c r="O4" s="755">
        <v>210.22689283988055</v>
      </c>
      <c r="P4" s="755">
        <v>197.78684500767338</v>
      </c>
      <c r="Q4" s="755">
        <v>201.44409842925603</v>
      </c>
      <c r="R4" s="757">
        <f t="shared" ref="R4:R5" si="2">SUM(N4:Q4)</f>
        <v>836.34315394617488</v>
      </c>
      <c r="S4" s="755">
        <v>195.70619492500808</v>
      </c>
      <c r="T4" s="755">
        <v>194.04944707633115</v>
      </c>
      <c r="U4" s="755">
        <v>196.66403122162453</v>
      </c>
      <c r="V4" s="755">
        <v>217.30982676429343</v>
      </c>
      <c r="W4" s="757">
        <f t="shared" ref="W4:W5" si="3">SUM(S4:V4)</f>
        <v>803.72949998725721</v>
      </c>
      <c r="X4" s="755">
        <v>186.3770485864722</v>
      </c>
      <c r="Y4" s="755">
        <v>184.40004007183182</v>
      </c>
      <c r="Z4" s="755">
        <v>186.47088419126345</v>
      </c>
      <c r="AA4" s="755">
        <v>205.58320019220008</v>
      </c>
      <c r="AB4" s="757">
        <f t="shared" ref="AB4:AB5" si="4">SUM(X4:AA4)</f>
        <v>762.83117304176767</v>
      </c>
      <c r="AC4" s="755">
        <v>176.88205239286913</v>
      </c>
      <c r="AD4" s="755">
        <v>176.02931958685713</v>
      </c>
      <c r="AE4" s="755">
        <v>179.06916010312437</v>
      </c>
      <c r="AF4" s="755">
        <v>198.61611640588433</v>
      </c>
      <c r="AG4" s="757">
        <f t="shared" ref="AG4:AG5" si="5">SUM(AC4:AF4)</f>
        <v>730.59664848873501</v>
      </c>
      <c r="AH4" s="755">
        <v>171.17332293582683</v>
      </c>
      <c r="AI4" s="755">
        <v>170.30147220844597</v>
      </c>
      <c r="AJ4" s="755">
        <v>173.19424398000456</v>
      </c>
      <c r="AK4" s="755">
        <v>192.04616639677599</v>
      </c>
      <c r="AL4" s="757">
        <f t="shared" ref="AL4:AL5" si="6">SUM(AH4:AK4)</f>
        <v>706.71520552105335</v>
      </c>
      <c r="AM4" s="755">
        <v>165.46459347878462</v>
      </c>
      <c r="AN4" s="755">
        <v>164.12766978733606</v>
      </c>
      <c r="AO4" s="755">
        <v>161.30281275933567</v>
      </c>
      <c r="AP4" s="755">
        <v>176.32383730699033</v>
      </c>
      <c r="AQ4" s="757">
        <f t="shared" ref="AQ4:AQ5" si="7">SUM(AM4:AP4)</f>
        <v>667.21891333244662</v>
      </c>
      <c r="AR4" s="755">
        <v>146.26016041647406</v>
      </c>
      <c r="AS4" s="755">
        <v>135.16864611696425</v>
      </c>
      <c r="AT4" s="755">
        <v>127.02044105266596</v>
      </c>
      <c r="AU4" s="755">
        <v>132.07182908832598</v>
      </c>
      <c r="AV4" s="757">
        <f t="shared" ref="AV4:AV5" si="8">SUM(AR4:AU4)</f>
        <v>540.52107667443022</v>
      </c>
      <c r="AW4" s="755">
        <v>106.03070270559421</v>
      </c>
      <c r="AX4" s="755">
        <v>95.314347167783779</v>
      </c>
      <c r="AY4" s="755">
        <v>86.668589931349231</v>
      </c>
      <c r="AZ4" s="755">
        <v>86.630534433264827</v>
      </c>
      <c r="BA4" s="757">
        <f t="shared" ref="BA4:BA5" si="9">SUM(AW4:AZ4)</f>
        <v>374.64417423799205</v>
      </c>
      <c r="BB4" s="755">
        <v>72.936743005831133</v>
      </c>
      <c r="BC4" s="755">
        <v>72.293435909926743</v>
      </c>
      <c r="BD4" s="755">
        <v>73.244790343910921</v>
      </c>
      <c r="BE4" s="755">
        <v>82.549887686561064</v>
      </c>
      <c r="BF4" s="757">
        <f t="shared" ref="BF4:BF5" si="10">SUM(BB4:BE4)</f>
        <v>301.02485694622987</v>
      </c>
      <c r="BG4" s="755">
        <v>72.278600194625454</v>
      </c>
      <c r="BH4" s="755">
        <v>71.623484184738544</v>
      </c>
      <c r="BI4" s="755">
        <v>72.548485822951136</v>
      </c>
      <c r="BJ4" s="755">
        <v>81.745868637003724</v>
      </c>
      <c r="BK4" s="757">
        <f t="shared" ref="BK4:BK5" si="11">SUM(BG4:BJ4)</f>
        <v>298.19643883931883</v>
      </c>
      <c r="BL4" s="755">
        <v>71.558205811155247</v>
      </c>
      <c r="BM4" s="755">
        <v>70.893224961728762</v>
      </c>
      <c r="BN4" s="755">
        <v>71.792469069625668</v>
      </c>
      <c r="BO4" s="755">
        <v>80.876076464296744</v>
      </c>
      <c r="BP4" s="757">
        <f t="shared" ref="BP4:BP5" si="12">SUM(BL4:BO4)</f>
        <v>295.11997630680639</v>
      </c>
      <c r="BQ4" s="755">
        <v>70.781522253174657</v>
      </c>
      <c r="BR4" s="755">
        <v>70.108485186222211</v>
      </c>
      <c r="BS4" s="755">
        <v>70.982561209635435</v>
      </c>
      <c r="BT4" s="755">
        <v>79.946981230306378</v>
      </c>
      <c r="BU4" s="757">
        <f t="shared" ref="BU4:BU5" si="13">SUM(BQ4:BT4)</f>
        <v>291.81954987933869</v>
      </c>
      <c r="BV4" s="751"/>
    </row>
    <row r="5" spans="1:74" ht="17.25" customHeight="1" thickBot="1">
      <c r="C5" s="758" t="s">
        <v>664</v>
      </c>
      <c r="D5" s="755">
        <v>278</v>
      </c>
      <c r="E5" s="755">
        <v>288</v>
      </c>
      <c r="F5" s="755">
        <v>285</v>
      </c>
      <c r="G5" s="755">
        <v>256.62444529999999</v>
      </c>
      <c r="H5" s="806">
        <f t="shared" si="0"/>
        <v>1107.6244452999999</v>
      </c>
      <c r="I5" s="755">
        <v>225</v>
      </c>
      <c r="J5" s="755">
        <v>171.06520208742393</v>
      </c>
      <c r="K5" s="755">
        <v>171.98159427253947</v>
      </c>
      <c r="L5" s="755">
        <v>188.4809994061423</v>
      </c>
      <c r="M5" s="757">
        <f t="shared" si="1"/>
        <v>756.52779576610578</v>
      </c>
      <c r="N5" s="755">
        <v>181.50825413549191</v>
      </c>
      <c r="O5" s="755">
        <v>168.18151427190446</v>
      </c>
      <c r="P5" s="755">
        <v>158.22947600613873</v>
      </c>
      <c r="Q5" s="755">
        <v>161.15527874340484</v>
      </c>
      <c r="R5" s="757">
        <f t="shared" si="2"/>
        <v>669.0745231569399</v>
      </c>
      <c r="S5" s="755">
        <v>156.56495594000646</v>
      </c>
      <c r="T5" s="755">
        <v>155.23955766106494</v>
      </c>
      <c r="U5" s="755">
        <v>157.3312249772996</v>
      </c>
      <c r="V5" s="755">
        <v>173.84786141143474</v>
      </c>
      <c r="W5" s="757">
        <f t="shared" si="3"/>
        <v>642.98359998980573</v>
      </c>
      <c r="X5" s="755">
        <v>149.10163886917778</v>
      </c>
      <c r="Y5" s="755">
        <v>147.52003205746547</v>
      </c>
      <c r="Z5" s="755">
        <v>149.17670735301078</v>
      </c>
      <c r="AA5" s="755">
        <v>164.46656015376007</v>
      </c>
      <c r="AB5" s="757">
        <f t="shared" si="4"/>
        <v>610.26493843341404</v>
      </c>
      <c r="AC5" s="755">
        <v>141.5056419142953</v>
      </c>
      <c r="AD5" s="755">
        <v>140.82345566948575</v>
      </c>
      <c r="AE5" s="755">
        <v>143.25532808249955</v>
      </c>
      <c r="AF5" s="755">
        <v>158.89289312470746</v>
      </c>
      <c r="AG5" s="757">
        <f t="shared" si="5"/>
        <v>584.47731879098808</v>
      </c>
      <c r="AH5" s="755">
        <v>136.93865834866151</v>
      </c>
      <c r="AI5" s="755">
        <v>136.24117776675678</v>
      </c>
      <c r="AJ5" s="755">
        <v>138.55539518400366</v>
      </c>
      <c r="AK5" s="755">
        <v>153.6369331174208</v>
      </c>
      <c r="AL5" s="757">
        <f t="shared" si="6"/>
        <v>565.37216441684279</v>
      </c>
      <c r="AM5" s="755">
        <v>132.37167478302766</v>
      </c>
      <c r="AN5" s="755">
        <v>131.25188961382156</v>
      </c>
      <c r="AO5" s="755">
        <v>128.62891807598905</v>
      </c>
      <c r="AP5" s="755">
        <v>140.14347193158406</v>
      </c>
      <c r="AQ5" s="757">
        <f t="shared" si="7"/>
        <v>532.39595440442235</v>
      </c>
      <c r="AR5" s="755">
        <v>115.54619950680947</v>
      </c>
      <c r="AS5" s="755">
        <v>105.89469346925833</v>
      </c>
      <c r="AT5" s="755">
        <v>98.54545231288779</v>
      </c>
      <c r="AU5" s="755">
        <v>101.30186954202493</v>
      </c>
      <c r="AV5" s="757">
        <f t="shared" si="8"/>
        <v>421.28821483098051</v>
      </c>
      <c r="AW5" s="755">
        <v>80.235680451348244</v>
      </c>
      <c r="AX5" s="755">
        <v>70.917182788705986</v>
      </c>
      <c r="AY5" s="755">
        <v>63.134995035290501</v>
      </c>
      <c r="AZ5" s="755">
        <v>61.429318156003291</v>
      </c>
      <c r="BA5" s="757">
        <f t="shared" si="9"/>
        <v>275.71717643134798</v>
      </c>
      <c r="BB5" s="755">
        <v>51.217801755205876</v>
      </c>
      <c r="BC5" s="755">
        <v>50.76605721674855</v>
      </c>
      <c r="BD5" s="755">
        <v>51.434119441501885</v>
      </c>
      <c r="BE5" s="755">
        <v>57.968365575451763</v>
      </c>
      <c r="BF5" s="757">
        <f t="shared" si="10"/>
        <v>211.38634398890807</v>
      </c>
      <c r="BG5" s="755">
        <v>50.755639247781431</v>
      </c>
      <c r="BH5" s="755">
        <v>50.295602227505299</v>
      </c>
      <c r="BI5" s="755">
        <v>50.945158933450124</v>
      </c>
      <c r="BJ5" s="755">
        <v>57.403765531762602</v>
      </c>
      <c r="BK5" s="757">
        <f t="shared" si="11"/>
        <v>209.40016594049945</v>
      </c>
      <c r="BL5" s="755">
        <v>50.249762302944553</v>
      </c>
      <c r="BM5" s="755">
        <v>49.782797973125085</v>
      </c>
      <c r="BN5" s="755">
        <v>50.414267168892671</v>
      </c>
      <c r="BO5" s="755">
        <v>56.792978139372821</v>
      </c>
      <c r="BP5" s="757">
        <f t="shared" si="12"/>
        <v>207.23980558433513</v>
      </c>
      <c r="BQ5" s="755">
        <v>49.704357848895967</v>
      </c>
      <c r="BR5" s="755">
        <v>49.2317362641027</v>
      </c>
      <c r="BS5" s="755">
        <v>49.845531871655098</v>
      </c>
      <c r="BT5" s="755">
        <v>56.140546819504038</v>
      </c>
      <c r="BU5" s="757">
        <f t="shared" si="13"/>
        <v>204.92217280415781</v>
      </c>
      <c r="BV5" s="751"/>
    </row>
    <row r="6" spans="1:74" ht="17.25" customHeight="1" thickBot="1">
      <c r="C6" s="762" t="s">
        <v>35</v>
      </c>
      <c r="D6" s="763">
        <f t="shared" ref="D6:AG6" si="14">CHOOSE($B$59,D3,D4,D5)</f>
        <v>278</v>
      </c>
      <c r="E6" s="763">
        <f t="shared" si="14"/>
        <v>288</v>
      </c>
      <c r="F6" s="763">
        <f t="shared" si="14"/>
        <v>285</v>
      </c>
      <c r="G6" s="763">
        <f t="shared" si="14"/>
        <v>263</v>
      </c>
      <c r="H6" s="763">
        <f t="shared" si="14"/>
        <v>1114</v>
      </c>
      <c r="I6" s="763">
        <f t="shared" si="14"/>
        <v>225</v>
      </c>
      <c r="J6" s="763">
        <f t="shared" si="14"/>
        <v>213.83150260927988</v>
      </c>
      <c r="K6" s="763">
        <f t="shared" si="14"/>
        <v>214.97699284067428</v>
      </c>
      <c r="L6" s="763">
        <f t="shared" si="14"/>
        <v>235.60124925767789</v>
      </c>
      <c r="M6" s="763">
        <f t="shared" si="14"/>
        <v>889.40974470763206</v>
      </c>
      <c r="N6" s="763">
        <f t="shared" si="14"/>
        <v>226.88531766936484</v>
      </c>
      <c r="O6" s="763">
        <f t="shared" si="14"/>
        <v>210.22689283988055</v>
      </c>
      <c r="P6" s="763">
        <f t="shared" si="14"/>
        <v>197.78684500767338</v>
      </c>
      <c r="Q6" s="763">
        <f t="shared" si="14"/>
        <v>201.44409842925603</v>
      </c>
      <c r="R6" s="763">
        <f t="shared" si="14"/>
        <v>836.34315394617488</v>
      </c>
      <c r="S6" s="763">
        <f t="shared" si="14"/>
        <v>195.70619492500808</v>
      </c>
      <c r="T6" s="763">
        <f t="shared" si="14"/>
        <v>194.04944707633115</v>
      </c>
      <c r="U6" s="763">
        <f t="shared" si="14"/>
        <v>196.66403122162453</v>
      </c>
      <c r="V6" s="763">
        <f t="shared" si="14"/>
        <v>217.30982676429343</v>
      </c>
      <c r="W6" s="763">
        <f t="shared" si="14"/>
        <v>803.72949998725721</v>
      </c>
      <c r="X6" s="763">
        <f t="shared" si="14"/>
        <v>186.3770485864722</v>
      </c>
      <c r="Y6" s="763">
        <f t="shared" si="14"/>
        <v>184.40004007183182</v>
      </c>
      <c r="Z6" s="763">
        <f t="shared" si="14"/>
        <v>186.47088419126345</v>
      </c>
      <c r="AA6" s="763">
        <f t="shared" si="14"/>
        <v>205.58320019220008</v>
      </c>
      <c r="AB6" s="763">
        <f t="shared" si="14"/>
        <v>762.83117304176767</v>
      </c>
      <c r="AC6" s="763">
        <f t="shared" si="14"/>
        <v>176.88205239286913</v>
      </c>
      <c r="AD6" s="763">
        <f t="shared" si="14"/>
        <v>176.02931958685713</v>
      </c>
      <c r="AE6" s="763">
        <f t="shared" si="14"/>
        <v>179.06916010312437</v>
      </c>
      <c r="AF6" s="763">
        <f t="shared" si="14"/>
        <v>198.61611640588433</v>
      </c>
      <c r="AG6" s="763">
        <f t="shared" si="14"/>
        <v>730.59664848873501</v>
      </c>
      <c r="AH6" s="763">
        <f t="shared" ref="AH6:BM6" si="15">CHOOSE($B$59,AH3,AH4,AH5)</f>
        <v>171.17332293582683</v>
      </c>
      <c r="AI6" s="763">
        <f t="shared" si="15"/>
        <v>170.30147220844597</v>
      </c>
      <c r="AJ6" s="763">
        <f t="shared" si="15"/>
        <v>173.19424398000456</v>
      </c>
      <c r="AK6" s="763">
        <f t="shared" si="15"/>
        <v>192.04616639677599</v>
      </c>
      <c r="AL6" s="763">
        <f t="shared" si="15"/>
        <v>706.71520552105335</v>
      </c>
      <c r="AM6" s="763">
        <f t="shared" si="15"/>
        <v>165.46459347878462</v>
      </c>
      <c r="AN6" s="763">
        <f t="shared" si="15"/>
        <v>164.12766978733606</v>
      </c>
      <c r="AO6" s="763">
        <f t="shared" si="15"/>
        <v>161.30281275933567</v>
      </c>
      <c r="AP6" s="763">
        <f t="shared" si="15"/>
        <v>176.32383730699033</v>
      </c>
      <c r="AQ6" s="763">
        <f t="shared" si="15"/>
        <v>667.21891333244662</v>
      </c>
      <c r="AR6" s="763">
        <f t="shared" si="15"/>
        <v>146.26016041647406</v>
      </c>
      <c r="AS6" s="763">
        <f t="shared" si="15"/>
        <v>135.16864611696425</v>
      </c>
      <c r="AT6" s="763">
        <f t="shared" si="15"/>
        <v>127.02044105266596</v>
      </c>
      <c r="AU6" s="763">
        <f t="shared" si="15"/>
        <v>132.07182908832598</v>
      </c>
      <c r="AV6" s="763">
        <f t="shared" si="15"/>
        <v>540.52107667443022</v>
      </c>
      <c r="AW6" s="763">
        <f t="shared" si="15"/>
        <v>106.03070270559421</v>
      </c>
      <c r="AX6" s="763">
        <f t="shared" si="15"/>
        <v>95.314347167783779</v>
      </c>
      <c r="AY6" s="763">
        <f t="shared" si="15"/>
        <v>86.668589931349231</v>
      </c>
      <c r="AZ6" s="763">
        <f t="shared" si="15"/>
        <v>86.630534433264827</v>
      </c>
      <c r="BA6" s="763">
        <f t="shared" si="15"/>
        <v>374.64417423799205</v>
      </c>
      <c r="BB6" s="763">
        <f t="shared" si="15"/>
        <v>72.936743005831133</v>
      </c>
      <c r="BC6" s="763">
        <f t="shared" si="15"/>
        <v>72.293435909926743</v>
      </c>
      <c r="BD6" s="763">
        <f t="shared" si="15"/>
        <v>73.244790343910921</v>
      </c>
      <c r="BE6" s="763">
        <f t="shared" si="15"/>
        <v>82.549887686561064</v>
      </c>
      <c r="BF6" s="763">
        <f t="shared" si="15"/>
        <v>301.02485694622987</v>
      </c>
      <c r="BG6" s="763">
        <f t="shared" si="15"/>
        <v>72.278600194625454</v>
      </c>
      <c r="BH6" s="763">
        <f t="shared" si="15"/>
        <v>71.623484184738544</v>
      </c>
      <c r="BI6" s="763">
        <f t="shared" si="15"/>
        <v>72.548485822951136</v>
      </c>
      <c r="BJ6" s="763">
        <f t="shared" si="15"/>
        <v>81.745868637003724</v>
      </c>
      <c r="BK6" s="763">
        <f t="shared" si="15"/>
        <v>298.19643883931883</v>
      </c>
      <c r="BL6" s="763">
        <f t="shared" si="15"/>
        <v>71.558205811155247</v>
      </c>
      <c r="BM6" s="763">
        <f t="shared" si="15"/>
        <v>70.893224961728762</v>
      </c>
      <c r="BN6" s="763">
        <f t="shared" ref="BN6:BU6" si="16">CHOOSE($B$59,BN3,BN4,BN5)</f>
        <v>71.792469069625668</v>
      </c>
      <c r="BO6" s="763">
        <f t="shared" si="16"/>
        <v>80.876076464296744</v>
      </c>
      <c r="BP6" s="763">
        <f t="shared" si="16"/>
        <v>295.11997630680639</v>
      </c>
      <c r="BQ6" s="763">
        <f t="shared" si="16"/>
        <v>70.781522253174657</v>
      </c>
      <c r="BR6" s="763">
        <f t="shared" si="16"/>
        <v>70.108485186222211</v>
      </c>
      <c r="BS6" s="763">
        <f t="shared" si="16"/>
        <v>70.982561209635435</v>
      </c>
      <c r="BT6" s="763">
        <f t="shared" si="16"/>
        <v>79.946981230306378</v>
      </c>
      <c r="BU6" s="764">
        <f t="shared" si="16"/>
        <v>291.81954987933869</v>
      </c>
    </row>
    <row r="7" spans="1:74" ht="17.25" customHeight="1">
      <c r="D7" s="755"/>
      <c r="E7" s="755"/>
      <c r="F7" s="755"/>
      <c r="G7" s="755"/>
      <c r="H7" s="757"/>
      <c r="I7" s="755"/>
      <c r="J7" s="755"/>
      <c r="K7" s="755"/>
      <c r="L7" s="755"/>
      <c r="M7" s="757"/>
      <c r="N7" s="755"/>
      <c r="O7" s="755"/>
      <c r="P7" s="755"/>
      <c r="Q7" s="755"/>
      <c r="R7" s="757"/>
      <c r="S7" s="755"/>
      <c r="T7" s="755"/>
      <c r="U7" s="755"/>
      <c r="V7" s="755"/>
      <c r="W7" s="757"/>
      <c r="X7" s="755"/>
      <c r="Y7" s="755"/>
      <c r="Z7" s="755"/>
      <c r="AA7" s="755"/>
      <c r="AB7" s="757"/>
      <c r="AC7" s="755"/>
      <c r="AD7" s="755"/>
      <c r="AE7" s="755"/>
      <c r="AF7" s="755"/>
      <c r="AG7" s="757"/>
      <c r="AH7" s="755"/>
      <c r="AI7" s="755"/>
      <c r="AJ7" s="755"/>
      <c r="AK7" s="755"/>
      <c r="AL7" s="757"/>
      <c r="AM7" s="755"/>
      <c r="AN7" s="755"/>
      <c r="AO7" s="755"/>
      <c r="AP7" s="755"/>
      <c r="AQ7" s="757"/>
      <c r="AR7" s="755"/>
      <c r="AS7" s="755"/>
      <c r="AT7" s="755"/>
      <c r="AU7" s="755"/>
      <c r="AV7" s="757"/>
      <c r="AW7" s="755"/>
      <c r="AX7" s="755"/>
      <c r="AY7" s="755"/>
      <c r="AZ7" s="755"/>
      <c r="BA7" s="757"/>
      <c r="BB7" s="755"/>
      <c r="BC7" s="755"/>
      <c r="BD7" s="755"/>
      <c r="BE7" s="755"/>
      <c r="BF7" s="757"/>
      <c r="BG7" s="755"/>
      <c r="BH7" s="755"/>
      <c r="BI7" s="755"/>
      <c r="BJ7" s="755"/>
      <c r="BK7" s="757"/>
      <c r="BL7" s="755"/>
      <c r="BM7" s="755"/>
      <c r="BN7" s="755"/>
      <c r="BO7" s="755"/>
      <c r="BP7" s="757"/>
      <c r="BQ7" s="755"/>
      <c r="BR7" s="755"/>
      <c r="BS7" s="755"/>
      <c r="BT7" s="755"/>
      <c r="BU7" s="757"/>
    </row>
    <row r="8" spans="1:74" ht="17.25" customHeight="1">
      <c r="A8" s="781" t="s">
        <v>591</v>
      </c>
      <c r="B8" s="793" t="s">
        <v>205</v>
      </c>
      <c r="C8" s="758" t="s">
        <v>662</v>
      </c>
      <c r="D8" s="755">
        <v>270</v>
      </c>
      <c r="E8" s="755">
        <v>292</v>
      </c>
      <c r="F8" s="755">
        <v>264</v>
      </c>
      <c r="G8" s="755">
        <v>287.30521597210799</v>
      </c>
      <c r="H8" s="806">
        <f>SUM(D8:G8)</f>
        <v>1113.305215972108</v>
      </c>
      <c r="I8" s="755">
        <v>244</v>
      </c>
      <c r="J8" s="755">
        <v>236.54140566985049</v>
      </c>
      <c r="K8" s="755">
        <v>238.87893661365851</v>
      </c>
      <c r="L8" s="755">
        <v>263.16462461859192</v>
      </c>
      <c r="M8" s="757">
        <f>SUM(I8:L8)</f>
        <v>982.58496690210097</v>
      </c>
      <c r="N8" s="755">
        <v>251.32657837822805</v>
      </c>
      <c r="O8" s="755">
        <v>239.3203405195901</v>
      </c>
      <c r="P8" s="755">
        <v>233.7994169802424</v>
      </c>
      <c r="Q8" s="755">
        <v>250.11535483843574</v>
      </c>
      <c r="R8" s="757">
        <f>SUM(N8:Q8)</f>
        <v>974.56169071649629</v>
      </c>
      <c r="S8" s="755">
        <v>238.24335429205556</v>
      </c>
      <c r="T8" s="755">
        <v>227.83369323755969</v>
      </c>
      <c r="U8" s="755">
        <v>225.14457209993466</v>
      </c>
      <c r="V8" s="755">
        <v>243.24895177096025</v>
      </c>
      <c r="W8" s="757">
        <f>SUM(S8:V8)</f>
        <v>934.47057140051015</v>
      </c>
      <c r="X8" s="755">
        <v>207.66567342918808</v>
      </c>
      <c r="Y8" s="755">
        <v>205.89544471919734</v>
      </c>
      <c r="Z8" s="755">
        <v>209.95132595660385</v>
      </c>
      <c r="AA8" s="755">
        <v>234.25227557285231</v>
      </c>
      <c r="AB8" s="757">
        <f>SUM(X8:AA8)</f>
        <v>857.76471967784164</v>
      </c>
      <c r="AC8" s="755">
        <v>202.62682762331994</v>
      </c>
      <c r="AD8" s="755">
        <v>198.59634719525911</v>
      </c>
      <c r="AE8" s="755">
        <v>202.84023202413698</v>
      </c>
      <c r="AF8" s="755">
        <v>225.9618003265179</v>
      </c>
      <c r="AG8" s="757">
        <f>SUM(AC8:AF8)</f>
        <v>830.02520716923391</v>
      </c>
      <c r="AH8" s="755">
        <v>195.21339886171498</v>
      </c>
      <c r="AI8" s="755">
        <v>191.34748068616182</v>
      </c>
      <c r="AJ8" s="755">
        <v>195.23480035207626</v>
      </c>
      <c r="AK8" s="755">
        <v>217.35672381996829</v>
      </c>
      <c r="AL8" s="757">
        <f>SUM(AH8:AK8)</f>
        <v>799.15240371992127</v>
      </c>
      <c r="AM8" s="755">
        <v>187.71100905942814</v>
      </c>
      <c r="AN8" s="755">
        <v>184.44460693933567</v>
      </c>
      <c r="AO8" s="755">
        <v>188.68074092203281</v>
      </c>
      <c r="AP8" s="755">
        <v>210.5437064627628</v>
      </c>
      <c r="AQ8" s="757">
        <f>SUM(AM8:AP8)</f>
        <v>771.38006338355933</v>
      </c>
      <c r="AR8" s="755">
        <v>182.37190722043368</v>
      </c>
      <c r="AS8" s="755">
        <v>179.06722223312929</v>
      </c>
      <c r="AT8" s="755">
        <v>183.15372786001774</v>
      </c>
      <c r="AU8" s="755">
        <v>204.35793314838131</v>
      </c>
      <c r="AV8" s="757">
        <f>SUM(AR8:AU8)</f>
        <v>748.95079046196201</v>
      </c>
      <c r="AW8" s="755">
        <v>177.00294041494519</v>
      </c>
      <c r="AX8" s="755">
        <v>177.35209144767452</v>
      </c>
      <c r="AY8" s="755">
        <v>181.38995778496462</v>
      </c>
      <c r="AZ8" s="755">
        <v>202.38738307381965</v>
      </c>
      <c r="BA8" s="757">
        <f>SUM(AW8:AZ8)</f>
        <v>738.13237272140395</v>
      </c>
      <c r="BB8" s="755">
        <v>175.46363714344531</v>
      </c>
      <c r="BC8" s="755">
        <v>176.00629679312382</v>
      </c>
      <c r="BD8" s="755">
        <v>180.22397744642461</v>
      </c>
      <c r="BE8" s="755">
        <v>201.31624751245928</v>
      </c>
      <c r="BF8" s="757">
        <f>SUM(BB8:BE8)</f>
        <v>733.01015889545306</v>
      </c>
      <c r="BG8" s="755">
        <v>174.62868018203031</v>
      </c>
      <c r="BH8" s="755">
        <v>175.08302405839152</v>
      </c>
      <c r="BI8" s="755">
        <v>179.30935168029663</v>
      </c>
      <c r="BJ8" s="755">
        <v>200.28017431928905</v>
      </c>
      <c r="BK8" s="757">
        <f>SUM(BG8:BJ8)</f>
        <v>729.3012302400075</v>
      </c>
      <c r="BL8" s="755">
        <v>173.72955982474087</v>
      </c>
      <c r="BM8" s="755">
        <v>174.18364193923546</v>
      </c>
      <c r="BN8" s="755">
        <v>178.38583685291806</v>
      </c>
      <c r="BO8" s="755">
        <v>199.24782848230208</v>
      </c>
      <c r="BP8" s="757">
        <f>SUM(BL8:BO8)</f>
        <v>725.54686709919645</v>
      </c>
      <c r="BQ8" s="755">
        <v>172.83250220109625</v>
      </c>
      <c r="BR8" s="755">
        <v>173.28349178129548</v>
      </c>
      <c r="BS8" s="755">
        <v>177.46260779229891</v>
      </c>
      <c r="BT8" s="755">
        <v>198.21536281775758</v>
      </c>
      <c r="BU8" s="757">
        <f>SUM(BQ8:BT8)</f>
        <v>721.79396459244822</v>
      </c>
      <c r="BV8" s="751"/>
    </row>
    <row r="9" spans="1:74" ht="17.25" customHeight="1">
      <c r="B9" s="751"/>
      <c r="C9" s="758" t="s">
        <v>663</v>
      </c>
      <c r="D9" s="755">
        <v>270</v>
      </c>
      <c r="E9" s="755">
        <v>292</v>
      </c>
      <c r="F9" s="755">
        <v>264</v>
      </c>
      <c r="G9" s="755">
        <v>270</v>
      </c>
      <c r="H9" s="806">
        <f t="shared" ref="H9:H10" si="17">SUM(D9:G9)</f>
        <v>1096</v>
      </c>
      <c r="I9" s="755">
        <v>244</v>
      </c>
      <c r="J9" s="755">
        <v>239.62516396435669</v>
      </c>
      <c r="K9" s="755">
        <v>241.34171344888384</v>
      </c>
      <c r="L9" s="755">
        <v>265.19268126436998</v>
      </c>
      <c r="M9" s="757">
        <f t="shared" ref="M9:M10" si="18">SUM(I9:L9)</f>
        <v>990.15955867761056</v>
      </c>
      <c r="N9" s="755">
        <v>251.31041344527634</v>
      </c>
      <c r="O9" s="755">
        <v>237.26208314561669</v>
      </c>
      <c r="P9" s="755">
        <v>230.0099301385203</v>
      </c>
      <c r="Q9" s="755">
        <v>244.38811264935634</v>
      </c>
      <c r="R9" s="757">
        <f t="shared" ref="R9:R10" si="19">SUM(N9:Q9)</f>
        <v>962.97053937876967</v>
      </c>
      <c r="S9" s="755">
        <v>231.29593393896175</v>
      </c>
      <c r="T9" s="755">
        <v>221.3074519175502</v>
      </c>
      <c r="U9" s="755">
        <v>217.91045897750485</v>
      </c>
      <c r="V9" s="755">
        <v>234.9040255090529</v>
      </c>
      <c r="W9" s="757">
        <f t="shared" ref="W9:W10" si="20">SUM(S9:V9)</f>
        <v>905.41787034306969</v>
      </c>
      <c r="X9" s="755">
        <v>199.98806905322544</v>
      </c>
      <c r="Y9" s="755">
        <v>198.92705843287686</v>
      </c>
      <c r="Z9" s="755">
        <v>202.270195061198</v>
      </c>
      <c r="AA9" s="755">
        <v>225.8217040253885</v>
      </c>
      <c r="AB9" s="757">
        <f>SUM(X9:AA9)</f>
        <v>827.0070265726888</v>
      </c>
      <c r="AC9" s="755">
        <v>195.1474103954489</v>
      </c>
      <c r="AD9" s="755">
        <v>191.26439824327332</v>
      </c>
      <c r="AE9" s="755">
        <v>195.23292658426217</v>
      </c>
      <c r="AF9" s="755">
        <v>217.43201263809274</v>
      </c>
      <c r="AG9" s="757">
        <f t="shared" ref="AG9:AG10" si="21">SUM(AC9:AF9)</f>
        <v>799.07674786107714</v>
      </c>
      <c r="AH9" s="755">
        <v>187.69428214390641</v>
      </c>
      <c r="AI9" s="755">
        <v>184.01959219940954</v>
      </c>
      <c r="AJ9" s="755">
        <v>187.587171936072</v>
      </c>
      <c r="AK9" s="755">
        <v>208.81797606940279</v>
      </c>
      <c r="AL9" s="757">
        <f t="shared" ref="AL9:AL10" si="22">SUM(AH9:AK9)</f>
        <v>768.11902234879074</v>
      </c>
      <c r="AM9" s="755">
        <v>180.16648663580233</v>
      </c>
      <c r="AN9" s="755">
        <v>177.14248470145475</v>
      </c>
      <c r="AO9" s="755">
        <v>181.11325024447527</v>
      </c>
      <c r="AP9" s="755">
        <v>202.20873835884024</v>
      </c>
      <c r="AQ9" s="757">
        <f t="shared" ref="AQ9:AQ10" si="23">SUM(AM9:AP9)</f>
        <v>740.63095994057255</v>
      </c>
      <c r="AR9" s="755">
        <v>175.13466356048124</v>
      </c>
      <c r="AS9" s="755">
        <v>172.02819193181912</v>
      </c>
      <c r="AT9" s="755">
        <v>175.93338233404995</v>
      </c>
      <c r="AU9" s="755">
        <v>196.36646770449832</v>
      </c>
      <c r="AV9" s="757">
        <f t="shared" ref="AV9:AV10" si="24">SUM(AR9:AU9)</f>
        <v>719.46270553084855</v>
      </c>
      <c r="AW9" s="755">
        <v>170.07863621515105</v>
      </c>
      <c r="AX9" s="755">
        <v>170.48106177840035</v>
      </c>
      <c r="AY9" s="755">
        <v>174.34057221913372</v>
      </c>
      <c r="AZ9" s="755">
        <v>194.5885831161238</v>
      </c>
      <c r="BA9" s="757">
        <f t="shared" ref="BA9:BA10" si="25">SUM(AW9:AZ9)</f>
        <v>709.48885332880889</v>
      </c>
      <c r="BB9" s="755">
        <v>168.70008192718976</v>
      </c>
      <c r="BC9" s="755">
        <v>169.28344038260281</v>
      </c>
      <c r="BD9" s="755">
        <v>173.31784193143588</v>
      </c>
      <c r="BE9" s="755">
        <v>193.66363344431119</v>
      </c>
      <c r="BF9" s="757">
        <f t="shared" ref="BF9" si="26">SUM(BB9:BE9)</f>
        <v>704.96499768553963</v>
      </c>
      <c r="BG9" s="755">
        <v>167.99661058388813</v>
      </c>
      <c r="BH9" s="755">
        <v>168.47217577178</v>
      </c>
      <c r="BI9" s="755">
        <v>172.54080254794167</v>
      </c>
      <c r="BJ9" s="755">
        <v>192.76357395482063</v>
      </c>
      <c r="BK9" s="757">
        <f t="shared" ref="BK9:BK10" si="27">SUM(BG9:BJ9)</f>
        <v>701.7731628584304</v>
      </c>
      <c r="BL9" s="755">
        <v>167.22146641743993</v>
      </c>
      <c r="BM9" s="755">
        <v>167.69782633864688</v>
      </c>
      <c r="BN9" s="755">
        <v>171.74480040237972</v>
      </c>
      <c r="BO9" s="755">
        <v>191.87440036219016</v>
      </c>
      <c r="BP9" s="757">
        <f t="shared" ref="BP9:BP10" si="28">SUM(BL9:BO9)</f>
        <v>698.53849352065663</v>
      </c>
      <c r="BQ9" s="755">
        <v>166.44862707256075</v>
      </c>
      <c r="BR9" s="755">
        <v>166.92228980426631</v>
      </c>
      <c r="BS9" s="755">
        <v>170.94940805256883</v>
      </c>
      <c r="BT9" s="755">
        <v>190.98487670591243</v>
      </c>
      <c r="BU9" s="757">
        <f t="shared" ref="BU9:BU10" si="29">SUM(BQ9:BT9)</f>
        <v>695.30520163530832</v>
      </c>
      <c r="BV9" s="751"/>
    </row>
    <row r="10" spans="1:74" ht="17.25" customHeight="1" thickBot="1">
      <c r="C10" s="758" t="s">
        <v>664</v>
      </c>
      <c r="D10" s="755">
        <v>270</v>
      </c>
      <c r="E10" s="755">
        <v>292</v>
      </c>
      <c r="F10" s="755">
        <v>264</v>
      </c>
      <c r="G10" s="755">
        <v>299.15148261699687</v>
      </c>
      <c r="H10" s="806">
        <f t="shared" si="17"/>
        <v>1125.1514826169969</v>
      </c>
      <c r="I10" s="755">
        <v>244</v>
      </c>
      <c r="J10" s="755">
        <v>246.17722644406001</v>
      </c>
      <c r="K10" s="755">
        <v>247.15282404300476</v>
      </c>
      <c r="L10" s="755">
        <v>270.74922377369791</v>
      </c>
      <c r="M10" s="757">
        <f t="shared" si="18"/>
        <v>1008.0792742607628</v>
      </c>
      <c r="N10" s="755">
        <v>254.27401692690771</v>
      </c>
      <c r="O10" s="755">
        <v>237.6073590285917</v>
      </c>
      <c r="P10" s="755">
        <v>228.23097831685283</v>
      </c>
      <c r="Q10" s="755">
        <v>240.50301879553734</v>
      </c>
      <c r="R10" s="757">
        <f t="shared" si="19"/>
        <v>960.61537306788955</v>
      </c>
      <c r="S10" s="755">
        <v>225.90804252553704</v>
      </c>
      <c r="T10" s="755">
        <v>216.57696690930922</v>
      </c>
      <c r="U10" s="755">
        <v>212.33059317519238</v>
      </c>
      <c r="V10" s="755">
        <v>228.46342587150508</v>
      </c>
      <c r="W10" s="757">
        <f t="shared" si="20"/>
        <v>883.27902848154372</v>
      </c>
      <c r="X10" s="755">
        <v>193.83066288975738</v>
      </c>
      <c r="Y10" s="755">
        <v>193.65317379329505</v>
      </c>
      <c r="Z10" s="755">
        <v>195.97169947234056</v>
      </c>
      <c r="AA10" s="755">
        <v>219.20657467044182</v>
      </c>
      <c r="AB10" s="757">
        <f>SUM(X10:AA10)</f>
        <v>802.66211082583482</v>
      </c>
      <c r="AC10" s="755">
        <v>189.08868102192699</v>
      </c>
      <c r="AD10" s="755">
        <v>185.36327541789481</v>
      </c>
      <c r="AE10" s="755">
        <v>189.02704800334456</v>
      </c>
      <c r="AF10" s="755">
        <v>210.49485211587418</v>
      </c>
      <c r="AG10" s="757">
        <f t="shared" si="21"/>
        <v>773.97385655904054</v>
      </c>
      <c r="AH10" s="755">
        <v>181.50770682917261</v>
      </c>
      <c r="AI10" s="755">
        <v>178.04057900096174</v>
      </c>
      <c r="AJ10" s="755">
        <v>181.23097439352171</v>
      </c>
      <c r="AK10" s="755">
        <v>201.79343568043575</v>
      </c>
      <c r="AL10" s="757">
        <f t="shared" si="22"/>
        <v>742.5726959040918</v>
      </c>
      <c r="AM10" s="755">
        <v>173.86324683366308</v>
      </c>
      <c r="AN10" s="755">
        <v>171.1199971947552</v>
      </c>
      <c r="AO10" s="755">
        <v>174.76745917425109</v>
      </c>
      <c r="AP10" s="755">
        <v>195.38689550178108</v>
      </c>
      <c r="AQ10" s="757">
        <f t="shared" si="23"/>
        <v>715.13759870445051</v>
      </c>
      <c r="AR10" s="755">
        <v>169.18060903366896</v>
      </c>
      <c r="AS10" s="755">
        <v>166.26907033798761</v>
      </c>
      <c r="AT10" s="755">
        <v>170.02532478901961</v>
      </c>
      <c r="AU10" s="755">
        <v>189.89550587829331</v>
      </c>
      <c r="AV10" s="757">
        <f t="shared" si="24"/>
        <v>695.37051003896943</v>
      </c>
      <c r="AW10" s="755">
        <v>164.48526410642384</v>
      </c>
      <c r="AX10" s="755">
        <v>164.95697081737154</v>
      </c>
      <c r="AY10" s="755">
        <v>168.67672300950443</v>
      </c>
      <c r="AZ10" s="755">
        <v>188.38948065480628</v>
      </c>
      <c r="BA10" s="757">
        <f t="shared" si="25"/>
        <v>686.50843858810606</v>
      </c>
      <c r="BB10" s="755">
        <v>163.33610749473729</v>
      </c>
      <c r="BC10" s="755">
        <v>163.97521696553389</v>
      </c>
      <c r="BD10" s="755">
        <v>167.86733685520895</v>
      </c>
      <c r="BE10" s="755">
        <v>187.68624640950435</v>
      </c>
      <c r="BF10" s="757">
        <f>SUM(BB10:BE10)</f>
        <v>682.8649077249845</v>
      </c>
      <c r="BG10" s="755">
        <v>162.83136217815954</v>
      </c>
      <c r="BH10" s="755">
        <v>163.33801625254918</v>
      </c>
      <c r="BI10" s="755">
        <v>167.30512944062676</v>
      </c>
      <c r="BJ10" s="755">
        <v>186.98856201888921</v>
      </c>
      <c r="BK10" s="757">
        <f t="shared" si="27"/>
        <v>680.46306989022469</v>
      </c>
      <c r="BL10" s="755">
        <v>162.24734571737264</v>
      </c>
      <c r="BM10" s="755">
        <v>162.75556827799349</v>
      </c>
      <c r="BN10" s="755">
        <v>166.7052643606672</v>
      </c>
      <c r="BO10" s="755">
        <v>186.31958839863773</v>
      </c>
      <c r="BP10" s="757">
        <f t="shared" si="28"/>
        <v>678.02776675467112</v>
      </c>
      <c r="BQ10" s="755">
        <v>161.66546572077181</v>
      </c>
      <c r="BR10" s="755">
        <v>162.1716446433359</v>
      </c>
      <c r="BS10" s="755">
        <v>166.10641420554825</v>
      </c>
      <c r="BT10" s="755">
        <v>185.64984098442574</v>
      </c>
      <c r="BU10" s="757">
        <f t="shared" si="29"/>
        <v>675.59336555408174</v>
      </c>
      <c r="BV10" s="751"/>
    </row>
    <row r="11" spans="1:74" ht="17.25" customHeight="1" thickBot="1">
      <c r="C11" s="762" t="s">
        <v>35</v>
      </c>
      <c r="D11" s="763">
        <f t="shared" ref="D11:AG11" si="30">CHOOSE($B$59,D8,D9,D10)</f>
        <v>270</v>
      </c>
      <c r="E11" s="763">
        <f t="shared" si="30"/>
        <v>292</v>
      </c>
      <c r="F11" s="763">
        <f t="shared" si="30"/>
        <v>264</v>
      </c>
      <c r="G11" s="763">
        <f t="shared" si="30"/>
        <v>270</v>
      </c>
      <c r="H11" s="763">
        <f t="shared" si="30"/>
        <v>1096</v>
      </c>
      <c r="I11" s="763">
        <f t="shared" si="30"/>
        <v>244</v>
      </c>
      <c r="J11" s="763">
        <f t="shared" si="30"/>
        <v>239.62516396435669</v>
      </c>
      <c r="K11" s="763">
        <f t="shared" si="30"/>
        <v>241.34171344888384</v>
      </c>
      <c r="L11" s="763">
        <f t="shared" si="30"/>
        <v>265.19268126436998</v>
      </c>
      <c r="M11" s="763">
        <f t="shared" si="30"/>
        <v>990.15955867761056</v>
      </c>
      <c r="N11" s="763">
        <f t="shared" si="30"/>
        <v>251.31041344527634</v>
      </c>
      <c r="O11" s="763">
        <f t="shared" si="30"/>
        <v>237.26208314561669</v>
      </c>
      <c r="P11" s="763">
        <f t="shared" si="30"/>
        <v>230.0099301385203</v>
      </c>
      <c r="Q11" s="763">
        <f t="shared" si="30"/>
        <v>244.38811264935634</v>
      </c>
      <c r="R11" s="763">
        <f t="shared" si="30"/>
        <v>962.97053937876967</v>
      </c>
      <c r="S11" s="763">
        <f t="shared" si="30"/>
        <v>231.29593393896175</v>
      </c>
      <c r="T11" s="763">
        <f t="shared" si="30"/>
        <v>221.3074519175502</v>
      </c>
      <c r="U11" s="763">
        <f t="shared" si="30"/>
        <v>217.91045897750485</v>
      </c>
      <c r="V11" s="763">
        <f t="shared" si="30"/>
        <v>234.9040255090529</v>
      </c>
      <c r="W11" s="763">
        <f t="shared" si="30"/>
        <v>905.41787034306969</v>
      </c>
      <c r="X11" s="763">
        <f t="shared" si="30"/>
        <v>199.98806905322544</v>
      </c>
      <c r="Y11" s="763">
        <f t="shared" si="30"/>
        <v>198.92705843287686</v>
      </c>
      <c r="Z11" s="763">
        <f t="shared" si="30"/>
        <v>202.270195061198</v>
      </c>
      <c r="AA11" s="763">
        <f t="shared" si="30"/>
        <v>225.8217040253885</v>
      </c>
      <c r="AB11" s="763">
        <f t="shared" si="30"/>
        <v>827.0070265726888</v>
      </c>
      <c r="AC11" s="763">
        <f t="shared" si="30"/>
        <v>195.1474103954489</v>
      </c>
      <c r="AD11" s="763">
        <f t="shared" si="30"/>
        <v>191.26439824327332</v>
      </c>
      <c r="AE11" s="763">
        <f t="shared" si="30"/>
        <v>195.23292658426217</v>
      </c>
      <c r="AF11" s="763">
        <f t="shared" si="30"/>
        <v>217.43201263809274</v>
      </c>
      <c r="AG11" s="763">
        <f t="shared" si="30"/>
        <v>799.07674786107714</v>
      </c>
      <c r="AH11" s="763">
        <f t="shared" ref="AH11:BM11" si="31">CHOOSE($B$59,AH8,AH9,AH10)</f>
        <v>187.69428214390641</v>
      </c>
      <c r="AI11" s="763">
        <f t="shared" si="31"/>
        <v>184.01959219940954</v>
      </c>
      <c r="AJ11" s="763">
        <f t="shared" si="31"/>
        <v>187.587171936072</v>
      </c>
      <c r="AK11" s="763">
        <f t="shared" si="31"/>
        <v>208.81797606940279</v>
      </c>
      <c r="AL11" s="763">
        <f t="shared" si="31"/>
        <v>768.11902234879074</v>
      </c>
      <c r="AM11" s="763">
        <f t="shared" si="31"/>
        <v>180.16648663580233</v>
      </c>
      <c r="AN11" s="763">
        <f t="shared" si="31"/>
        <v>177.14248470145475</v>
      </c>
      <c r="AO11" s="763">
        <f t="shared" si="31"/>
        <v>181.11325024447527</v>
      </c>
      <c r="AP11" s="763">
        <f t="shared" si="31"/>
        <v>202.20873835884024</v>
      </c>
      <c r="AQ11" s="763">
        <f t="shared" si="31"/>
        <v>740.63095994057255</v>
      </c>
      <c r="AR11" s="763">
        <f t="shared" si="31"/>
        <v>175.13466356048124</v>
      </c>
      <c r="AS11" s="763">
        <f t="shared" si="31"/>
        <v>172.02819193181912</v>
      </c>
      <c r="AT11" s="763">
        <f t="shared" si="31"/>
        <v>175.93338233404995</v>
      </c>
      <c r="AU11" s="763">
        <f t="shared" si="31"/>
        <v>196.36646770449832</v>
      </c>
      <c r="AV11" s="763">
        <f t="shared" si="31"/>
        <v>719.46270553084855</v>
      </c>
      <c r="AW11" s="763">
        <f t="shared" si="31"/>
        <v>170.07863621515105</v>
      </c>
      <c r="AX11" s="763">
        <f t="shared" si="31"/>
        <v>170.48106177840035</v>
      </c>
      <c r="AY11" s="763">
        <f t="shared" si="31"/>
        <v>174.34057221913372</v>
      </c>
      <c r="AZ11" s="763">
        <f t="shared" si="31"/>
        <v>194.5885831161238</v>
      </c>
      <c r="BA11" s="763">
        <f t="shared" si="31"/>
        <v>709.48885332880889</v>
      </c>
      <c r="BB11" s="763">
        <f t="shared" si="31"/>
        <v>168.70008192718976</v>
      </c>
      <c r="BC11" s="763">
        <f t="shared" si="31"/>
        <v>169.28344038260281</v>
      </c>
      <c r="BD11" s="763">
        <f t="shared" si="31"/>
        <v>173.31784193143588</v>
      </c>
      <c r="BE11" s="763">
        <f t="shared" si="31"/>
        <v>193.66363344431119</v>
      </c>
      <c r="BF11" s="763">
        <f t="shared" si="31"/>
        <v>704.96499768553963</v>
      </c>
      <c r="BG11" s="763">
        <f t="shared" si="31"/>
        <v>167.99661058388813</v>
      </c>
      <c r="BH11" s="763">
        <f t="shared" si="31"/>
        <v>168.47217577178</v>
      </c>
      <c r="BI11" s="763">
        <f t="shared" si="31"/>
        <v>172.54080254794167</v>
      </c>
      <c r="BJ11" s="763">
        <f t="shared" si="31"/>
        <v>192.76357395482063</v>
      </c>
      <c r="BK11" s="763">
        <f t="shared" si="31"/>
        <v>701.7731628584304</v>
      </c>
      <c r="BL11" s="763">
        <f t="shared" si="31"/>
        <v>167.22146641743993</v>
      </c>
      <c r="BM11" s="763">
        <f t="shared" si="31"/>
        <v>167.69782633864688</v>
      </c>
      <c r="BN11" s="763">
        <f t="shared" ref="BN11:BU11" si="32">CHOOSE($B$59,BN8,BN9,BN10)</f>
        <v>171.74480040237972</v>
      </c>
      <c r="BO11" s="763">
        <f t="shared" si="32"/>
        <v>191.87440036219016</v>
      </c>
      <c r="BP11" s="763">
        <f t="shared" si="32"/>
        <v>698.53849352065663</v>
      </c>
      <c r="BQ11" s="763">
        <f t="shared" si="32"/>
        <v>166.44862707256075</v>
      </c>
      <c r="BR11" s="763">
        <f t="shared" si="32"/>
        <v>166.92228980426631</v>
      </c>
      <c r="BS11" s="763">
        <f t="shared" si="32"/>
        <v>170.94940805256883</v>
      </c>
      <c r="BT11" s="763">
        <f t="shared" si="32"/>
        <v>190.98487670591243</v>
      </c>
      <c r="BU11" s="764">
        <f t="shared" si="32"/>
        <v>695.30520163530832</v>
      </c>
    </row>
    <row r="12" spans="1:74" ht="17.25" customHeight="1">
      <c r="D12" s="755"/>
      <c r="E12" s="755"/>
      <c r="F12" s="755"/>
      <c r="G12" s="755"/>
      <c r="H12" s="757"/>
      <c r="I12" s="755"/>
      <c r="J12" s="755"/>
      <c r="K12" s="755"/>
      <c r="L12" s="755"/>
      <c r="M12" s="757"/>
      <c r="N12" s="755"/>
      <c r="O12" s="755"/>
      <c r="P12" s="755"/>
      <c r="Q12" s="755"/>
      <c r="R12" s="757"/>
      <c r="S12" s="755"/>
      <c r="T12" s="755"/>
      <c r="U12" s="755"/>
      <c r="V12" s="755"/>
      <c r="W12" s="757"/>
      <c r="X12" s="755"/>
      <c r="Y12" s="755"/>
      <c r="Z12" s="755"/>
      <c r="AA12" s="755"/>
      <c r="AB12" s="757"/>
      <c r="AC12" s="755"/>
      <c r="AD12" s="755"/>
      <c r="AE12" s="755"/>
      <c r="AF12" s="755"/>
      <c r="AG12" s="757"/>
      <c r="AH12" s="755"/>
      <c r="AI12" s="755"/>
      <c r="AJ12" s="755"/>
      <c r="AK12" s="755"/>
      <c r="AL12" s="757"/>
      <c r="AM12" s="755"/>
      <c r="AN12" s="755"/>
      <c r="AO12" s="755"/>
      <c r="AP12" s="755"/>
      <c r="AQ12" s="757"/>
      <c r="AR12" s="755"/>
      <c r="AS12" s="755"/>
      <c r="AT12" s="755"/>
      <c r="AU12" s="755"/>
      <c r="AV12" s="757"/>
      <c r="AW12" s="755"/>
      <c r="AX12" s="755"/>
      <c r="AY12" s="755"/>
      <c r="AZ12" s="755"/>
      <c r="BA12" s="757"/>
      <c r="BB12" s="755"/>
      <c r="BC12" s="755"/>
      <c r="BD12" s="755"/>
      <c r="BE12" s="755"/>
      <c r="BF12" s="757"/>
      <c r="BG12" s="755"/>
      <c r="BH12" s="755"/>
      <c r="BI12" s="755"/>
      <c r="BJ12" s="755"/>
      <c r="BK12" s="757"/>
      <c r="BL12" s="755"/>
      <c r="BM12" s="755"/>
      <c r="BN12" s="755"/>
      <c r="BO12" s="755"/>
      <c r="BP12" s="757"/>
      <c r="BQ12" s="755"/>
      <c r="BR12" s="755"/>
      <c r="BS12" s="755"/>
      <c r="BT12" s="755"/>
      <c r="BU12" s="757"/>
    </row>
    <row r="13" spans="1:74" ht="17.25" customHeight="1">
      <c r="A13" s="781" t="s">
        <v>591</v>
      </c>
      <c r="B13" s="793" t="s">
        <v>121</v>
      </c>
      <c r="C13" s="758" t="s">
        <v>662</v>
      </c>
      <c r="D13" s="755">
        <v>101</v>
      </c>
      <c r="E13" s="755">
        <v>90</v>
      </c>
      <c r="F13" s="755">
        <v>96</v>
      </c>
      <c r="G13" s="755">
        <v>89.325018203271014</v>
      </c>
      <c r="H13" s="806">
        <f>SUM(D13:G13)</f>
        <v>376.32501820327104</v>
      </c>
      <c r="I13" s="755">
        <v>65</v>
      </c>
      <c r="J13" s="755">
        <v>62.334680726653211</v>
      </c>
      <c r="K13" s="755">
        <v>56.630727581036744</v>
      </c>
      <c r="L13" s="755">
        <v>49.486860750443476</v>
      </c>
      <c r="M13" s="757">
        <f>SUM(I13:L13)</f>
        <v>233.45226905813342</v>
      </c>
      <c r="N13" s="755">
        <v>53.120532609790267</v>
      </c>
      <c r="O13" s="755">
        <v>50.438402044943615</v>
      </c>
      <c r="P13" s="755">
        <v>45.768366044398377</v>
      </c>
      <c r="Q13" s="755">
        <v>40.521446017308932</v>
      </c>
      <c r="R13" s="757">
        <f>SUM(N13:Q13)</f>
        <v>189.84874671644118</v>
      </c>
      <c r="S13" s="755">
        <v>44.424688776812182</v>
      </c>
      <c r="T13" s="755">
        <v>42.996653249065936</v>
      </c>
      <c r="U13" s="755">
        <v>39.81026692868182</v>
      </c>
      <c r="V13" s="755">
        <v>36.014355066940979</v>
      </c>
      <c r="W13" s="757">
        <f>SUM(S13:V13)</f>
        <v>163.24596402150092</v>
      </c>
      <c r="X13" s="755">
        <v>39.843336410113999</v>
      </c>
      <c r="Y13" s="755">
        <v>38.404461312564379</v>
      </c>
      <c r="Z13" s="755">
        <v>35.407164607162031</v>
      </c>
      <c r="AA13" s="755">
        <v>31.88785222391687</v>
      </c>
      <c r="AB13" s="757">
        <f>SUM(X13:AA13)</f>
        <v>145.54281455375727</v>
      </c>
      <c r="AC13" s="755">
        <v>35.363497701186397</v>
      </c>
      <c r="AD13" s="755">
        <v>34.268298455791935</v>
      </c>
      <c r="AE13" s="755">
        <v>30.953928883460467</v>
      </c>
      <c r="AF13" s="755">
        <v>28.039158228804173</v>
      </c>
      <c r="AG13" s="757">
        <f>SUM(AC13:AF13)</f>
        <v>128.62488326924299</v>
      </c>
      <c r="AH13" s="755">
        <v>31.134983679510064</v>
      </c>
      <c r="AI13" s="755">
        <v>30.147354460213371</v>
      </c>
      <c r="AJ13" s="755">
        <v>27.20978690766616</v>
      </c>
      <c r="AK13" s="755">
        <v>24.626990257717004</v>
      </c>
      <c r="AL13" s="757">
        <f>SUM(AH13:AK13)</f>
        <v>113.11911530510659</v>
      </c>
      <c r="AM13" s="755">
        <v>27.537115637523009</v>
      </c>
      <c r="AN13" s="755">
        <v>26.742239311075334</v>
      </c>
      <c r="AO13" s="755">
        <v>24.209710788308531</v>
      </c>
      <c r="AP13" s="755">
        <v>21.981028161746359</v>
      </c>
      <c r="AQ13" s="757">
        <f>SUM(AM13:AP13)</f>
        <v>100.47009389865323</v>
      </c>
      <c r="AR13" s="755">
        <v>24.660275399136587</v>
      </c>
      <c r="AS13" s="755">
        <v>24.024876762446105</v>
      </c>
      <c r="AT13" s="755">
        <v>21.820680987290082</v>
      </c>
      <c r="AU13" s="755">
        <v>19.878935680025695</v>
      </c>
      <c r="AV13" s="757">
        <f>SUM(AR13:AU13)</f>
        <v>90.384768828898459</v>
      </c>
      <c r="AW13" s="755">
        <v>22.732785939479221</v>
      </c>
      <c r="AX13" s="755">
        <v>22.236486519067924</v>
      </c>
      <c r="AY13" s="755">
        <v>20.279173516948273</v>
      </c>
      <c r="AZ13" s="755">
        <v>18.552503611595537</v>
      </c>
      <c r="BA13" s="757">
        <f>SUM(AW13:AZ13)</f>
        <v>83.800949587090955</v>
      </c>
      <c r="BB13" s="755">
        <v>21.242817476732988</v>
      </c>
      <c r="BC13" s="755">
        <v>20.777655314472465</v>
      </c>
      <c r="BD13" s="755">
        <v>18.448851596409504</v>
      </c>
      <c r="BE13" s="755">
        <v>16.876853763046114</v>
      </c>
      <c r="BF13" s="757">
        <f>SUM(BB13:BE13)</f>
        <v>77.346178150661075</v>
      </c>
      <c r="BG13" s="755">
        <v>19.322776687638669</v>
      </c>
      <c r="BH13" s="755">
        <v>18.898349803143144</v>
      </c>
      <c r="BI13" s="755">
        <v>16.779007612918718</v>
      </c>
      <c r="BJ13" s="755">
        <v>15.348193558963883</v>
      </c>
      <c r="BK13" s="757">
        <f>SUM(BG13:BJ13)</f>
        <v>70.348327662664417</v>
      </c>
      <c r="BL13" s="755">
        <v>17.571251168601879</v>
      </c>
      <c r="BM13" s="755">
        <v>17.184065807369301</v>
      </c>
      <c r="BN13" s="755">
        <v>15.255865436721745</v>
      </c>
      <c r="BO13" s="755">
        <v>13.953900083076849</v>
      </c>
      <c r="BP13" s="757">
        <f>SUM(BL13:BO13)</f>
        <v>63.965082495769778</v>
      </c>
      <c r="BQ13" s="755">
        <v>15.973763858552633</v>
      </c>
      <c r="BR13" s="755">
        <v>15.620621193318861</v>
      </c>
      <c r="BS13" s="755">
        <v>13.866812669131653</v>
      </c>
      <c r="BT13" s="755">
        <v>12.682417039803703</v>
      </c>
      <c r="BU13" s="757">
        <f>SUM(BQ13:BT13)</f>
        <v>58.143614760806848</v>
      </c>
      <c r="BV13" s="751"/>
    </row>
    <row r="14" spans="1:74" ht="17.25" customHeight="1">
      <c r="B14" s="751"/>
      <c r="C14" s="758" t="s">
        <v>663</v>
      </c>
      <c r="D14" s="755">
        <v>101</v>
      </c>
      <c r="E14" s="755">
        <v>90</v>
      </c>
      <c r="F14" s="755">
        <v>96</v>
      </c>
      <c r="G14" s="755">
        <v>82</v>
      </c>
      <c r="H14" s="806">
        <f t="shared" ref="H14:H15" si="33">SUM(D14:G14)</f>
        <v>369</v>
      </c>
      <c r="I14" s="755">
        <v>65</v>
      </c>
      <c r="J14" s="755">
        <v>62.334680726653211</v>
      </c>
      <c r="K14" s="755">
        <v>56.630727581036744</v>
      </c>
      <c r="L14" s="755">
        <v>49.486860750443476</v>
      </c>
      <c r="M14" s="757">
        <f t="shared" ref="M14:M15" si="34">SUM(I14:L14)</f>
        <v>233.45226905813342</v>
      </c>
      <c r="N14" s="755">
        <v>53.12053260979026</v>
      </c>
      <c r="O14" s="755">
        <v>50.438402044943615</v>
      </c>
      <c r="P14" s="755">
        <v>45.768366044398377</v>
      </c>
      <c r="Q14" s="755">
        <v>40.521446017308932</v>
      </c>
      <c r="R14" s="757">
        <f t="shared" ref="R14:R15" si="35">SUM(N14:Q14)</f>
        <v>189.84874671644118</v>
      </c>
      <c r="S14" s="755">
        <v>44.424688776812175</v>
      </c>
      <c r="T14" s="755">
        <v>42.996653249065936</v>
      </c>
      <c r="U14" s="755">
        <v>39.81026692868182</v>
      </c>
      <c r="V14" s="755">
        <v>36.014355066940979</v>
      </c>
      <c r="W14" s="757">
        <f t="shared" ref="W14:W15" si="36">SUM(S14:V14)</f>
        <v>163.24596402150092</v>
      </c>
      <c r="X14" s="755">
        <v>39.843336410114006</v>
      </c>
      <c r="Y14" s="755">
        <v>38.404461312564393</v>
      </c>
      <c r="Z14" s="755">
        <v>35.407164607162038</v>
      </c>
      <c r="AA14" s="755">
        <v>31.887852223916877</v>
      </c>
      <c r="AB14" s="757">
        <f t="shared" ref="AB14:AB15" si="37">SUM(X14:AA14)</f>
        <v>145.5428145537573</v>
      </c>
      <c r="AC14" s="755">
        <v>35.363497701186411</v>
      </c>
      <c r="AD14" s="755">
        <v>34.268298455791928</v>
      </c>
      <c r="AE14" s="755">
        <v>30.953928883460467</v>
      </c>
      <c r="AF14" s="755">
        <v>28.039158228804162</v>
      </c>
      <c r="AG14" s="757">
        <f t="shared" ref="AG14:AG15" si="38">SUM(AC14:AF14)</f>
        <v>128.62488326924296</v>
      </c>
      <c r="AH14" s="755">
        <v>31.134983679510064</v>
      </c>
      <c r="AI14" s="755">
        <v>30.147354460213375</v>
      </c>
      <c r="AJ14" s="755">
        <v>27.209786907666153</v>
      </c>
      <c r="AK14" s="755">
        <v>24.626990257717008</v>
      </c>
      <c r="AL14" s="757">
        <f t="shared" ref="AL14:AL15" si="39">SUM(AH14:AK14)</f>
        <v>113.1191153051066</v>
      </c>
      <c r="AM14" s="755">
        <v>27.537115637523005</v>
      </c>
      <c r="AN14" s="755">
        <v>26.74223931107533</v>
      </c>
      <c r="AO14" s="755">
        <v>24.209710788308531</v>
      </c>
      <c r="AP14" s="755">
        <v>21.981028161746355</v>
      </c>
      <c r="AQ14" s="757">
        <f t="shared" ref="AQ14:AQ15" si="40">SUM(AM14:AP14)</f>
        <v>100.47009389865322</v>
      </c>
      <c r="AR14" s="755">
        <v>24.660275399136594</v>
      </c>
      <c r="AS14" s="755">
        <v>24.024876762446102</v>
      </c>
      <c r="AT14" s="755">
        <v>21.820680987290082</v>
      </c>
      <c r="AU14" s="755">
        <v>19.878935680025695</v>
      </c>
      <c r="AV14" s="757">
        <f t="shared" ref="AV14:AV15" si="41">SUM(AR14:AU14)</f>
        <v>90.384768828898459</v>
      </c>
      <c r="AW14" s="755">
        <v>22.732785939479225</v>
      </c>
      <c r="AX14" s="755">
        <v>22.236486519067924</v>
      </c>
      <c r="AY14" s="755">
        <v>20.279173516948262</v>
      </c>
      <c r="AZ14" s="755">
        <v>18.55250361159554</v>
      </c>
      <c r="BA14" s="757">
        <f t="shared" ref="BA14:BA15" si="42">SUM(AW14:AZ14)</f>
        <v>83.800949587090955</v>
      </c>
      <c r="BB14" s="755">
        <v>21.242817476732988</v>
      </c>
      <c r="BC14" s="755">
        <v>20.777655314472476</v>
      </c>
      <c r="BD14" s="755">
        <v>18.448851596409504</v>
      </c>
      <c r="BE14" s="755">
        <v>16.87685376304611</v>
      </c>
      <c r="BF14" s="757">
        <f t="shared" ref="BF14:BF15" si="43">SUM(BB14:BE14)</f>
        <v>77.346178150661075</v>
      </c>
      <c r="BG14" s="755">
        <v>19.322776687638672</v>
      </c>
      <c r="BH14" s="755">
        <v>18.898349803143141</v>
      </c>
      <c r="BI14" s="755">
        <v>16.779007612918718</v>
      </c>
      <c r="BJ14" s="755">
        <v>15.348193558963883</v>
      </c>
      <c r="BK14" s="757">
        <f t="shared" ref="BK14:BK15" si="44">SUM(BG14:BJ14)</f>
        <v>70.348327662664417</v>
      </c>
      <c r="BL14" s="755">
        <v>17.571251168601879</v>
      </c>
      <c r="BM14" s="755">
        <v>17.184065807369301</v>
      </c>
      <c r="BN14" s="755">
        <v>15.255865436721749</v>
      </c>
      <c r="BO14" s="755">
        <v>13.953900083076849</v>
      </c>
      <c r="BP14" s="757">
        <f t="shared" ref="BP14:BP15" si="45">SUM(BL14:BO14)</f>
        <v>63.965082495769778</v>
      </c>
      <c r="BQ14" s="755">
        <v>15.973763858552635</v>
      </c>
      <c r="BR14" s="755">
        <v>15.620621193318861</v>
      </c>
      <c r="BS14" s="755">
        <v>13.86681266913166</v>
      </c>
      <c r="BT14" s="755">
        <v>12.682417039803701</v>
      </c>
      <c r="BU14" s="757">
        <f t="shared" ref="BU14:BU15" si="46">SUM(BQ14:BT14)</f>
        <v>58.143614760806862</v>
      </c>
      <c r="BV14" s="751"/>
    </row>
    <row r="15" spans="1:74" ht="17.25" customHeight="1" thickBot="1">
      <c r="C15" s="758" t="s">
        <v>664</v>
      </c>
      <c r="D15" s="755">
        <v>101</v>
      </c>
      <c r="E15" s="755">
        <v>90</v>
      </c>
      <c r="F15" s="755">
        <v>96</v>
      </c>
      <c r="G15" s="755">
        <v>89.325018203271014</v>
      </c>
      <c r="H15" s="806">
        <f t="shared" si="33"/>
        <v>376.32501820327104</v>
      </c>
      <c r="I15" s="755">
        <v>65</v>
      </c>
      <c r="J15" s="755">
        <v>62.334680726653211</v>
      </c>
      <c r="K15" s="755">
        <v>56.630727581036744</v>
      </c>
      <c r="L15" s="755">
        <v>49.486860750443483</v>
      </c>
      <c r="M15" s="757">
        <f t="shared" si="34"/>
        <v>233.45226905813342</v>
      </c>
      <c r="N15" s="755">
        <v>53.120532609790267</v>
      </c>
      <c r="O15" s="755">
        <v>50.438402044943601</v>
      </c>
      <c r="P15" s="755">
        <v>45.768366044398377</v>
      </c>
      <c r="Q15" s="755">
        <v>40.521446017308925</v>
      </c>
      <c r="R15" s="757">
        <f t="shared" si="35"/>
        <v>189.84874671644118</v>
      </c>
      <c r="S15" s="755">
        <v>44.424688776812182</v>
      </c>
      <c r="T15" s="755">
        <v>42.996653249065922</v>
      </c>
      <c r="U15" s="755">
        <v>39.81026692868182</v>
      </c>
      <c r="V15" s="755">
        <v>36.014355066940979</v>
      </c>
      <c r="W15" s="757">
        <f t="shared" si="36"/>
        <v>163.24596402150092</v>
      </c>
      <c r="X15" s="755">
        <v>39.843336410113999</v>
      </c>
      <c r="Y15" s="755">
        <v>38.404461312564379</v>
      </c>
      <c r="Z15" s="755">
        <v>35.407164607162024</v>
      </c>
      <c r="AA15" s="755">
        <v>31.88785222391687</v>
      </c>
      <c r="AB15" s="757">
        <f t="shared" si="37"/>
        <v>145.54281455375727</v>
      </c>
      <c r="AC15" s="755">
        <v>35.363497701186397</v>
      </c>
      <c r="AD15" s="755">
        <v>34.268298455791935</v>
      </c>
      <c r="AE15" s="755">
        <v>30.95392888346046</v>
      </c>
      <c r="AF15" s="755">
        <v>28.039158228804173</v>
      </c>
      <c r="AG15" s="757">
        <f t="shared" si="38"/>
        <v>128.62488326924299</v>
      </c>
      <c r="AH15" s="755">
        <v>31.134983679510057</v>
      </c>
      <c r="AI15" s="755">
        <v>30.147354460213375</v>
      </c>
      <c r="AJ15" s="755">
        <v>27.20978690766616</v>
      </c>
      <c r="AK15" s="755">
        <v>24.626990257717004</v>
      </c>
      <c r="AL15" s="757">
        <f t="shared" si="39"/>
        <v>113.11911530510659</v>
      </c>
      <c r="AM15" s="755">
        <v>27.537115637523005</v>
      </c>
      <c r="AN15" s="755">
        <v>26.742239311075323</v>
      </c>
      <c r="AO15" s="755">
        <v>24.209710788308531</v>
      </c>
      <c r="AP15" s="755">
        <v>21.981028161746362</v>
      </c>
      <c r="AQ15" s="757">
        <f t="shared" si="40"/>
        <v>100.47009389865322</v>
      </c>
      <c r="AR15" s="755">
        <v>24.660275399136587</v>
      </c>
      <c r="AS15" s="755">
        <v>24.024876762446102</v>
      </c>
      <c r="AT15" s="755">
        <v>21.820680987290082</v>
      </c>
      <c r="AU15" s="755">
        <v>19.878935680025702</v>
      </c>
      <c r="AV15" s="757">
        <f t="shared" si="41"/>
        <v>90.384768828898473</v>
      </c>
      <c r="AW15" s="755">
        <v>22.732785939479225</v>
      </c>
      <c r="AX15" s="755">
        <v>22.236486519067917</v>
      </c>
      <c r="AY15" s="755">
        <v>20.279173516948276</v>
      </c>
      <c r="AZ15" s="755">
        <v>18.55250361159554</v>
      </c>
      <c r="BA15" s="757">
        <f t="shared" si="42"/>
        <v>83.800949587090955</v>
      </c>
      <c r="BB15" s="755">
        <v>21.242817476732991</v>
      </c>
      <c r="BC15" s="755">
        <v>20.777655314472476</v>
      </c>
      <c r="BD15" s="755">
        <v>18.448851596409504</v>
      </c>
      <c r="BE15" s="755">
        <v>16.876853763046121</v>
      </c>
      <c r="BF15" s="757">
        <f t="shared" si="43"/>
        <v>77.346178150661089</v>
      </c>
      <c r="BG15" s="755">
        <v>19.322776687638672</v>
      </c>
      <c r="BH15" s="755">
        <v>18.898349803143144</v>
      </c>
      <c r="BI15" s="755">
        <v>16.779007612918711</v>
      </c>
      <c r="BJ15" s="755">
        <v>15.348193558963883</v>
      </c>
      <c r="BK15" s="757">
        <f t="shared" si="44"/>
        <v>70.348327662664403</v>
      </c>
      <c r="BL15" s="755">
        <v>17.571251168601879</v>
      </c>
      <c r="BM15" s="755">
        <v>17.184065807369304</v>
      </c>
      <c r="BN15" s="755">
        <v>15.255865436721745</v>
      </c>
      <c r="BO15" s="755">
        <v>13.953900083076849</v>
      </c>
      <c r="BP15" s="757">
        <f t="shared" si="45"/>
        <v>63.965082495769778</v>
      </c>
      <c r="BQ15" s="755">
        <v>15.97376385855263</v>
      </c>
      <c r="BR15" s="755">
        <v>15.620621193318861</v>
      </c>
      <c r="BS15" s="755">
        <v>13.866812669131654</v>
      </c>
      <c r="BT15" s="755">
        <v>12.682417039803703</v>
      </c>
      <c r="BU15" s="757">
        <f t="shared" si="46"/>
        <v>58.143614760806848</v>
      </c>
      <c r="BV15" s="751"/>
    </row>
    <row r="16" spans="1:74" ht="17.25" customHeight="1" thickBot="1">
      <c r="C16" s="762" t="s">
        <v>35</v>
      </c>
      <c r="D16" s="763">
        <f t="shared" ref="D16" si="47">CHOOSE($B$59,D13,D14,D15)</f>
        <v>101</v>
      </c>
      <c r="E16" s="763">
        <f t="shared" ref="E16" si="48">CHOOSE($B$59,E13,E14,E15)</f>
        <v>90</v>
      </c>
      <c r="F16" s="763">
        <f t="shared" ref="F16" si="49">CHOOSE($B$59,F13,F14,F15)</f>
        <v>96</v>
      </c>
      <c r="G16" s="763">
        <f t="shared" ref="G16" si="50">CHOOSE($B$59,G13,G14,G15)</f>
        <v>82</v>
      </c>
      <c r="H16" s="763">
        <f t="shared" ref="H16" si="51">CHOOSE($B$59,H13,H14,H15)</f>
        <v>369</v>
      </c>
      <c r="I16" s="763">
        <f t="shared" ref="I16" si="52">CHOOSE($B$59,I13,I14,I15)</f>
        <v>65</v>
      </c>
      <c r="J16" s="763">
        <f t="shared" ref="J16" si="53">CHOOSE($B$59,J13,J14,J15)</f>
        <v>62.334680726653211</v>
      </c>
      <c r="K16" s="763">
        <f t="shared" ref="K16" si="54">CHOOSE($B$59,K13,K14,K15)</f>
        <v>56.630727581036744</v>
      </c>
      <c r="L16" s="763">
        <f t="shared" ref="L16" si="55">CHOOSE($B$59,L13,L14,L15)</f>
        <v>49.486860750443476</v>
      </c>
      <c r="M16" s="763">
        <f t="shared" ref="M16" si="56">CHOOSE($B$59,M13,M14,M15)</f>
        <v>233.45226905813342</v>
      </c>
      <c r="N16" s="763">
        <f t="shared" ref="N16" si="57">CHOOSE($B$59,N13,N14,N15)</f>
        <v>53.12053260979026</v>
      </c>
      <c r="O16" s="763">
        <f t="shared" ref="O16" si="58">CHOOSE($B$59,O13,O14,O15)</f>
        <v>50.438402044943615</v>
      </c>
      <c r="P16" s="763">
        <f t="shared" ref="P16" si="59">CHOOSE($B$59,P13,P14,P15)</f>
        <v>45.768366044398377</v>
      </c>
      <c r="Q16" s="763">
        <f t="shared" ref="Q16" si="60">CHOOSE($B$59,Q13,Q14,Q15)</f>
        <v>40.521446017308932</v>
      </c>
      <c r="R16" s="763">
        <f t="shared" ref="R16" si="61">CHOOSE($B$59,R13,R14,R15)</f>
        <v>189.84874671644118</v>
      </c>
      <c r="S16" s="763">
        <f t="shared" ref="S16" si="62">CHOOSE($B$59,S13,S14,S15)</f>
        <v>44.424688776812175</v>
      </c>
      <c r="T16" s="763">
        <f t="shared" ref="T16" si="63">CHOOSE($B$59,T13,T14,T15)</f>
        <v>42.996653249065936</v>
      </c>
      <c r="U16" s="763">
        <f t="shared" ref="U16" si="64">CHOOSE($B$59,U13,U14,U15)</f>
        <v>39.81026692868182</v>
      </c>
      <c r="V16" s="763">
        <f t="shared" ref="V16" si="65">CHOOSE($B$59,V13,V14,V15)</f>
        <v>36.014355066940979</v>
      </c>
      <c r="W16" s="763">
        <f t="shared" ref="W16" si="66">CHOOSE($B$59,W13,W14,W15)</f>
        <v>163.24596402150092</v>
      </c>
      <c r="X16" s="763">
        <f t="shared" ref="X16" si="67">CHOOSE($B$59,X13,X14,X15)</f>
        <v>39.843336410114006</v>
      </c>
      <c r="Y16" s="763">
        <f t="shared" ref="Y16" si="68">CHOOSE($B$59,Y13,Y14,Y15)</f>
        <v>38.404461312564393</v>
      </c>
      <c r="Z16" s="763">
        <f t="shared" ref="Z16" si="69">CHOOSE($B$59,Z13,Z14,Z15)</f>
        <v>35.407164607162038</v>
      </c>
      <c r="AA16" s="763">
        <f t="shared" ref="AA16" si="70">CHOOSE($B$59,AA13,AA14,AA15)</f>
        <v>31.887852223916877</v>
      </c>
      <c r="AB16" s="763">
        <f t="shared" ref="AB16" si="71">CHOOSE($B$59,AB13,AB14,AB15)</f>
        <v>145.5428145537573</v>
      </c>
      <c r="AC16" s="763">
        <f t="shared" ref="AC16" si="72">CHOOSE($B$59,AC13,AC14,AC15)</f>
        <v>35.363497701186411</v>
      </c>
      <c r="AD16" s="763">
        <f t="shared" ref="AD16" si="73">CHOOSE($B$59,AD13,AD14,AD15)</f>
        <v>34.268298455791928</v>
      </c>
      <c r="AE16" s="763">
        <f t="shared" ref="AE16" si="74">CHOOSE($B$59,AE13,AE14,AE15)</f>
        <v>30.953928883460467</v>
      </c>
      <c r="AF16" s="763">
        <f t="shared" ref="AF16" si="75">CHOOSE($B$59,AF13,AF14,AF15)</f>
        <v>28.039158228804162</v>
      </c>
      <c r="AG16" s="763">
        <f t="shared" ref="AG16" si="76">CHOOSE($B$59,AG13,AG14,AG15)</f>
        <v>128.62488326924296</v>
      </c>
      <c r="AH16" s="763">
        <f t="shared" ref="AH16" si="77">CHOOSE($B$59,AH13,AH14,AH15)</f>
        <v>31.134983679510064</v>
      </c>
      <c r="AI16" s="763">
        <f t="shared" ref="AI16" si="78">CHOOSE($B$59,AI13,AI14,AI15)</f>
        <v>30.147354460213375</v>
      </c>
      <c r="AJ16" s="763">
        <f t="shared" ref="AJ16" si="79">CHOOSE($B$59,AJ13,AJ14,AJ15)</f>
        <v>27.209786907666153</v>
      </c>
      <c r="AK16" s="763">
        <f t="shared" ref="AK16" si="80">CHOOSE($B$59,AK13,AK14,AK15)</f>
        <v>24.626990257717008</v>
      </c>
      <c r="AL16" s="763">
        <f t="shared" ref="AL16" si="81">CHOOSE($B$59,AL13,AL14,AL15)</f>
        <v>113.1191153051066</v>
      </c>
      <c r="AM16" s="763">
        <f t="shared" ref="AM16" si="82">CHOOSE($B$59,AM13,AM14,AM15)</f>
        <v>27.537115637523005</v>
      </c>
      <c r="AN16" s="763">
        <f t="shared" ref="AN16" si="83">CHOOSE($B$59,AN13,AN14,AN15)</f>
        <v>26.74223931107533</v>
      </c>
      <c r="AO16" s="763">
        <f t="shared" ref="AO16" si="84">CHOOSE($B$59,AO13,AO14,AO15)</f>
        <v>24.209710788308531</v>
      </c>
      <c r="AP16" s="763">
        <f t="shared" ref="AP16" si="85">CHOOSE($B$59,AP13,AP14,AP15)</f>
        <v>21.981028161746355</v>
      </c>
      <c r="AQ16" s="763">
        <f t="shared" ref="AQ16" si="86">CHOOSE($B$59,AQ13,AQ14,AQ15)</f>
        <v>100.47009389865322</v>
      </c>
      <c r="AR16" s="763">
        <f t="shared" ref="AR16" si="87">CHOOSE($B$59,AR13,AR14,AR15)</f>
        <v>24.660275399136594</v>
      </c>
      <c r="AS16" s="763">
        <f t="shared" ref="AS16" si="88">CHOOSE($B$59,AS13,AS14,AS15)</f>
        <v>24.024876762446102</v>
      </c>
      <c r="AT16" s="763">
        <f t="shared" ref="AT16" si="89">CHOOSE($B$59,AT13,AT14,AT15)</f>
        <v>21.820680987290082</v>
      </c>
      <c r="AU16" s="763">
        <f t="shared" ref="AU16" si="90">CHOOSE($B$59,AU13,AU14,AU15)</f>
        <v>19.878935680025695</v>
      </c>
      <c r="AV16" s="763">
        <f t="shared" ref="AV16" si="91">CHOOSE($B$59,AV13,AV14,AV15)</f>
        <v>90.384768828898459</v>
      </c>
      <c r="AW16" s="763">
        <f t="shared" ref="AW16" si="92">CHOOSE($B$59,AW13,AW14,AW15)</f>
        <v>22.732785939479225</v>
      </c>
      <c r="AX16" s="763">
        <f t="shared" ref="AX16" si="93">CHOOSE($B$59,AX13,AX14,AX15)</f>
        <v>22.236486519067924</v>
      </c>
      <c r="AY16" s="763">
        <f t="shared" ref="AY16" si="94">CHOOSE($B$59,AY13,AY14,AY15)</f>
        <v>20.279173516948262</v>
      </c>
      <c r="AZ16" s="763">
        <f t="shared" ref="AZ16" si="95">CHOOSE($B$59,AZ13,AZ14,AZ15)</f>
        <v>18.55250361159554</v>
      </c>
      <c r="BA16" s="763">
        <f t="shared" ref="BA16" si="96">CHOOSE($B$59,BA13,BA14,BA15)</f>
        <v>83.800949587090955</v>
      </c>
      <c r="BB16" s="763">
        <f t="shared" ref="BB16" si="97">CHOOSE($B$59,BB13,BB14,BB15)</f>
        <v>21.242817476732988</v>
      </c>
      <c r="BC16" s="763">
        <f t="shared" ref="BC16" si="98">CHOOSE($B$59,BC13,BC14,BC15)</f>
        <v>20.777655314472476</v>
      </c>
      <c r="BD16" s="763">
        <f t="shared" ref="BD16" si="99">CHOOSE($B$59,BD13,BD14,BD15)</f>
        <v>18.448851596409504</v>
      </c>
      <c r="BE16" s="763">
        <f t="shared" ref="BE16" si="100">CHOOSE($B$59,BE13,BE14,BE15)</f>
        <v>16.87685376304611</v>
      </c>
      <c r="BF16" s="763">
        <f t="shared" ref="BF16" si="101">CHOOSE($B$59,BF13,BF14,BF15)</f>
        <v>77.346178150661075</v>
      </c>
      <c r="BG16" s="763">
        <f t="shared" ref="BG16" si="102">CHOOSE($B$59,BG13,BG14,BG15)</f>
        <v>19.322776687638672</v>
      </c>
      <c r="BH16" s="763">
        <f t="shared" ref="BH16" si="103">CHOOSE($B$59,BH13,BH14,BH15)</f>
        <v>18.898349803143141</v>
      </c>
      <c r="BI16" s="763">
        <f t="shared" ref="BI16" si="104">CHOOSE($B$59,BI13,BI14,BI15)</f>
        <v>16.779007612918718</v>
      </c>
      <c r="BJ16" s="763">
        <f t="shared" ref="BJ16" si="105">CHOOSE($B$59,BJ13,BJ14,BJ15)</f>
        <v>15.348193558963883</v>
      </c>
      <c r="BK16" s="763">
        <f t="shared" ref="BK16" si="106">CHOOSE($B$59,BK13,BK14,BK15)</f>
        <v>70.348327662664417</v>
      </c>
      <c r="BL16" s="763">
        <f t="shared" ref="BL16" si="107">CHOOSE($B$59,BL13,BL14,BL15)</f>
        <v>17.571251168601879</v>
      </c>
      <c r="BM16" s="763">
        <f t="shared" ref="BM16" si="108">CHOOSE($B$59,BM13,BM14,BM15)</f>
        <v>17.184065807369301</v>
      </c>
      <c r="BN16" s="763">
        <f t="shared" ref="BN16" si="109">CHOOSE($B$59,BN13,BN14,BN15)</f>
        <v>15.255865436721749</v>
      </c>
      <c r="BO16" s="763">
        <f t="shared" ref="BO16" si="110">CHOOSE($B$59,BO13,BO14,BO15)</f>
        <v>13.953900083076849</v>
      </c>
      <c r="BP16" s="763">
        <f t="shared" ref="BP16" si="111">CHOOSE($B$59,BP13,BP14,BP15)</f>
        <v>63.965082495769778</v>
      </c>
      <c r="BQ16" s="763">
        <f t="shared" ref="BQ16" si="112">CHOOSE($B$59,BQ13,BQ14,BQ15)</f>
        <v>15.973763858552635</v>
      </c>
      <c r="BR16" s="763">
        <f t="shared" ref="BR16" si="113">CHOOSE($B$59,BR13,BR14,BR15)</f>
        <v>15.620621193318861</v>
      </c>
      <c r="BS16" s="763">
        <f t="shared" ref="BS16" si="114">CHOOSE($B$59,BS13,BS14,BS15)</f>
        <v>13.86681266913166</v>
      </c>
      <c r="BT16" s="763">
        <f t="shared" ref="BT16" si="115">CHOOSE($B$59,BT13,BT14,BT15)</f>
        <v>12.682417039803701</v>
      </c>
      <c r="BU16" s="764">
        <f t="shared" ref="BU16" si="116">CHOOSE($B$59,BU13,BU14,BU15)</f>
        <v>58.143614760806862</v>
      </c>
    </row>
    <row r="17" spans="1:74" ht="17.25" customHeight="1">
      <c r="D17" s="755"/>
      <c r="E17" s="755"/>
      <c r="F17" s="755"/>
      <c r="G17" s="755"/>
      <c r="H17" s="757"/>
      <c r="I17" s="755"/>
      <c r="J17" s="755"/>
      <c r="K17" s="755"/>
      <c r="L17" s="755"/>
      <c r="M17" s="757"/>
      <c r="N17" s="755"/>
      <c r="O17" s="755"/>
      <c r="P17" s="755"/>
      <c r="Q17" s="755"/>
      <c r="R17" s="757"/>
      <c r="S17" s="755"/>
      <c r="T17" s="755"/>
      <c r="U17" s="755"/>
      <c r="V17" s="755"/>
      <c r="W17" s="757"/>
      <c r="X17" s="755"/>
      <c r="Y17" s="755"/>
      <c r="Z17" s="755"/>
      <c r="AA17" s="755"/>
      <c r="AB17" s="757"/>
      <c r="AC17" s="755"/>
      <c r="AD17" s="755"/>
      <c r="AE17" s="755"/>
      <c r="AF17" s="755"/>
      <c r="AG17" s="757"/>
      <c r="AH17" s="755"/>
      <c r="AI17" s="755"/>
      <c r="AJ17" s="755"/>
      <c r="AK17" s="755"/>
      <c r="AL17" s="757"/>
      <c r="AM17" s="755"/>
      <c r="AN17" s="755"/>
      <c r="AO17" s="755"/>
      <c r="AP17" s="755"/>
      <c r="AQ17" s="757"/>
      <c r="AR17" s="755"/>
      <c r="AS17" s="755"/>
      <c r="AT17" s="755"/>
      <c r="AU17" s="755"/>
      <c r="AV17" s="757"/>
      <c r="AW17" s="755"/>
      <c r="AX17" s="755"/>
      <c r="AY17" s="755"/>
      <c r="AZ17" s="755"/>
      <c r="BA17" s="757"/>
      <c r="BB17" s="755"/>
      <c r="BC17" s="755"/>
      <c r="BD17" s="755"/>
      <c r="BE17" s="755"/>
      <c r="BF17" s="757"/>
      <c r="BG17" s="755"/>
      <c r="BH17" s="755"/>
      <c r="BI17" s="755"/>
      <c r="BJ17" s="755"/>
      <c r="BK17" s="757"/>
      <c r="BL17" s="755"/>
      <c r="BM17" s="755"/>
      <c r="BN17" s="755"/>
      <c r="BO17" s="755"/>
      <c r="BP17" s="757"/>
      <c r="BQ17" s="755"/>
      <c r="BR17" s="755"/>
      <c r="BS17" s="755"/>
      <c r="BT17" s="755"/>
      <c r="BU17" s="757"/>
    </row>
    <row r="18" spans="1:74" ht="17.25" customHeight="1">
      <c r="A18" s="781" t="s">
        <v>591</v>
      </c>
      <c r="B18" s="756" t="s">
        <v>122</v>
      </c>
      <c r="C18" s="758" t="s">
        <v>662</v>
      </c>
      <c r="D18" s="755">
        <v>1048</v>
      </c>
      <c r="E18" s="755">
        <v>937</v>
      </c>
      <c r="F18" s="755">
        <v>977</v>
      </c>
      <c r="G18" s="755">
        <v>938.47088038225945</v>
      </c>
      <c r="H18" s="806">
        <f>SUM(D18:G18)</f>
        <v>3900.4708803822596</v>
      </c>
      <c r="I18" s="755">
        <v>1009</v>
      </c>
      <c r="J18" s="755">
        <v>948.91443371843138</v>
      </c>
      <c r="K18" s="755">
        <v>957.48476481675777</v>
      </c>
      <c r="L18" s="755">
        <v>885.43427897949584</v>
      </c>
      <c r="M18" s="757">
        <f>SUM(I18:L18)</f>
        <v>3800.833477514685</v>
      </c>
      <c r="N18" s="755">
        <v>1022.2996159660742</v>
      </c>
      <c r="O18" s="755">
        <v>999.34186670741872</v>
      </c>
      <c r="P18" s="755">
        <v>996.46535374946507</v>
      </c>
      <c r="Q18" s="755">
        <v>913.90609076052988</v>
      </c>
      <c r="R18" s="757">
        <f>SUM(N18:Q18)</f>
        <v>3932.0129271834876</v>
      </c>
      <c r="S18" s="755">
        <v>1057.8644575005351</v>
      </c>
      <c r="T18" s="755">
        <v>1023.6706649703713</v>
      </c>
      <c r="U18" s="755">
        <v>990.33576055241008</v>
      </c>
      <c r="V18" s="755">
        <v>903.01023105298543</v>
      </c>
      <c r="W18" s="757">
        <f>SUM(S18:V18)</f>
        <v>3974.8811140763023</v>
      </c>
      <c r="X18" s="755">
        <v>1057.3851624656097</v>
      </c>
      <c r="Y18" s="755">
        <v>1011.0059108801915</v>
      </c>
      <c r="Z18" s="755">
        <v>958.78628559334106</v>
      </c>
      <c r="AA18" s="755">
        <v>872.909079192739</v>
      </c>
      <c r="AB18" s="757">
        <f>SUM(X18:AA18)</f>
        <v>3900.0864381318816</v>
      </c>
      <c r="AC18" s="755">
        <v>1033.2503840243287</v>
      </c>
      <c r="AD18" s="755">
        <v>974.40073343922916</v>
      </c>
      <c r="AE18" s="755">
        <v>904.19825113934019</v>
      </c>
      <c r="AF18" s="755">
        <v>821.82157018350108</v>
      </c>
      <c r="AG18" s="757">
        <f>SUM(AC18:AF18)</f>
        <v>3733.6709387863993</v>
      </c>
      <c r="AH18" s="755">
        <v>1001.4841241956622</v>
      </c>
      <c r="AI18" s="755">
        <v>941.11471260475412</v>
      </c>
      <c r="AJ18" s="755">
        <v>876.38225377122262</v>
      </c>
      <c r="AK18" s="755">
        <v>805.97565677667194</v>
      </c>
      <c r="AL18" s="757">
        <f>SUM(AH18:AK18)</f>
        <v>3624.9567473483112</v>
      </c>
      <c r="AM18" s="755">
        <v>994.71444037407082</v>
      </c>
      <c r="AN18" s="755">
        <v>932.74229599519651</v>
      </c>
      <c r="AO18" s="755">
        <v>867.08720065129376</v>
      </c>
      <c r="AP18" s="755">
        <v>797.42340681961832</v>
      </c>
      <c r="AQ18" s="757">
        <f>SUM(AM18:AP18)</f>
        <v>3591.9673438401792</v>
      </c>
      <c r="AR18" s="755">
        <v>987.92251313918314</v>
      </c>
      <c r="AS18" s="755">
        <v>924.40930107358929</v>
      </c>
      <c r="AT18" s="755">
        <v>857.87381311786442</v>
      </c>
      <c r="AU18" s="755">
        <v>788.9463798385018</v>
      </c>
      <c r="AV18" s="757">
        <f>SUM(AR18:AU18)</f>
        <v>3559.1520071691384</v>
      </c>
      <c r="AW18" s="755">
        <v>996.0513025099068</v>
      </c>
      <c r="AX18" s="755">
        <v>930.06744059190987</v>
      </c>
      <c r="AY18" s="755">
        <v>861.66673359420429</v>
      </c>
      <c r="AZ18" s="755">
        <v>792.43070395967936</v>
      </c>
      <c r="BA18" s="757">
        <f>SUM(AW18:AZ18)</f>
        <v>3580.2161806557001</v>
      </c>
      <c r="BB18" s="755">
        <v>1004.1800918806304</v>
      </c>
      <c r="BC18" s="755">
        <v>935.72558011023091</v>
      </c>
      <c r="BD18" s="755">
        <v>865.45965407054427</v>
      </c>
      <c r="BE18" s="755">
        <v>795.91502808085704</v>
      </c>
      <c r="BF18" s="757">
        <f>SUM(BB18:BE18)</f>
        <v>3601.2803541422627</v>
      </c>
      <c r="BG18" s="755">
        <v>1012.3088812513538</v>
      </c>
      <c r="BH18" s="755">
        <v>941.38371962855149</v>
      </c>
      <c r="BI18" s="755">
        <v>869.25257454688426</v>
      </c>
      <c r="BJ18" s="755">
        <v>799.39935220203461</v>
      </c>
      <c r="BK18" s="757">
        <f>SUM(BG18:BJ18)</f>
        <v>3622.3445276288239</v>
      </c>
      <c r="BL18" s="755">
        <v>1020.4376706220773</v>
      </c>
      <c r="BM18" s="755">
        <v>947.0418591468723</v>
      </c>
      <c r="BN18" s="755">
        <v>873.04549502322425</v>
      </c>
      <c r="BO18" s="755">
        <v>802.8836763232124</v>
      </c>
      <c r="BP18" s="757">
        <f>SUM(BL18:BO18)</f>
        <v>3643.4087011153865</v>
      </c>
      <c r="BQ18" s="755">
        <v>1028.5664599928009</v>
      </c>
      <c r="BR18" s="755">
        <v>952.69999866519333</v>
      </c>
      <c r="BS18" s="755">
        <v>876.83841549956412</v>
      </c>
      <c r="BT18" s="755">
        <v>806.36800044438996</v>
      </c>
      <c r="BU18" s="757">
        <f>SUM(BQ18:BT18)</f>
        <v>3664.4728746019482</v>
      </c>
      <c r="BV18" s="751"/>
    </row>
    <row r="19" spans="1:74" ht="17.25" customHeight="1">
      <c r="B19" s="751"/>
      <c r="C19" s="758" t="s">
        <v>663</v>
      </c>
      <c r="D19" s="755">
        <v>1048</v>
      </c>
      <c r="E19" s="755">
        <v>937</v>
      </c>
      <c r="F19" s="755">
        <v>977</v>
      </c>
      <c r="G19" s="755">
        <v>969</v>
      </c>
      <c r="H19" s="806">
        <f t="shared" ref="H19:H20" si="117">SUM(D19:G19)</f>
        <v>3931</v>
      </c>
      <c r="I19" s="755">
        <v>1009</v>
      </c>
      <c r="J19" s="755">
        <v>948.91443371843138</v>
      </c>
      <c r="K19" s="755">
        <v>911.23516264608509</v>
      </c>
      <c r="L19" s="755">
        <v>829.26622098721907</v>
      </c>
      <c r="M19" s="757">
        <f t="shared" ref="M19:M20" si="118">SUM(I19:L19)</f>
        <v>3698.4158173517358</v>
      </c>
      <c r="N19" s="755">
        <v>902.30821803573951</v>
      </c>
      <c r="O19" s="755">
        <v>876.65497150668023</v>
      </c>
      <c r="P19" s="755">
        <v>823.04202196767403</v>
      </c>
      <c r="Q19" s="755">
        <v>747.23757101006902</v>
      </c>
      <c r="R19" s="757">
        <f t="shared" ref="R19:R20" si="119">SUM(N19:Q19)</f>
        <v>3349.242782520163</v>
      </c>
      <c r="S19" s="755">
        <v>808.99260064023213</v>
      </c>
      <c r="T19" s="755">
        <v>776.6999531511949</v>
      </c>
      <c r="U19" s="755">
        <v>720.00450746049262</v>
      </c>
      <c r="V19" s="755">
        <v>644.7758881315508</v>
      </c>
      <c r="W19" s="757">
        <f t="shared" ref="W19:W20" si="120">SUM(S19:V19)</f>
        <v>2950.4729493834707</v>
      </c>
      <c r="X19" s="755">
        <v>696.05610883232532</v>
      </c>
      <c r="Y19" s="755">
        <v>664.89183317274205</v>
      </c>
      <c r="Z19" s="755">
        <v>613.02426837277767</v>
      </c>
      <c r="AA19" s="755">
        <v>545.74672352038726</v>
      </c>
      <c r="AB19" s="757">
        <f t="shared" ref="AB19:AB20" si="121">SUM(X19:AA19)</f>
        <v>2519.7189338982325</v>
      </c>
      <c r="AC19" s="755">
        <v>585.28523595190325</v>
      </c>
      <c r="AD19" s="755">
        <v>555.34145512260147</v>
      </c>
      <c r="AE19" s="755">
        <v>508.31112606587459</v>
      </c>
      <c r="AF19" s="755">
        <v>448.9145283143888</v>
      </c>
      <c r="AG19" s="757">
        <f t="shared" ref="AG19:AG20" si="122">SUM(AC19:AF19)</f>
        <v>2097.8523454547681</v>
      </c>
      <c r="AH19" s="755">
        <v>489.15753094651177</v>
      </c>
      <c r="AI19" s="755">
        <v>476.62351744382607</v>
      </c>
      <c r="AJ19" s="755">
        <v>448.94474652510689</v>
      </c>
      <c r="AK19" s="755">
        <v>409.1216367080645</v>
      </c>
      <c r="AL19" s="757">
        <f t="shared" ref="AL19:AL20" si="123">SUM(AH19:AK19)</f>
        <v>1823.8474316235092</v>
      </c>
      <c r="AM19" s="755">
        <v>452.68027503345951</v>
      </c>
      <c r="AN19" s="755">
        <v>441.10550417198829</v>
      </c>
      <c r="AO19" s="755">
        <v>415.51396057477228</v>
      </c>
      <c r="AP19" s="755">
        <v>378.68039266805619</v>
      </c>
      <c r="AQ19" s="757">
        <f t="shared" ref="AQ19:AQ20" si="124">SUM(AM19:AP19)</f>
        <v>1687.9801324482762</v>
      </c>
      <c r="AR19" s="755">
        <v>421.15433144300533</v>
      </c>
      <c r="AS19" s="755">
        <v>410.41427812069048</v>
      </c>
      <c r="AT19" s="755">
        <v>388.59438694155671</v>
      </c>
      <c r="AU19" s="755">
        <v>354.17493788575854</v>
      </c>
      <c r="AV19" s="757">
        <f t="shared" ref="AV19:AV20" si="125">SUM(AR19:AU19)</f>
        <v>1574.337934391011</v>
      </c>
      <c r="AW19" s="755">
        <v>399.93301187922248</v>
      </c>
      <c r="AX19" s="755">
        <v>389.76722407872285</v>
      </c>
      <c r="AY19" s="755">
        <v>369.07791921392896</v>
      </c>
      <c r="AZ19" s="755">
        <v>336.41893675100158</v>
      </c>
      <c r="BA19" s="757">
        <f t="shared" ref="BA19:BA20" si="126">SUM(AW19:AZ19)</f>
        <v>1495.1970919228759</v>
      </c>
      <c r="BB19" s="755">
        <v>379.92198916430573</v>
      </c>
      <c r="BC19" s="755">
        <v>370.30233655306574</v>
      </c>
      <c r="BD19" s="755">
        <v>350.68332654628455</v>
      </c>
      <c r="BE19" s="755">
        <v>319.68777477818304</v>
      </c>
      <c r="BF19" s="757">
        <f t="shared" ref="BF19:BF20" si="127">SUM(BB19:BE19)</f>
        <v>1420.595427041839</v>
      </c>
      <c r="BG19" s="755">
        <v>361.0709011922558</v>
      </c>
      <c r="BH19" s="755">
        <v>351.97033521195891</v>
      </c>
      <c r="BI19" s="755">
        <v>333.36375679015987</v>
      </c>
      <c r="BJ19" s="755">
        <v>303.93857262070202</v>
      </c>
      <c r="BK19" s="757">
        <f t="shared" ref="BK19:BK20" si="128">SUM(BG19:BJ19)</f>
        <v>1350.3435658150765</v>
      </c>
      <c r="BL19" s="755">
        <v>343.33112184254617</v>
      </c>
      <c r="BM19" s="755">
        <v>334.72364002131582</v>
      </c>
      <c r="BN19" s="755">
        <v>317.07397585058305</v>
      </c>
      <c r="BO19" s="755">
        <v>289.12993321720484</v>
      </c>
      <c r="BP19" s="757">
        <f t="shared" ref="BP19:BP20" si="129">SUM(BL19:BO19)</f>
        <v>1284.2586709316499</v>
      </c>
      <c r="BQ19" s="755">
        <v>326.65570763561857</v>
      </c>
      <c r="BR19" s="755">
        <v>318.51631896728372</v>
      </c>
      <c r="BS19" s="755">
        <v>301.7703179089911</v>
      </c>
      <c r="BT19" s="755">
        <v>275.22189616475958</v>
      </c>
      <c r="BU19" s="757">
        <f t="shared" ref="BU19:BU20" si="130">SUM(BQ19:BT19)</f>
        <v>1222.164240676653</v>
      </c>
      <c r="BV19" s="751"/>
    </row>
    <row r="20" spans="1:74" ht="17.25" customHeight="1" thickBot="1">
      <c r="C20" s="758" t="s">
        <v>664</v>
      </c>
      <c r="D20" s="755">
        <v>1048</v>
      </c>
      <c r="E20" s="755">
        <v>937</v>
      </c>
      <c r="F20" s="755">
        <v>977</v>
      </c>
      <c r="G20" s="755">
        <v>938.47088038225945</v>
      </c>
      <c r="H20" s="806">
        <f t="shared" si="117"/>
        <v>3900.4708803822596</v>
      </c>
      <c r="I20" s="755">
        <v>1009</v>
      </c>
      <c r="J20" s="755">
        <v>948.91443371843138</v>
      </c>
      <c r="K20" s="755">
        <v>872.97648924827331</v>
      </c>
      <c r="L20" s="755">
        <v>791.84989661183101</v>
      </c>
      <c r="M20" s="757">
        <f t="shared" si="118"/>
        <v>3622.7408195785356</v>
      </c>
      <c r="N20" s="755">
        <v>841.6141151759814</v>
      </c>
      <c r="O20" s="755">
        <v>815.26367317783843</v>
      </c>
      <c r="P20" s="755">
        <v>747.53837252427832</v>
      </c>
      <c r="Q20" s="755">
        <v>676.45466474482794</v>
      </c>
      <c r="R20" s="757">
        <f t="shared" si="119"/>
        <v>3080.8708256229261</v>
      </c>
      <c r="S20" s="755">
        <v>713.75208628764619</v>
      </c>
      <c r="T20" s="755">
        <v>681.17165190201774</v>
      </c>
      <c r="U20" s="755">
        <v>614.63711438798691</v>
      </c>
      <c r="V20" s="755">
        <v>546.51864710438883</v>
      </c>
      <c r="W20" s="757">
        <f t="shared" si="120"/>
        <v>2556.0794996820396</v>
      </c>
      <c r="X20" s="755">
        <v>573.38675515272496</v>
      </c>
      <c r="Y20" s="755">
        <v>543.21033514791213</v>
      </c>
      <c r="Z20" s="755">
        <v>486.25475387703341</v>
      </c>
      <c r="AA20" s="755">
        <v>428.56357665371542</v>
      </c>
      <c r="AB20" s="757">
        <f t="shared" si="121"/>
        <v>2031.415420831386</v>
      </c>
      <c r="AC20" s="755">
        <v>445.13359381948368</v>
      </c>
      <c r="AD20" s="755">
        <v>417.31458329782868</v>
      </c>
      <c r="AE20" s="755">
        <v>369.25015700943021</v>
      </c>
      <c r="AF20" s="755">
        <v>321.20205950168088</v>
      </c>
      <c r="AG20" s="757">
        <f t="shared" si="122"/>
        <v>1552.9003936284234</v>
      </c>
      <c r="AH20" s="755">
        <v>340.12116185640701</v>
      </c>
      <c r="AI20" s="755">
        <v>330.02677446570499</v>
      </c>
      <c r="AJ20" s="755">
        <v>303.26126905500632</v>
      </c>
      <c r="AK20" s="755">
        <v>275.15767497768843</v>
      </c>
      <c r="AL20" s="757">
        <f t="shared" si="123"/>
        <v>1248.5668803548067</v>
      </c>
      <c r="AM20" s="755">
        <v>296.9049693402639</v>
      </c>
      <c r="AN20" s="755">
        <v>288.04324937582584</v>
      </c>
      <c r="AO20" s="755">
        <v>264.63691835891842</v>
      </c>
      <c r="AP20" s="755">
        <v>240.07082924772348</v>
      </c>
      <c r="AQ20" s="757">
        <f t="shared" si="124"/>
        <v>1089.6559663227315</v>
      </c>
      <c r="AR20" s="755">
        <v>260.34043902142025</v>
      </c>
      <c r="AS20" s="755">
        <v>252.52752713841372</v>
      </c>
      <c r="AT20" s="755">
        <v>233.17026396230628</v>
      </c>
      <c r="AU20" s="755">
        <v>211.48957673977552</v>
      </c>
      <c r="AV20" s="757">
        <f t="shared" si="125"/>
        <v>957.52780686191579</v>
      </c>
      <c r="AW20" s="755">
        <v>232.79831843876028</v>
      </c>
      <c r="AX20" s="755">
        <v>225.77545169501892</v>
      </c>
      <c r="AY20" s="755">
        <v>208.43545740986735</v>
      </c>
      <c r="AZ20" s="755">
        <v>189.02431643743259</v>
      </c>
      <c r="BA20" s="757">
        <f t="shared" si="126"/>
        <v>856.03354398107922</v>
      </c>
      <c r="BB20" s="755">
        <v>208.03539185644837</v>
      </c>
      <c r="BC20" s="755">
        <v>201.72872743101257</v>
      </c>
      <c r="BD20" s="755">
        <v>186.20750835264246</v>
      </c>
      <c r="BE20" s="755">
        <v>168.8410287389336</v>
      </c>
      <c r="BF20" s="757">
        <f t="shared" si="127"/>
        <v>764.81265637903698</v>
      </c>
      <c r="BG20" s="755">
        <v>185.79376556719072</v>
      </c>
      <c r="BH20" s="755">
        <v>180.13588731945839</v>
      </c>
      <c r="BI20" s="755">
        <v>166.25300070745985</v>
      </c>
      <c r="BJ20" s="755">
        <v>150.72686380823268</v>
      </c>
      <c r="BK20" s="757">
        <f t="shared" si="128"/>
        <v>682.90951740234163</v>
      </c>
      <c r="BL20" s="755">
        <v>165.8378342124042</v>
      </c>
      <c r="BM20" s="755">
        <v>160.76722390341007</v>
      </c>
      <c r="BN20" s="755">
        <v>148.35874101610941</v>
      </c>
      <c r="BO20" s="755">
        <v>134.48743598797643</v>
      </c>
      <c r="BP20" s="757">
        <f t="shared" si="129"/>
        <v>609.45123511990005</v>
      </c>
      <c r="BQ20" s="755">
        <v>147.95245768383077</v>
      </c>
      <c r="BR20" s="755">
        <v>143.41300785148195</v>
      </c>
      <c r="BS20" s="755">
        <v>132.33010132978882</v>
      </c>
      <c r="BT20" s="755">
        <v>119.94530937637278</v>
      </c>
      <c r="BU20" s="757">
        <f t="shared" si="130"/>
        <v>543.6408762414743</v>
      </c>
      <c r="BV20" s="751"/>
    </row>
    <row r="21" spans="1:74" ht="17.25" customHeight="1" thickBot="1">
      <c r="C21" s="762" t="s">
        <v>35</v>
      </c>
      <c r="D21" s="763">
        <f t="shared" ref="D21:BN21" si="131">CHOOSE($B$59,D18,D19,D20)</f>
        <v>1048</v>
      </c>
      <c r="E21" s="763">
        <f t="shared" si="131"/>
        <v>937</v>
      </c>
      <c r="F21" s="763">
        <f t="shared" si="131"/>
        <v>977</v>
      </c>
      <c r="G21" s="763">
        <f t="shared" si="131"/>
        <v>969</v>
      </c>
      <c r="H21" s="763">
        <f t="shared" si="131"/>
        <v>3931</v>
      </c>
      <c r="I21" s="763">
        <f t="shared" si="131"/>
        <v>1009</v>
      </c>
      <c r="J21" s="763">
        <f t="shared" si="131"/>
        <v>948.91443371843138</v>
      </c>
      <c r="K21" s="763">
        <f t="shared" si="131"/>
        <v>911.23516264608509</v>
      </c>
      <c r="L21" s="763">
        <f t="shared" si="131"/>
        <v>829.26622098721907</v>
      </c>
      <c r="M21" s="763">
        <f t="shared" si="131"/>
        <v>3698.4158173517358</v>
      </c>
      <c r="N21" s="763">
        <f t="shared" si="131"/>
        <v>902.30821803573951</v>
      </c>
      <c r="O21" s="763">
        <f t="shared" si="131"/>
        <v>876.65497150668023</v>
      </c>
      <c r="P21" s="763">
        <f t="shared" si="131"/>
        <v>823.04202196767403</v>
      </c>
      <c r="Q21" s="763">
        <f t="shared" si="131"/>
        <v>747.23757101006902</v>
      </c>
      <c r="R21" s="763">
        <f t="shared" si="131"/>
        <v>3349.242782520163</v>
      </c>
      <c r="S21" s="763">
        <f t="shared" si="131"/>
        <v>808.99260064023213</v>
      </c>
      <c r="T21" s="763">
        <f t="shared" si="131"/>
        <v>776.6999531511949</v>
      </c>
      <c r="U21" s="763">
        <f t="shared" si="131"/>
        <v>720.00450746049262</v>
      </c>
      <c r="V21" s="763">
        <f t="shared" si="131"/>
        <v>644.7758881315508</v>
      </c>
      <c r="W21" s="763">
        <f t="shared" si="131"/>
        <v>2950.4729493834707</v>
      </c>
      <c r="X21" s="763">
        <f t="shared" si="131"/>
        <v>696.05610883232532</v>
      </c>
      <c r="Y21" s="763">
        <f t="shared" si="131"/>
        <v>664.89183317274205</v>
      </c>
      <c r="Z21" s="763">
        <f t="shared" si="131"/>
        <v>613.02426837277767</v>
      </c>
      <c r="AA21" s="763">
        <f t="shared" si="131"/>
        <v>545.74672352038726</v>
      </c>
      <c r="AB21" s="763">
        <f t="shared" si="131"/>
        <v>2519.7189338982325</v>
      </c>
      <c r="AC21" s="763">
        <f t="shared" si="131"/>
        <v>585.28523595190325</v>
      </c>
      <c r="AD21" s="763">
        <f t="shared" si="131"/>
        <v>555.34145512260147</v>
      </c>
      <c r="AE21" s="763">
        <f t="shared" si="131"/>
        <v>508.31112606587459</v>
      </c>
      <c r="AF21" s="763">
        <f t="shared" si="131"/>
        <v>448.9145283143888</v>
      </c>
      <c r="AG21" s="763">
        <f t="shared" si="131"/>
        <v>2097.8523454547681</v>
      </c>
      <c r="AH21" s="763">
        <f t="shared" si="131"/>
        <v>489.15753094651177</v>
      </c>
      <c r="AI21" s="763">
        <f t="shared" si="131"/>
        <v>476.62351744382607</v>
      </c>
      <c r="AJ21" s="763">
        <f t="shared" si="131"/>
        <v>448.94474652510689</v>
      </c>
      <c r="AK21" s="763">
        <f t="shared" si="131"/>
        <v>409.1216367080645</v>
      </c>
      <c r="AL21" s="763">
        <f t="shared" si="131"/>
        <v>1823.8474316235092</v>
      </c>
      <c r="AM21" s="763">
        <f t="shared" si="131"/>
        <v>452.68027503345951</v>
      </c>
      <c r="AN21" s="763">
        <f t="shared" si="131"/>
        <v>441.10550417198829</v>
      </c>
      <c r="AO21" s="763">
        <f t="shared" si="131"/>
        <v>415.51396057477228</v>
      </c>
      <c r="AP21" s="763">
        <f t="shared" si="131"/>
        <v>378.68039266805619</v>
      </c>
      <c r="AQ21" s="763">
        <f t="shared" si="131"/>
        <v>1687.9801324482762</v>
      </c>
      <c r="AR21" s="763">
        <f t="shared" si="131"/>
        <v>421.15433144300533</v>
      </c>
      <c r="AS21" s="763">
        <f t="shared" si="131"/>
        <v>410.41427812069048</v>
      </c>
      <c r="AT21" s="763">
        <f t="shared" si="131"/>
        <v>388.59438694155671</v>
      </c>
      <c r="AU21" s="763">
        <f t="shared" si="131"/>
        <v>354.17493788575854</v>
      </c>
      <c r="AV21" s="763">
        <f t="shared" si="131"/>
        <v>1574.337934391011</v>
      </c>
      <c r="AW21" s="763">
        <f t="shared" si="131"/>
        <v>399.93301187922248</v>
      </c>
      <c r="AX21" s="763">
        <f t="shared" si="131"/>
        <v>389.76722407872285</v>
      </c>
      <c r="AY21" s="763">
        <f t="shared" si="131"/>
        <v>369.07791921392896</v>
      </c>
      <c r="AZ21" s="763">
        <f t="shared" si="131"/>
        <v>336.41893675100158</v>
      </c>
      <c r="BA21" s="763">
        <f t="shared" si="131"/>
        <v>1495.1970919228759</v>
      </c>
      <c r="BB21" s="763">
        <f t="shared" si="131"/>
        <v>379.92198916430573</v>
      </c>
      <c r="BC21" s="763">
        <f t="shared" si="131"/>
        <v>370.30233655306574</v>
      </c>
      <c r="BD21" s="763">
        <f t="shared" si="131"/>
        <v>350.68332654628455</v>
      </c>
      <c r="BE21" s="763">
        <f t="shared" si="131"/>
        <v>319.68777477818304</v>
      </c>
      <c r="BF21" s="763">
        <f t="shared" si="131"/>
        <v>1420.595427041839</v>
      </c>
      <c r="BG21" s="763">
        <f t="shared" si="131"/>
        <v>361.0709011922558</v>
      </c>
      <c r="BH21" s="763">
        <f t="shared" si="131"/>
        <v>351.97033521195891</v>
      </c>
      <c r="BI21" s="763">
        <f t="shared" si="131"/>
        <v>333.36375679015987</v>
      </c>
      <c r="BJ21" s="763">
        <f t="shared" si="131"/>
        <v>303.93857262070202</v>
      </c>
      <c r="BK21" s="763">
        <f t="shared" si="131"/>
        <v>1350.3435658150765</v>
      </c>
      <c r="BL21" s="763">
        <f t="shared" si="131"/>
        <v>343.33112184254617</v>
      </c>
      <c r="BM21" s="763">
        <f t="shared" si="131"/>
        <v>334.72364002131582</v>
      </c>
      <c r="BN21" s="763">
        <f t="shared" si="131"/>
        <v>317.07397585058305</v>
      </c>
      <c r="BO21" s="763">
        <f t="shared" ref="BO21:BU21" si="132">CHOOSE($B$59,BO18,BO19,BO20)</f>
        <v>289.12993321720484</v>
      </c>
      <c r="BP21" s="763">
        <f t="shared" si="132"/>
        <v>1284.2586709316499</v>
      </c>
      <c r="BQ21" s="763">
        <f t="shared" si="132"/>
        <v>326.65570763561857</v>
      </c>
      <c r="BR21" s="763">
        <f t="shared" si="132"/>
        <v>318.51631896728372</v>
      </c>
      <c r="BS21" s="763">
        <f t="shared" si="132"/>
        <v>301.7703179089911</v>
      </c>
      <c r="BT21" s="763">
        <f t="shared" si="132"/>
        <v>275.22189616475958</v>
      </c>
      <c r="BU21" s="764">
        <f t="shared" si="132"/>
        <v>1222.164240676653</v>
      </c>
    </row>
    <row r="22" spans="1:74" ht="17.25" customHeight="1">
      <c r="D22" s="755"/>
      <c r="E22" s="755"/>
      <c r="F22" s="755"/>
      <c r="G22" s="755"/>
      <c r="H22" s="757"/>
      <c r="I22" s="755"/>
      <c r="J22" s="755"/>
      <c r="K22" s="755"/>
      <c r="L22" s="755"/>
      <c r="M22" s="757"/>
      <c r="N22" s="755"/>
      <c r="O22" s="755"/>
      <c r="P22" s="755"/>
      <c r="Q22" s="755"/>
      <c r="R22" s="757"/>
      <c r="S22" s="755"/>
      <c r="T22" s="755"/>
      <c r="U22" s="755"/>
      <c r="V22" s="755"/>
      <c r="W22" s="757"/>
      <c r="X22" s="755"/>
      <c r="Y22" s="755"/>
      <c r="Z22" s="755"/>
      <c r="AA22" s="755"/>
      <c r="AB22" s="757"/>
      <c r="AC22" s="755"/>
      <c r="AD22" s="755"/>
      <c r="AE22" s="755"/>
      <c r="AF22" s="755"/>
      <c r="AG22" s="757"/>
      <c r="AH22" s="755"/>
      <c r="AI22" s="755"/>
      <c r="AJ22" s="755"/>
      <c r="AK22" s="755"/>
      <c r="AL22" s="757"/>
      <c r="AM22" s="755"/>
      <c r="AN22" s="755"/>
      <c r="AO22" s="755"/>
      <c r="AP22" s="755"/>
      <c r="AQ22" s="757"/>
      <c r="AR22" s="755"/>
      <c r="AS22" s="755"/>
      <c r="AT22" s="755"/>
      <c r="AU22" s="755"/>
      <c r="AV22" s="757"/>
      <c r="AW22" s="755"/>
      <c r="AX22" s="755"/>
      <c r="AY22" s="755"/>
      <c r="AZ22" s="755"/>
      <c r="BA22" s="757"/>
      <c r="BB22" s="755"/>
      <c r="BC22" s="755"/>
      <c r="BD22" s="755"/>
      <c r="BE22" s="755"/>
      <c r="BF22" s="757"/>
      <c r="BG22" s="755"/>
      <c r="BH22" s="755"/>
      <c r="BI22" s="755"/>
      <c r="BJ22" s="755"/>
      <c r="BK22" s="757"/>
      <c r="BL22" s="755"/>
      <c r="BM22" s="755"/>
      <c r="BN22" s="755"/>
      <c r="BO22" s="755"/>
      <c r="BP22" s="757"/>
      <c r="BQ22" s="755"/>
      <c r="BR22" s="755"/>
      <c r="BS22" s="755"/>
      <c r="BT22" s="755"/>
      <c r="BU22" s="757"/>
    </row>
    <row r="23" spans="1:74" ht="17.25" customHeight="1">
      <c r="A23" s="781" t="s">
        <v>591</v>
      </c>
      <c r="B23" s="756" t="s">
        <v>235</v>
      </c>
      <c r="C23" s="758" t="s">
        <v>662</v>
      </c>
      <c r="D23" s="755">
        <v>1118</v>
      </c>
      <c r="E23" s="755">
        <v>1411</v>
      </c>
      <c r="F23" s="755">
        <v>1309</v>
      </c>
      <c r="G23" s="755">
        <v>1367.548773580517</v>
      </c>
      <c r="H23" s="806">
        <f>SUM(D23:G23)</f>
        <v>5205.5487735805173</v>
      </c>
      <c r="I23" s="755">
        <v>1050</v>
      </c>
      <c r="J23" s="755">
        <v>1250.2450199172481</v>
      </c>
      <c r="K23" s="755">
        <v>1266.76876279219</v>
      </c>
      <c r="L23" s="755">
        <v>1237.2144799642961</v>
      </c>
      <c r="M23" s="757">
        <f>SUM(I23:L23)</f>
        <v>4804.2282626737342</v>
      </c>
      <c r="N23" s="755">
        <v>1117.8441769629489</v>
      </c>
      <c r="O23" s="755">
        <v>1104.5069641591613</v>
      </c>
      <c r="P23" s="755">
        <v>1211.2300988712732</v>
      </c>
      <c r="Q23" s="755">
        <v>1191.5698735663877</v>
      </c>
      <c r="R23" s="757">
        <f>SUM(N23:Q23)</f>
        <v>4625.1511135597711</v>
      </c>
      <c r="S23" s="755">
        <v>1032.2167105996193</v>
      </c>
      <c r="T23" s="755">
        <v>1008.817440175568</v>
      </c>
      <c r="U23" s="755">
        <v>1060.4499337894422</v>
      </c>
      <c r="V23" s="755">
        <v>1037.7482068493509</v>
      </c>
      <c r="W23" s="757">
        <f>SUM(S23:V23)</f>
        <v>4139.2322914139804</v>
      </c>
      <c r="X23" s="755">
        <v>894.7689583584131</v>
      </c>
      <c r="Y23" s="755">
        <v>889.12370920047022</v>
      </c>
      <c r="Z23" s="755">
        <v>945.16973365074034</v>
      </c>
      <c r="AA23" s="755">
        <v>940.9109693046687</v>
      </c>
      <c r="AB23" s="757">
        <f>SUM(X23:AA23)</f>
        <v>3669.9733705142926</v>
      </c>
      <c r="AC23" s="755">
        <v>827.59402653210861</v>
      </c>
      <c r="AD23" s="755">
        <v>829.67204309099566</v>
      </c>
      <c r="AE23" s="755">
        <v>883.99550071617739</v>
      </c>
      <c r="AF23" s="755">
        <v>882.20868228712425</v>
      </c>
      <c r="AG23" s="757">
        <f>SUM(AC23:AF23)</f>
        <v>3423.4702526264059</v>
      </c>
      <c r="AH23" s="755">
        <v>780.37423252953897</v>
      </c>
      <c r="AI23" s="755">
        <v>788.41779510977551</v>
      </c>
      <c r="AJ23" s="755">
        <v>846.59878921382574</v>
      </c>
      <c r="AK23" s="755">
        <v>851.98487633557727</v>
      </c>
      <c r="AL23" s="757">
        <f>SUM(AH23:AK23)</f>
        <v>3267.3756931887174</v>
      </c>
      <c r="AM23" s="755">
        <v>747.22347487847856</v>
      </c>
      <c r="AN23" s="755">
        <v>747.04886390110903</v>
      </c>
      <c r="AO23" s="755">
        <v>807.47609162319372</v>
      </c>
      <c r="AP23" s="755">
        <v>825.01375142894267</v>
      </c>
      <c r="AQ23" s="757">
        <f>SUM(AM23:AP23)</f>
        <v>3126.7621818317239</v>
      </c>
      <c r="AR23" s="755">
        <v>731.7079638980432</v>
      </c>
      <c r="AS23" s="755">
        <v>749.97250879649732</v>
      </c>
      <c r="AT23" s="755">
        <v>816.7862485685323</v>
      </c>
      <c r="AU23" s="755">
        <v>834.29825478196653</v>
      </c>
      <c r="AV23" s="757">
        <f>SUM(AR23:AU23)</f>
        <v>3132.7649760450395</v>
      </c>
      <c r="AW23" s="755">
        <v>743.90538552549981</v>
      </c>
      <c r="AX23" s="755">
        <v>768.97823485082267</v>
      </c>
      <c r="AY23" s="755">
        <v>844.34274987152526</v>
      </c>
      <c r="AZ23" s="755">
        <v>869.70544051942591</v>
      </c>
      <c r="BA23" s="757">
        <f>SUM(AW23:AZ23)</f>
        <v>3226.9318107672734</v>
      </c>
      <c r="BB23" s="755">
        <v>773.88477256217755</v>
      </c>
      <c r="BC23" s="755">
        <v>799.96805771531069</v>
      </c>
      <c r="BD23" s="755">
        <v>878.36976269134777</v>
      </c>
      <c r="BE23" s="755">
        <v>904.75456977235888</v>
      </c>
      <c r="BF23" s="757">
        <f>SUM(BB23:BE23)</f>
        <v>3356.9771627411951</v>
      </c>
      <c r="BG23" s="755">
        <v>791.7485903093667</v>
      </c>
      <c r="BH23" s="755">
        <v>799.54935136347012</v>
      </c>
      <c r="BI23" s="755">
        <v>875.64321769112041</v>
      </c>
      <c r="BJ23" s="755">
        <v>901.94612376997475</v>
      </c>
      <c r="BK23" s="757">
        <f>SUM(BG23:BJ23)</f>
        <v>3368.8872831339318</v>
      </c>
      <c r="BL23" s="755">
        <v>802.57330624514327</v>
      </c>
      <c r="BM23" s="755">
        <v>829.62351984965369</v>
      </c>
      <c r="BN23" s="755">
        <v>910.93163936407268</v>
      </c>
      <c r="BO23" s="755">
        <v>938.29455255790458</v>
      </c>
      <c r="BP23" s="757">
        <f>SUM(BL23:BO23)</f>
        <v>3481.4230180167742</v>
      </c>
      <c r="BQ23" s="755">
        <v>804.27438284461039</v>
      </c>
      <c r="BR23" s="755">
        <v>783.32060229954595</v>
      </c>
      <c r="BS23" s="755">
        <v>811.2978495744361</v>
      </c>
      <c r="BT23" s="755">
        <v>785.938418080063</v>
      </c>
      <c r="BU23" s="757">
        <f>SUM(BQ23:BT23)</f>
        <v>3184.8312527986554</v>
      </c>
      <c r="BV23" s="751"/>
    </row>
    <row r="24" spans="1:74" ht="17.25" customHeight="1">
      <c r="B24" s="751"/>
      <c r="C24" s="758" t="s">
        <v>663</v>
      </c>
      <c r="D24" s="755">
        <v>1118</v>
      </c>
      <c r="E24" s="755">
        <v>1411</v>
      </c>
      <c r="F24" s="755">
        <v>1309</v>
      </c>
      <c r="G24" s="755">
        <v>1368</v>
      </c>
      <c r="H24" s="806">
        <f>SUM(D24:G24)</f>
        <v>5206</v>
      </c>
      <c r="I24" s="755">
        <v>1050</v>
      </c>
      <c r="J24" s="770">
        <v>1250.2450199172481</v>
      </c>
      <c r="K24" s="755">
        <v>1266.76876279219</v>
      </c>
      <c r="L24" s="755">
        <v>1237.2144799642961</v>
      </c>
      <c r="M24" s="757">
        <f>SUM(I24:L24)</f>
        <v>4804.2282626737342</v>
      </c>
      <c r="N24" s="755">
        <v>1117.8441769629489</v>
      </c>
      <c r="O24" s="755">
        <v>1104.5069641591613</v>
      </c>
      <c r="P24" s="770">
        <v>1154.8938152028418</v>
      </c>
      <c r="Q24" s="755">
        <v>1136.1480189819042</v>
      </c>
      <c r="R24" s="757">
        <f t="shared" ref="R24:R25" si="133">SUM(N24:Q24)</f>
        <v>4513.392975306856</v>
      </c>
      <c r="S24" s="755">
        <v>984.20663103684626</v>
      </c>
      <c r="T24" s="755">
        <v>961.89569877205315</v>
      </c>
      <c r="U24" s="755">
        <v>986.76218271637333</v>
      </c>
      <c r="V24" s="755">
        <v>965.63793638181403</v>
      </c>
      <c r="W24" s="757">
        <f t="shared" ref="W24:W25" si="134">SUM(S24:V24)</f>
        <v>3898.502448907087</v>
      </c>
      <c r="X24" s="755">
        <v>832.59392286586979</v>
      </c>
      <c r="Y24" s="755">
        <v>827.34094655499041</v>
      </c>
      <c r="Z24" s="755">
        <v>859.21292704932068</v>
      </c>
      <c r="AA24" s="755">
        <v>855.34146857035739</v>
      </c>
      <c r="AB24" s="757">
        <f t="shared" ref="AB24:AB25" si="135">SUM(X24:AA24)</f>
        <v>3374.4892650405382</v>
      </c>
      <c r="AC24" s="755">
        <v>752.32993676027365</v>
      </c>
      <c r="AD24" s="755">
        <v>754.21897174145317</v>
      </c>
      <c r="AE24" s="755">
        <v>780.1961918676725</v>
      </c>
      <c r="AF24" s="755">
        <v>778.61918278473388</v>
      </c>
      <c r="AG24" s="757">
        <f t="shared" ref="AG24:AG25" si="136">SUM(AC24:AF24)</f>
        <v>3065.3642831541333</v>
      </c>
      <c r="AH24" s="755">
        <v>688.74219830071797</v>
      </c>
      <c r="AI24" s="755">
        <v>695.8412806931799</v>
      </c>
      <c r="AJ24" s="755">
        <v>718.17351411834238</v>
      </c>
      <c r="AK24" s="755">
        <v>722.7425557527722</v>
      </c>
      <c r="AL24" s="757">
        <f t="shared" ref="AL24:AL25" si="137">SUM(AH24:AK24)</f>
        <v>2825.4995488650125</v>
      </c>
      <c r="AM24" s="755">
        <v>631.66966348493236</v>
      </c>
      <c r="AN24" s="755">
        <v>629.57169175572528</v>
      </c>
      <c r="AO24" s="755">
        <v>652.13662203027422</v>
      </c>
      <c r="AP24" s="755">
        <v>664.29109037779881</v>
      </c>
      <c r="AQ24" s="757">
        <f t="shared" ref="AQ24:AQ25" si="138">SUM(AM24:AP24)</f>
        <v>2577.6690676487306</v>
      </c>
      <c r="AR24" s="755">
        <v>585.59632290459672</v>
      </c>
      <c r="AS24" s="755">
        <v>595.5089723702207</v>
      </c>
      <c r="AT24" s="755">
        <v>618.68577448070982</v>
      </c>
      <c r="AU24" s="755">
        <v>627.06784059114796</v>
      </c>
      <c r="AV24" s="757">
        <f t="shared" ref="AV24:AV25" si="139">SUM(AR24:AU24)</f>
        <v>2426.8589103466752</v>
      </c>
      <c r="AW24" s="755">
        <v>551.85414265116617</v>
      </c>
      <c r="AX24" s="755">
        <v>561.18100632915503</v>
      </c>
      <c r="AY24" s="755">
        <v>582.93260755678034</v>
      </c>
      <c r="AZ24" s="755">
        <v>590.65825079236595</v>
      </c>
      <c r="BA24" s="757">
        <f t="shared" ref="BA24:BA25" si="140">SUM(AW24:AZ24)</f>
        <v>2286.6260073294675</v>
      </c>
      <c r="BB24" s="755">
        <v>516.82271058988943</v>
      </c>
      <c r="BC24" s="755">
        <v>524.96978983610143</v>
      </c>
      <c r="BD24" s="755">
        <v>544.71748768948657</v>
      </c>
      <c r="BE24" s="755">
        <v>551.29618900064645</v>
      </c>
      <c r="BF24" s="757">
        <f t="shared" ref="BF24:BF25" si="141">SUM(BB24:BE24)</f>
        <v>2137.8061771161238</v>
      </c>
      <c r="BG24" s="755">
        <v>468.17335457258775</v>
      </c>
      <c r="BH24" s="755">
        <v>454.9537132516096</v>
      </c>
      <c r="BI24" s="755">
        <v>461.03052734711446</v>
      </c>
      <c r="BJ24" s="755">
        <v>456.12995860530089</v>
      </c>
      <c r="BK24" s="757">
        <f t="shared" ref="BK24:BK25" si="142">SUM(BG24:BJ24)</f>
        <v>1840.2875537766126</v>
      </c>
      <c r="BL24" s="755">
        <v>389.09130166443572</v>
      </c>
      <c r="BM24" s="755">
        <v>384.43844806663395</v>
      </c>
      <c r="BN24" s="755">
        <v>387.86940590216108</v>
      </c>
      <c r="BO24" s="755">
        <v>380.7730703138734</v>
      </c>
      <c r="BP24" s="757">
        <f t="shared" ref="BP24:BP25" si="143">SUM(BL24:BO24)</f>
        <v>1542.1722259471042</v>
      </c>
      <c r="BQ24" s="755">
        <v>311.08445194363424</v>
      </c>
      <c r="BR24" s="755">
        <v>287.32622505075778</v>
      </c>
      <c r="BS24" s="755">
        <v>270.2261534708731</v>
      </c>
      <c r="BT24" s="755">
        <v>245.13535726298977</v>
      </c>
      <c r="BU24" s="757">
        <f t="shared" ref="BU24:BU25" si="144">SUM(BQ24:BT24)</f>
        <v>1113.7721877282549</v>
      </c>
      <c r="BV24" s="751"/>
    </row>
    <row r="25" spans="1:74" ht="17.25" customHeight="1" thickBot="1">
      <c r="C25" s="758" t="s">
        <v>664</v>
      </c>
      <c r="D25" s="755">
        <v>1118</v>
      </c>
      <c r="E25" s="755">
        <v>1411</v>
      </c>
      <c r="F25" s="755">
        <v>1309</v>
      </c>
      <c r="G25" s="755">
        <v>1367.548773580517</v>
      </c>
      <c r="H25" s="806">
        <f>SUM(D25:G25)</f>
        <v>5205.5487735805173</v>
      </c>
      <c r="I25" s="755">
        <v>1050</v>
      </c>
      <c r="J25" s="755">
        <v>1250.2450199172481</v>
      </c>
      <c r="K25" s="755">
        <v>1266.76876279219</v>
      </c>
      <c r="L25" s="755">
        <v>1237.2144799642961</v>
      </c>
      <c r="M25" s="757">
        <f>SUM(I25:L25)</f>
        <v>4804.2282626737342</v>
      </c>
      <c r="N25" s="755">
        <v>1111.2262703704732</v>
      </c>
      <c r="O25" s="755">
        <v>1087.7701566522799</v>
      </c>
      <c r="P25" s="755">
        <v>1099.7476414828616</v>
      </c>
      <c r="Q25" s="755">
        <v>1071.9660323552489</v>
      </c>
      <c r="R25" s="757">
        <f t="shared" si="133"/>
        <v>4370.7101008608633</v>
      </c>
      <c r="S25" s="755">
        <v>918.06391820269994</v>
      </c>
      <c r="T25" s="755">
        <v>885.69969434143582</v>
      </c>
      <c r="U25" s="755">
        <v>868.50551826515414</v>
      </c>
      <c r="V25" s="755">
        <v>839.02050478870615</v>
      </c>
      <c r="W25" s="757">
        <f t="shared" si="134"/>
        <v>3511.289635597996</v>
      </c>
      <c r="X25" s="755">
        <v>712.42030122857682</v>
      </c>
      <c r="Y25" s="755">
        <v>695.88681043401527</v>
      </c>
      <c r="Z25" s="755">
        <v>692.26514768095115</v>
      </c>
      <c r="AA25" s="755">
        <v>677.39937866166292</v>
      </c>
      <c r="AB25" s="757">
        <f t="shared" si="135"/>
        <v>2777.9716380052059</v>
      </c>
      <c r="AC25" s="755">
        <v>581.99903894340127</v>
      </c>
      <c r="AD25" s="755">
        <v>567.4504385811673</v>
      </c>
      <c r="AE25" s="755">
        <v>554.08990284921606</v>
      </c>
      <c r="AF25" s="755">
        <v>537.41142507079496</v>
      </c>
      <c r="AG25" s="757">
        <f t="shared" si="136"/>
        <v>2240.9508054445796</v>
      </c>
      <c r="AH25" s="755">
        <v>458.4806500635911</v>
      </c>
      <c r="AI25" s="755">
        <v>444.10276483678223</v>
      </c>
      <c r="AJ25" s="755">
        <v>430.70263232591958</v>
      </c>
      <c r="AK25" s="755">
        <v>414.5746722656308</v>
      </c>
      <c r="AL25" s="757">
        <f t="shared" si="137"/>
        <v>1747.8607194919236</v>
      </c>
      <c r="AM25" s="755">
        <v>341.48571346958357</v>
      </c>
      <c r="AN25" s="755">
        <v>315.83522691679127</v>
      </c>
      <c r="AO25" s="755">
        <v>296.66804844257342</v>
      </c>
      <c r="AP25" s="755">
        <v>277.29948184285206</v>
      </c>
      <c r="AQ25" s="757">
        <f t="shared" si="138"/>
        <v>1231.2884706718003</v>
      </c>
      <c r="AR25" s="755">
        <v>235.56151074557584</v>
      </c>
      <c r="AS25" s="755">
        <v>237.41239864003455</v>
      </c>
      <c r="AT25" s="755">
        <v>239.56647962181174</v>
      </c>
      <c r="AU25" s="755">
        <v>240.60584136605914</v>
      </c>
      <c r="AV25" s="757">
        <f t="shared" si="139"/>
        <v>953.14623037348133</v>
      </c>
      <c r="AW25" s="755">
        <v>210.85962395218601</v>
      </c>
      <c r="AX25" s="755">
        <v>214.07605915354438</v>
      </c>
      <c r="AY25" s="755">
        <v>217.53374802357288</v>
      </c>
      <c r="AZ25" s="755">
        <v>220.04591431743103</v>
      </c>
      <c r="BA25" s="757">
        <f t="shared" si="140"/>
        <v>862.51534544673427</v>
      </c>
      <c r="BB25" s="755">
        <v>192.20150525733567</v>
      </c>
      <c r="BC25" s="755">
        <v>194.86805682292191</v>
      </c>
      <c r="BD25" s="755">
        <v>197.74957605029834</v>
      </c>
      <c r="BE25" s="755">
        <v>199.74910838736264</v>
      </c>
      <c r="BF25" s="757">
        <f t="shared" si="141"/>
        <v>784.56824651791862</v>
      </c>
      <c r="BG25" s="770">
        <v>171.33749858452717</v>
      </c>
      <c r="BH25" s="755">
        <v>169.43448928762876</v>
      </c>
      <c r="BI25" s="755">
        <v>171.22403251384335</v>
      </c>
      <c r="BJ25" s="755">
        <v>172.66784604024249</v>
      </c>
      <c r="BK25" s="757">
        <f t="shared" si="142"/>
        <v>684.66386642624173</v>
      </c>
      <c r="BL25" s="755">
        <v>150.33225546692316</v>
      </c>
      <c r="BM25" s="755">
        <v>151.89344039801915</v>
      </c>
      <c r="BN25" s="755">
        <v>153.61300036793725</v>
      </c>
      <c r="BO25" s="755">
        <v>154.60290640468168</v>
      </c>
      <c r="BP25" s="757">
        <f t="shared" si="143"/>
        <v>610.44160263756123</v>
      </c>
      <c r="BQ25" s="755">
        <v>132.01144939450361</v>
      </c>
      <c r="BR25" s="755">
        <v>129.45641817616024</v>
      </c>
      <c r="BS25" s="755">
        <v>127.1444298909298</v>
      </c>
      <c r="BT25" s="755">
        <v>124.09139672031976</v>
      </c>
      <c r="BU25" s="757">
        <f t="shared" si="144"/>
        <v>512.70369418191342</v>
      </c>
      <c r="BV25" s="751"/>
    </row>
    <row r="26" spans="1:74" ht="17.25" customHeight="1" thickBot="1">
      <c r="C26" s="762" t="s">
        <v>35</v>
      </c>
      <c r="D26" s="763">
        <f t="shared" ref="D26:BN26" si="145">CHOOSE($B$59,D23,D24,D25)</f>
        <v>1118</v>
      </c>
      <c r="E26" s="763">
        <f t="shared" si="145"/>
        <v>1411</v>
      </c>
      <c r="F26" s="763">
        <f t="shared" si="145"/>
        <v>1309</v>
      </c>
      <c r="G26" s="763">
        <f t="shared" si="145"/>
        <v>1368</v>
      </c>
      <c r="H26" s="763">
        <f t="shared" si="145"/>
        <v>5206</v>
      </c>
      <c r="I26" s="763">
        <f t="shared" si="145"/>
        <v>1050</v>
      </c>
      <c r="J26" s="763">
        <f t="shared" si="145"/>
        <v>1250.2450199172481</v>
      </c>
      <c r="K26" s="763">
        <f t="shared" si="145"/>
        <v>1266.76876279219</v>
      </c>
      <c r="L26" s="763">
        <f t="shared" si="145"/>
        <v>1237.2144799642961</v>
      </c>
      <c r="M26" s="763">
        <f t="shared" si="145"/>
        <v>4804.2282626737342</v>
      </c>
      <c r="N26" s="763">
        <f t="shared" si="145"/>
        <v>1117.8441769629489</v>
      </c>
      <c r="O26" s="763">
        <f t="shared" si="145"/>
        <v>1104.5069641591613</v>
      </c>
      <c r="P26" s="763">
        <f t="shared" si="145"/>
        <v>1154.8938152028418</v>
      </c>
      <c r="Q26" s="763">
        <f t="shared" si="145"/>
        <v>1136.1480189819042</v>
      </c>
      <c r="R26" s="763">
        <f t="shared" si="145"/>
        <v>4513.392975306856</v>
      </c>
      <c r="S26" s="763">
        <f t="shared" si="145"/>
        <v>984.20663103684626</v>
      </c>
      <c r="T26" s="763">
        <f t="shared" si="145"/>
        <v>961.89569877205315</v>
      </c>
      <c r="U26" s="763">
        <f t="shared" si="145"/>
        <v>986.76218271637333</v>
      </c>
      <c r="V26" s="763">
        <f t="shared" si="145"/>
        <v>965.63793638181403</v>
      </c>
      <c r="W26" s="763">
        <f t="shared" si="145"/>
        <v>3898.502448907087</v>
      </c>
      <c r="X26" s="763">
        <f t="shared" si="145"/>
        <v>832.59392286586979</v>
      </c>
      <c r="Y26" s="763">
        <f t="shared" si="145"/>
        <v>827.34094655499041</v>
      </c>
      <c r="Z26" s="763">
        <f t="shared" si="145"/>
        <v>859.21292704932068</v>
      </c>
      <c r="AA26" s="763">
        <f t="shared" si="145"/>
        <v>855.34146857035739</v>
      </c>
      <c r="AB26" s="763">
        <f t="shared" si="145"/>
        <v>3374.4892650405382</v>
      </c>
      <c r="AC26" s="763">
        <f t="shared" si="145"/>
        <v>752.32993676027365</v>
      </c>
      <c r="AD26" s="763">
        <f t="shared" si="145"/>
        <v>754.21897174145317</v>
      </c>
      <c r="AE26" s="763">
        <f t="shared" si="145"/>
        <v>780.1961918676725</v>
      </c>
      <c r="AF26" s="763">
        <f t="shared" si="145"/>
        <v>778.61918278473388</v>
      </c>
      <c r="AG26" s="763">
        <f t="shared" si="145"/>
        <v>3065.3642831541333</v>
      </c>
      <c r="AH26" s="763">
        <f t="shared" si="145"/>
        <v>688.74219830071797</v>
      </c>
      <c r="AI26" s="763">
        <f t="shared" si="145"/>
        <v>695.8412806931799</v>
      </c>
      <c r="AJ26" s="763">
        <f t="shared" si="145"/>
        <v>718.17351411834238</v>
      </c>
      <c r="AK26" s="763">
        <f t="shared" si="145"/>
        <v>722.7425557527722</v>
      </c>
      <c r="AL26" s="763">
        <f t="shared" si="145"/>
        <v>2825.4995488650125</v>
      </c>
      <c r="AM26" s="763">
        <f t="shared" si="145"/>
        <v>631.66966348493236</v>
      </c>
      <c r="AN26" s="763">
        <f t="shared" si="145"/>
        <v>629.57169175572528</v>
      </c>
      <c r="AO26" s="763">
        <f t="shared" si="145"/>
        <v>652.13662203027422</v>
      </c>
      <c r="AP26" s="763">
        <f t="shared" si="145"/>
        <v>664.29109037779881</v>
      </c>
      <c r="AQ26" s="763">
        <f t="shared" si="145"/>
        <v>2577.6690676487306</v>
      </c>
      <c r="AR26" s="763">
        <f t="shared" si="145"/>
        <v>585.59632290459672</v>
      </c>
      <c r="AS26" s="763">
        <f t="shared" si="145"/>
        <v>595.5089723702207</v>
      </c>
      <c r="AT26" s="763">
        <f t="shared" si="145"/>
        <v>618.68577448070982</v>
      </c>
      <c r="AU26" s="763">
        <f t="shared" si="145"/>
        <v>627.06784059114796</v>
      </c>
      <c r="AV26" s="763">
        <f t="shared" si="145"/>
        <v>2426.8589103466752</v>
      </c>
      <c r="AW26" s="763">
        <f t="shared" si="145"/>
        <v>551.85414265116617</v>
      </c>
      <c r="AX26" s="763">
        <f t="shared" si="145"/>
        <v>561.18100632915503</v>
      </c>
      <c r="AY26" s="763">
        <f t="shared" si="145"/>
        <v>582.93260755678034</v>
      </c>
      <c r="AZ26" s="763">
        <f t="shared" si="145"/>
        <v>590.65825079236595</v>
      </c>
      <c r="BA26" s="763">
        <f t="shared" si="145"/>
        <v>2286.6260073294675</v>
      </c>
      <c r="BB26" s="763">
        <f t="shared" si="145"/>
        <v>516.82271058988943</v>
      </c>
      <c r="BC26" s="763">
        <f t="shared" si="145"/>
        <v>524.96978983610143</v>
      </c>
      <c r="BD26" s="763">
        <f t="shared" si="145"/>
        <v>544.71748768948657</v>
      </c>
      <c r="BE26" s="763">
        <f t="shared" si="145"/>
        <v>551.29618900064645</v>
      </c>
      <c r="BF26" s="763">
        <f t="shared" si="145"/>
        <v>2137.8061771161238</v>
      </c>
      <c r="BG26" s="763">
        <f t="shared" si="145"/>
        <v>468.17335457258775</v>
      </c>
      <c r="BH26" s="763">
        <f t="shared" si="145"/>
        <v>454.9537132516096</v>
      </c>
      <c r="BI26" s="763">
        <f t="shared" si="145"/>
        <v>461.03052734711446</v>
      </c>
      <c r="BJ26" s="763">
        <f t="shared" si="145"/>
        <v>456.12995860530089</v>
      </c>
      <c r="BK26" s="763">
        <f t="shared" si="145"/>
        <v>1840.2875537766126</v>
      </c>
      <c r="BL26" s="763">
        <f t="shared" si="145"/>
        <v>389.09130166443572</v>
      </c>
      <c r="BM26" s="763">
        <f t="shared" si="145"/>
        <v>384.43844806663395</v>
      </c>
      <c r="BN26" s="763">
        <f t="shared" si="145"/>
        <v>387.86940590216108</v>
      </c>
      <c r="BO26" s="763">
        <f t="shared" ref="BO26:BU26" si="146">CHOOSE($B$59,BO23,BO24,BO25)</f>
        <v>380.7730703138734</v>
      </c>
      <c r="BP26" s="763">
        <f t="shared" si="146"/>
        <v>1542.1722259471042</v>
      </c>
      <c r="BQ26" s="763">
        <f t="shared" si="146"/>
        <v>311.08445194363424</v>
      </c>
      <c r="BR26" s="763">
        <f t="shared" si="146"/>
        <v>287.32622505075778</v>
      </c>
      <c r="BS26" s="763">
        <f t="shared" si="146"/>
        <v>270.2261534708731</v>
      </c>
      <c r="BT26" s="763">
        <f t="shared" si="146"/>
        <v>245.13535726298977</v>
      </c>
      <c r="BU26" s="764">
        <f t="shared" si="146"/>
        <v>1113.7721877282549</v>
      </c>
    </row>
    <row r="27" spans="1:74" ht="17.25" customHeight="1">
      <c r="D27" s="755"/>
      <c r="E27" s="755"/>
      <c r="F27" s="755"/>
      <c r="G27" s="755"/>
      <c r="H27" s="757"/>
      <c r="I27" s="755"/>
      <c r="J27" s="755"/>
      <c r="K27" s="755"/>
      <c r="L27" s="755"/>
      <c r="M27" s="757"/>
      <c r="N27" s="755"/>
      <c r="O27" s="755"/>
      <c r="P27" s="755"/>
      <c r="Q27" s="755"/>
      <c r="R27" s="757"/>
      <c r="S27" s="755"/>
      <c r="T27" s="755"/>
      <c r="U27" s="755"/>
      <c r="V27" s="755"/>
      <c r="W27" s="757"/>
      <c r="X27" s="755"/>
      <c r="Y27" s="755"/>
      <c r="Z27" s="755"/>
      <c r="AA27" s="755"/>
      <c r="AB27" s="757"/>
      <c r="AC27" s="755"/>
      <c r="AD27" s="755"/>
      <c r="AE27" s="755"/>
      <c r="AF27" s="755"/>
      <c r="AG27" s="757"/>
      <c r="AH27" s="755"/>
      <c r="AI27" s="755"/>
      <c r="AJ27" s="755"/>
      <c r="AK27" s="755"/>
      <c r="AL27" s="757"/>
      <c r="AM27" s="755"/>
      <c r="AN27" s="755"/>
      <c r="AO27" s="755"/>
      <c r="AP27" s="755"/>
      <c r="AQ27" s="757"/>
      <c r="AR27" s="755"/>
      <c r="AS27" s="755"/>
      <c r="AT27" s="755"/>
      <c r="AU27" s="755"/>
      <c r="AV27" s="757"/>
      <c r="AW27" s="755"/>
      <c r="AX27" s="755"/>
      <c r="AY27" s="755"/>
      <c r="AZ27" s="755"/>
      <c r="BA27" s="757"/>
      <c r="BB27" s="755"/>
      <c r="BC27" s="755"/>
      <c r="BD27" s="755"/>
      <c r="BE27" s="755"/>
      <c r="BF27" s="757"/>
      <c r="BG27" s="755"/>
      <c r="BH27" s="755"/>
      <c r="BI27" s="755"/>
      <c r="BJ27" s="755"/>
      <c r="BK27" s="757"/>
      <c r="BL27" s="755"/>
      <c r="BM27" s="755"/>
      <c r="BN27" s="755"/>
      <c r="BO27" s="755"/>
      <c r="BP27" s="757"/>
      <c r="BQ27" s="755"/>
      <c r="BR27" s="755"/>
      <c r="BS27" s="755"/>
      <c r="BT27" s="755"/>
      <c r="BU27" s="757"/>
    </row>
    <row r="28" spans="1:74" ht="17.25" customHeight="1">
      <c r="A28" s="781" t="s">
        <v>591</v>
      </c>
      <c r="B28" s="793" t="s">
        <v>47</v>
      </c>
      <c r="C28" s="758" t="s">
        <v>662</v>
      </c>
      <c r="D28" s="755">
        <v>337</v>
      </c>
      <c r="E28" s="755">
        <v>337</v>
      </c>
      <c r="F28" s="755">
        <v>373</v>
      </c>
      <c r="G28" s="755">
        <v>376.33260503581681</v>
      </c>
      <c r="H28" s="806">
        <f>SUM(D28:G28)</f>
        <v>1423.3326050358169</v>
      </c>
      <c r="I28" s="755">
        <v>409</v>
      </c>
      <c r="J28" s="755">
        <v>319.36422706949395</v>
      </c>
      <c r="K28" s="755">
        <v>288.99252354444451</v>
      </c>
      <c r="L28" s="755">
        <v>183.70878399245561</v>
      </c>
      <c r="M28" s="757">
        <f>SUM(I28:L28)</f>
        <v>1201.0655346063941</v>
      </c>
      <c r="N28" s="755">
        <v>138.59341207725268</v>
      </c>
      <c r="O28" s="755">
        <v>111.09016739526831</v>
      </c>
      <c r="P28" s="755">
        <v>79.514684107656549</v>
      </c>
      <c r="Q28" s="755">
        <v>56.869070010549279</v>
      </c>
      <c r="R28" s="757">
        <f>SUM(N28:Q28)</f>
        <v>386.06733359072678</v>
      </c>
      <c r="S28" s="755">
        <v>42.948777241431451</v>
      </c>
      <c r="T28" s="755">
        <v>37.786581309615741</v>
      </c>
      <c r="U28" s="755">
        <v>31.759907609963047</v>
      </c>
      <c r="V28" s="755">
        <v>26.673033365974007</v>
      </c>
      <c r="W28" s="757">
        <f>SUM(S28:V28)</f>
        <v>139.16829952698424</v>
      </c>
      <c r="X28" s="755">
        <v>20.908389856064726</v>
      </c>
      <c r="Y28" s="755">
        <v>18.38193226980291</v>
      </c>
      <c r="Z28" s="755">
        <v>15.129856009041914</v>
      </c>
      <c r="AA28" s="755">
        <v>12.696815460439574</v>
      </c>
      <c r="AB28" s="757">
        <f>SUM(X28:AA28)</f>
        <v>67.116993595349129</v>
      </c>
      <c r="AC28" s="755">
        <v>9.9447498050237115</v>
      </c>
      <c r="AD28" s="755">
        <v>8.7359678170996382</v>
      </c>
      <c r="AE28" s="755">
        <v>7.1844233543229556</v>
      </c>
      <c r="AF28" s="755">
        <v>6.0239090734399818</v>
      </c>
      <c r="AG28" s="757">
        <f>SUM(AC28:AF28)</f>
        <v>31.889050049886286</v>
      </c>
      <c r="AH28" s="755">
        <v>4.6177514160693489</v>
      </c>
      <c r="AI28" s="755">
        <v>4.0527531796769969</v>
      </c>
      <c r="AJ28" s="755">
        <v>3.2618758503406404</v>
      </c>
      <c r="AK28" s="755">
        <v>2.7323242598144248</v>
      </c>
      <c r="AL28" s="757">
        <f>SUM(AH28:AK28)</f>
        <v>14.664704705901411</v>
      </c>
      <c r="AM28" s="755">
        <v>2.0923817701957415</v>
      </c>
      <c r="AN28" s="755">
        <v>1.8344673975889108</v>
      </c>
      <c r="AO28" s="755">
        <v>1.4749017984124724</v>
      </c>
      <c r="AP28" s="755">
        <v>1.2340936499045918</v>
      </c>
      <c r="AQ28" s="757">
        <f>SUM(AM28:AP28)</f>
        <v>6.6358446161017168</v>
      </c>
      <c r="AR28" s="755">
        <v>0.94395471553176913</v>
      </c>
      <c r="AS28" s="755">
        <v>0.82661898410215884</v>
      </c>
      <c r="AT28" s="755">
        <v>0.66378411016428107</v>
      </c>
      <c r="AU28" s="755">
        <v>0.55470367691159861</v>
      </c>
      <c r="AV28" s="757">
        <f>SUM(AR28:AU28)</f>
        <v>2.9890614867098075</v>
      </c>
      <c r="AW28" s="755">
        <v>0.4334847697823993</v>
      </c>
      <c r="AX28" s="755">
        <v>0.38641653261718828</v>
      </c>
      <c r="AY28" s="755">
        <v>0.31595427756917738</v>
      </c>
      <c r="AZ28" s="755">
        <v>0.26893774538917775</v>
      </c>
      <c r="BA28" s="757">
        <f>SUM(AW28:AZ28)</f>
        <v>1.4047933253579425</v>
      </c>
      <c r="BB28" s="755">
        <v>0.22149532816995329</v>
      </c>
      <c r="BC28" s="755">
        <v>0.19744512995301722</v>
      </c>
      <c r="BD28" s="755">
        <v>0.16816814490779577</v>
      </c>
      <c r="BE28" s="755">
        <v>0.14314337531917368</v>
      </c>
      <c r="BF28" s="757">
        <f>SUM(BB28:BE28)</f>
        <v>0.73025197834993993</v>
      </c>
      <c r="BG28" s="755">
        <v>0.11849036259731262</v>
      </c>
      <c r="BH28" s="755">
        <v>0.10562455305267335</v>
      </c>
      <c r="BI28" s="755">
        <v>8.9962639989195098E-2</v>
      </c>
      <c r="BJ28" s="755">
        <v>7.6575477167436429E-2</v>
      </c>
      <c r="BK28" s="757">
        <f>SUM(BG28:BJ28)</f>
        <v>0.39065303280661745</v>
      </c>
      <c r="BL28" s="755">
        <v>6.3387188093058836E-2</v>
      </c>
      <c r="BM28" s="755">
        <v>5.6504539819400693E-2</v>
      </c>
      <c r="BN28" s="755">
        <v>4.8126097830614445E-2</v>
      </c>
      <c r="BO28" s="755">
        <v>4.096454823945414E-2</v>
      </c>
      <c r="BP28" s="757">
        <f>SUM(BL28:BO28)</f>
        <v>0.20898237398252811</v>
      </c>
      <c r="BQ28" s="755">
        <v>3.4251906514653319E-2</v>
      </c>
      <c r="BR28" s="755">
        <v>3.0532798090148305E-2</v>
      </c>
      <c r="BS28" s="755">
        <v>2.6005422442611455E-2</v>
      </c>
      <c r="BT28" s="755">
        <v>2.2135606877731747E-2</v>
      </c>
      <c r="BU28" s="757">
        <f>SUM(BQ28:BT28)</f>
        <v>0.11292573392514482</v>
      </c>
      <c r="BV28" s="776"/>
    </row>
    <row r="29" spans="1:74" ht="17.25" customHeight="1">
      <c r="B29" s="751"/>
      <c r="C29" s="758" t="s">
        <v>663</v>
      </c>
      <c r="D29" s="755">
        <v>337</v>
      </c>
      <c r="E29" s="755">
        <v>337</v>
      </c>
      <c r="F29" s="755">
        <v>373</v>
      </c>
      <c r="G29" s="755">
        <v>376.33260503581681</v>
      </c>
      <c r="H29" s="806">
        <f t="shared" ref="H29:H30" si="147">SUM(D29:G29)</f>
        <v>1423.3326050358169</v>
      </c>
      <c r="I29" s="755">
        <v>409</v>
      </c>
      <c r="J29" s="755">
        <v>319.36422706949395</v>
      </c>
      <c r="K29" s="755">
        <v>288.99252354444451</v>
      </c>
      <c r="L29" s="755">
        <v>183.70878399245561</v>
      </c>
      <c r="M29" s="757">
        <f t="shared" ref="M29:M30" si="148">SUM(I29:L29)</f>
        <v>1201.0655346063941</v>
      </c>
      <c r="N29" s="755">
        <v>138.59341207725268</v>
      </c>
      <c r="O29" s="755">
        <v>111.09016739526831</v>
      </c>
      <c r="P29" s="755">
        <v>79.514684107656549</v>
      </c>
      <c r="Q29" s="755">
        <v>56.869070010549279</v>
      </c>
      <c r="R29" s="757">
        <f t="shared" ref="R29:R30" si="149">SUM(N29:Q29)</f>
        <v>386.06733359072678</v>
      </c>
      <c r="S29" s="755">
        <v>42.948777241431451</v>
      </c>
      <c r="T29" s="755">
        <v>37.786581309615741</v>
      </c>
      <c r="U29" s="755">
        <v>31.759907609963047</v>
      </c>
      <c r="V29" s="755">
        <v>26.673033365974007</v>
      </c>
      <c r="W29" s="757">
        <f t="shared" ref="W29:W30" si="150">SUM(S29:V29)</f>
        <v>139.16829952698424</v>
      </c>
      <c r="X29" s="755">
        <v>20.908389856064726</v>
      </c>
      <c r="Y29" s="755">
        <v>18.38193226980291</v>
      </c>
      <c r="Z29" s="755">
        <v>15.129856009041914</v>
      </c>
      <c r="AA29" s="755">
        <v>12.696815460439574</v>
      </c>
      <c r="AB29" s="757">
        <f t="shared" ref="AB29:AB30" si="151">SUM(X29:AA29)</f>
        <v>67.116993595349129</v>
      </c>
      <c r="AC29" s="755">
        <v>9.9447498050237115</v>
      </c>
      <c r="AD29" s="755">
        <v>8.7359678170996382</v>
      </c>
      <c r="AE29" s="755">
        <v>7.1844233543229556</v>
      </c>
      <c r="AF29" s="755">
        <v>6.0239090734399818</v>
      </c>
      <c r="AG29" s="757">
        <f t="shared" ref="AG29:AG30" si="152">SUM(AC29:AF29)</f>
        <v>31.889050049886286</v>
      </c>
      <c r="AH29" s="755">
        <v>4.6177514160693489</v>
      </c>
      <c r="AI29" s="755">
        <v>4.0527531796769969</v>
      </c>
      <c r="AJ29" s="755">
        <v>3.2618758503406404</v>
      </c>
      <c r="AK29" s="755">
        <v>2.7323242598144248</v>
      </c>
      <c r="AL29" s="757">
        <f t="shared" ref="AL29:AL30" si="153">SUM(AH29:AK29)</f>
        <v>14.664704705901411</v>
      </c>
      <c r="AM29" s="755">
        <v>2.0923817701957415</v>
      </c>
      <c r="AN29" s="755">
        <v>1.8344673975889108</v>
      </c>
      <c r="AO29" s="755">
        <v>1.4749017984124724</v>
      </c>
      <c r="AP29" s="755">
        <v>1.2340936499045918</v>
      </c>
      <c r="AQ29" s="757">
        <f t="shared" ref="AQ29:AQ30" si="154">SUM(AM29:AP29)</f>
        <v>6.6358446161017168</v>
      </c>
      <c r="AR29" s="755">
        <v>0.94395471553176913</v>
      </c>
      <c r="AS29" s="755">
        <v>0.82661898410215884</v>
      </c>
      <c r="AT29" s="755">
        <v>0.66378411016428107</v>
      </c>
      <c r="AU29" s="755">
        <v>0.55470367691159861</v>
      </c>
      <c r="AV29" s="757">
        <f t="shared" ref="AV29:AV30" si="155">SUM(AR29:AU29)</f>
        <v>2.9890614867098075</v>
      </c>
      <c r="AW29" s="755">
        <v>0.4334847697823993</v>
      </c>
      <c r="AX29" s="755">
        <v>0.38641653261718828</v>
      </c>
      <c r="AY29" s="755">
        <v>0.31595427756917738</v>
      </c>
      <c r="AZ29" s="755">
        <v>0.26893774538917775</v>
      </c>
      <c r="BA29" s="757">
        <f t="shared" ref="BA29:BA30" si="156">SUM(AW29:AZ29)</f>
        <v>1.4047933253579425</v>
      </c>
      <c r="BB29" s="755">
        <v>0.22149532816995329</v>
      </c>
      <c r="BC29" s="755">
        <v>0.19744512995301722</v>
      </c>
      <c r="BD29" s="755">
        <v>0.16816814490779577</v>
      </c>
      <c r="BE29" s="755">
        <v>0.14314337531917368</v>
      </c>
      <c r="BF29" s="757">
        <f t="shared" ref="BF29:BF30" si="157">SUM(BB29:BE29)</f>
        <v>0.73025197834993993</v>
      </c>
      <c r="BG29" s="755">
        <v>0.11849036259731262</v>
      </c>
      <c r="BH29" s="755">
        <v>0.10562455305267335</v>
      </c>
      <c r="BI29" s="755">
        <v>8.9962639989195098E-2</v>
      </c>
      <c r="BJ29" s="755">
        <v>7.6575477167436429E-2</v>
      </c>
      <c r="BK29" s="757">
        <f t="shared" ref="BK29:BK30" si="158">SUM(BG29:BJ29)</f>
        <v>0.39065303280661745</v>
      </c>
      <c r="BL29" s="755">
        <v>6.3387188093058836E-2</v>
      </c>
      <c r="BM29" s="755">
        <v>5.6504539819400693E-2</v>
      </c>
      <c r="BN29" s="755">
        <v>4.8126097830614445E-2</v>
      </c>
      <c r="BO29" s="755">
        <v>4.096454823945414E-2</v>
      </c>
      <c r="BP29" s="757">
        <f t="shared" ref="BP29:BP30" si="159">SUM(BL29:BO29)</f>
        <v>0.20898237398252811</v>
      </c>
      <c r="BQ29" s="755">
        <v>3.4251906514653319E-2</v>
      </c>
      <c r="BR29" s="755">
        <v>3.0532798090148305E-2</v>
      </c>
      <c r="BS29" s="755">
        <v>2.6005422442611455E-2</v>
      </c>
      <c r="BT29" s="755">
        <v>2.2135606877731747E-2</v>
      </c>
      <c r="BU29" s="757">
        <f t="shared" ref="BU29:BU30" si="160">SUM(BQ29:BT29)</f>
        <v>0.11292573392514482</v>
      </c>
      <c r="BV29" s="776"/>
    </row>
    <row r="30" spans="1:74" ht="17.25" customHeight="1" thickBot="1">
      <c r="C30" s="758" t="s">
        <v>664</v>
      </c>
      <c r="D30" s="755">
        <v>337</v>
      </c>
      <c r="E30" s="755">
        <v>337</v>
      </c>
      <c r="F30" s="755">
        <v>373</v>
      </c>
      <c r="G30" s="755">
        <v>376.33260503581681</v>
      </c>
      <c r="H30" s="806">
        <f t="shared" si="147"/>
        <v>1423.3326050358169</v>
      </c>
      <c r="I30" s="755">
        <v>409</v>
      </c>
      <c r="J30" s="755">
        <v>319.36422706949395</v>
      </c>
      <c r="K30" s="755">
        <v>288.99252354444451</v>
      </c>
      <c r="L30" s="755">
        <v>183.70878399245561</v>
      </c>
      <c r="M30" s="757">
        <f t="shared" si="148"/>
        <v>1201.0655346063941</v>
      </c>
      <c r="N30" s="755">
        <v>138.59341207725268</v>
      </c>
      <c r="O30" s="755">
        <v>111.09016739526831</v>
      </c>
      <c r="P30" s="755">
        <v>79.514684107656549</v>
      </c>
      <c r="Q30" s="755">
        <v>56.869070010549279</v>
      </c>
      <c r="R30" s="757">
        <f t="shared" si="149"/>
        <v>386.06733359072678</v>
      </c>
      <c r="S30" s="755">
        <v>42.948777241431451</v>
      </c>
      <c r="T30" s="755">
        <v>37.786581309615741</v>
      </c>
      <c r="U30" s="755">
        <v>31.759907609963047</v>
      </c>
      <c r="V30" s="755">
        <v>26.673033365974007</v>
      </c>
      <c r="W30" s="757">
        <f t="shared" si="150"/>
        <v>139.16829952698424</v>
      </c>
      <c r="X30" s="755">
        <v>20.908389856064726</v>
      </c>
      <c r="Y30" s="755">
        <v>18.38193226980291</v>
      </c>
      <c r="Z30" s="755">
        <v>15.129856009041914</v>
      </c>
      <c r="AA30" s="755">
        <v>12.696815460439574</v>
      </c>
      <c r="AB30" s="757">
        <f t="shared" si="151"/>
        <v>67.116993595349129</v>
      </c>
      <c r="AC30" s="755">
        <v>9.9447498050237115</v>
      </c>
      <c r="AD30" s="755">
        <v>8.7359678170996382</v>
      </c>
      <c r="AE30" s="755">
        <v>7.1844233543229556</v>
      </c>
      <c r="AF30" s="755">
        <v>6.0239090734399818</v>
      </c>
      <c r="AG30" s="757">
        <f t="shared" si="152"/>
        <v>31.889050049886286</v>
      </c>
      <c r="AH30" s="755">
        <v>4.6177514160693489</v>
      </c>
      <c r="AI30" s="755">
        <v>4.0527531796769969</v>
      </c>
      <c r="AJ30" s="755">
        <v>3.2618758503406404</v>
      </c>
      <c r="AK30" s="755">
        <v>2.7323242598144248</v>
      </c>
      <c r="AL30" s="757">
        <f t="shared" si="153"/>
        <v>14.664704705901411</v>
      </c>
      <c r="AM30" s="755">
        <v>2.0923817701957415</v>
      </c>
      <c r="AN30" s="755">
        <v>1.8344673975889108</v>
      </c>
      <c r="AO30" s="755">
        <v>1.4749017984124724</v>
      </c>
      <c r="AP30" s="755">
        <v>1.2340936499045918</v>
      </c>
      <c r="AQ30" s="757">
        <f t="shared" si="154"/>
        <v>6.6358446161017168</v>
      </c>
      <c r="AR30" s="755">
        <v>0.94395471553176913</v>
      </c>
      <c r="AS30" s="755">
        <v>0.82661898410215884</v>
      </c>
      <c r="AT30" s="755">
        <v>0.66378411016428107</v>
      </c>
      <c r="AU30" s="755">
        <v>0.55470367691159861</v>
      </c>
      <c r="AV30" s="757">
        <f t="shared" si="155"/>
        <v>2.9890614867098075</v>
      </c>
      <c r="AW30" s="755">
        <v>0.4334847697823993</v>
      </c>
      <c r="AX30" s="755">
        <v>0.38641653261718828</v>
      </c>
      <c r="AY30" s="755">
        <v>0.31595427756917738</v>
      </c>
      <c r="AZ30" s="755">
        <v>0.26893774538917775</v>
      </c>
      <c r="BA30" s="757">
        <f t="shared" si="156"/>
        <v>1.4047933253579425</v>
      </c>
      <c r="BB30" s="755">
        <v>0.22149532816995329</v>
      </c>
      <c r="BC30" s="755">
        <v>0.19744512995301722</v>
      </c>
      <c r="BD30" s="755">
        <v>0.16816814490779577</v>
      </c>
      <c r="BE30" s="755">
        <v>0.14314337531917368</v>
      </c>
      <c r="BF30" s="757">
        <f t="shared" si="157"/>
        <v>0.73025197834993993</v>
      </c>
      <c r="BG30" s="755">
        <v>0.11849036259731262</v>
      </c>
      <c r="BH30" s="755">
        <v>0.10562455305267335</v>
      </c>
      <c r="BI30" s="755">
        <v>8.9962639989195098E-2</v>
      </c>
      <c r="BJ30" s="755">
        <v>7.6575477167436429E-2</v>
      </c>
      <c r="BK30" s="757">
        <f t="shared" si="158"/>
        <v>0.39065303280661745</v>
      </c>
      <c r="BL30" s="755">
        <v>6.3387188093058836E-2</v>
      </c>
      <c r="BM30" s="755">
        <v>5.6504539819400693E-2</v>
      </c>
      <c r="BN30" s="755">
        <v>4.8126097830614445E-2</v>
      </c>
      <c r="BO30" s="755">
        <v>4.096454823945414E-2</v>
      </c>
      <c r="BP30" s="757">
        <f t="shared" si="159"/>
        <v>0.20898237398252811</v>
      </c>
      <c r="BQ30" s="755">
        <v>3.4251906514653319E-2</v>
      </c>
      <c r="BR30" s="755">
        <v>3.0532798090148305E-2</v>
      </c>
      <c r="BS30" s="755">
        <v>2.6005422442611455E-2</v>
      </c>
      <c r="BT30" s="755">
        <v>2.2135606877731747E-2</v>
      </c>
      <c r="BU30" s="757">
        <f t="shared" si="160"/>
        <v>0.11292573392514482</v>
      </c>
      <c r="BV30" s="776"/>
    </row>
    <row r="31" spans="1:74" ht="17.25" customHeight="1" thickBot="1">
      <c r="C31" s="762" t="s">
        <v>35</v>
      </c>
      <c r="D31" s="763">
        <f t="shared" ref="D31" si="161">CHOOSE($B$59,D28,D29,D30)</f>
        <v>337</v>
      </c>
      <c r="E31" s="763">
        <f t="shared" ref="E31" si="162">CHOOSE($B$59,E28,E29,E30)</f>
        <v>337</v>
      </c>
      <c r="F31" s="763">
        <f t="shared" ref="F31" si="163">CHOOSE($B$59,F28,F29,F30)</f>
        <v>373</v>
      </c>
      <c r="G31" s="763">
        <f t="shared" ref="G31" si="164">CHOOSE($B$59,G28,G29,G30)</f>
        <v>376.33260503581681</v>
      </c>
      <c r="H31" s="763">
        <f t="shared" ref="H31" si="165">CHOOSE($B$59,H28,H29,H30)</f>
        <v>1423.3326050358169</v>
      </c>
      <c r="I31" s="763">
        <f t="shared" ref="I31" si="166">CHOOSE($B$59,I28,I29,I30)</f>
        <v>409</v>
      </c>
      <c r="J31" s="763">
        <f t="shared" ref="J31" si="167">CHOOSE($B$59,J28,J29,J30)</f>
        <v>319.36422706949395</v>
      </c>
      <c r="K31" s="763">
        <f t="shared" ref="K31" si="168">CHOOSE($B$59,K28,K29,K30)</f>
        <v>288.99252354444451</v>
      </c>
      <c r="L31" s="763">
        <f t="shared" ref="L31" si="169">CHOOSE($B$59,L28,L29,L30)</f>
        <v>183.70878399245561</v>
      </c>
      <c r="M31" s="763">
        <f t="shared" ref="M31" si="170">CHOOSE($B$59,M28,M29,M30)</f>
        <v>1201.0655346063941</v>
      </c>
      <c r="N31" s="763">
        <f t="shared" ref="N31" si="171">CHOOSE($B$59,N28,N29,N30)</f>
        <v>138.59341207725268</v>
      </c>
      <c r="O31" s="763">
        <f t="shared" ref="O31" si="172">CHOOSE($B$59,O28,O29,O30)</f>
        <v>111.09016739526831</v>
      </c>
      <c r="P31" s="763">
        <f t="shared" ref="P31" si="173">CHOOSE($B$59,P28,P29,P30)</f>
        <v>79.514684107656549</v>
      </c>
      <c r="Q31" s="763">
        <f t="shared" ref="Q31" si="174">CHOOSE($B$59,Q28,Q29,Q30)</f>
        <v>56.869070010549279</v>
      </c>
      <c r="R31" s="763">
        <f t="shared" ref="R31" si="175">CHOOSE($B$59,R28,R29,R30)</f>
        <v>386.06733359072678</v>
      </c>
      <c r="S31" s="763">
        <f t="shared" ref="S31" si="176">CHOOSE($B$59,S28,S29,S30)</f>
        <v>42.948777241431451</v>
      </c>
      <c r="T31" s="763">
        <f t="shared" ref="T31" si="177">CHOOSE($B$59,T28,T29,T30)</f>
        <v>37.786581309615741</v>
      </c>
      <c r="U31" s="763">
        <f t="shared" ref="U31" si="178">CHOOSE($B$59,U28,U29,U30)</f>
        <v>31.759907609963047</v>
      </c>
      <c r="V31" s="763">
        <f t="shared" ref="V31:W31" si="179">CHOOSE($B$59,V28,V29,V30)</f>
        <v>26.673033365974007</v>
      </c>
      <c r="W31" s="763">
        <f t="shared" si="179"/>
        <v>139.16829952698424</v>
      </c>
      <c r="X31" s="763">
        <f t="shared" ref="X31" si="180">CHOOSE($B$59,X28,X29,X30)</f>
        <v>20.908389856064726</v>
      </c>
      <c r="Y31" s="763">
        <f t="shared" ref="Y31" si="181">CHOOSE($B$59,Y28,Y29,Y30)</f>
        <v>18.38193226980291</v>
      </c>
      <c r="Z31" s="763">
        <f t="shared" ref="Z31" si="182">CHOOSE($B$59,Z28,Z29,Z30)</f>
        <v>15.129856009041914</v>
      </c>
      <c r="AA31" s="763">
        <f t="shared" ref="AA31" si="183">CHOOSE($B$59,AA28,AA29,AA30)</f>
        <v>12.696815460439574</v>
      </c>
      <c r="AB31" s="763">
        <f t="shared" ref="AB31" si="184">CHOOSE($B$59,AB28,AB29,AB30)</f>
        <v>67.116993595349129</v>
      </c>
      <c r="AC31" s="763">
        <f t="shared" ref="AC31" si="185">CHOOSE($B$59,AC28,AC29,AC30)</f>
        <v>9.9447498050237115</v>
      </c>
      <c r="AD31" s="763">
        <f t="shared" ref="AD31" si="186">CHOOSE($B$59,AD28,AD29,AD30)</f>
        <v>8.7359678170996382</v>
      </c>
      <c r="AE31" s="763">
        <f t="shared" ref="AE31" si="187">CHOOSE($B$59,AE28,AE29,AE30)</f>
        <v>7.1844233543229556</v>
      </c>
      <c r="AF31" s="763">
        <f t="shared" ref="AF31" si="188">CHOOSE($B$59,AF28,AF29,AF30)</f>
        <v>6.0239090734399818</v>
      </c>
      <c r="AG31" s="763">
        <f t="shared" ref="AG31" si="189">CHOOSE($B$59,AG28,AG29,AG30)</f>
        <v>31.889050049886286</v>
      </c>
      <c r="AH31" s="763">
        <f t="shared" ref="AH31" si="190">CHOOSE($B$59,AH28,AH29,AH30)</f>
        <v>4.6177514160693489</v>
      </c>
      <c r="AI31" s="763">
        <f t="shared" ref="AI31" si="191">CHOOSE($B$59,AI28,AI29,AI30)</f>
        <v>4.0527531796769969</v>
      </c>
      <c r="AJ31" s="763">
        <f t="shared" ref="AJ31" si="192">CHOOSE($B$59,AJ28,AJ29,AJ30)</f>
        <v>3.2618758503406404</v>
      </c>
      <c r="AK31" s="763">
        <f t="shared" ref="AK31" si="193">CHOOSE($B$59,AK28,AK29,AK30)</f>
        <v>2.7323242598144248</v>
      </c>
      <c r="AL31" s="763">
        <f t="shared" ref="AL31" si="194">CHOOSE($B$59,AL28,AL29,AL30)</f>
        <v>14.664704705901411</v>
      </c>
      <c r="AM31" s="763">
        <f t="shared" ref="AM31" si="195">CHOOSE($B$59,AM28,AM29,AM30)</f>
        <v>2.0923817701957415</v>
      </c>
      <c r="AN31" s="763">
        <f t="shared" ref="AN31" si="196">CHOOSE($B$59,AN28,AN29,AN30)</f>
        <v>1.8344673975889108</v>
      </c>
      <c r="AO31" s="763">
        <f t="shared" ref="AO31" si="197">CHOOSE($B$59,AO28,AO29,AO30)</f>
        <v>1.4749017984124724</v>
      </c>
      <c r="AP31" s="763">
        <f t="shared" ref="AP31" si="198">CHOOSE($B$59,AP28,AP29,AP30)</f>
        <v>1.2340936499045918</v>
      </c>
      <c r="AQ31" s="763">
        <f t="shared" ref="AQ31" si="199">CHOOSE($B$59,AQ28,AQ29,AQ30)</f>
        <v>6.6358446161017168</v>
      </c>
      <c r="AR31" s="763">
        <f t="shared" ref="AR31" si="200">CHOOSE($B$59,AR28,AR29,AR30)</f>
        <v>0.94395471553176913</v>
      </c>
      <c r="AS31" s="763">
        <f t="shared" ref="AS31" si="201">CHOOSE($B$59,AS28,AS29,AS30)</f>
        <v>0.82661898410215884</v>
      </c>
      <c r="AT31" s="763">
        <f t="shared" ref="AT31" si="202">CHOOSE($B$59,AT28,AT29,AT30)</f>
        <v>0.66378411016428107</v>
      </c>
      <c r="AU31" s="763">
        <f t="shared" ref="AU31" si="203">CHOOSE($B$59,AU28,AU29,AU30)</f>
        <v>0.55470367691159861</v>
      </c>
      <c r="AV31" s="763">
        <f t="shared" ref="AV31" si="204">CHOOSE($B$59,AV28,AV29,AV30)</f>
        <v>2.9890614867098075</v>
      </c>
      <c r="AW31" s="763">
        <f t="shared" ref="AW31" si="205">CHOOSE($B$59,AW28,AW29,AW30)</f>
        <v>0.4334847697823993</v>
      </c>
      <c r="AX31" s="763">
        <f t="shared" ref="AX31" si="206">CHOOSE($B$59,AX28,AX29,AX30)</f>
        <v>0.38641653261718828</v>
      </c>
      <c r="AY31" s="763">
        <f t="shared" ref="AY31" si="207">CHOOSE($B$59,AY28,AY29,AY30)</f>
        <v>0.31595427756917738</v>
      </c>
      <c r="AZ31" s="763">
        <f t="shared" ref="AZ31" si="208">CHOOSE($B$59,AZ28,AZ29,AZ30)</f>
        <v>0.26893774538917775</v>
      </c>
      <c r="BA31" s="763">
        <f t="shared" ref="BA31" si="209">CHOOSE($B$59,BA28,BA29,BA30)</f>
        <v>1.4047933253579425</v>
      </c>
      <c r="BB31" s="763">
        <f t="shared" ref="BB31" si="210">CHOOSE($B$59,BB28,BB29,BB30)</f>
        <v>0.22149532816995329</v>
      </c>
      <c r="BC31" s="763">
        <f t="shared" ref="BC31" si="211">CHOOSE($B$59,BC28,BC29,BC30)</f>
        <v>0.19744512995301722</v>
      </c>
      <c r="BD31" s="763">
        <f t="shared" ref="BD31" si="212">CHOOSE($B$59,BD28,BD29,BD30)</f>
        <v>0.16816814490779577</v>
      </c>
      <c r="BE31" s="763">
        <f t="shared" ref="BE31" si="213">CHOOSE($B$59,BE28,BE29,BE30)</f>
        <v>0.14314337531917368</v>
      </c>
      <c r="BF31" s="763">
        <f t="shared" ref="BF31" si="214">CHOOSE($B$59,BF28,BF29,BF30)</f>
        <v>0.73025197834993993</v>
      </c>
      <c r="BG31" s="763">
        <f t="shared" ref="BG31" si="215">CHOOSE($B$59,BG28,BG29,BG30)</f>
        <v>0.11849036259731262</v>
      </c>
      <c r="BH31" s="763">
        <f t="shared" ref="BH31" si="216">CHOOSE($B$59,BH28,BH29,BH30)</f>
        <v>0.10562455305267335</v>
      </c>
      <c r="BI31" s="763">
        <f t="shared" ref="BI31" si="217">CHOOSE($B$59,BI28,BI29,BI30)</f>
        <v>8.9962639989195098E-2</v>
      </c>
      <c r="BJ31" s="763">
        <f t="shared" ref="BJ31" si="218">CHOOSE($B$59,BJ28,BJ29,BJ30)</f>
        <v>7.6575477167436429E-2</v>
      </c>
      <c r="BK31" s="763">
        <f t="shared" ref="BK31" si="219">CHOOSE($B$59,BK28,BK29,BK30)</f>
        <v>0.39065303280661745</v>
      </c>
      <c r="BL31" s="763">
        <f t="shared" ref="BL31" si="220">CHOOSE($B$59,BL28,BL29,BL30)</f>
        <v>6.3387188093058836E-2</v>
      </c>
      <c r="BM31" s="763">
        <f t="shared" ref="BM31" si="221">CHOOSE($B$59,BM28,BM29,BM30)</f>
        <v>5.6504539819400693E-2</v>
      </c>
      <c r="BN31" s="763">
        <f t="shared" ref="BN31" si="222">CHOOSE($B$59,BN28,BN29,BN30)</f>
        <v>4.8126097830614445E-2</v>
      </c>
      <c r="BO31" s="763">
        <f t="shared" ref="BO31" si="223">CHOOSE($B$59,BO28,BO29,BO30)</f>
        <v>4.096454823945414E-2</v>
      </c>
      <c r="BP31" s="763">
        <f t="shared" ref="BP31" si="224">CHOOSE($B$59,BP28,BP29,BP30)</f>
        <v>0.20898237398252811</v>
      </c>
      <c r="BQ31" s="763">
        <f t="shared" ref="BQ31" si="225">CHOOSE($B$59,BQ28,BQ29,BQ30)</f>
        <v>3.4251906514653319E-2</v>
      </c>
      <c r="BR31" s="763">
        <f t="shared" ref="BR31" si="226">CHOOSE($B$59,BR28,BR29,BR30)</f>
        <v>3.0532798090148305E-2</v>
      </c>
      <c r="BS31" s="763">
        <f t="shared" ref="BS31" si="227">CHOOSE($B$59,BS28,BS29,BS30)</f>
        <v>2.6005422442611455E-2</v>
      </c>
      <c r="BT31" s="763">
        <f t="shared" ref="BT31" si="228">CHOOSE($B$59,BT28,BT29,BT30)</f>
        <v>2.2135606877731747E-2</v>
      </c>
      <c r="BU31" s="764">
        <f t="shared" ref="BU31" si="229">CHOOSE($B$59,BU28,BU29,BU30)</f>
        <v>0.11292573392514482</v>
      </c>
      <c r="BV31" s="773"/>
    </row>
    <row r="32" spans="1:74" ht="17.25" customHeight="1">
      <c r="D32" s="755"/>
      <c r="E32" s="755"/>
      <c r="F32" s="755"/>
      <c r="G32" s="755"/>
      <c r="H32" s="757"/>
      <c r="I32" s="755"/>
      <c r="J32" s="755"/>
      <c r="K32" s="755"/>
      <c r="L32" s="755"/>
      <c r="M32" s="757"/>
      <c r="N32" s="755"/>
      <c r="O32" s="755"/>
      <c r="P32" s="755"/>
      <c r="Q32" s="755"/>
      <c r="R32" s="757"/>
      <c r="S32" s="755"/>
      <c r="T32" s="755"/>
      <c r="U32" s="755"/>
      <c r="V32" s="755"/>
      <c r="W32" s="757"/>
      <c r="X32" s="755"/>
      <c r="Y32" s="755"/>
      <c r="Z32" s="755"/>
      <c r="AA32" s="755"/>
      <c r="AB32" s="757"/>
      <c r="AC32" s="755"/>
      <c r="AD32" s="755"/>
      <c r="AE32" s="755"/>
      <c r="AF32" s="755"/>
      <c r="AG32" s="757"/>
      <c r="AH32" s="755"/>
      <c r="AI32" s="755"/>
      <c r="AJ32" s="755"/>
      <c r="AK32" s="755"/>
      <c r="AL32" s="757"/>
      <c r="AM32" s="755"/>
      <c r="AN32" s="755"/>
      <c r="AO32" s="755"/>
      <c r="AP32" s="755"/>
      <c r="AQ32" s="757"/>
      <c r="AR32" s="755"/>
      <c r="AS32" s="755"/>
      <c r="AT32" s="755"/>
      <c r="AU32" s="755"/>
      <c r="AV32" s="757"/>
      <c r="AW32" s="755"/>
      <c r="AX32" s="755"/>
      <c r="AY32" s="755"/>
      <c r="AZ32" s="755"/>
      <c r="BA32" s="757"/>
      <c r="BB32" s="755"/>
      <c r="BC32" s="755"/>
      <c r="BD32" s="755"/>
      <c r="BE32" s="755"/>
      <c r="BF32" s="757"/>
      <c r="BG32" s="755"/>
      <c r="BH32" s="755"/>
      <c r="BI32" s="755"/>
      <c r="BJ32" s="755"/>
      <c r="BK32" s="757"/>
      <c r="BL32" s="755"/>
      <c r="BM32" s="755"/>
      <c r="BN32" s="755"/>
      <c r="BO32" s="755"/>
      <c r="BP32" s="757"/>
      <c r="BQ32" s="755"/>
      <c r="BR32" s="755"/>
      <c r="BS32" s="755"/>
      <c r="BT32" s="755"/>
      <c r="BU32" s="757"/>
      <c r="BV32" s="773"/>
    </row>
    <row r="33" spans="1:74" ht="17.25" customHeight="1">
      <c r="A33" s="781" t="s">
        <v>591</v>
      </c>
      <c r="B33" s="793" t="s">
        <v>894</v>
      </c>
      <c r="C33" s="758" t="s">
        <v>662</v>
      </c>
      <c r="D33" s="777"/>
      <c r="E33" s="778">
        <v>0</v>
      </c>
      <c r="F33" s="779">
        <v>0</v>
      </c>
      <c r="G33" s="779">
        <v>0</v>
      </c>
      <c r="H33" s="806">
        <f t="shared" ref="H33:H35" si="230">SUM(D33:G33)</f>
        <v>0</v>
      </c>
      <c r="I33" s="779">
        <v>36</v>
      </c>
      <c r="J33" s="779">
        <v>30.500883000000027</v>
      </c>
      <c r="K33" s="779">
        <v>51.663118500000039</v>
      </c>
      <c r="L33" s="779">
        <v>76.773028500000066</v>
      </c>
      <c r="M33" s="780">
        <f t="shared" ref="M33" si="231">SUM(I33:L33)</f>
        <v>194.93703000000014</v>
      </c>
      <c r="N33" s="779">
        <v>84.075597554620558</v>
      </c>
      <c r="O33" s="779">
        <v>88.276870447920061</v>
      </c>
      <c r="P33" s="779">
        <v>91.175477588381867</v>
      </c>
      <c r="Q33" s="779">
        <v>91.366305510142425</v>
      </c>
      <c r="R33" s="780">
        <f t="shared" ref="R33" si="232">SUM(N33:Q33)</f>
        <v>354.89425110106487</v>
      </c>
      <c r="S33" s="779">
        <v>90.128227552951913</v>
      </c>
      <c r="T33" s="779">
        <v>94.593003899637381</v>
      </c>
      <c r="U33" s="779">
        <v>97.659664624966041</v>
      </c>
      <c r="V33" s="779">
        <v>97.825413634241372</v>
      </c>
      <c r="W33" s="780">
        <f t="shared" ref="W33" si="233">SUM(S33:V33)</f>
        <v>380.20630971179673</v>
      </c>
      <c r="X33" s="779">
        <v>96.461729773503876</v>
      </c>
      <c r="Y33" s="779">
        <v>101.20178016429463</v>
      </c>
      <c r="Z33" s="779">
        <v>104.44381610148135</v>
      </c>
      <c r="AA33" s="779">
        <v>104.58286666456156</v>
      </c>
      <c r="AB33" s="780">
        <f t="shared" ref="AB33" si="234">SUM(X33:AA33)</f>
        <v>406.69019270384138</v>
      </c>
      <c r="AC33" s="779">
        <v>103.08731989159122</v>
      </c>
      <c r="AD33" s="779">
        <v>108.11487660649242</v>
      </c>
      <c r="AE33" s="779">
        <v>111.53989306035211</v>
      </c>
      <c r="AF33" s="779">
        <v>111.65055267180338</v>
      </c>
      <c r="AG33" s="780">
        <f t="shared" ref="AG33" si="235">SUM(AC33:AF33)</f>
        <v>434.39264223023912</v>
      </c>
      <c r="AH33" s="779">
        <v>110.01662832493693</v>
      </c>
      <c r="AI33" s="779">
        <v>115.34440222965857</v>
      </c>
      <c r="AJ33" s="779">
        <v>118.9602984890336</v>
      </c>
      <c r="AK33" s="779">
        <v>119.04079879757788</v>
      </c>
      <c r="AL33" s="780">
        <f t="shared" ref="AL33" si="236">SUM(AH33:AK33)</f>
        <v>463.36212784120698</v>
      </c>
      <c r="AM33" s="779">
        <v>117.26171486935438</v>
      </c>
      <c r="AN33" s="779">
        <v>122.90291290395153</v>
      </c>
      <c r="AO33" s="779">
        <v>126.71789290740411</v>
      </c>
      <c r="AP33" s="779">
        <v>126.76638673635878</v>
      </c>
      <c r="AQ33" s="780">
        <f t="shared" ref="AQ33" si="237">SUM(AM33:AP33)</f>
        <v>493.64890741706881</v>
      </c>
      <c r="AR33" s="779">
        <v>124.83508383487937</v>
      </c>
      <c r="AS33" s="779">
        <v>130.80342711476749</v>
      </c>
      <c r="AT33" s="779">
        <v>134.82601048795274</v>
      </c>
      <c r="AU33" s="779">
        <v>134.84056874652885</v>
      </c>
      <c r="AV33" s="780">
        <f t="shared" ref="AV33" si="238">SUM(AR33:AU33)</f>
        <v>525.3050901841284</v>
      </c>
      <c r="AW33" s="779">
        <v>133.38871410375532</v>
      </c>
      <c r="AX33" s="779">
        <v>138.61439028680553</v>
      </c>
      <c r="AY33" s="779">
        <v>141.7115893544632</v>
      </c>
      <c r="AZ33" s="779">
        <v>140.57940069994444</v>
      </c>
      <c r="BA33" s="780">
        <f t="shared" ref="BA33" si="239">SUM(AW33:AZ33)</f>
        <v>554.29409444496855</v>
      </c>
      <c r="BB33" s="779">
        <v>139.3894054907839</v>
      </c>
      <c r="BC33" s="779">
        <v>144.85016655544294</v>
      </c>
      <c r="BD33" s="779">
        <v>148.08669776895781</v>
      </c>
      <c r="BE33" s="779">
        <v>146.90357590953252</v>
      </c>
      <c r="BF33" s="780">
        <f t="shared" ref="BF33" si="240">SUM(BB33:BE33)</f>
        <v>579.22984572471717</v>
      </c>
      <c r="BG33" s="779">
        <v>146.39943808232096</v>
      </c>
      <c r="BH33" s="779">
        <v>152.13482628168273</v>
      </c>
      <c r="BI33" s="779">
        <v>155.53412588645642</v>
      </c>
      <c r="BJ33" s="779">
        <v>154.29150364559879</v>
      </c>
      <c r="BK33" s="780">
        <f t="shared" ref="BK33" si="241">SUM(BG33:BJ33)</f>
        <v>608.35989389605891</v>
      </c>
      <c r="BL33" s="779">
        <v>153.76201222291897</v>
      </c>
      <c r="BM33" s="779">
        <v>159.78583883021486</v>
      </c>
      <c r="BN33" s="779">
        <v>163.35609261141227</v>
      </c>
      <c r="BO33" s="779">
        <v>162.05097765543962</v>
      </c>
      <c r="BP33" s="780">
        <f t="shared" ref="BP33" si="242">SUM(BL33:BO33)</f>
        <v>638.95492131998571</v>
      </c>
      <c r="BQ33" s="779">
        <v>163.12611876729474</v>
      </c>
      <c r="BR33" s="779">
        <v>169.51679641497495</v>
      </c>
      <c r="BS33" s="779">
        <v>173.30447865144728</v>
      </c>
      <c r="BT33" s="779">
        <v>171.91988219465591</v>
      </c>
      <c r="BU33" s="780">
        <f t="shared" ref="BU33" si="243">SUM(BQ33:BT33)</f>
        <v>677.86727602837288</v>
      </c>
      <c r="BV33" s="776"/>
    </row>
    <row r="34" spans="1:74" ht="17.25" customHeight="1">
      <c r="B34" s="751"/>
      <c r="C34" s="758" t="s">
        <v>663</v>
      </c>
      <c r="D34" s="760"/>
      <c r="E34" s="770">
        <v>0</v>
      </c>
      <c r="F34" s="755">
        <v>0</v>
      </c>
      <c r="G34" s="755">
        <v>0</v>
      </c>
      <c r="H34" s="806">
        <f t="shared" si="230"/>
        <v>0</v>
      </c>
      <c r="I34" s="755">
        <v>36</v>
      </c>
      <c r="J34" s="755">
        <v>30.500883000000027</v>
      </c>
      <c r="K34" s="755">
        <v>51.663118500000039</v>
      </c>
      <c r="L34" s="755">
        <v>76.773028500000066</v>
      </c>
      <c r="M34" s="757">
        <f t="shared" ref="M34" si="244">SUM(I34:L34)</f>
        <v>194.93703000000014</v>
      </c>
      <c r="N34" s="755">
        <v>83.803895696569583</v>
      </c>
      <c r="O34" s="755">
        <v>87.627369156901921</v>
      </c>
      <c r="P34" s="755">
        <v>90.202791306908296</v>
      </c>
      <c r="Q34" s="755">
        <v>90.160400490572954</v>
      </c>
      <c r="R34" s="757">
        <f t="shared" ref="R34" si="245">SUM(N34:Q34)</f>
        <v>351.79445665095278</v>
      </c>
      <c r="S34" s="755">
        <v>88.75221508459714</v>
      </c>
      <c r="T34" s="755">
        <v>92.962965941163304</v>
      </c>
      <c r="U34" s="755">
        <v>95.788974700175245</v>
      </c>
      <c r="V34" s="755">
        <v>95.766957271562845</v>
      </c>
      <c r="W34" s="757">
        <f t="shared" ref="W34" si="246">SUM(S34:V34)</f>
        <v>373.27111299749851</v>
      </c>
      <c r="X34" s="755">
        <v>94.250025867319735</v>
      </c>
      <c r="Y34" s="755">
        <v>98.69749342747879</v>
      </c>
      <c r="Z34" s="755">
        <v>101.67340559846264</v>
      </c>
      <c r="AA34" s="755">
        <v>101.62598449010821</v>
      </c>
      <c r="AB34" s="757">
        <f t="shared" ref="AB34" si="247">SUM(X34:AA34)</f>
        <v>396.24690938336937</v>
      </c>
      <c r="AC34" s="755">
        <v>99.992495493089123</v>
      </c>
      <c r="AD34" s="755">
        <v>104.68688479405961</v>
      </c>
      <c r="AE34" s="755">
        <v>107.81902800706069</v>
      </c>
      <c r="AF34" s="755">
        <v>107.74474470659861</v>
      </c>
      <c r="AG34" s="757">
        <f t="shared" ref="AG34" si="248">SUM(AC34:AF34)</f>
        <v>420.24315300080804</v>
      </c>
      <c r="AH34" s="755">
        <v>105.98920292909631</v>
      </c>
      <c r="AI34" s="755">
        <v>110.94111230792316</v>
      </c>
      <c r="AJ34" s="755">
        <v>114.23605541510408</v>
      </c>
      <c r="AK34" s="755">
        <v>114.13338807569779</v>
      </c>
      <c r="AL34" s="757">
        <f t="shared" ref="AL34" si="249">SUM(AH34:AK34)</f>
        <v>445.29975872782131</v>
      </c>
      <c r="AM34" s="755">
        <v>112.25007732588202</v>
      </c>
      <c r="AN34" s="755">
        <v>117.47051266254945</v>
      </c>
      <c r="AO34" s="755">
        <v>120.93507441592946</v>
      </c>
      <c r="AP34" s="755">
        <v>120.80243540641757</v>
      </c>
      <c r="AQ34" s="757">
        <f t="shared" ref="AQ34" si="250">SUM(AM34:AP34)</f>
        <v>471.45809981077855</v>
      </c>
      <c r="AR34" s="755">
        <v>118.78541028257824</v>
      </c>
      <c r="AS34" s="755">
        <v>124.28579973887018</v>
      </c>
      <c r="AT34" s="755">
        <v>127.92705776875016</v>
      </c>
      <c r="AU34" s="755">
        <v>127.76279113487577</v>
      </c>
      <c r="AV34" s="757">
        <f t="shared" ref="AV34" si="251">SUM(AR34:AU34)</f>
        <v>498.76105892507439</v>
      </c>
      <c r="AW34" s="755">
        <v>126.32756501866467</v>
      </c>
      <c r="AX34" s="755">
        <v>131.27661151196301</v>
      </c>
      <c r="AY34" s="755">
        <v>134.2098552966728</v>
      </c>
      <c r="AZ34" s="755">
        <v>133.13760089473095</v>
      </c>
      <c r="BA34" s="757">
        <f t="shared" ref="BA34" si="252">SUM(AW34:AZ34)</f>
        <v>524.95163272203149</v>
      </c>
      <c r="BB34" s="755">
        <v>132.01060002237685</v>
      </c>
      <c r="BC34" s="755">
        <v>137.18228679574594</v>
      </c>
      <c r="BD34" s="755">
        <v>140.24748695197658</v>
      </c>
      <c r="BE34" s="755">
        <v>139.12699557738173</v>
      </c>
      <c r="BF34" s="757">
        <f t="shared" ref="BF34" si="253">SUM(BB34:BE34)</f>
        <v>548.56736934748119</v>
      </c>
      <c r="BG34" s="755">
        <v>138.64954510810219</v>
      </c>
      <c r="BH34" s="755">
        <v>144.08132118099081</v>
      </c>
      <c r="BI34" s="755">
        <v>147.30067331827843</v>
      </c>
      <c r="BJ34" s="755">
        <v>146.1238313119639</v>
      </c>
      <c r="BK34" s="757">
        <f t="shared" ref="BK34" si="254">SUM(BG34:BJ34)</f>
        <v>576.15537091933538</v>
      </c>
      <c r="BL34" s="755">
        <v>145.62236938113381</v>
      </c>
      <c r="BM34" s="755">
        <v>151.32731490450402</v>
      </c>
      <c r="BN34" s="755">
        <v>154.70857148012797</v>
      </c>
      <c r="BO34" s="755">
        <v>153.47254491247386</v>
      </c>
      <c r="BP34" s="757">
        <f t="shared" ref="BP34" si="255">SUM(BL34:BO34)</f>
        <v>605.13080067823967</v>
      </c>
      <c r="BQ34" s="755">
        <v>154.49077167644487</v>
      </c>
      <c r="BR34" s="755">
        <v>160.54314838218835</v>
      </c>
      <c r="BS34" s="755">
        <v>164.13032348326777</v>
      </c>
      <c r="BT34" s="755">
        <v>162.81902289764355</v>
      </c>
      <c r="BU34" s="757">
        <f t="shared" ref="BU34" si="256">SUM(BQ34:BT34)</f>
        <v>641.98326643954454</v>
      </c>
      <c r="BV34" s="776"/>
    </row>
    <row r="35" spans="1:74" ht="17.25" customHeight="1" thickBot="1">
      <c r="C35" s="758" t="s">
        <v>664</v>
      </c>
      <c r="D35" s="760"/>
      <c r="E35" s="770">
        <v>0</v>
      </c>
      <c r="F35" s="755">
        <v>0</v>
      </c>
      <c r="G35" s="755">
        <v>0</v>
      </c>
      <c r="H35" s="806">
        <f t="shared" si="230"/>
        <v>0</v>
      </c>
      <c r="I35" s="779">
        <v>36</v>
      </c>
      <c r="J35" s="779">
        <v>30.500883000000027</v>
      </c>
      <c r="K35" s="779">
        <v>51.663118500000039</v>
      </c>
      <c r="L35" s="779">
        <v>76.773028500000066</v>
      </c>
      <c r="M35" s="780">
        <f t="shared" ref="M35" si="257">SUM(I35:L35)</f>
        <v>194.93703000000014</v>
      </c>
      <c r="N35" s="779">
        <v>83.632466415655202</v>
      </c>
      <c r="O35" s="779">
        <v>87.135752479230064</v>
      </c>
      <c r="P35" s="779">
        <v>89.31425051154676</v>
      </c>
      <c r="Q35" s="779">
        <v>88.830500459184421</v>
      </c>
      <c r="R35" s="780">
        <f t="shared" ref="R35" si="258">SUM(N35:Q35)</f>
        <v>348.91296986561639</v>
      </c>
      <c r="S35" s="779">
        <v>86.965988149414002</v>
      </c>
      <c r="T35" s="779">
        <v>90.606465210354969</v>
      </c>
      <c r="U35" s="779">
        <v>92.869244310833281</v>
      </c>
      <c r="V35" s="779">
        <v>92.363773480034951</v>
      </c>
      <c r="W35" s="780">
        <f t="shared" ref="W35" si="259">SUM(S35:V35)</f>
        <v>362.80547115063723</v>
      </c>
      <c r="X35" s="779">
        <v>90.422651388108179</v>
      </c>
      <c r="Y35" s="779">
        <v>94.205335438986396</v>
      </c>
      <c r="Z35" s="779">
        <v>96.555454862400538</v>
      </c>
      <c r="AA35" s="779">
        <v>96.027409161352978</v>
      </c>
      <c r="AB35" s="780">
        <f t="shared" ref="AB35" si="260">SUM(X35:AA35)</f>
        <v>377.21085085084809</v>
      </c>
      <c r="AC35" s="779">
        <v>94.006798694010214</v>
      </c>
      <c r="AD35" s="779">
        <v>97.936881428074372</v>
      </c>
      <c r="AE35" s="779">
        <v>100.37750707495321</v>
      </c>
      <c r="AF35" s="779">
        <v>99.826001109076756</v>
      </c>
      <c r="AG35" s="780">
        <f t="shared" ref="AG35" si="261">SUM(AC35:AF35)</f>
        <v>392.14718830611451</v>
      </c>
      <c r="AH35" s="779">
        <v>97.722921047975547</v>
      </c>
      <c r="AI35" s="779">
        <v>101.80577583572915</v>
      </c>
      <c r="AJ35" s="779">
        <v>104.34018386757779</v>
      </c>
      <c r="AK35" s="779">
        <v>103.76429984130772</v>
      </c>
      <c r="AL35" s="780">
        <f t="shared" ref="AL35" si="262">SUM(AH35:AK35)</f>
        <v>407.63318059259024</v>
      </c>
      <c r="AM35" s="779">
        <v>101.57566280888499</v>
      </c>
      <c r="AN35" s="779">
        <v>105.81685087366883</v>
      </c>
      <c r="AO35" s="779">
        <v>108.4484314482596</v>
      </c>
      <c r="AP35" s="779">
        <v>107.84721802942877</v>
      </c>
      <c r="AQ35" s="780">
        <f t="shared" ref="AQ35" si="263">SUM(AM35:AP35)</f>
        <v>423.6881631602422</v>
      </c>
      <c r="AR35" s="779">
        <v>105.56982683600974</v>
      </c>
      <c r="AS35" s="779">
        <v>109.97510363510885</v>
      </c>
      <c r="AT35" s="779">
        <v>112.70736476576774</v>
      </c>
      <c r="AU35" s="779">
        <v>112.07983591134436</v>
      </c>
      <c r="AV35" s="780">
        <f t="shared" ref="AV35" si="264">SUM(AR35:AU35)</f>
        <v>440.3321311482307</v>
      </c>
      <c r="AW35" s="779">
        <v>110.65902982255137</v>
      </c>
      <c r="AX35" s="779">
        <v>114.9942410918747</v>
      </c>
      <c r="AY35" s="779">
        <v>117.56367169398482</v>
      </c>
      <c r="AZ35" s="779">
        <v>116.62441008608228</v>
      </c>
      <c r="BA35" s="780">
        <f t="shared" ref="BA35" si="265">SUM(AW35:AZ35)</f>
        <v>459.84135269449314</v>
      </c>
      <c r="BB35" s="779">
        <v>115.63719226766356</v>
      </c>
      <c r="BC35" s="779">
        <v>120.16742951875436</v>
      </c>
      <c r="BD35" s="779">
        <v>122.85244981064629</v>
      </c>
      <c r="BE35" s="779">
        <v>121.87093411041982</v>
      </c>
      <c r="BF35" s="780">
        <f t="shared" ref="BF35" si="266">SUM(BB35:BE35)</f>
        <v>480.528005707484</v>
      </c>
      <c r="BG35" s="779">
        <v>121.45270230399666</v>
      </c>
      <c r="BH35" s="779">
        <v>126.21076971668204</v>
      </c>
      <c r="BI35" s="779">
        <v>129.03082236407352</v>
      </c>
      <c r="BJ35" s="779">
        <v>127.99994525776697</v>
      </c>
      <c r="BK35" s="780">
        <f t="shared" ref="BK35" si="267">SUM(BG35:BJ35)</f>
        <v>504.69423964251916</v>
      </c>
      <c r="BL35" s="779">
        <v>127.56068015556694</v>
      </c>
      <c r="BM35" s="779">
        <v>132.5580355365037</v>
      </c>
      <c r="BN35" s="779">
        <v>135.51991145158513</v>
      </c>
      <c r="BO35" s="779">
        <v>134.43719050472535</v>
      </c>
      <c r="BP35" s="780">
        <f t="shared" ref="BP35" si="268">SUM(BL35:BO35)</f>
        <v>530.07581764838108</v>
      </c>
      <c r="BQ35" s="779">
        <v>135.329125577041</v>
      </c>
      <c r="BR35" s="779">
        <v>140.63081990067678</v>
      </c>
      <c r="BS35" s="779">
        <v>143.77307405898668</v>
      </c>
      <c r="BT35" s="779">
        <v>142.62441540646313</v>
      </c>
      <c r="BU35" s="780">
        <f t="shared" ref="BU35" si="269">SUM(BQ35:BT35)</f>
        <v>562.35743494316762</v>
      </c>
      <c r="BV35" s="776"/>
    </row>
    <row r="36" spans="1:74" ht="17.25" customHeight="1" thickBot="1">
      <c r="C36" s="762" t="s">
        <v>35</v>
      </c>
      <c r="D36" s="763">
        <f t="shared" ref="D36:BN36" si="270">CHOOSE($B$59,D33,D34,D35)</f>
        <v>0</v>
      </c>
      <c r="E36" s="763">
        <f t="shared" si="270"/>
        <v>0</v>
      </c>
      <c r="F36" s="763">
        <f t="shared" si="270"/>
        <v>0</v>
      </c>
      <c r="G36" s="763">
        <f t="shared" si="270"/>
        <v>0</v>
      </c>
      <c r="H36" s="763">
        <f t="shared" si="270"/>
        <v>0</v>
      </c>
      <c r="I36" s="763">
        <f t="shared" si="270"/>
        <v>36</v>
      </c>
      <c r="J36" s="763">
        <f t="shared" si="270"/>
        <v>30.500883000000027</v>
      </c>
      <c r="K36" s="763">
        <f t="shared" si="270"/>
        <v>51.663118500000039</v>
      </c>
      <c r="L36" s="763">
        <f t="shared" si="270"/>
        <v>76.773028500000066</v>
      </c>
      <c r="M36" s="763">
        <f t="shared" si="270"/>
        <v>194.93703000000014</v>
      </c>
      <c r="N36" s="763">
        <f t="shared" si="270"/>
        <v>83.803895696569583</v>
      </c>
      <c r="O36" s="763">
        <f t="shared" si="270"/>
        <v>87.627369156901921</v>
      </c>
      <c r="P36" s="763">
        <f t="shared" si="270"/>
        <v>90.202791306908296</v>
      </c>
      <c r="Q36" s="763">
        <f t="shared" si="270"/>
        <v>90.160400490572954</v>
      </c>
      <c r="R36" s="763">
        <f t="shared" si="270"/>
        <v>351.79445665095278</v>
      </c>
      <c r="S36" s="763">
        <f t="shared" si="270"/>
        <v>88.75221508459714</v>
      </c>
      <c r="T36" s="763">
        <f t="shared" si="270"/>
        <v>92.962965941163304</v>
      </c>
      <c r="U36" s="763">
        <f t="shared" si="270"/>
        <v>95.788974700175245</v>
      </c>
      <c r="V36" s="763">
        <f t="shared" si="270"/>
        <v>95.766957271562845</v>
      </c>
      <c r="W36" s="763">
        <f t="shared" si="270"/>
        <v>373.27111299749851</v>
      </c>
      <c r="X36" s="763">
        <f t="shared" si="270"/>
        <v>94.250025867319735</v>
      </c>
      <c r="Y36" s="763">
        <f t="shared" si="270"/>
        <v>98.69749342747879</v>
      </c>
      <c r="Z36" s="763">
        <f t="shared" si="270"/>
        <v>101.67340559846264</v>
      </c>
      <c r="AA36" s="763">
        <f t="shared" si="270"/>
        <v>101.62598449010821</v>
      </c>
      <c r="AB36" s="763">
        <f t="shared" si="270"/>
        <v>396.24690938336937</v>
      </c>
      <c r="AC36" s="763">
        <f t="shared" si="270"/>
        <v>99.992495493089123</v>
      </c>
      <c r="AD36" s="763">
        <f t="shared" si="270"/>
        <v>104.68688479405961</v>
      </c>
      <c r="AE36" s="763">
        <f t="shared" si="270"/>
        <v>107.81902800706069</v>
      </c>
      <c r="AF36" s="763">
        <f t="shared" si="270"/>
        <v>107.74474470659861</v>
      </c>
      <c r="AG36" s="763">
        <f t="shared" si="270"/>
        <v>420.24315300080804</v>
      </c>
      <c r="AH36" s="763">
        <f t="shared" si="270"/>
        <v>105.98920292909631</v>
      </c>
      <c r="AI36" s="763">
        <f t="shared" si="270"/>
        <v>110.94111230792316</v>
      </c>
      <c r="AJ36" s="763">
        <f t="shared" si="270"/>
        <v>114.23605541510408</v>
      </c>
      <c r="AK36" s="763">
        <f t="shared" si="270"/>
        <v>114.13338807569779</v>
      </c>
      <c r="AL36" s="763">
        <f t="shared" si="270"/>
        <v>445.29975872782131</v>
      </c>
      <c r="AM36" s="763">
        <f t="shared" si="270"/>
        <v>112.25007732588202</v>
      </c>
      <c r="AN36" s="763">
        <f t="shared" si="270"/>
        <v>117.47051266254945</v>
      </c>
      <c r="AO36" s="763">
        <f t="shared" si="270"/>
        <v>120.93507441592946</v>
      </c>
      <c r="AP36" s="763">
        <f t="shared" si="270"/>
        <v>120.80243540641757</v>
      </c>
      <c r="AQ36" s="763">
        <f t="shared" si="270"/>
        <v>471.45809981077855</v>
      </c>
      <c r="AR36" s="763">
        <f t="shared" si="270"/>
        <v>118.78541028257824</v>
      </c>
      <c r="AS36" s="763">
        <f t="shared" si="270"/>
        <v>124.28579973887018</v>
      </c>
      <c r="AT36" s="763">
        <f t="shared" si="270"/>
        <v>127.92705776875016</v>
      </c>
      <c r="AU36" s="763">
        <f t="shared" si="270"/>
        <v>127.76279113487577</v>
      </c>
      <c r="AV36" s="763">
        <f t="shared" si="270"/>
        <v>498.76105892507439</v>
      </c>
      <c r="AW36" s="763">
        <f t="shared" si="270"/>
        <v>126.32756501866467</v>
      </c>
      <c r="AX36" s="763">
        <f t="shared" si="270"/>
        <v>131.27661151196301</v>
      </c>
      <c r="AY36" s="763">
        <f t="shared" si="270"/>
        <v>134.2098552966728</v>
      </c>
      <c r="AZ36" s="763">
        <f t="shared" si="270"/>
        <v>133.13760089473095</v>
      </c>
      <c r="BA36" s="763">
        <f t="shared" si="270"/>
        <v>524.95163272203149</v>
      </c>
      <c r="BB36" s="763">
        <f t="shared" si="270"/>
        <v>132.01060002237685</v>
      </c>
      <c r="BC36" s="763">
        <f t="shared" si="270"/>
        <v>137.18228679574594</v>
      </c>
      <c r="BD36" s="763">
        <f t="shared" si="270"/>
        <v>140.24748695197658</v>
      </c>
      <c r="BE36" s="763">
        <f t="shared" si="270"/>
        <v>139.12699557738173</v>
      </c>
      <c r="BF36" s="763">
        <f t="shared" si="270"/>
        <v>548.56736934748119</v>
      </c>
      <c r="BG36" s="763">
        <f t="shared" si="270"/>
        <v>138.64954510810219</v>
      </c>
      <c r="BH36" s="763">
        <f t="shared" si="270"/>
        <v>144.08132118099081</v>
      </c>
      <c r="BI36" s="763">
        <f t="shared" si="270"/>
        <v>147.30067331827843</v>
      </c>
      <c r="BJ36" s="763">
        <f t="shared" si="270"/>
        <v>146.1238313119639</v>
      </c>
      <c r="BK36" s="763">
        <f t="shared" si="270"/>
        <v>576.15537091933538</v>
      </c>
      <c r="BL36" s="763">
        <f t="shared" si="270"/>
        <v>145.62236938113381</v>
      </c>
      <c r="BM36" s="763">
        <f t="shared" si="270"/>
        <v>151.32731490450402</v>
      </c>
      <c r="BN36" s="763">
        <f t="shared" si="270"/>
        <v>154.70857148012797</v>
      </c>
      <c r="BO36" s="763">
        <f t="shared" ref="BO36:BU36" si="271">CHOOSE($B$59,BO33,BO34,BO35)</f>
        <v>153.47254491247386</v>
      </c>
      <c r="BP36" s="763">
        <f t="shared" si="271"/>
        <v>605.13080067823967</v>
      </c>
      <c r="BQ36" s="763">
        <f t="shared" si="271"/>
        <v>154.49077167644487</v>
      </c>
      <c r="BR36" s="763">
        <f t="shared" si="271"/>
        <v>160.54314838218835</v>
      </c>
      <c r="BS36" s="763">
        <f t="shared" si="271"/>
        <v>164.13032348326777</v>
      </c>
      <c r="BT36" s="763">
        <f t="shared" si="271"/>
        <v>162.81902289764355</v>
      </c>
      <c r="BU36" s="764">
        <f t="shared" si="271"/>
        <v>641.98326643954454</v>
      </c>
      <c r="BV36" s="773"/>
    </row>
    <row r="37" spans="1:74" ht="17.25" customHeight="1">
      <c r="D37" s="755"/>
      <c r="E37" s="755"/>
      <c r="F37" s="755"/>
      <c r="G37" s="755"/>
      <c r="H37" s="757"/>
      <c r="I37" s="755"/>
      <c r="J37" s="755"/>
      <c r="K37" s="755"/>
      <c r="L37" s="755"/>
      <c r="M37" s="757"/>
      <c r="N37" s="755"/>
      <c r="O37" s="755"/>
      <c r="P37" s="755"/>
      <c r="Q37" s="755"/>
      <c r="R37" s="757"/>
      <c r="S37" s="755"/>
      <c r="T37" s="755"/>
      <c r="U37" s="755"/>
      <c r="V37" s="755"/>
      <c r="W37" s="757"/>
      <c r="X37" s="755"/>
      <c r="Y37" s="755"/>
      <c r="Z37" s="755"/>
      <c r="AA37" s="755"/>
      <c r="AB37" s="757"/>
      <c r="AC37" s="755"/>
      <c r="AD37" s="755"/>
      <c r="AE37" s="755"/>
      <c r="AF37" s="755"/>
      <c r="AG37" s="757"/>
      <c r="AH37" s="755"/>
      <c r="AI37" s="755"/>
      <c r="AJ37" s="755"/>
      <c r="AK37" s="755"/>
      <c r="AL37" s="757"/>
      <c r="AM37" s="755"/>
      <c r="AN37" s="755"/>
      <c r="AO37" s="755"/>
      <c r="AP37" s="755"/>
      <c r="AQ37" s="757"/>
      <c r="AR37" s="755"/>
      <c r="AS37" s="755"/>
      <c r="AT37" s="755"/>
      <c r="AU37" s="755"/>
      <c r="AV37" s="757"/>
      <c r="AW37" s="755"/>
      <c r="AX37" s="755"/>
      <c r="AY37" s="755"/>
      <c r="AZ37" s="755"/>
      <c r="BA37" s="757"/>
      <c r="BB37" s="755"/>
      <c r="BC37" s="755"/>
      <c r="BD37" s="755"/>
      <c r="BE37" s="755"/>
      <c r="BF37" s="757"/>
      <c r="BG37" s="755"/>
      <c r="BH37" s="755"/>
      <c r="BI37" s="755"/>
      <c r="BJ37" s="755"/>
      <c r="BK37" s="757"/>
      <c r="BL37" s="755"/>
      <c r="BM37" s="755"/>
      <c r="BN37" s="755"/>
      <c r="BO37" s="755"/>
      <c r="BP37" s="757"/>
      <c r="BQ37" s="755"/>
      <c r="BR37" s="755"/>
      <c r="BS37" s="755"/>
      <c r="BT37" s="755"/>
      <c r="BU37" s="757"/>
    </row>
    <row r="38" spans="1:74" ht="17.25" customHeight="1">
      <c r="A38" s="781" t="s">
        <v>591</v>
      </c>
      <c r="B38" s="756" t="s">
        <v>119</v>
      </c>
      <c r="C38" s="758" t="s">
        <v>662</v>
      </c>
      <c r="D38" s="755">
        <v>279</v>
      </c>
      <c r="E38" s="755">
        <v>326</v>
      </c>
      <c r="F38" s="755">
        <v>298</v>
      </c>
      <c r="G38" s="755">
        <v>382.70294843290282</v>
      </c>
      <c r="H38" s="806">
        <f>SUM(D38:G38)</f>
        <v>1285.7029484329028</v>
      </c>
      <c r="I38" s="755">
        <v>320</v>
      </c>
      <c r="J38" s="755">
        <v>363.55097049245632</v>
      </c>
      <c r="K38" s="755">
        <v>388.44481519979342</v>
      </c>
      <c r="L38" s="755">
        <v>410.59118495119606</v>
      </c>
      <c r="M38" s="757">
        <f>SUM(I38:L38)</f>
        <v>1482.5869706434457</v>
      </c>
      <c r="N38" s="755">
        <v>432.09353526679286</v>
      </c>
      <c r="O38" s="755">
        <v>430.783906156456</v>
      </c>
      <c r="P38" s="755">
        <v>453.85268264333638</v>
      </c>
      <c r="Q38" s="755">
        <v>472.9782212649888</v>
      </c>
      <c r="R38" s="757">
        <f>SUM(N38:Q38)</f>
        <v>1789.708345331574</v>
      </c>
      <c r="S38" s="755">
        <v>495.18700871338552</v>
      </c>
      <c r="T38" s="755">
        <v>493.34955354541773</v>
      </c>
      <c r="U38" s="755">
        <v>519.42844428882779</v>
      </c>
      <c r="V38" s="755">
        <v>540.9688170352058</v>
      </c>
      <c r="W38" s="757">
        <f>SUM(S38:V38)</f>
        <v>2048.9338235828372</v>
      </c>
      <c r="X38" s="755">
        <v>564.33162778296401</v>
      </c>
      <c r="Y38" s="755">
        <v>559.35456301612555</v>
      </c>
      <c r="Z38" s="755">
        <v>585.95495940072487</v>
      </c>
      <c r="AA38" s="755">
        <v>607.16076194672928</v>
      </c>
      <c r="AB38" s="757">
        <f>SUM(X38:AA38)</f>
        <v>2316.8019121465441</v>
      </c>
      <c r="AC38" s="755">
        <v>631.13484540493118</v>
      </c>
      <c r="AD38" s="755">
        <v>623.80421182085115</v>
      </c>
      <c r="AE38" s="755">
        <v>651.66147405821005</v>
      </c>
      <c r="AF38" s="755">
        <v>673.36883342319368</v>
      </c>
      <c r="AG38" s="757">
        <f>SUM(AC38:AF38)</f>
        <v>2579.9693647071863</v>
      </c>
      <c r="AH38" s="755">
        <v>698.02932483826191</v>
      </c>
      <c r="AI38" s="755">
        <v>688.0084879145362</v>
      </c>
      <c r="AJ38" s="755">
        <v>716.77667992501745</v>
      </c>
      <c r="AK38" s="755">
        <v>738.62748005821766</v>
      </c>
      <c r="AL38" s="757">
        <f>SUM(AH38:AK38)</f>
        <v>2841.4419727360332</v>
      </c>
      <c r="AM38" s="755">
        <v>764.74196324705918</v>
      </c>
      <c r="AN38" s="755">
        <v>753.41128007790712</v>
      </c>
      <c r="AO38" s="755">
        <v>784.56052271017109</v>
      </c>
      <c r="AP38" s="755">
        <v>808.11789261668207</v>
      </c>
      <c r="AQ38" s="757">
        <f>SUM(AM38:AP38)</f>
        <v>3110.8316586518195</v>
      </c>
      <c r="AR38" s="755">
        <v>836.32633848096577</v>
      </c>
      <c r="AS38" s="755">
        <v>823.58125547243912</v>
      </c>
      <c r="AT38" s="755">
        <v>849.03307434539249</v>
      </c>
      <c r="AU38" s="755">
        <v>874.16795888944819</v>
      </c>
      <c r="AV38" s="757">
        <f>SUM(AR38:AU38)</f>
        <v>3383.1086271882455</v>
      </c>
      <c r="AW38" s="755">
        <v>886.92960336893509</v>
      </c>
      <c r="AX38" s="755">
        <v>873.06748226541447</v>
      </c>
      <c r="AY38" s="755">
        <v>890.96924892505672</v>
      </c>
      <c r="AZ38" s="755">
        <v>916.99838132034927</v>
      </c>
      <c r="BA38" s="757">
        <f>SUM(AW38:AZ38)</f>
        <v>3567.9647158797557</v>
      </c>
      <c r="BB38" s="755">
        <v>930.0415117963496</v>
      </c>
      <c r="BC38" s="755">
        <v>915.17016029406875</v>
      </c>
      <c r="BD38" s="755">
        <v>933.60436783362718</v>
      </c>
      <c r="BE38" s="755">
        <v>960.5420589082064</v>
      </c>
      <c r="BF38" s="757">
        <f>SUM(BB38:BE38)</f>
        <v>3739.3580988322519</v>
      </c>
      <c r="BG38" s="755">
        <v>973.87077063773665</v>
      </c>
      <c r="BH38" s="755">
        <v>957.97281335005687</v>
      </c>
      <c r="BI38" s="755">
        <v>976.94773464774335</v>
      </c>
      <c r="BJ38" s="755">
        <v>1004.8084827136174</v>
      </c>
      <c r="BK38" s="757">
        <f>SUM(BG38:BJ38)</f>
        <v>3913.5998013491544</v>
      </c>
      <c r="BL38" s="755">
        <v>998.4577671032099</v>
      </c>
      <c r="BM38" s="755">
        <v>981.84779401374669</v>
      </c>
      <c r="BN38" s="755">
        <v>981.36175019429788</v>
      </c>
      <c r="BO38" s="755">
        <v>1009.0419626993266</v>
      </c>
      <c r="BP38" s="757">
        <f>SUM(BL38:BO38)</f>
        <v>3970.7092740105813</v>
      </c>
      <c r="BQ38" s="755">
        <v>1002.3667599253199</v>
      </c>
      <c r="BR38" s="755">
        <v>985.40096790397888</v>
      </c>
      <c r="BS38" s="755">
        <v>984.63167184687643</v>
      </c>
      <c r="BT38" s="755">
        <v>1012.1171062514512</v>
      </c>
      <c r="BU38" s="757">
        <f>SUM(BQ38:BT38)</f>
        <v>3984.5165059276264</v>
      </c>
      <c r="BV38" s="751"/>
    </row>
    <row r="39" spans="1:74" ht="17.25" customHeight="1">
      <c r="B39" s="751"/>
      <c r="C39" s="758" t="s">
        <v>663</v>
      </c>
      <c r="D39" s="755">
        <v>279</v>
      </c>
      <c r="E39" s="755">
        <v>326</v>
      </c>
      <c r="F39" s="755">
        <v>298</v>
      </c>
      <c r="G39" s="755">
        <v>369</v>
      </c>
      <c r="H39" s="806">
        <f t="shared" ref="H39:H40" si="272">SUM(D39:G39)</f>
        <v>1272</v>
      </c>
      <c r="I39" s="755">
        <v>320</v>
      </c>
      <c r="J39" s="755">
        <v>360.8352897212967</v>
      </c>
      <c r="K39" s="755">
        <v>375.34013861467815</v>
      </c>
      <c r="L39" s="755">
        <v>393.78761528002116</v>
      </c>
      <c r="M39" s="757">
        <f t="shared" ref="M39:M40" si="273">SUM(I39:L39)</f>
        <v>1449.963043615996</v>
      </c>
      <c r="N39" s="755">
        <v>404.63042442584435</v>
      </c>
      <c r="O39" s="755">
        <v>402.18930795837775</v>
      </c>
      <c r="P39" s="755">
        <v>414.34494074933548</v>
      </c>
      <c r="Q39" s="755">
        <v>430.51288694630415</v>
      </c>
      <c r="R39" s="757">
        <f t="shared" ref="R39:R40" si="274">SUM(N39:Q39)</f>
        <v>1651.6775600798619</v>
      </c>
      <c r="S39" s="755">
        <v>440.7427767123591</v>
      </c>
      <c r="T39" s="755">
        <v>437.78510462673677</v>
      </c>
      <c r="U39" s="755">
        <v>450.72126717725934</v>
      </c>
      <c r="V39" s="755">
        <v>468.00709102092276</v>
      </c>
      <c r="W39" s="757">
        <f t="shared" ref="W39:W40" si="275">SUM(S39:V39)</f>
        <v>1797.2562395372779</v>
      </c>
      <c r="X39" s="755">
        <v>477.87752686962688</v>
      </c>
      <c r="Y39" s="755">
        <v>472.94834923882877</v>
      </c>
      <c r="Z39" s="755">
        <v>485.18952226670569</v>
      </c>
      <c r="AA39" s="755">
        <v>501.99455738568366</v>
      </c>
      <c r="AB39" s="757">
        <f t="shared" ref="AB39:AB40" si="276">SUM(X39:AA39)</f>
        <v>1938.0099557608451</v>
      </c>
      <c r="AC39" s="755">
        <v>511.27120991911431</v>
      </c>
      <c r="AD39" s="755">
        <v>504.95122526454782</v>
      </c>
      <c r="AE39" s="755">
        <v>516.97163320987261</v>
      </c>
      <c r="AF39" s="755">
        <v>533.79136278998385</v>
      </c>
      <c r="AG39" s="757">
        <f t="shared" ref="AG39:AG40" si="277">SUM(AC39:AF39)</f>
        <v>2066.9854311835188</v>
      </c>
      <c r="AH39" s="755">
        <v>542.56328631301142</v>
      </c>
      <c r="AI39" s="755">
        <v>534.77430378823976</v>
      </c>
      <c r="AJ39" s="755">
        <v>546.42106647444189</v>
      </c>
      <c r="AK39" s="755">
        <v>563.07860828139917</v>
      </c>
      <c r="AL39" s="757">
        <f t="shared" ref="AL39:AL40" si="278">SUM(AH39:AK39)</f>
        <v>2186.8372648570921</v>
      </c>
      <c r="AM39" s="755">
        <v>571.77520914575086</v>
      </c>
      <c r="AN39" s="755">
        <v>563.30358858592399</v>
      </c>
      <c r="AO39" s="755">
        <v>575.31233269811014</v>
      </c>
      <c r="AP39" s="755">
        <v>592.58677493786286</v>
      </c>
      <c r="AQ39" s="757">
        <f t="shared" ref="AQ39:AQ40" si="279">SUM(AM39:AP39)</f>
        <v>2302.977905367648</v>
      </c>
      <c r="AR39" s="755">
        <v>601.47812743575571</v>
      </c>
      <c r="AS39" s="755">
        <v>592.3119822251366</v>
      </c>
      <c r="AT39" s="755">
        <v>587.99110784069956</v>
      </c>
      <c r="AU39" s="755">
        <v>597.87964481523102</v>
      </c>
      <c r="AV39" s="757">
        <f t="shared" ref="AV39:AV40" si="280">SUM(AR39:AU39)</f>
        <v>2379.6608623168231</v>
      </c>
      <c r="AW39" s="755">
        <v>580.78545536576871</v>
      </c>
      <c r="AX39" s="755">
        <v>563.46071732646351</v>
      </c>
      <c r="AY39" s="755">
        <v>550.05158060730048</v>
      </c>
      <c r="AZ39" s="755">
        <v>557.76260747057063</v>
      </c>
      <c r="BA39" s="757">
        <f t="shared" ref="BA39:BA40" si="281">SUM(AW39:AZ39)</f>
        <v>2252.0603607701032</v>
      </c>
      <c r="BB39" s="755">
        <v>540.26423925874735</v>
      </c>
      <c r="BC39" s="755">
        <v>522.57639465422187</v>
      </c>
      <c r="BD39" s="755">
        <v>508.59343031677793</v>
      </c>
      <c r="BE39" s="755">
        <v>514.10381552493595</v>
      </c>
      <c r="BF39" s="757">
        <f t="shared" ref="BF39:BF40" si="282">SUM(BB39:BE39)</f>
        <v>2085.5378797546828</v>
      </c>
      <c r="BG39" s="755">
        <v>493.9477517852859</v>
      </c>
      <c r="BH39" s="755">
        <v>472.49939753817171</v>
      </c>
      <c r="BI39" s="755">
        <v>454.62989730183148</v>
      </c>
      <c r="BJ39" s="755">
        <v>454.0486220468278</v>
      </c>
      <c r="BK39" s="757">
        <f t="shared" ref="BK39:BK40" si="283">SUM(BG39:BJ39)</f>
        <v>1875.1256686721169</v>
      </c>
      <c r="BL39" s="755">
        <v>430.46468463597671</v>
      </c>
      <c r="BM39" s="755">
        <v>405.72780606354348</v>
      </c>
      <c r="BN39" s="755">
        <v>384.3327976110964</v>
      </c>
      <c r="BO39" s="755">
        <v>377.39613572819707</v>
      </c>
      <c r="BP39" s="757">
        <f t="shared" ref="BP39:BP40" si="284">SUM(BL39:BO39)</f>
        <v>1597.9214240388137</v>
      </c>
      <c r="BQ39" s="755">
        <v>365.32137280215994</v>
      </c>
      <c r="BR39" s="755">
        <v>359.13804083255832</v>
      </c>
      <c r="BS39" s="755">
        <v>355.26908748398881</v>
      </c>
      <c r="BT39" s="755">
        <v>365.1862224687884</v>
      </c>
      <c r="BU39" s="757">
        <f t="shared" ref="BU39:BU40" si="285">SUM(BQ39:BT39)</f>
        <v>1444.9147235874955</v>
      </c>
      <c r="BV39" s="751"/>
    </row>
    <row r="40" spans="1:74" ht="17.25" customHeight="1" thickBot="1">
      <c r="C40" s="758" t="s">
        <v>664</v>
      </c>
      <c r="D40" s="755">
        <v>279</v>
      </c>
      <c r="E40" s="755">
        <v>326</v>
      </c>
      <c r="F40" s="755">
        <v>298</v>
      </c>
      <c r="G40" s="755">
        <v>381.73536693092086</v>
      </c>
      <c r="H40" s="806">
        <f t="shared" si="272"/>
        <v>1284.7353669309209</v>
      </c>
      <c r="I40" s="755">
        <v>320</v>
      </c>
      <c r="J40" s="755">
        <v>355.4490368450368</v>
      </c>
      <c r="K40" s="755">
        <v>357.14076292933123</v>
      </c>
      <c r="L40" s="755">
        <v>369.11852898020993</v>
      </c>
      <c r="M40" s="757">
        <f t="shared" si="273"/>
        <v>1401.7083287545779</v>
      </c>
      <c r="N40" s="755">
        <v>368.52753632614554</v>
      </c>
      <c r="O40" s="755">
        <v>364.09820171186561</v>
      </c>
      <c r="P40" s="755">
        <v>365.5649199218542</v>
      </c>
      <c r="Q40" s="755">
        <v>377.55524560753429</v>
      </c>
      <c r="R40" s="757">
        <f t="shared" si="274"/>
        <v>1475.7459035673996</v>
      </c>
      <c r="S40" s="755">
        <v>376.6897017290492</v>
      </c>
      <c r="T40" s="755">
        <v>371.90851255352425</v>
      </c>
      <c r="U40" s="755">
        <v>373.16220080818954</v>
      </c>
      <c r="V40" s="755">
        <v>385.15355256113708</v>
      </c>
      <c r="W40" s="757">
        <f t="shared" si="275"/>
        <v>1506.9139676519001</v>
      </c>
      <c r="X40" s="755">
        <v>384.03046242508509</v>
      </c>
      <c r="Y40" s="755">
        <v>378.92251636314268</v>
      </c>
      <c r="Z40" s="755">
        <v>379.97463641341494</v>
      </c>
      <c r="AA40" s="755">
        <v>391.95616137647687</v>
      </c>
      <c r="AB40" s="757">
        <f t="shared" si="276"/>
        <v>1534.8837765781195</v>
      </c>
      <c r="AC40" s="755">
        <v>390.59175674780272</v>
      </c>
      <c r="AD40" s="755">
        <v>385.18096228288579</v>
      </c>
      <c r="AE40" s="755">
        <v>382.18205510258355</v>
      </c>
      <c r="AF40" s="755">
        <v>394.02393571093535</v>
      </c>
      <c r="AG40" s="757">
        <f t="shared" si="277"/>
        <v>1551.9787098442073</v>
      </c>
      <c r="AH40" s="755">
        <v>384.07868097028307</v>
      </c>
      <c r="AI40" s="755">
        <v>371.90566079638808</v>
      </c>
      <c r="AJ40" s="755">
        <v>362.32042944815504</v>
      </c>
      <c r="AK40" s="755">
        <v>366.60006855021112</v>
      </c>
      <c r="AL40" s="757">
        <f t="shared" si="278"/>
        <v>1484.9048397650372</v>
      </c>
      <c r="AM40" s="755">
        <v>354.67705329031014</v>
      </c>
      <c r="AN40" s="755">
        <v>342.81408353000103</v>
      </c>
      <c r="AO40" s="755">
        <v>333.36938002648935</v>
      </c>
      <c r="AP40" s="755">
        <v>336.67168855656564</v>
      </c>
      <c r="AQ40" s="757">
        <f t="shared" si="279"/>
        <v>1367.5322054033661</v>
      </c>
      <c r="AR40" s="755">
        <v>320.72224837811211</v>
      </c>
      <c r="AS40" s="755">
        <v>302.74355563721537</v>
      </c>
      <c r="AT40" s="755">
        <v>284.29491785554274</v>
      </c>
      <c r="AU40" s="755">
        <v>279.56799854272185</v>
      </c>
      <c r="AV40" s="757">
        <f t="shared" si="280"/>
        <v>1187.328720413592</v>
      </c>
      <c r="AW40" s="755">
        <v>257.12415251019951</v>
      </c>
      <c r="AX40" s="755">
        <v>240.54868969125607</v>
      </c>
      <c r="AY40" s="755">
        <v>221.43844934235628</v>
      </c>
      <c r="AZ40" s="755">
        <v>215.43901572053755</v>
      </c>
      <c r="BA40" s="757">
        <f t="shared" si="281"/>
        <v>934.55030726434939</v>
      </c>
      <c r="BB40" s="755">
        <v>195.82383902095364</v>
      </c>
      <c r="BC40" s="755">
        <v>180.78907348719622</v>
      </c>
      <c r="BD40" s="755">
        <v>164.00959654371525</v>
      </c>
      <c r="BE40" s="755">
        <v>156.93021819215855</v>
      </c>
      <c r="BF40" s="757">
        <f t="shared" si="282"/>
        <v>697.55272724402369</v>
      </c>
      <c r="BG40" s="755">
        <v>139.97438313850719</v>
      </c>
      <c r="BH40" s="755">
        <v>126.42073151119044</v>
      </c>
      <c r="BI40" s="755">
        <v>111.83513053924437</v>
      </c>
      <c r="BJ40" s="755">
        <v>103.85018798834734</v>
      </c>
      <c r="BK40" s="757">
        <f t="shared" si="283"/>
        <v>482.08043317728936</v>
      </c>
      <c r="BL40" s="755">
        <v>94.725097236385963</v>
      </c>
      <c r="BM40" s="755">
        <v>90.485824220536529</v>
      </c>
      <c r="BN40" s="755">
        <v>85.183022155052029</v>
      </c>
      <c r="BO40" s="755">
        <v>84.946145454800174</v>
      </c>
      <c r="BP40" s="757">
        <f t="shared" si="284"/>
        <v>355.34008906677468</v>
      </c>
      <c r="BQ40" s="755">
        <v>81.00464301506598</v>
      </c>
      <c r="BR40" s="755">
        <v>79.633580065752909</v>
      </c>
      <c r="BS40" s="755">
        <v>77.184268333747838</v>
      </c>
      <c r="BT40" s="755">
        <v>79.338823387185386</v>
      </c>
      <c r="BU40" s="757">
        <f t="shared" si="285"/>
        <v>317.1613148017521</v>
      </c>
      <c r="BV40" s="751"/>
    </row>
    <row r="41" spans="1:74" ht="17.25" customHeight="1" thickBot="1">
      <c r="C41" s="762" t="s">
        <v>35</v>
      </c>
      <c r="D41" s="763">
        <f t="shared" ref="D41" si="286">CHOOSE($B$59,D38,D39,D40)</f>
        <v>279</v>
      </c>
      <c r="E41" s="763">
        <f t="shared" ref="E41" si="287">CHOOSE($B$59,E38,E39,E40)</f>
        <v>326</v>
      </c>
      <c r="F41" s="763">
        <f t="shared" ref="F41" si="288">CHOOSE($B$59,F38,F39,F40)</f>
        <v>298</v>
      </c>
      <c r="G41" s="763">
        <f t="shared" ref="G41" si="289">CHOOSE($B$59,G38,G39,G40)</f>
        <v>369</v>
      </c>
      <c r="H41" s="763">
        <f t="shared" ref="H41" si="290">CHOOSE($B$59,H38,H39,H40)</f>
        <v>1272</v>
      </c>
      <c r="I41" s="763">
        <f t="shared" ref="I41" si="291">CHOOSE($B$59,I38,I39,I40)</f>
        <v>320</v>
      </c>
      <c r="J41" s="763">
        <f t="shared" ref="J41" si="292">CHOOSE($B$59,J38,J39,J40)</f>
        <v>360.8352897212967</v>
      </c>
      <c r="K41" s="763">
        <f t="shared" ref="K41" si="293">CHOOSE($B$59,K38,K39,K40)</f>
        <v>375.34013861467815</v>
      </c>
      <c r="L41" s="763">
        <f t="shared" ref="L41" si="294">CHOOSE($B$59,L38,L39,L40)</f>
        <v>393.78761528002116</v>
      </c>
      <c r="M41" s="763">
        <f t="shared" ref="M41" si="295">CHOOSE($B$59,M38,M39,M40)</f>
        <v>1449.963043615996</v>
      </c>
      <c r="N41" s="763">
        <f t="shared" ref="N41" si="296">CHOOSE($B$59,N38,N39,N40)</f>
        <v>404.63042442584435</v>
      </c>
      <c r="O41" s="763">
        <f t="shared" ref="O41" si="297">CHOOSE($B$59,O38,O39,O40)</f>
        <v>402.18930795837775</v>
      </c>
      <c r="P41" s="763">
        <f t="shared" ref="P41" si="298">CHOOSE($B$59,P38,P39,P40)</f>
        <v>414.34494074933548</v>
      </c>
      <c r="Q41" s="763">
        <f t="shared" ref="Q41" si="299">CHOOSE($B$59,Q38,Q39,Q40)</f>
        <v>430.51288694630415</v>
      </c>
      <c r="R41" s="763">
        <f t="shared" ref="R41" si="300">CHOOSE($B$59,R38,R39,R40)</f>
        <v>1651.6775600798619</v>
      </c>
      <c r="S41" s="763">
        <f t="shared" ref="S41" si="301">CHOOSE($B$59,S38,S39,S40)</f>
        <v>440.7427767123591</v>
      </c>
      <c r="T41" s="763">
        <f t="shared" ref="T41" si="302">CHOOSE($B$59,T38,T39,T40)</f>
        <v>437.78510462673677</v>
      </c>
      <c r="U41" s="763">
        <f t="shared" ref="U41" si="303">CHOOSE($B$59,U38,U39,U40)</f>
        <v>450.72126717725934</v>
      </c>
      <c r="V41" s="763">
        <f t="shared" ref="V41" si="304">CHOOSE($B$59,V38,V39,V40)</f>
        <v>468.00709102092276</v>
      </c>
      <c r="W41" s="763">
        <f t="shared" ref="W41" si="305">CHOOSE($B$59,W38,W39,W40)</f>
        <v>1797.2562395372779</v>
      </c>
      <c r="X41" s="763">
        <f t="shared" ref="X41" si="306">CHOOSE($B$59,X38,X39,X40)</f>
        <v>477.87752686962688</v>
      </c>
      <c r="Y41" s="763">
        <f t="shared" ref="Y41" si="307">CHOOSE($B$59,Y38,Y39,Y40)</f>
        <v>472.94834923882877</v>
      </c>
      <c r="Z41" s="763">
        <f t="shared" ref="Z41" si="308">CHOOSE($B$59,Z38,Z39,Z40)</f>
        <v>485.18952226670569</v>
      </c>
      <c r="AA41" s="763">
        <f t="shared" ref="AA41" si="309">CHOOSE($B$59,AA38,AA39,AA40)</f>
        <v>501.99455738568366</v>
      </c>
      <c r="AB41" s="763">
        <f t="shared" ref="AB41" si="310">CHOOSE($B$59,AB38,AB39,AB40)</f>
        <v>1938.0099557608451</v>
      </c>
      <c r="AC41" s="763">
        <f t="shared" ref="AC41" si="311">CHOOSE($B$59,AC38,AC39,AC40)</f>
        <v>511.27120991911431</v>
      </c>
      <c r="AD41" s="763">
        <f t="shared" ref="AD41" si="312">CHOOSE($B$59,AD38,AD39,AD40)</f>
        <v>504.95122526454782</v>
      </c>
      <c r="AE41" s="763">
        <f t="shared" ref="AE41" si="313">CHOOSE($B$59,AE38,AE39,AE40)</f>
        <v>516.97163320987261</v>
      </c>
      <c r="AF41" s="763">
        <f t="shared" ref="AF41" si="314">CHOOSE($B$59,AF38,AF39,AF40)</f>
        <v>533.79136278998385</v>
      </c>
      <c r="AG41" s="763">
        <f t="shared" ref="AG41" si="315">CHOOSE($B$59,AG38,AG39,AG40)</f>
        <v>2066.9854311835188</v>
      </c>
      <c r="AH41" s="763">
        <f t="shared" ref="AH41" si="316">CHOOSE($B$59,AH38,AH39,AH40)</f>
        <v>542.56328631301142</v>
      </c>
      <c r="AI41" s="763">
        <f t="shared" ref="AI41" si="317">CHOOSE($B$59,AI38,AI39,AI40)</f>
        <v>534.77430378823976</v>
      </c>
      <c r="AJ41" s="763">
        <f t="shared" ref="AJ41" si="318">CHOOSE($B$59,AJ38,AJ39,AJ40)</f>
        <v>546.42106647444189</v>
      </c>
      <c r="AK41" s="763">
        <f t="shared" ref="AK41" si="319">CHOOSE($B$59,AK38,AK39,AK40)</f>
        <v>563.07860828139917</v>
      </c>
      <c r="AL41" s="763">
        <f t="shared" ref="AL41" si="320">CHOOSE($B$59,AL38,AL39,AL40)</f>
        <v>2186.8372648570921</v>
      </c>
      <c r="AM41" s="763">
        <f t="shared" ref="AM41" si="321">CHOOSE($B$59,AM38,AM39,AM40)</f>
        <v>571.77520914575086</v>
      </c>
      <c r="AN41" s="763">
        <f t="shared" ref="AN41" si="322">CHOOSE($B$59,AN38,AN39,AN40)</f>
        <v>563.30358858592399</v>
      </c>
      <c r="AO41" s="763">
        <f t="shared" ref="AO41" si="323">CHOOSE($B$59,AO38,AO39,AO40)</f>
        <v>575.31233269811014</v>
      </c>
      <c r="AP41" s="763">
        <f t="shared" ref="AP41" si="324">CHOOSE($B$59,AP38,AP39,AP40)</f>
        <v>592.58677493786286</v>
      </c>
      <c r="AQ41" s="763">
        <f t="shared" ref="AQ41" si="325">CHOOSE($B$59,AQ38,AQ39,AQ40)</f>
        <v>2302.977905367648</v>
      </c>
      <c r="AR41" s="763">
        <f t="shared" ref="AR41" si="326">CHOOSE($B$59,AR38,AR39,AR40)</f>
        <v>601.47812743575571</v>
      </c>
      <c r="AS41" s="763">
        <f t="shared" ref="AS41" si="327">CHOOSE($B$59,AS38,AS39,AS40)</f>
        <v>592.3119822251366</v>
      </c>
      <c r="AT41" s="763">
        <f t="shared" ref="AT41" si="328">CHOOSE($B$59,AT38,AT39,AT40)</f>
        <v>587.99110784069956</v>
      </c>
      <c r="AU41" s="763">
        <f t="shared" ref="AU41" si="329">CHOOSE($B$59,AU38,AU39,AU40)</f>
        <v>597.87964481523102</v>
      </c>
      <c r="AV41" s="763">
        <f t="shared" ref="AV41" si="330">CHOOSE($B$59,AV38,AV39,AV40)</f>
        <v>2379.6608623168231</v>
      </c>
      <c r="AW41" s="763">
        <f t="shared" ref="AW41" si="331">CHOOSE($B$59,AW38,AW39,AW40)</f>
        <v>580.78545536576871</v>
      </c>
      <c r="AX41" s="763">
        <f t="shared" ref="AX41" si="332">CHOOSE($B$59,AX38,AX39,AX40)</f>
        <v>563.46071732646351</v>
      </c>
      <c r="AY41" s="763">
        <f t="shared" ref="AY41" si="333">CHOOSE($B$59,AY38,AY39,AY40)</f>
        <v>550.05158060730048</v>
      </c>
      <c r="AZ41" s="763">
        <f t="shared" ref="AZ41" si="334">CHOOSE($B$59,AZ38,AZ39,AZ40)</f>
        <v>557.76260747057063</v>
      </c>
      <c r="BA41" s="763">
        <f t="shared" ref="BA41" si="335">CHOOSE($B$59,BA38,BA39,BA40)</f>
        <v>2252.0603607701032</v>
      </c>
      <c r="BB41" s="763">
        <f t="shared" ref="BB41" si="336">CHOOSE($B$59,BB38,BB39,BB40)</f>
        <v>540.26423925874735</v>
      </c>
      <c r="BC41" s="763">
        <f t="shared" ref="BC41" si="337">CHOOSE($B$59,BC38,BC39,BC40)</f>
        <v>522.57639465422187</v>
      </c>
      <c r="BD41" s="763">
        <f t="shared" ref="BD41" si="338">CHOOSE($B$59,BD38,BD39,BD40)</f>
        <v>508.59343031677793</v>
      </c>
      <c r="BE41" s="763">
        <f t="shared" ref="BE41" si="339">CHOOSE($B$59,BE38,BE39,BE40)</f>
        <v>514.10381552493595</v>
      </c>
      <c r="BF41" s="763">
        <f t="shared" ref="BF41" si="340">CHOOSE($B$59,BF38,BF39,BF40)</f>
        <v>2085.5378797546828</v>
      </c>
      <c r="BG41" s="763">
        <f t="shared" ref="BG41" si="341">CHOOSE($B$59,BG38,BG39,BG40)</f>
        <v>493.9477517852859</v>
      </c>
      <c r="BH41" s="763">
        <f t="shared" ref="BH41" si="342">CHOOSE($B$59,BH38,BH39,BH40)</f>
        <v>472.49939753817171</v>
      </c>
      <c r="BI41" s="763">
        <f t="shared" ref="BI41" si="343">CHOOSE($B$59,BI38,BI39,BI40)</f>
        <v>454.62989730183148</v>
      </c>
      <c r="BJ41" s="763">
        <f t="shared" ref="BJ41" si="344">CHOOSE($B$59,BJ38,BJ39,BJ40)</f>
        <v>454.0486220468278</v>
      </c>
      <c r="BK41" s="763">
        <f t="shared" ref="BK41" si="345">CHOOSE($B$59,BK38,BK39,BK40)</f>
        <v>1875.1256686721169</v>
      </c>
      <c r="BL41" s="763">
        <f t="shared" ref="BL41" si="346">CHOOSE($B$59,BL38,BL39,BL40)</f>
        <v>430.46468463597671</v>
      </c>
      <c r="BM41" s="763">
        <f t="shared" ref="BM41" si="347">CHOOSE($B$59,BM38,BM39,BM40)</f>
        <v>405.72780606354348</v>
      </c>
      <c r="BN41" s="763">
        <f t="shared" ref="BN41" si="348">CHOOSE($B$59,BN38,BN39,BN40)</f>
        <v>384.3327976110964</v>
      </c>
      <c r="BO41" s="763">
        <f t="shared" ref="BO41" si="349">CHOOSE($B$59,BO38,BO39,BO40)</f>
        <v>377.39613572819707</v>
      </c>
      <c r="BP41" s="763">
        <f t="shared" ref="BP41" si="350">CHOOSE($B$59,BP38,BP39,BP40)</f>
        <v>1597.9214240388137</v>
      </c>
      <c r="BQ41" s="763">
        <f t="shared" ref="BQ41" si="351">CHOOSE($B$59,BQ38,BQ39,BQ40)</f>
        <v>365.32137280215994</v>
      </c>
      <c r="BR41" s="763">
        <f t="shared" ref="BR41" si="352">CHOOSE($B$59,BR38,BR39,BR40)</f>
        <v>359.13804083255832</v>
      </c>
      <c r="BS41" s="763">
        <f t="shared" ref="BS41" si="353">CHOOSE($B$59,BS38,BS39,BS40)</f>
        <v>355.26908748398881</v>
      </c>
      <c r="BT41" s="763">
        <f t="shared" ref="BT41" si="354">CHOOSE($B$59,BT38,BT39,BT40)</f>
        <v>365.1862224687884</v>
      </c>
      <c r="BU41" s="764">
        <f t="shared" ref="BU41" si="355">CHOOSE($B$59,BU38,BU39,BU40)</f>
        <v>1444.9147235874955</v>
      </c>
    </row>
    <row r="42" spans="1:74" ht="17.25" customHeight="1">
      <c r="D42" s="755"/>
      <c r="E42" s="755"/>
      <c r="F42" s="755"/>
      <c r="G42" s="755"/>
      <c r="H42" s="757"/>
      <c r="I42" s="755"/>
      <c r="J42" s="755"/>
      <c r="K42" s="755"/>
      <c r="L42" s="755"/>
      <c r="M42" s="757"/>
      <c r="N42" s="755"/>
      <c r="O42" s="755"/>
      <c r="P42" s="755"/>
      <c r="Q42" s="755"/>
      <c r="R42" s="757"/>
      <c r="S42" s="755"/>
      <c r="T42" s="755"/>
      <c r="U42" s="755"/>
      <c r="V42" s="755"/>
      <c r="W42" s="757"/>
      <c r="X42" s="755"/>
      <c r="Y42" s="755"/>
      <c r="Z42" s="755"/>
      <c r="AA42" s="755"/>
      <c r="AB42" s="757"/>
      <c r="AC42" s="755"/>
      <c r="AD42" s="755"/>
      <c r="AE42" s="755"/>
      <c r="AF42" s="755"/>
      <c r="AG42" s="757"/>
      <c r="AH42" s="755"/>
      <c r="AI42" s="755"/>
      <c r="AJ42" s="755"/>
      <c r="AK42" s="755"/>
      <c r="AL42" s="757"/>
      <c r="AM42" s="755"/>
      <c r="AN42" s="755"/>
      <c r="AO42" s="755"/>
      <c r="AP42" s="755"/>
      <c r="AQ42" s="757"/>
      <c r="AR42" s="755"/>
      <c r="AS42" s="755"/>
      <c r="AT42" s="755"/>
      <c r="AU42" s="755"/>
      <c r="AV42" s="757"/>
      <c r="AW42" s="755"/>
      <c r="AX42" s="755"/>
      <c r="AY42" s="755"/>
      <c r="AZ42" s="755"/>
      <c r="BA42" s="757"/>
      <c r="BB42" s="755"/>
      <c r="BC42" s="755"/>
      <c r="BD42" s="755"/>
      <c r="BE42" s="755"/>
      <c r="BF42" s="757"/>
      <c r="BG42" s="755"/>
      <c r="BH42" s="755"/>
      <c r="BI42" s="755"/>
      <c r="BJ42" s="755"/>
      <c r="BK42" s="757"/>
      <c r="BL42" s="755"/>
      <c r="BM42" s="755"/>
      <c r="BN42" s="755"/>
      <c r="BO42" s="755"/>
      <c r="BP42" s="757"/>
      <c r="BQ42" s="755"/>
      <c r="BR42" s="755"/>
      <c r="BS42" s="755"/>
      <c r="BT42" s="755"/>
      <c r="BU42" s="757"/>
    </row>
    <row r="43" spans="1:74" ht="17.25" customHeight="1">
      <c r="A43" s="781" t="s">
        <v>591</v>
      </c>
      <c r="B43" s="756" t="s">
        <v>118</v>
      </c>
      <c r="C43" s="758" t="s">
        <v>662</v>
      </c>
      <c r="D43" s="755">
        <v>298</v>
      </c>
      <c r="E43" s="755">
        <v>292</v>
      </c>
      <c r="F43" s="755">
        <v>282</v>
      </c>
      <c r="G43" s="755">
        <v>282.37610374842649</v>
      </c>
      <c r="H43" s="806">
        <f t="shared" ref="H43:H45" si="356">SUM(D43:G43)</f>
        <v>1154.3761037484264</v>
      </c>
      <c r="I43" s="755">
        <v>332</v>
      </c>
      <c r="J43" s="755">
        <v>281.66208371182495</v>
      </c>
      <c r="K43" s="755">
        <v>312.70128335245801</v>
      </c>
      <c r="L43" s="755">
        <v>316.17049358594699</v>
      </c>
      <c r="M43" s="757">
        <f t="shared" ref="M43:M45" si="357">SUM(I43:L43)</f>
        <v>1242.5338606502301</v>
      </c>
      <c r="N43" s="755">
        <v>347.0012764007746</v>
      </c>
      <c r="O43" s="755">
        <v>358.125927235066</v>
      </c>
      <c r="P43" s="755">
        <v>358.00702138889307</v>
      </c>
      <c r="Q43" s="755">
        <v>360.62253722801455</v>
      </c>
      <c r="R43" s="757">
        <f>SUM(N43:Q43)</f>
        <v>1423.7567622527483</v>
      </c>
      <c r="S43" s="755">
        <v>395.2996288225853</v>
      </c>
      <c r="T43" s="755">
        <v>407.8948689194778</v>
      </c>
      <c r="U43" s="755">
        <v>407.68764588780101</v>
      </c>
      <c r="V43" s="755">
        <v>410.59168463868934</v>
      </c>
      <c r="W43" s="757">
        <f>SUM(S43:V43)</f>
        <v>1621.4738282685535</v>
      </c>
      <c r="X43" s="755">
        <v>447.80160686648367</v>
      </c>
      <c r="Y43" s="755">
        <v>461.98613351187612</v>
      </c>
      <c r="Z43" s="755">
        <v>461.67433556198989</v>
      </c>
      <c r="AA43" s="755">
        <v>464.88298877372705</v>
      </c>
      <c r="AB43" s="757">
        <f>SUM(X43:AA43)</f>
        <v>1836.3450647140767</v>
      </c>
      <c r="AC43" s="755">
        <v>505.85375910959192</v>
      </c>
      <c r="AD43" s="755">
        <v>520.07599026013338</v>
      </c>
      <c r="AE43" s="755">
        <v>518.06286181173789</v>
      </c>
      <c r="AF43" s="755">
        <v>519.93959492282522</v>
      </c>
      <c r="AG43" s="757">
        <f>SUM(AC43:AF43)</f>
        <v>2063.9322061042885</v>
      </c>
      <c r="AH43" s="755">
        <v>561.23796606032079</v>
      </c>
      <c r="AI43" s="755">
        <v>575.11028023801055</v>
      </c>
      <c r="AJ43" s="755">
        <v>571.11816795416496</v>
      </c>
      <c r="AK43" s="755">
        <v>571.34971651579201</v>
      </c>
      <c r="AL43" s="757">
        <f>SUM(AH43:AK43)</f>
        <v>2278.8161307682881</v>
      </c>
      <c r="AM43" s="755">
        <v>616.14050885220524</v>
      </c>
      <c r="AN43" s="755">
        <v>631.36986829201351</v>
      </c>
      <c r="AO43" s="755">
        <v>626.98723161611304</v>
      </c>
      <c r="AP43" s="755">
        <v>627.24143118423274</v>
      </c>
      <c r="AQ43" s="757">
        <f>SUM(AM43:AP43)</f>
        <v>2501.7390399445644</v>
      </c>
      <c r="AR43" s="755">
        <v>673.08175011829087</v>
      </c>
      <c r="AS43" s="755">
        <v>689.71854604008843</v>
      </c>
      <c r="AT43" s="755">
        <v>678.34500973225227</v>
      </c>
      <c r="AU43" s="755">
        <v>678.62003129539573</v>
      </c>
      <c r="AV43" s="757">
        <f>SUM(AR43:AU43)</f>
        <v>2719.7653371860274</v>
      </c>
      <c r="AW43" s="755">
        <v>714.21108354101932</v>
      </c>
      <c r="AX43" s="755">
        <v>731.86448751441412</v>
      </c>
      <c r="AY43" s="755">
        <v>712.80764960668955</v>
      </c>
      <c r="AZ43" s="755">
        <v>713.09664336532705</v>
      </c>
      <c r="BA43" s="757">
        <f>SUM(AW43:AZ43)</f>
        <v>2871.9798640274503</v>
      </c>
      <c r="BB43" s="755">
        <v>743.06521131607644</v>
      </c>
      <c r="BC43" s="755">
        <v>761.43181280999636</v>
      </c>
      <c r="BD43" s="755">
        <v>741.60507865079978</v>
      </c>
      <c r="BE43" s="755">
        <v>741.90574775728624</v>
      </c>
      <c r="BF43" s="757">
        <f>SUM(BB43:BE43)</f>
        <v>2988.0078505341589</v>
      </c>
      <c r="BG43" s="755">
        <v>773.0850458532459</v>
      </c>
      <c r="BH43" s="755">
        <v>792.19365804752022</v>
      </c>
      <c r="BI43" s="755">
        <v>771.56592382829206</v>
      </c>
      <c r="BJ43" s="755">
        <v>771.87873996668054</v>
      </c>
      <c r="BK43" s="757">
        <f>SUM(BG43:BJ43)</f>
        <v>3108.7233676957385</v>
      </c>
      <c r="BL43" s="755">
        <v>788.54674677031073</v>
      </c>
      <c r="BM43" s="755">
        <v>808.03753120847057</v>
      </c>
      <c r="BN43" s="755">
        <v>771.56592382829206</v>
      </c>
      <c r="BO43" s="755">
        <v>771.87873996668054</v>
      </c>
      <c r="BP43" s="757">
        <f>SUM(BL43:BO43)</f>
        <v>3140.028941773754</v>
      </c>
      <c r="BQ43" s="755">
        <v>788.54674677031073</v>
      </c>
      <c r="BR43" s="755">
        <v>808.03753120847057</v>
      </c>
      <c r="BS43" s="755">
        <v>771.56592382829206</v>
      </c>
      <c r="BT43" s="755">
        <v>771.87873996668054</v>
      </c>
      <c r="BU43" s="757">
        <f>SUM(BQ43:BT43)</f>
        <v>3140.028941773754</v>
      </c>
      <c r="BV43" s="751"/>
    </row>
    <row r="44" spans="1:74" ht="17.25" customHeight="1">
      <c r="B44" s="751"/>
      <c r="C44" s="758" t="s">
        <v>663</v>
      </c>
      <c r="D44" s="755">
        <v>298</v>
      </c>
      <c r="E44" s="755">
        <v>292</v>
      </c>
      <c r="F44" s="755">
        <v>282</v>
      </c>
      <c r="G44" s="755">
        <v>285</v>
      </c>
      <c r="H44" s="806">
        <f t="shared" si="356"/>
        <v>1157</v>
      </c>
      <c r="I44" s="755">
        <v>332</v>
      </c>
      <c r="J44" s="755">
        <v>266.82103210649996</v>
      </c>
      <c r="K44" s="755">
        <v>292.08361631822999</v>
      </c>
      <c r="L44" s="755">
        <v>295.32408741544498</v>
      </c>
      <c r="M44" s="757">
        <f t="shared" si="357"/>
        <v>1186.228735840175</v>
      </c>
      <c r="N44" s="755">
        <v>317.8889546063732</v>
      </c>
      <c r="O44" s="755">
        <v>328.08028202958815</v>
      </c>
      <c r="P44" s="755">
        <v>321.66421062716785</v>
      </c>
      <c r="Q44" s="755">
        <v>324.01421436315593</v>
      </c>
      <c r="R44" s="757">
        <f t="shared" ref="R44:R45" si="358">SUM(N44:Q44)</f>
        <v>1291.6476616262853</v>
      </c>
      <c r="S44" s="755">
        <v>348.34087413392643</v>
      </c>
      <c r="T44" s="755">
        <v>359.43989023557668</v>
      </c>
      <c r="U44" s="755">
        <v>352.34848989121235</v>
      </c>
      <c r="V44" s="755">
        <v>354.85833702242178</v>
      </c>
      <c r="W44" s="757">
        <f t="shared" ref="W44:W45" si="359">SUM(S44:V44)</f>
        <v>1414.9875912831371</v>
      </c>
      <c r="X44" s="755">
        <v>379.57477507736343</v>
      </c>
      <c r="Y44" s="755">
        <v>391.5981542444888</v>
      </c>
      <c r="Z44" s="755">
        <v>383.80821049026144</v>
      </c>
      <c r="AA44" s="755">
        <v>386.4756913364331</v>
      </c>
      <c r="AB44" s="757">
        <f t="shared" ref="AB44:AB45" si="360">SUM(X44:AA44)</f>
        <v>1541.4568311485468</v>
      </c>
      <c r="AC44" s="755">
        <v>412.44908294508411</v>
      </c>
      <c r="AD44" s="755">
        <v>424.04521342714099</v>
      </c>
      <c r="AE44" s="755">
        <v>414.28065420724465</v>
      </c>
      <c r="AF44" s="755">
        <v>415.78142617594864</v>
      </c>
      <c r="AG44" s="757">
        <f t="shared" ref="AG44:AG45" si="361">SUM(AC44:AF44)</f>
        <v>1666.5563767554183</v>
      </c>
      <c r="AH44" s="755">
        <v>440.17570412902222</v>
      </c>
      <c r="AI44" s="755">
        <v>451.05568023599744</v>
      </c>
      <c r="AJ44" s="755">
        <v>439.31075322798159</v>
      </c>
      <c r="AK44" s="755">
        <v>439.48886308111696</v>
      </c>
      <c r="AL44" s="757">
        <f t="shared" ref="AL44:AL45" si="362">SUM(AH44:AK44)</f>
        <v>1770.0310006741183</v>
      </c>
      <c r="AM44" s="755">
        <v>464.82818461447232</v>
      </c>
      <c r="AN44" s="755">
        <v>476.31750466329476</v>
      </c>
      <c r="AO44" s="755">
        <v>463.91479127326784</v>
      </c>
      <c r="AP44" s="755">
        <v>464.10287634683783</v>
      </c>
      <c r="AQ44" s="757">
        <f t="shared" ref="AQ44:AQ45" si="363">SUM(AM44:AP44)</f>
        <v>1869.1633568978727</v>
      </c>
      <c r="AR44" s="755">
        <v>488.44331570562605</v>
      </c>
      <c r="AS44" s="755">
        <v>500.51633917020877</v>
      </c>
      <c r="AT44" s="755">
        <v>472.26715335461932</v>
      </c>
      <c r="AU44" s="755">
        <v>463.27162223678789</v>
      </c>
      <c r="AV44" s="757">
        <f t="shared" ref="AV44:AV45" si="364">SUM(AR44:AU44)</f>
        <v>1924.4984304672419</v>
      </c>
      <c r="AW44" s="755">
        <v>466.30452389494411</v>
      </c>
      <c r="AX44" s="755">
        <v>471.26194623209744</v>
      </c>
      <c r="AY44" s="755">
        <v>439.68197803850802</v>
      </c>
      <c r="AZ44" s="755">
        <v>433.79742309526756</v>
      </c>
      <c r="BA44" s="757">
        <f t="shared" ref="BA44:BA45" si="365">SUM(AW44:AZ44)</f>
        <v>1811.0458712608172</v>
      </c>
      <c r="BB44" s="755">
        <v>430.34385815187125</v>
      </c>
      <c r="BC44" s="755">
        <v>430.5195904071395</v>
      </c>
      <c r="BD44" s="755">
        <v>397.72473107807758</v>
      </c>
      <c r="BE44" s="755">
        <v>388.22996212518211</v>
      </c>
      <c r="BF44" s="757">
        <f t="shared" ref="BF44:BF45" si="366">SUM(BB44:BE44)</f>
        <v>1646.8181417622704</v>
      </c>
      <c r="BG44" s="755">
        <v>381.81839424595989</v>
      </c>
      <c r="BH44" s="755">
        <v>378.63679606416792</v>
      </c>
      <c r="BI44" s="755">
        <v>346.77064852693809</v>
      </c>
      <c r="BJ44" s="755">
        <v>335.2634074483409</v>
      </c>
      <c r="BK44" s="757">
        <f t="shared" ref="BK44:BK45" si="367">SUM(BG44:BJ44)</f>
        <v>1442.4892462854068</v>
      </c>
      <c r="BL44" s="755">
        <v>321.99184977191277</v>
      </c>
      <c r="BM44" s="755">
        <v>308.30660722821892</v>
      </c>
      <c r="BN44" s="755">
        <v>272.30471884211596</v>
      </c>
      <c r="BO44" s="755">
        <v>252.43704850528133</v>
      </c>
      <c r="BP44" s="757">
        <f t="shared" ref="BP44:BP45" si="368">SUM(BL44:BO44)</f>
        <v>1155.0402243475291</v>
      </c>
      <c r="BQ44" s="755">
        <v>249.26283092810311</v>
      </c>
      <c r="BR44" s="755">
        <v>255.42394709016151</v>
      </c>
      <c r="BS44" s="755">
        <v>241.45617255630646</v>
      </c>
      <c r="BT44" s="755">
        <v>241.55406618426034</v>
      </c>
      <c r="BU44" s="757">
        <f t="shared" ref="BU44:BU45" si="369">SUM(BQ44:BT44)</f>
        <v>987.69701675883141</v>
      </c>
      <c r="BV44" s="751"/>
    </row>
    <row r="45" spans="1:74" ht="17.25" customHeight="1" thickBot="1">
      <c r="C45" s="758" t="s">
        <v>664</v>
      </c>
      <c r="D45" s="755">
        <v>298</v>
      </c>
      <c r="E45" s="755">
        <v>292</v>
      </c>
      <c r="F45" s="755">
        <v>282</v>
      </c>
      <c r="G45" s="755">
        <v>276.8394186747168</v>
      </c>
      <c r="H45" s="806">
        <f t="shared" si="356"/>
        <v>1148.8394186747169</v>
      </c>
      <c r="I45" s="755">
        <v>332</v>
      </c>
      <c r="J45" s="755">
        <v>265.33145741549998</v>
      </c>
      <c r="K45" s="755">
        <v>282.9789601155</v>
      </c>
      <c r="L45" s="755">
        <v>284.11396662824995</v>
      </c>
      <c r="M45" s="757">
        <f t="shared" si="357"/>
        <v>1164.4243841592499</v>
      </c>
      <c r="N45" s="755">
        <v>298.52785489916249</v>
      </c>
      <c r="O45" s="755">
        <v>307.02833437691248</v>
      </c>
      <c r="P45" s="755">
        <v>294.17232628698747</v>
      </c>
      <c r="Q45" s="755">
        <v>295.33737788589372</v>
      </c>
      <c r="R45" s="757">
        <f t="shared" si="358"/>
        <v>1195.0658934489561</v>
      </c>
      <c r="S45" s="755">
        <v>310.30583163263157</v>
      </c>
      <c r="T45" s="755">
        <v>319.12547302551093</v>
      </c>
      <c r="U45" s="755">
        <v>305.74849891697716</v>
      </c>
      <c r="V45" s="755">
        <v>306.94438847727696</v>
      </c>
      <c r="W45" s="757">
        <f t="shared" si="359"/>
        <v>1242.1241920523967</v>
      </c>
      <c r="X45" s="755">
        <v>320.5456504603784</v>
      </c>
      <c r="Y45" s="755">
        <v>329.05503799462861</v>
      </c>
      <c r="Z45" s="755">
        <v>314.72661193141238</v>
      </c>
      <c r="AA45" s="755">
        <v>315.40089584848516</v>
      </c>
      <c r="AB45" s="757">
        <f t="shared" si="360"/>
        <v>1279.7281962349045</v>
      </c>
      <c r="AC45" s="755">
        <v>329.20111221337277</v>
      </c>
      <c r="AD45" s="755">
        <v>337.93616679095004</v>
      </c>
      <c r="AE45" s="755">
        <v>319.9851844881108</v>
      </c>
      <c r="AF45" s="755">
        <v>320.66695789492934</v>
      </c>
      <c r="AG45" s="757">
        <f t="shared" si="361"/>
        <v>1307.7894213873631</v>
      </c>
      <c r="AH45" s="755">
        <v>321.90066739826483</v>
      </c>
      <c r="AI45" s="755">
        <v>323.9075283360275</v>
      </c>
      <c r="AJ45" s="755">
        <v>300.9327906773205</v>
      </c>
      <c r="AK45" s="755">
        <v>295.56307836671289</v>
      </c>
      <c r="AL45" s="757">
        <f t="shared" si="362"/>
        <v>1242.3040647783257</v>
      </c>
      <c r="AM45" s="755">
        <v>295.78952610769051</v>
      </c>
      <c r="AN45" s="755">
        <v>293.63067390277479</v>
      </c>
      <c r="AO45" s="755">
        <v>269.19820635131276</v>
      </c>
      <c r="AP45" s="755">
        <v>260.56627407396246</v>
      </c>
      <c r="AQ45" s="757">
        <f t="shared" si="363"/>
        <v>1119.1846804357406</v>
      </c>
      <c r="AR45" s="755">
        <v>254.68418192931938</v>
      </c>
      <c r="AS45" s="755">
        <v>246.91777824539918</v>
      </c>
      <c r="AT45" s="755">
        <v>218.74686806889574</v>
      </c>
      <c r="AU45" s="755">
        <v>205.98746175130853</v>
      </c>
      <c r="AV45" s="757">
        <f t="shared" si="364"/>
        <v>926.33628999492282</v>
      </c>
      <c r="AW45" s="755">
        <v>191.74226548097641</v>
      </c>
      <c r="AX45" s="755">
        <v>179.60593713296873</v>
      </c>
      <c r="AY45" s="755">
        <v>151.73071131987101</v>
      </c>
      <c r="AZ45" s="755">
        <v>136.53015463143254</v>
      </c>
      <c r="BA45" s="757">
        <f t="shared" si="365"/>
        <v>659.60906856524866</v>
      </c>
      <c r="BB45" s="755">
        <v>124.13588379322827</v>
      </c>
      <c r="BC45" s="755">
        <v>116.618636665323</v>
      </c>
      <c r="BD45" s="755">
        <v>98.841421069308723</v>
      </c>
      <c r="BE45" s="755">
        <v>89.308104771395165</v>
      </c>
      <c r="BF45" s="757">
        <f t="shared" si="366"/>
        <v>428.90404629925513</v>
      </c>
      <c r="BG45" s="755">
        <v>75.364567722881375</v>
      </c>
      <c r="BH45" s="755">
        <v>61.291459078017468</v>
      </c>
      <c r="BI45" s="755">
        <v>42.960057609800906</v>
      </c>
      <c r="BJ45" s="755">
        <v>28.565311281025576</v>
      </c>
      <c r="BK45" s="757">
        <f t="shared" si="367"/>
        <v>208.18139569172533</v>
      </c>
      <c r="BL45" s="755">
        <v>22.858572866237939</v>
      </c>
      <c r="BM45" s="755">
        <v>21.549312672119552</v>
      </c>
      <c r="BN45" s="755">
        <v>19.471857147384767</v>
      </c>
      <c r="BO45" s="755">
        <v>19.47975162661459</v>
      </c>
      <c r="BP45" s="757">
        <f t="shared" si="368"/>
        <v>83.359494312356844</v>
      </c>
      <c r="BQ45" s="755">
        <v>18.198479175971276</v>
      </c>
      <c r="BR45" s="755">
        <v>16.884802796566785</v>
      </c>
      <c r="BS45" s="755">
        <v>14.110861142629505</v>
      </c>
      <c r="BT45" s="755">
        <v>12.521709006862341</v>
      </c>
      <c r="BU45" s="757">
        <f t="shared" si="369"/>
        <v>61.715852122029901</v>
      </c>
      <c r="BV45" s="751"/>
    </row>
    <row r="46" spans="1:74" ht="17.25" customHeight="1" thickBot="1">
      <c r="C46" s="762" t="s">
        <v>35</v>
      </c>
      <c r="D46" s="763">
        <f t="shared" ref="D46" si="370">CHOOSE($B$59,D43,D44,D45)</f>
        <v>298</v>
      </c>
      <c r="E46" s="763">
        <f t="shared" ref="E46" si="371">CHOOSE($B$59,E43,E44,E45)</f>
        <v>292</v>
      </c>
      <c r="F46" s="763">
        <f t="shared" ref="F46" si="372">CHOOSE($B$59,F43,F44,F45)</f>
        <v>282</v>
      </c>
      <c r="G46" s="763">
        <f t="shared" ref="G46" si="373">CHOOSE($B$59,G43,G44,G45)</f>
        <v>285</v>
      </c>
      <c r="H46" s="763">
        <f t="shared" ref="H46" si="374">CHOOSE($B$59,H43,H44,H45)</f>
        <v>1157</v>
      </c>
      <c r="I46" s="763">
        <f t="shared" ref="I46" si="375">CHOOSE($B$59,I43,I44,I45)</f>
        <v>332</v>
      </c>
      <c r="J46" s="763">
        <f t="shared" ref="J46" si="376">CHOOSE($B$59,J43,J44,J45)</f>
        <v>266.82103210649996</v>
      </c>
      <c r="K46" s="763">
        <f t="shared" ref="K46" si="377">CHOOSE($B$59,K43,K44,K45)</f>
        <v>292.08361631822999</v>
      </c>
      <c r="L46" s="763">
        <f t="shared" ref="L46" si="378">CHOOSE($B$59,L43,L44,L45)</f>
        <v>295.32408741544498</v>
      </c>
      <c r="M46" s="763">
        <f t="shared" ref="M46" si="379">CHOOSE($B$59,M43,M44,M45)</f>
        <v>1186.228735840175</v>
      </c>
      <c r="N46" s="763">
        <f t="shared" ref="N46" si="380">CHOOSE($B$59,N43,N44,N45)</f>
        <v>317.8889546063732</v>
      </c>
      <c r="O46" s="763">
        <f t="shared" ref="O46" si="381">CHOOSE($B$59,O43,O44,O45)</f>
        <v>328.08028202958815</v>
      </c>
      <c r="P46" s="763">
        <f t="shared" ref="P46" si="382">CHOOSE($B$59,P43,P44,P45)</f>
        <v>321.66421062716785</v>
      </c>
      <c r="Q46" s="763">
        <f t="shared" ref="Q46" si="383">CHOOSE($B$59,Q43,Q44,Q45)</f>
        <v>324.01421436315593</v>
      </c>
      <c r="R46" s="763">
        <f t="shared" ref="R46" si="384">CHOOSE($B$59,R43,R44,R45)</f>
        <v>1291.6476616262853</v>
      </c>
      <c r="S46" s="763">
        <f t="shared" ref="S46" si="385">CHOOSE($B$59,S43,S44,S45)</f>
        <v>348.34087413392643</v>
      </c>
      <c r="T46" s="763">
        <f t="shared" ref="T46" si="386">CHOOSE($B$59,T43,T44,T45)</f>
        <v>359.43989023557668</v>
      </c>
      <c r="U46" s="763">
        <f t="shared" ref="U46" si="387">CHOOSE($B$59,U43,U44,U45)</f>
        <v>352.34848989121235</v>
      </c>
      <c r="V46" s="763">
        <f t="shared" ref="V46" si="388">CHOOSE($B$59,V43,V44,V45)</f>
        <v>354.85833702242178</v>
      </c>
      <c r="W46" s="763">
        <f t="shared" ref="W46" si="389">CHOOSE($B$59,W43,W44,W45)</f>
        <v>1414.9875912831371</v>
      </c>
      <c r="X46" s="763">
        <f t="shared" ref="X46" si="390">CHOOSE($B$59,X43,X44,X45)</f>
        <v>379.57477507736343</v>
      </c>
      <c r="Y46" s="763">
        <f t="shared" ref="Y46" si="391">CHOOSE($B$59,Y43,Y44,Y45)</f>
        <v>391.5981542444888</v>
      </c>
      <c r="Z46" s="763">
        <f t="shared" ref="Z46" si="392">CHOOSE($B$59,Z43,Z44,Z45)</f>
        <v>383.80821049026144</v>
      </c>
      <c r="AA46" s="763">
        <f t="shared" ref="AA46" si="393">CHOOSE($B$59,AA43,AA44,AA45)</f>
        <v>386.4756913364331</v>
      </c>
      <c r="AB46" s="763">
        <f t="shared" ref="AB46" si="394">CHOOSE($B$59,AB43,AB44,AB45)</f>
        <v>1541.4568311485468</v>
      </c>
      <c r="AC46" s="763">
        <f t="shared" ref="AC46" si="395">CHOOSE($B$59,AC43,AC44,AC45)</f>
        <v>412.44908294508411</v>
      </c>
      <c r="AD46" s="763">
        <f t="shared" ref="AD46" si="396">CHOOSE($B$59,AD43,AD44,AD45)</f>
        <v>424.04521342714099</v>
      </c>
      <c r="AE46" s="763">
        <f t="shared" ref="AE46" si="397">CHOOSE($B$59,AE43,AE44,AE45)</f>
        <v>414.28065420724465</v>
      </c>
      <c r="AF46" s="763">
        <f t="shared" ref="AF46" si="398">CHOOSE($B$59,AF43,AF44,AF45)</f>
        <v>415.78142617594864</v>
      </c>
      <c r="AG46" s="763">
        <f t="shared" ref="AG46" si="399">CHOOSE($B$59,AG43,AG44,AG45)</f>
        <v>1666.5563767554183</v>
      </c>
      <c r="AH46" s="763">
        <f t="shared" ref="AH46" si="400">CHOOSE($B$59,AH43,AH44,AH45)</f>
        <v>440.17570412902222</v>
      </c>
      <c r="AI46" s="763">
        <f t="shared" ref="AI46" si="401">CHOOSE($B$59,AI43,AI44,AI45)</f>
        <v>451.05568023599744</v>
      </c>
      <c r="AJ46" s="763">
        <f t="shared" ref="AJ46" si="402">CHOOSE($B$59,AJ43,AJ44,AJ45)</f>
        <v>439.31075322798159</v>
      </c>
      <c r="AK46" s="763">
        <f t="shared" ref="AK46" si="403">CHOOSE($B$59,AK43,AK44,AK45)</f>
        <v>439.48886308111696</v>
      </c>
      <c r="AL46" s="763">
        <f t="shared" ref="AL46" si="404">CHOOSE($B$59,AL43,AL44,AL45)</f>
        <v>1770.0310006741183</v>
      </c>
      <c r="AM46" s="763">
        <f t="shared" ref="AM46" si="405">CHOOSE($B$59,AM43,AM44,AM45)</f>
        <v>464.82818461447232</v>
      </c>
      <c r="AN46" s="763">
        <f t="shared" ref="AN46" si="406">CHOOSE($B$59,AN43,AN44,AN45)</f>
        <v>476.31750466329476</v>
      </c>
      <c r="AO46" s="763">
        <f t="shared" ref="AO46" si="407">CHOOSE($B$59,AO43,AO44,AO45)</f>
        <v>463.91479127326784</v>
      </c>
      <c r="AP46" s="763">
        <f t="shared" ref="AP46" si="408">CHOOSE($B$59,AP43,AP44,AP45)</f>
        <v>464.10287634683783</v>
      </c>
      <c r="AQ46" s="763">
        <f t="shared" ref="AQ46" si="409">CHOOSE($B$59,AQ43,AQ44,AQ45)</f>
        <v>1869.1633568978727</v>
      </c>
      <c r="AR46" s="763">
        <f t="shared" ref="AR46" si="410">CHOOSE($B$59,AR43,AR44,AR45)</f>
        <v>488.44331570562605</v>
      </c>
      <c r="AS46" s="763">
        <f t="shared" ref="AS46" si="411">CHOOSE($B$59,AS43,AS44,AS45)</f>
        <v>500.51633917020877</v>
      </c>
      <c r="AT46" s="763">
        <f t="shared" ref="AT46" si="412">CHOOSE($B$59,AT43,AT44,AT45)</f>
        <v>472.26715335461932</v>
      </c>
      <c r="AU46" s="763">
        <f t="shared" ref="AU46" si="413">CHOOSE($B$59,AU43,AU44,AU45)</f>
        <v>463.27162223678789</v>
      </c>
      <c r="AV46" s="763">
        <f t="shared" ref="AV46" si="414">CHOOSE($B$59,AV43,AV44,AV45)</f>
        <v>1924.4984304672419</v>
      </c>
      <c r="AW46" s="763">
        <f t="shared" ref="AW46" si="415">CHOOSE($B$59,AW43,AW44,AW45)</f>
        <v>466.30452389494411</v>
      </c>
      <c r="AX46" s="763">
        <f t="shared" ref="AX46" si="416">CHOOSE($B$59,AX43,AX44,AX45)</f>
        <v>471.26194623209744</v>
      </c>
      <c r="AY46" s="763">
        <f t="shared" ref="AY46" si="417">CHOOSE($B$59,AY43,AY44,AY45)</f>
        <v>439.68197803850802</v>
      </c>
      <c r="AZ46" s="763">
        <f t="shared" ref="AZ46" si="418">CHOOSE($B$59,AZ43,AZ44,AZ45)</f>
        <v>433.79742309526756</v>
      </c>
      <c r="BA46" s="763">
        <f t="shared" ref="BA46" si="419">CHOOSE($B$59,BA43,BA44,BA45)</f>
        <v>1811.0458712608172</v>
      </c>
      <c r="BB46" s="763">
        <f t="shared" ref="BB46" si="420">CHOOSE($B$59,BB43,BB44,BB45)</f>
        <v>430.34385815187125</v>
      </c>
      <c r="BC46" s="763">
        <f t="shared" ref="BC46" si="421">CHOOSE($B$59,BC43,BC44,BC45)</f>
        <v>430.5195904071395</v>
      </c>
      <c r="BD46" s="763">
        <f t="shared" ref="BD46" si="422">CHOOSE($B$59,BD43,BD44,BD45)</f>
        <v>397.72473107807758</v>
      </c>
      <c r="BE46" s="763">
        <f t="shared" ref="BE46" si="423">CHOOSE($B$59,BE43,BE44,BE45)</f>
        <v>388.22996212518211</v>
      </c>
      <c r="BF46" s="763">
        <f t="shared" ref="BF46" si="424">CHOOSE($B$59,BF43,BF44,BF45)</f>
        <v>1646.8181417622704</v>
      </c>
      <c r="BG46" s="763">
        <f t="shared" ref="BG46" si="425">CHOOSE($B$59,BG43,BG44,BG45)</f>
        <v>381.81839424595989</v>
      </c>
      <c r="BH46" s="763">
        <f t="shared" ref="BH46" si="426">CHOOSE($B$59,BH43,BH44,BH45)</f>
        <v>378.63679606416792</v>
      </c>
      <c r="BI46" s="763">
        <f t="shared" ref="BI46" si="427">CHOOSE($B$59,BI43,BI44,BI45)</f>
        <v>346.77064852693809</v>
      </c>
      <c r="BJ46" s="763">
        <f t="shared" ref="BJ46" si="428">CHOOSE($B$59,BJ43,BJ44,BJ45)</f>
        <v>335.2634074483409</v>
      </c>
      <c r="BK46" s="763">
        <f t="shared" ref="BK46" si="429">CHOOSE($B$59,BK43,BK44,BK45)</f>
        <v>1442.4892462854068</v>
      </c>
      <c r="BL46" s="763">
        <f t="shared" ref="BL46" si="430">CHOOSE($B$59,BL43,BL44,BL45)</f>
        <v>321.99184977191277</v>
      </c>
      <c r="BM46" s="763">
        <f t="shared" ref="BM46" si="431">CHOOSE($B$59,BM43,BM44,BM45)</f>
        <v>308.30660722821892</v>
      </c>
      <c r="BN46" s="763">
        <f t="shared" ref="BN46" si="432">CHOOSE($B$59,BN43,BN44,BN45)</f>
        <v>272.30471884211596</v>
      </c>
      <c r="BO46" s="763">
        <f t="shared" ref="BO46" si="433">CHOOSE($B$59,BO43,BO44,BO45)</f>
        <v>252.43704850528133</v>
      </c>
      <c r="BP46" s="763">
        <f t="shared" ref="BP46" si="434">CHOOSE($B$59,BP43,BP44,BP45)</f>
        <v>1155.0402243475291</v>
      </c>
      <c r="BQ46" s="763">
        <f t="shared" ref="BQ46" si="435">CHOOSE($B$59,BQ43,BQ44,BQ45)</f>
        <v>249.26283092810311</v>
      </c>
      <c r="BR46" s="763">
        <f t="shared" ref="BR46" si="436">CHOOSE($B$59,BR43,BR44,BR45)</f>
        <v>255.42394709016151</v>
      </c>
      <c r="BS46" s="763">
        <f t="shared" ref="BS46" si="437">CHOOSE($B$59,BS43,BS44,BS45)</f>
        <v>241.45617255630646</v>
      </c>
      <c r="BT46" s="763">
        <f t="shared" ref="BT46" si="438">CHOOSE($B$59,BT43,BT44,BT45)</f>
        <v>241.55406618426034</v>
      </c>
      <c r="BU46" s="764">
        <f t="shared" ref="BU46" si="439">CHOOSE($B$59,BU43,BU44,BU45)</f>
        <v>987.69701675883141</v>
      </c>
    </row>
    <row r="47" spans="1:74" ht="17.25" customHeight="1">
      <c r="D47" s="755"/>
      <c r="E47" s="755"/>
      <c r="F47" s="755"/>
      <c r="G47" s="755"/>
      <c r="H47" s="757"/>
      <c r="I47" s="755"/>
      <c r="J47" s="755"/>
      <c r="K47" s="755"/>
      <c r="L47" s="755"/>
      <c r="M47" s="757"/>
      <c r="N47" s="755"/>
      <c r="O47" s="755"/>
      <c r="P47" s="755"/>
      <c r="Q47" s="755"/>
      <c r="R47" s="757"/>
      <c r="S47" s="755"/>
      <c r="T47" s="755"/>
      <c r="U47" s="755"/>
      <c r="V47" s="755"/>
      <c r="W47" s="757"/>
      <c r="X47" s="755"/>
      <c r="Y47" s="755"/>
      <c r="Z47" s="755"/>
      <c r="AA47" s="755"/>
      <c r="AB47" s="757"/>
      <c r="AC47" s="755"/>
      <c r="AD47" s="755"/>
      <c r="AE47" s="755"/>
      <c r="AF47" s="755"/>
      <c r="AG47" s="757"/>
      <c r="AH47" s="755"/>
      <c r="AI47" s="755"/>
      <c r="AJ47" s="755"/>
      <c r="AK47" s="755"/>
      <c r="AL47" s="757"/>
      <c r="AM47" s="755"/>
      <c r="AN47" s="755"/>
      <c r="AO47" s="755"/>
      <c r="AP47" s="755"/>
      <c r="AQ47" s="757"/>
      <c r="AR47" s="755"/>
      <c r="AS47" s="755"/>
      <c r="AT47" s="755"/>
      <c r="AU47" s="755"/>
      <c r="AV47" s="757"/>
      <c r="AW47" s="755"/>
      <c r="AX47" s="755"/>
      <c r="AY47" s="755"/>
      <c r="AZ47" s="755"/>
      <c r="BA47" s="757"/>
      <c r="BB47" s="755"/>
      <c r="BC47" s="755"/>
      <c r="BD47" s="755"/>
      <c r="BE47" s="755"/>
      <c r="BF47" s="757"/>
      <c r="BG47" s="755"/>
      <c r="BH47" s="755"/>
      <c r="BI47" s="755"/>
      <c r="BJ47" s="755"/>
      <c r="BK47" s="757"/>
      <c r="BL47" s="755"/>
      <c r="BM47" s="755"/>
      <c r="BN47" s="755"/>
      <c r="BO47" s="755"/>
      <c r="BP47" s="757"/>
      <c r="BQ47" s="755"/>
      <c r="BR47" s="755"/>
      <c r="BS47" s="755"/>
      <c r="BT47" s="755"/>
      <c r="BU47" s="757"/>
    </row>
    <row r="48" spans="1:74" ht="17.25" customHeight="1">
      <c r="A48" s="781" t="s">
        <v>591</v>
      </c>
      <c r="B48" s="756" t="s">
        <v>46</v>
      </c>
      <c r="C48" s="758" t="s">
        <v>662</v>
      </c>
      <c r="D48" s="755">
        <v>97</v>
      </c>
      <c r="E48" s="755">
        <v>99</v>
      </c>
      <c r="F48" s="755">
        <v>96</v>
      </c>
      <c r="G48" s="755">
        <v>99.080307826921882</v>
      </c>
      <c r="H48" s="806">
        <f>SUM(D48:G48)</f>
        <v>391.08030782692185</v>
      </c>
      <c r="I48" s="755">
        <v>112</v>
      </c>
      <c r="J48" s="755">
        <v>112.40948493730976</v>
      </c>
      <c r="K48" s="755">
        <v>120.92658769612949</v>
      </c>
      <c r="L48" s="755">
        <v>119.02777417650915</v>
      </c>
      <c r="M48" s="757">
        <f>SUM(I48:L48)</f>
        <v>464.36384680994843</v>
      </c>
      <c r="N48" s="755">
        <v>110.4876679212193</v>
      </c>
      <c r="O48" s="755">
        <v>124.95041348945725</v>
      </c>
      <c r="P48" s="755">
        <v>134.34992350775255</v>
      </c>
      <c r="Q48" s="755">
        <v>131.2532002093015</v>
      </c>
      <c r="R48" s="757">
        <f>SUM(N48:Q48)</f>
        <v>501.04120512773062</v>
      </c>
      <c r="S48" s="755">
        <v>116.2921830104971</v>
      </c>
      <c r="T48" s="755">
        <v>129.54019922585164</v>
      </c>
      <c r="U48" s="755">
        <v>135.84946570730474</v>
      </c>
      <c r="V48" s="755">
        <v>131.50436534624254</v>
      </c>
      <c r="W48" s="757">
        <f>SUM(S48:V48)</f>
        <v>513.18621328989593</v>
      </c>
      <c r="X48" s="755">
        <v>116.04846850463505</v>
      </c>
      <c r="Y48" s="755">
        <v>128.86196289364528</v>
      </c>
      <c r="Z48" s="755">
        <v>134.69978532544826</v>
      </c>
      <c r="AA48" s="755">
        <v>129.93657387651692</v>
      </c>
      <c r="AB48" s="757">
        <f>SUM(X48:AA48)</f>
        <v>509.54679060024557</v>
      </c>
      <c r="AC48" s="755">
        <v>114.23933864181875</v>
      </c>
      <c r="AD48" s="755">
        <v>126.34728289679249</v>
      </c>
      <c r="AE48" s="755">
        <v>131.5243077663938</v>
      </c>
      <c r="AF48" s="755">
        <v>126.30411634365647</v>
      </c>
      <c r="AG48" s="757">
        <f>SUM(AC48:AF48)</f>
        <v>498.41504564866148</v>
      </c>
      <c r="AH48" s="755">
        <v>110.51121517462748</v>
      </c>
      <c r="AI48" s="755">
        <v>121.58645794489836</v>
      </c>
      <c r="AJ48" s="755">
        <v>125.87630094415795</v>
      </c>
      <c r="AK48" s="755">
        <v>120.15683136111154</v>
      </c>
      <c r="AL48" s="757">
        <f>SUM(AH48:AK48)</f>
        <v>478.13080542479531</v>
      </c>
      <c r="AM48" s="755">
        <v>101.40802662256453</v>
      </c>
      <c r="AN48" s="755">
        <v>110.77695467856049</v>
      </c>
      <c r="AO48" s="755">
        <v>110.50384471715438</v>
      </c>
      <c r="AP48" s="755">
        <v>104.59871503387809</v>
      </c>
      <c r="AQ48" s="757">
        <f>SUM(AM48:AP48)</f>
        <v>427.28754105215751</v>
      </c>
      <c r="AR48" s="755">
        <v>87.463082735457917</v>
      </c>
      <c r="AS48" s="755">
        <v>94.561062844199085</v>
      </c>
      <c r="AT48" s="755">
        <v>93.279452115090052</v>
      </c>
      <c r="AU48" s="755">
        <v>87.184394995518531</v>
      </c>
      <c r="AV48" s="757">
        <f>SUM(AR48:AU48)</f>
        <v>362.48799269026557</v>
      </c>
      <c r="AW48" s="755">
        <v>71.870124393084225</v>
      </c>
      <c r="AX48" s="755">
        <v>76.446639439705123</v>
      </c>
      <c r="AY48" s="755">
        <v>74.056360641026401</v>
      </c>
      <c r="AZ48" s="755">
        <v>67.767146165738282</v>
      </c>
      <c r="BA48" s="757">
        <f>SUM(AW48:AZ48)</f>
        <v>290.14027063955405</v>
      </c>
      <c r="BB48" s="755">
        <v>54.499212509634511</v>
      </c>
      <c r="BC48" s="755">
        <v>56.284371037651283</v>
      </c>
      <c r="BD48" s="755">
        <v>52.677761389268682</v>
      </c>
      <c r="BE48" s="755">
        <v>46.190211465491238</v>
      </c>
      <c r="BF48" s="757">
        <f>SUM(BB48:BE48)</f>
        <v>209.65155640204571</v>
      </c>
      <c r="BG48" s="755">
        <v>35.21153412685711</v>
      </c>
      <c r="BH48" s="755">
        <v>33.914759196792787</v>
      </c>
      <c r="BI48" s="755">
        <v>28.976161310732611</v>
      </c>
      <c r="BJ48" s="755">
        <v>23.084522787379438</v>
      </c>
      <c r="BK48" s="757">
        <f>SUM(BG48:BJ48)</f>
        <v>121.18697742176194</v>
      </c>
      <c r="BL48" s="755">
        <v>19.774354724485022</v>
      </c>
      <c r="BM48" s="755">
        <v>22.623093729038192</v>
      </c>
      <c r="BN48" s="755">
        <v>23.657648875522003</v>
      </c>
      <c r="BO48" s="755">
        <v>23.548115552227518</v>
      </c>
      <c r="BP48" s="757">
        <f>SUM(BL48:BO48)</f>
        <v>89.603212881272725</v>
      </c>
      <c r="BQ48" s="755">
        <v>20.763072460709274</v>
      </c>
      <c r="BR48" s="755">
        <v>23.754248415490114</v>
      </c>
      <c r="BS48" s="755">
        <v>0</v>
      </c>
      <c r="BT48" s="755">
        <v>0</v>
      </c>
      <c r="BU48" s="757">
        <f>SUM(BQ48:BT48)</f>
        <v>44.517320876199392</v>
      </c>
      <c r="BV48" s="751"/>
    </row>
    <row r="49" spans="1:74" ht="17.25" customHeight="1">
      <c r="B49" s="751"/>
      <c r="C49" s="758" t="s">
        <v>663</v>
      </c>
      <c r="D49" s="755">
        <v>97</v>
      </c>
      <c r="E49" s="755">
        <v>99</v>
      </c>
      <c r="F49" s="755">
        <v>96</v>
      </c>
      <c r="G49" s="755">
        <v>100</v>
      </c>
      <c r="H49" s="806">
        <f t="shared" ref="H49:H50" si="440">SUM(D49:G49)</f>
        <v>392</v>
      </c>
      <c r="I49" s="755">
        <v>112</v>
      </c>
      <c r="J49" s="755">
        <v>99.604411815671227</v>
      </c>
      <c r="K49" s="755">
        <v>107.15129285635018</v>
      </c>
      <c r="L49" s="755">
        <v>105.46878177754839</v>
      </c>
      <c r="M49" s="757">
        <f t="shared" ref="M49:M50" si="441">SUM(I49:L49)</f>
        <v>424.22448644956978</v>
      </c>
      <c r="N49" s="755">
        <v>97.901517672781139</v>
      </c>
      <c r="O49" s="755">
        <v>110.71674644433396</v>
      </c>
      <c r="P49" s="755">
        <v>119.04551574035861</v>
      </c>
      <c r="Q49" s="755">
        <v>116.30155420659551</v>
      </c>
      <c r="R49" s="757">
        <f t="shared" ref="R49:R50" si="442">SUM(N49:Q49)</f>
        <v>443.96533406406922</v>
      </c>
      <c r="S49" s="755">
        <v>103.0448141807683</v>
      </c>
      <c r="T49" s="755">
        <v>114.78368891710195</v>
      </c>
      <c r="U49" s="755">
        <v>120.3742383020043</v>
      </c>
      <c r="V49" s="755">
        <v>116.52410798617707</v>
      </c>
      <c r="W49" s="757">
        <f t="shared" ref="W49:W50" si="443">SUM(S49:V49)</f>
        <v>454.72684938605158</v>
      </c>
      <c r="X49" s="755">
        <v>102.82886229716281</v>
      </c>
      <c r="Y49" s="755">
        <v>114.18271355475505</v>
      </c>
      <c r="Z49" s="755">
        <v>119.35552321515297</v>
      </c>
      <c r="AA49" s="755">
        <v>115.13491073757535</v>
      </c>
      <c r="AB49" s="757">
        <f t="shared" ref="AB49:AB50" si="444">SUM(X49:AA49)</f>
        <v>451.50200980464621</v>
      </c>
      <c r="AC49" s="755">
        <v>101.22581860396846</v>
      </c>
      <c r="AD49" s="755">
        <v>111.95449213615461</v>
      </c>
      <c r="AE49" s="755">
        <v>116.54177867500245</v>
      </c>
      <c r="AF49" s="755">
        <v>111.91624288043015</v>
      </c>
      <c r="AG49" s="757">
        <f t="shared" ref="AG49:AG50" si="445">SUM(AC49:AF49)</f>
        <v>441.6383322955557</v>
      </c>
      <c r="AH49" s="755">
        <v>97.922382551993991</v>
      </c>
      <c r="AI49" s="755">
        <v>107.73599429893697</v>
      </c>
      <c r="AJ49" s="755">
        <v>111.53716186910356</v>
      </c>
      <c r="AK49" s="755">
        <v>106.46922294887213</v>
      </c>
      <c r="AL49" s="757">
        <f t="shared" ref="AL49:AL50" si="446">SUM(AH49:AK49)</f>
        <v>423.66476166890664</v>
      </c>
      <c r="AM49" s="755">
        <v>89.856179403024356</v>
      </c>
      <c r="AN49" s="755">
        <v>98.157850466469327</v>
      </c>
      <c r="AO49" s="755">
        <v>97.91585169668555</v>
      </c>
      <c r="AP49" s="755">
        <v>92.683402058418665</v>
      </c>
      <c r="AQ49" s="757">
        <f t="shared" ref="AQ49:AQ50" si="447">SUM(AM49:AP49)</f>
        <v>378.6132836245979</v>
      </c>
      <c r="AR49" s="755">
        <v>77.499767179870574</v>
      </c>
      <c r="AS49" s="755">
        <v>83.789184253570227</v>
      </c>
      <c r="AT49" s="755">
        <v>82.653567602353021</v>
      </c>
      <c r="AU49" s="755">
        <v>77.252826021547676</v>
      </c>
      <c r="AV49" s="757">
        <f t="shared" ref="AV49:AV50" si="448">SUM(AR49:AU49)</f>
        <v>321.19534505734146</v>
      </c>
      <c r="AW49" s="755">
        <v>63.683073285893862</v>
      </c>
      <c r="AX49" s="755">
        <v>67.738256793215015</v>
      </c>
      <c r="AY49" s="755">
        <v>65.620265469345512</v>
      </c>
      <c r="AZ49" s="755">
        <v>60.047483875843518</v>
      </c>
      <c r="BA49" s="757">
        <f t="shared" ref="BA49:BA50" si="449">SUM(AW49:AZ49)</f>
        <v>257.08907942429789</v>
      </c>
      <c r="BB49" s="755">
        <v>48.290960584569788</v>
      </c>
      <c r="BC49" s="755">
        <v>49.872763626190377</v>
      </c>
      <c r="BD49" s="755">
        <v>46.676999204031368</v>
      </c>
      <c r="BE49" s="755">
        <v>40.928475450515087</v>
      </c>
      <c r="BF49" s="757">
        <f t="shared" ref="BF49:BF50" si="450">SUM(BB49:BE49)</f>
        <v>185.76919886530663</v>
      </c>
      <c r="BG49" s="755">
        <v>31.200428929898571</v>
      </c>
      <c r="BH49" s="755">
        <v>30.051375500480233</v>
      </c>
      <c r="BI49" s="755">
        <v>25.675355648512451</v>
      </c>
      <c r="BJ49" s="755">
        <v>20.45486033108957</v>
      </c>
      <c r="BK49" s="757">
        <f t="shared" ref="BK49:BK50" si="451">SUM(BG49:BJ49)</f>
        <v>107.38202040998084</v>
      </c>
      <c r="BL49" s="755">
        <v>17.52176849191342</v>
      </c>
      <c r="BM49" s="755">
        <v>20.045994744912658</v>
      </c>
      <c r="BN49" s="755">
        <v>20.962699032934829</v>
      </c>
      <c r="BO49" s="755">
        <v>20.865643146173607</v>
      </c>
      <c r="BP49" s="757">
        <f t="shared" ref="BP49:BP50" si="452">SUM(BL49:BO49)</f>
        <v>79.396105415934514</v>
      </c>
      <c r="BQ49" s="755">
        <v>18.397856916509092</v>
      </c>
      <c r="BR49" s="755">
        <v>21.048294482158298</v>
      </c>
      <c r="BS49" s="755">
        <v>0</v>
      </c>
      <c r="BT49" s="755">
        <v>0</v>
      </c>
      <c r="BU49" s="757">
        <f t="shared" ref="BU49:BU50" si="453">SUM(BQ49:BT49)</f>
        <v>39.446151398667389</v>
      </c>
      <c r="BV49" s="751"/>
    </row>
    <row r="50" spans="1:74" ht="17.25" customHeight="1" thickBot="1">
      <c r="C50" s="758" t="s">
        <v>664</v>
      </c>
      <c r="D50" s="755">
        <v>97</v>
      </c>
      <c r="E50" s="755">
        <v>99</v>
      </c>
      <c r="F50" s="755">
        <v>96</v>
      </c>
      <c r="G50" s="755">
        <v>84.143065716804486</v>
      </c>
      <c r="H50" s="806">
        <f t="shared" si="440"/>
        <v>376.14306571680447</v>
      </c>
      <c r="I50" s="755">
        <v>112</v>
      </c>
      <c r="J50" s="755">
        <v>81.122377548116049</v>
      </c>
      <c r="K50" s="755">
        <v>87.268901802741027</v>
      </c>
      <c r="L50" s="755">
        <v>85.898588013668743</v>
      </c>
      <c r="M50" s="757">
        <f t="shared" si="441"/>
        <v>366.28986736452583</v>
      </c>
      <c r="N50" s="755">
        <v>79.735462861649609</v>
      </c>
      <c r="O50" s="755">
        <v>90.172769882700862</v>
      </c>
      <c r="P50" s="755">
        <v>96.956099607027056</v>
      </c>
      <c r="Q50" s="755">
        <v>94.721292137540871</v>
      </c>
      <c r="R50" s="757">
        <f t="shared" si="442"/>
        <v>361.58562448891837</v>
      </c>
      <c r="S50" s="755">
        <v>83.924398206551615</v>
      </c>
      <c r="T50" s="755">
        <v>93.485073391434057</v>
      </c>
      <c r="U50" s="755">
        <v>98.03827188572086</v>
      </c>
      <c r="V50" s="755">
        <v>94.902550089903357</v>
      </c>
      <c r="W50" s="757">
        <f t="shared" si="443"/>
        <v>370.35029357360986</v>
      </c>
      <c r="X50" s="755">
        <v>83.748517139491128</v>
      </c>
      <c r="Y50" s="755">
        <v>92.995611636149121</v>
      </c>
      <c r="Z50" s="755">
        <v>97.20858383894587</v>
      </c>
      <c r="AA50" s="755">
        <v>93.771124466925642</v>
      </c>
      <c r="AB50" s="757">
        <f t="shared" si="444"/>
        <v>367.72383708151176</v>
      </c>
      <c r="AC50" s="755">
        <v>82.442925215048106</v>
      </c>
      <c r="AD50" s="755">
        <v>91.180846447685212</v>
      </c>
      <c r="AE50" s="755">
        <v>94.916941905128169</v>
      </c>
      <c r="AF50" s="755">
        <v>91.149694508657092</v>
      </c>
      <c r="AG50" s="757">
        <f t="shared" si="445"/>
        <v>359.69040807651857</v>
      </c>
      <c r="AH50" s="755">
        <v>79.752456171264583</v>
      </c>
      <c r="AI50" s="755">
        <v>87.745109335257069</v>
      </c>
      <c r="AJ50" s="755">
        <v>90.840953637027155</v>
      </c>
      <c r="AK50" s="755">
        <v>86.713392949869714</v>
      </c>
      <c r="AL50" s="757">
        <f t="shared" si="446"/>
        <v>345.05191209341854</v>
      </c>
      <c r="AM50" s="755">
        <v>73.182972296981362</v>
      </c>
      <c r="AN50" s="755">
        <v>79.944231984306725</v>
      </c>
      <c r="AO50" s="755">
        <v>79.747137144723638</v>
      </c>
      <c r="AP50" s="755">
        <v>75.485591422808071</v>
      </c>
      <c r="AQ50" s="757">
        <f t="shared" si="447"/>
        <v>308.35993284881977</v>
      </c>
      <c r="AR50" s="755">
        <v>63.119346406977094</v>
      </c>
      <c r="AS50" s="755">
        <v>68.241734633659576</v>
      </c>
      <c r="AT50" s="755">
        <v>67.316836619097188</v>
      </c>
      <c r="AU50" s="755">
        <v>62.918226260665556</v>
      </c>
      <c r="AV50" s="757">
        <f t="shared" si="448"/>
        <v>261.59614392039941</v>
      </c>
      <c r="AW50" s="755">
        <v>51.866400497229925</v>
      </c>
      <c r="AX50" s="755">
        <v>55.169126967986941</v>
      </c>
      <c r="AY50" s="755">
        <v>53.444138198046296</v>
      </c>
      <c r="AZ50" s="755">
        <v>48.905410603751797</v>
      </c>
      <c r="BA50" s="757">
        <f t="shared" si="449"/>
        <v>209.38507626701494</v>
      </c>
      <c r="BB50" s="755">
        <v>39.330361630490607</v>
      </c>
      <c r="BC50" s="755">
        <v>40.618654199162897</v>
      </c>
      <c r="BD50" s="755">
        <v>38.015877843342572</v>
      </c>
      <c r="BE50" s="755">
        <v>33.334017815494981</v>
      </c>
      <c r="BF50" s="757">
        <f t="shared" si="450"/>
        <v>151.29891148849106</v>
      </c>
      <c r="BG50" s="755">
        <v>25.411052875834283</v>
      </c>
      <c r="BH50" s="755">
        <v>24.47521133603648</v>
      </c>
      <c r="BI50" s="755">
        <v>20.91118110767335</v>
      </c>
      <c r="BJ50" s="755">
        <v>16.659371530082737</v>
      </c>
      <c r="BK50" s="757">
        <f t="shared" si="451"/>
        <v>87.456816849626861</v>
      </c>
      <c r="BL50" s="755">
        <v>14.270527710581268</v>
      </c>
      <c r="BM50" s="755">
        <v>16.326372741739341</v>
      </c>
      <c r="BN50" s="755">
        <v>17.072978539588263</v>
      </c>
      <c r="BO50" s="755">
        <v>16.993931797123864</v>
      </c>
      <c r="BP50" s="757">
        <f t="shared" si="452"/>
        <v>64.663810789032738</v>
      </c>
      <c r="BQ50" s="755">
        <v>14.984054096110329</v>
      </c>
      <c r="BR50" s="755">
        <v>17.142691378826314</v>
      </c>
      <c r="BS50" s="755">
        <v>0</v>
      </c>
      <c r="BT50" s="755">
        <v>0</v>
      </c>
      <c r="BU50" s="757">
        <f t="shared" si="453"/>
        <v>32.126745474936641</v>
      </c>
      <c r="BV50" s="751"/>
    </row>
    <row r="51" spans="1:74" ht="17.25" customHeight="1" thickBot="1">
      <c r="C51" s="762" t="s">
        <v>35</v>
      </c>
      <c r="D51" s="763">
        <f t="shared" ref="D51" si="454">CHOOSE($B$59,D48,D49,D50)</f>
        <v>97</v>
      </c>
      <c r="E51" s="763">
        <f t="shared" ref="E51" si="455">CHOOSE($B$59,E48,E49,E50)</f>
        <v>99</v>
      </c>
      <c r="F51" s="763">
        <f t="shared" ref="F51" si="456">CHOOSE($B$59,F48,F49,F50)</f>
        <v>96</v>
      </c>
      <c r="G51" s="763">
        <f t="shared" ref="G51" si="457">CHOOSE($B$59,G48,G49,G50)</f>
        <v>100</v>
      </c>
      <c r="H51" s="763">
        <f t="shared" ref="H51" si="458">CHOOSE($B$59,H48,H49,H50)</f>
        <v>392</v>
      </c>
      <c r="I51" s="763">
        <f t="shared" ref="I51" si="459">CHOOSE($B$59,I48,I49,I50)</f>
        <v>112</v>
      </c>
      <c r="J51" s="763">
        <f t="shared" ref="J51" si="460">CHOOSE($B$59,J48,J49,J50)</f>
        <v>99.604411815671227</v>
      </c>
      <c r="K51" s="763">
        <f t="shared" ref="K51" si="461">CHOOSE($B$59,K48,K49,K50)</f>
        <v>107.15129285635018</v>
      </c>
      <c r="L51" s="763">
        <f t="shared" ref="L51" si="462">CHOOSE($B$59,L48,L49,L50)</f>
        <v>105.46878177754839</v>
      </c>
      <c r="M51" s="763">
        <f t="shared" ref="M51" si="463">CHOOSE($B$59,M48,M49,M50)</f>
        <v>424.22448644956978</v>
      </c>
      <c r="N51" s="763">
        <f t="shared" ref="N51" si="464">CHOOSE($B$59,N48,N49,N50)</f>
        <v>97.901517672781139</v>
      </c>
      <c r="O51" s="763">
        <f t="shared" ref="O51" si="465">CHOOSE($B$59,O48,O49,O50)</f>
        <v>110.71674644433396</v>
      </c>
      <c r="P51" s="763">
        <f t="shared" ref="P51" si="466">CHOOSE($B$59,P48,P49,P50)</f>
        <v>119.04551574035861</v>
      </c>
      <c r="Q51" s="763">
        <f t="shared" ref="Q51" si="467">CHOOSE($B$59,Q48,Q49,Q50)</f>
        <v>116.30155420659551</v>
      </c>
      <c r="R51" s="763">
        <f t="shared" ref="R51" si="468">CHOOSE($B$59,R48,R49,R50)</f>
        <v>443.96533406406922</v>
      </c>
      <c r="S51" s="763">
        <f t="shared" ref="S51" si="469">CHOOSE($B$59,S48,S49,S50)</f>
        <v>103.0448141807683</v>
      </c>
      <c r="T51" s="763">
        <f t="shared" ref="T51" si="470">CHOOSE($B$59,T48,T49,T50)</f>
        <v>114.78368891710195</v>
      </c>
      <c r="U51" s="763">
        <f t="shared" ref="U51" si="471">CHOOSE($B$59,U48,U49,U50)</f>
        <v>120.3742383020043</v>
      </c>
      <c r="V51" s="763">
        <f t="shared" ref="V51" si="472">CHOOSE($B$59,V48,V49,V50)</f>
        <v>116.52410798617707</v>
      </c>
      <c r="W51" s="763">
        <f t="shared" ref="W51" si="473">CHOOSE($B$59,W48,W49,W50)</f>
        <v>454.72684938605158</v>
      </c>
      <c r="X51" s="763">
        <f t="shared" ref="X51" si="474">CHOOSE($B$59,X48,X49,X50)</f>
        <v>102.82886229716281</v>
      </c>
      <c r="Y51" s="763">
        <f t="shared" ref="Y51" si="475">CHOOSE($B$59,Y48,Y49,Y50)</f>
        <v>114.18271355475505</v>
      </c>
      <c r="Z51" s="763">
        <f t="shared" ref="Z51" si="476">CHOOSE($B$59,Z48,Z49,Z50)</f>
        <v>119.35552321515297</v>
      </c>
      <c r="AA51" s="763">
        <f t="shared" ref="AA51" si="477">CHOOSE($B$59,AA48,AA49,AA50)</f>
        <v>115.13491073757535</v>
      </c>
      <c r="AB51" s="763">
        <f t="shared" ref="AB51" si="478">CHOOSE($B$59,AB48,AB49,AB50)</f>
        <v>451.50200980464621</v>
      </c>
      <c r="AC51" s="763">
        <f t="shared" ref="AC51" si="479">CHOOSE($B$59,AC48,AC49,AC50)</f>
        <v>101.22581860396846</v>
      </c>
      <c r="AD51" s="763">
        <f t="shared" ref="AD51" si="480">CHOOSE($B$59,AD48,AD49,AD50)</f>
        <v>111.95449213615461</v>
      </c>
      <c r="AE51" s="763">
        <f t="shared" ref="AE51" si="481">CHOOSE($B$59,AE48,AE49,AE50)</f>
        <v>116.54177867500245</v>
      </c>
      <c r="AF51" s="763">
        <f t="shared" ref="AF51" si="482">CHOOSE($B$59,AF48,AF49,AF50)</f>
        <v>111.91624288043015</v>
      </c>
      <c r="AG51" s="763">
        <f t="shared" ref="AG51" si="483">CHOOSE($B$59,AG48,AG49,AG50)</f>
        <v>441.6383322955557</v>
      </c>
      <c r="AH51" s="763">
        <f t="shared" ref="AH51" si="484">CHOOSE($B$59,AH48,AH49,AH50)</f>
        <v>97.922382551993991</v>
      </c>
      <c r="AI51" s="763">
        <f t="shared" ref="AI51" si="485">CHOOSE($B$59,AI48,AI49,AI50)</f>
        <v>107.73599429893697</v>
      </c>
      <c r="AJ51" s="763">
        <f t="shared" ref="AJ51" si="486">CHOOSE($B$59,AJ48,AJ49,AJ50)</f>
        <v>111.53716186910356</v>
      </c>
      <c r="AK51" s="763">
        <f t="shared" ref="AK51" si="487">CHOOSE($B$59,AK48,AK49,AK50)</f>
        <v>106.46922294887213</v>
      </c>
      <c r="AL51" s="763">
        <f t="shared" ref="AL51" si="488">CHOOSE($B$59,AL48,AL49,AL50)</f>
        <v>423.66476166890664</v>
      </c>
      <c r="AM51" s="763">
        <f t="shared" ref="AM51" si="489">CHOOSE($B$59,AM48,AM49,AM50)</f>
        <v>89.856179403024356</v>
      </c>
      <c r="AN51" s="763">
        <f t="shared" ref="AN51" si="490">CHOOSE($B$59,AN48,AN49,AN50)</f>
        <v>98.157850466469327</v>
      </c>
      <c r="AO51" s="763">
        <f t="shared" ref="AO51" si="491">CHOOSE($B$59,AO48,AO49,AO50)</f>
        <v>97.91585169668555</v>
      </c>
      <c r="AP51" s="763">
        <f t="shared" ref="AP51" si="492">CHOOSE($B$59,AP48,AP49,AP50)</f>
        <v>92.683402058418665</v>
      </c>
      <c r="AQ51" s="763">
        <f t="shared" ref="AQ51" si="493">CHOOSE($B$59,AQ48,AQ49,AQ50)</f>
        <v>378.6132836245979</v>
      </c>
      <c r="AR51" s="763">
        <f t="shared" ref="AR51" si="494">CHOOSE($B$59,AR48,AR49,AR50)</f>
        <v>77.499767179870574</v>
      </c>
      <c r="AS51" s="763">
        <f t="shared" ref="AS51" si="495">CHOOSE($B$59,AS48,AS49,AS50)</f>
        <v>83.789184253570227</v>
      </c>
      <c r="AT51" s="763">
        <f t="shared" ref="AT51" si="496">CHOOSE($B$59,AT48,AT49,AT50)</f>
        <v>82.653567602353021</v>
      </c>
      <c r="AU51" s="763">
        <f t="shared" ref="AU51" si="497">CHOOSE($B$59,AU48,AU49,AU50)</f>
        <v>77.252826021547676</v>
      </c>
      <c r="AV51" s="763">
        <f t="shared" ref="AV51" si="498">CHOOSE($B$59,AV48,AV49,AV50)</f>
        <v>321.19534505734146</v>
      </c>
      <c r="AW51" s="763">
        <f t="shared" ref="AW51" si="499">CHOOSE($B$59,AW48,AW49,AW50)</f>
        <v>63.683073285893862</v>
      </c>
      <c r="AX51" s="763">
        <f t="shared" ref="AX51" si="500">CHOOSE($B$59,AX48,AX49,AX50)</f>
        <v>67.738256793215015</v>
      </c>
      <c r="AY51" s="763">
        <f t="shared" ref="AY51" si="501">CHOOSE($B$59,AY48,AY49,AY50)</f>
        <v>65.620265469345512</v>
      </c>
      <c r="AZ51" s="763">
        <f t="shared" ref="AZ51" si="502">CHOOSE($B$59,AZ48,AZ49,AZ50)</f>
        <v>60.047483875843518</v>
      </c>
      <c r="BA51" s="763">
        <f t="shared" ref="BA51" si="503">CHOOSE($B$59,BA48,BA49,BA50)</f>
        <v>257.08907942429789</v>
      </c>
      <c r="BB51" s="763">
        <f t="shared" ref="BB51" si="504">CHOOSE($B$59,BB48,BB49,BB50)</f>
        <v>48.290960584569788</v>
      </c>
      <c r="BC51" s="763">
        <f t="shared" ref="BC51" si="505">CHOOSE($B$59,BC48,BC49,BC50)</f>
        <v>49.872763626190377</v>
      </c>
      <c r="BD51" s="763">
        <f t="shared" ref="BD51" si="506">CHOOSE($B$59,BD48,BD49,BD50)</f>
        <v>46.676999204031368</v>
      </c>
      <c r="BE51" s="763">
        <f t="shared" ref="BE51" si="507">CHOOSE($B$59,BE48,BE49,BE50)</f>
        <v>40.928475450515087</v>
      </c>
      <c r="BF51" s="763">
        <f t="shared" ref="BF51" si="508">CHOOSE($B$59,BF48,BF49,BF50)</f>
        <v>185.76919886530663</v>
      </c>
      <c r="BG51" s="763">
        <f t="shared" ref="BG51" si="509">CHOOSE($B$59,BG48,BG49,BG50)</f>
        <v>31.200428929898571</v>
      </c>
      <c r="BH51" s="763">
        <f t="shared" ref="BH51" si="510">CHOOSE($B$59,BH48,BH49,BH50)</f>
        <v>30.051375500480233</v>
      </c>
      <c r="BI51" s="763">
        <f t="shared" ref="BI51" si="511">CHOOSE($B$59,BI48,BI49,BI50)</f>
        <v>25.675355648512451</v>
      </c>
      <c r="BJ51" s="763">
        <f t="shared" ref="BJ51" si="512">CHOOSE($B$59,BJ48,BJ49,BJ50)</f>
        <v>20.45486033108957</v>
      </c>
      <c r="BK51" s="763">
        <f t="shared" ref="BK51" si="513">CHOOSE($B$59,BK48,BK49,BK50)</f>
        <v>107.38202040998084</v>
      </c>
      <c r="BL51" s="763">
        <f t="shared" ref="BL51" si="514">CHOOSE($B$59,BL48,BL49,BL50)</f>
        <v>17.52176849191342</v>
      </c>
      <c r="BM51" s="763">
        <f t="shared" ref="BM51" si="515">CHOOSE($B$59,BM48,BM49,BM50)</f>
        <v>20.045994744912658</v>
      </c>
      <c r="BN51" s="763">
        <f t="shared" ref="BN51" si="516">CHOOSE($B$59,BN48,BN49,BN50)</f>
        <v>20.962699032934829</v>
      </c>
      <c r="BO51" s="763">
        <f t="shared" ref="BO51" si="517">CHOOSE($B$59,BO48,BO49,BO50)</f>
        <v>20.865643146173607</v>
      </c>
      <c r="BP51" s="763">
        <f t="shared" ref="BP51" si="518">CHOOSE($B$59,BP48,BP49,BP50)</f>
        <v>79.396105415934514</v>
      </c>
      <c r="BQ51" s="763">
        <f t="shared" ref="BQ51" si="519">CHOOSE($B$59,BQ48,BQ49,BQ50)</f>
        <v>18.397856916509092</v>
      </c>
      <c r="BR51" s="763">
        <f t="shared" ref="BR51" si="520">CHOOSE($B$59,BR48,BR49,BR50)</f>
        <v>21.048294482158298</v>
      </c>
      <c r="BS51" s="763">
        <f t="shared" ref="BS51" si="521">CHOOSE($B$59,BS48,BS49,BS50)</f>
        <v>0</v>
      </c>
      <c r="BT51" s="763">
        <f t="shared" ref="BT51" si="522">CHOOSE($B$59,BT48,BT49,BT50)</f>
        <v>0</v>
      </c>
      <c r="BU51" s="764">
        <f t="shared" ref="BU51" si="523">CHOOSE($B$59,BU48,BU49,BU50)</f>
        <v>39.446151398667389</v>
      </c>
    </row>
    <row r="52" spans="1:74" ht="17.25" customHeight="1">
      <c r="D52" s="755"/>
      <c r="E52" s="755"/>
      <c r="F52" s="755"/>
      <c r="G52" s="755"/>
      <c r="H52" s="757"/>
      <c r="I52" s="755"/>
      <c r="J52" s="755"/>
      <c r="K52" s="755"/>
      <c r="L52" s="755"/>
      <c r="M52" s="757"/>
      <c r="N52" s="755"/>
      <c r="O52" s="755"/>
      <c r="P52" s="755"/>
      <c r="Q52" s="755"/>
      <c r="R52" s="757"/>
      <c r="S52" s="755"/>
      <c r="T52" s="755"/>
      <c r="U52" s="755"/>
      <c r="V52" s="755"/>
      <c r="W52" s="757"/>
      <c r="X52" s="755"/>
      <c r="Y52" s="755"/>
      <c r="Z52" s="755"/>
      <c r="AA52" s="755"/>
      <c r="AB52" s="757"/>
      <c r="AC52" s="755"/>
      <c r="AD52" s="755"/>
      <c r="AE52" s="755"/>
      <c r="AF52" s="755"/>
      <c r="AG52" s="757"/>
      <c r="AH52" s="755"/>
      <c r="AI52" s="755"/>
      <c r="AJ52" s="755"/>
      <c r="AK52" s="755"/>
      <c r="AL52" s="757"/>
      <c r="AM52" s="755"/>
      <c r="AN52" s="755"/>
      <c r="AO52" s="755"/>
      <c r="AP52" s="755"/>
      <c r="AQ52" s="757"/>
      <c r="AR52" s="755"/>
      <c r="AS52" s="755"/>
      <c r="AT52" s="755"/>
      <c r="AU52" s="755"/>
      <c r="AV52" s="757"/>
      <c r="AW52" s="755"/>
      <c r="AX52" s="755"/>
      <c r="AY52" s="755"/>
      <c r="AZ52" s="755"/>
      <c r="BA52" s="757"/>
      <c r="BB52" s="755"/>
      <c r="BC52" s="755"/>
      <c r="BD52" s="755"/>
      <c r="BE52" s="755"/>
      <c r="BF52" s="757"/>
      <c r="BG52" s="755"/>
      <c r="BH52" s="755"/>
      <c r="BI52" s="755"/>
      <c r="BJ52" s="755"/>
      <c r="BK52" s="757"/>
      <c r="BL52" s="755"/>
      <c r="BM52" s="755"/>
      <c r="BN52" s="755"/>
      <c r="BO52" s="755"/>
      <c r="BP52" s="757"/>
      <c r="BQ52" s="755"/>
      <c r="BR52" s="755"/>
      <c r="BS52" s="755"/>
      <c r="BT52" s="755"/>
      <c r="BU52" s="757"/>
    </row>
    <row r="53" spans="1:74" ht="17.25" customHeight="1">
      <c r="A53" s="781" t="s">
        <v>591</v>
      </c>
      <c r="B53" s="756" t="s">
        <v>729</v>
      </c>
      <c r="C53" s="758" t="s">
        <v>662</v>
      </c>
      <c r="D53" s="755">
        <v>33</v>
      </c>
      <c r="E53" s="755">
        <v>60</v>
      </c>
      <c r="F53" s="755">
        <v>62</v>
      </c>
      <c r="G53" s="755">
        <v>88.156119609285099</v>
      </c>
      <c r="H53" s="806">
        <f t="shared" ref="H53:H55" si="524">SUM(D53:G53)</f>
        <v>243.1561196092851</v>
      </c>
      <c r="I53" s="755">
        <v>84</v>
      </c>
      <c r="J53" s="755">
        <v>142.11398328170733</v>
      </c>
      <c r="K53" s="755">
        <v>139.55458217142728</v>
      </c>
      <c r="L53" s="755">
        <v>159.45643391465939</v>
      </c>
      <c r="M53" s="757">
        <f>SUM(I53:L53)</f>
        <v>525.12499936779409</v>
      </c>
      <c r="N53" s="755">
        <v>186.94695227460556</v>
      </c>
      <c r="O53" s="755">
        <v>220.74801487112055</v>
      </c>
      <c r="P53" s="755">
        <v>269.41647510190302</v>
      </c>
      <c r="Q53" s="755">
        <v>304.65374232530183</v>
      </c>
      <c r="R53" s="757">
        <f>SUM(N53:Q53)</f>
        <v>981.76518457293105</v>
      </c>
      <c r="S53" s="755">
        <v>324.01442887482796</v>
      </c>
      <c r="T53" s="755">
        <v>341.4031620667638</v>
      </c>
      <c r="U53" s="755">
        <v>381.28968314079418</v>
      </c>
      <c r="V53" s="755">
        <v>401.20041088799758</v>
      </c>
      <c r="W53" s="757">
        <f>SUM(S53:V53)</f>
        <v>1447.9076849703836</v>
      </c>
      <c r="X53" s="755">
        <v>411.97983241053697</v>
      </c>
      <c r="Y53" s="755">
        <v>426.13230460397864</v>
      </c>
      <c r="Z53" s="755">
        <v>467.60662154525744</v>
      </c>
      <c r="AA53" s="755">
        <v>483.63810133366178</v>
      </c>
      <c r="AB53" s="757">
        <f>SUM(X53:AA53)</f>
        <v>1789.3568598934348</v>
      </c>
      <c r="AC53" s="755">
        <v>491.04352538875833</v>
      </c>
      <c r="AD53" s="755">
        <v>503.82140757598381</v>
      </c>
      <c r="AE53" s="755">
        <v>548.71889464038236</v>
      </c>
      <c r="AF53" s="755">
        <v>563.49234741671444</v>
      </c>
      <c r="AG53" s="757">
        <f>SUM(AC53:AF53)</f>
        <v>2107.0761750218389</v>
      </c>
      <c r="AH53" s="755">
        <v>570.62221793689707</v>
      </c>
      <c r="AI53" s="755">
        <v>585.42722736281712</v>
      </c>
      <c r="AJ53" s="755">
        <v>623.0313894882886</v>
      </c>
      <c r="AK53" s="755">
        <v>640.38013734225797</v>
      </c>
      <c r="AL53" s="757">
        <f>SUM(AH53:AK53)</f>
        <v>2419.4609721302604</v>
      </c>
      <c r="AM53" s="755">
        <v>639.30353454244948</v>
      </c>
      <c r="AN53" s="755">
        <v>642.33067438167905</v>
      </c>
      <c r="AO53" s="755">
        <v>670.39354155917624</v>
      </c>
      <c r="AP53" s="755">
        <v>676.41877280514507</v>
      </c>
      <c r="AQ53" s="757">
        <f>SUM(AM53:AP53)</f>
        <v>2628.44652328845</v>
      </c>
      <c r="AR53" s="755">
        <v>671.26871126957201</v>
      </c>
      <c r="AS53" s="755">
        <v>674.44720810076308</v>
      </c>
      <c r="AT53" s="755">
        <v>690.5053478059516</v>
      </c>
      <c r="AU53" s="755">
        <v>696.71133598929941</v>
      </c>
      <c r="AV53" s="757">
        <f>SUM(AR53:AU53)</f>
        <v>2732.9326031655864</v>
      </c>
      <c r="AW53" s="755">
        <v>691.40677260765926</v>
      </c>
      <c r="AX53" s="755">
        <v>694.68062434378601</v>
      </c>
      <c r="AY53" s="755">
        <v>711.22050824013013</v>
      </c>
      <c r="AZ53" s="755">
        <v>717.61267606897854</v>
      </c>
      <c r="BA53" s="757">
        <f>SUM(AW53:AZ53)</f>
        <v>2814.9205812605542</v>
      </c>
      <c r="BB53" s="755">
        <v>712.14897578588909</v>
      </c>
      <c r="BC53" s="755">
        <v>715.52104307409968</v>
      </c>
      <c r="BD53" s="755">
        <v>732.55712348733414</v>
      </c>
      <c r="BE53" s="755">
        <v>739.14105635104784</v>
      </c>
      <c r="BF53" s="757">
        <f>SUM(BB53:BE53)</f>
        <v>2899.3681986983711</v>
      </c>
      <c r="BG53" s="755">
        <v>733.51344505946588</v>
      </c>
      <c r="BH53" s="755">
        <v>736.98667436632275</v>
      </c>
      <c r="BI53" s="755">
        <v>754.53383719195426</v>
      </c>
      <c r="BJ53" s="755">
        <v>761.31528804157938</v>
      </c>
      <c r="BK53" s="757">
        <f>SUM(BG53:BJ53)</f>
        <v>2986.3492446593218</v>
      </c>
      <c r="BL53" s="755">
        <v>755.51884841124991</v>
      </c>
      <c r="BM53" s="755">
        <v>759.09627459731246</v>
      </c>
      <c r="BN53" s="755">
        <v>777.16985230771286</v>
      </c>
      <c r="BO53" s="755">
        <v>784.15474668282684</v>
      </c>
      <c r="BP53" s="757">
        <f>SUM(BL53:BO53)</f>
        <v>3075.9397219991024</v>
      </c>
      <c r="BQ53" s="755">
        <v>778.18441386358745</v>
      </c>
      <c r="BR53" s="755">
        <v>781.86916283523192</v>
      </c>
      <c r="BS53" s="755">
        <v>777.16985230771286</v>
      </c>
      <c r="BT53" s="755">
        <v>784.15474668282684</v>
      </c>
      <c r="BU53" s="757">
        <f>SUM(BQ53:BT53)</f>
        <v>3121.3781756893591</v>
      </c>
      <c r="BV53" s="751"/>
    </row>
    <row r="54" spans="1:74" ht="17.25" customHeight="1">
      <c r="B54" s="751"/>
      <c r="C54" s="758" t="s">
        <v>663</v>
      </c>
      <c r="D54" s="755">
        <v>33</v>
      </c>
      <c r="E54" s="755">
        <v>60</v>
      </c>
      <c r="F54" s="755">
        <v>62</v>
      </c>
      <c r="G54" s="755">
        <v>70</v>
      </c>
      <c r="H54" s="806">
        <f t="shared" si="524"/>
        <v>225</v>
      </c>
      <c r="I54" s="755">
        <v>84</v>
      </c>
      <c r="J54" s="755">
        <v>94.742655521138218</v>
      </c>
      <c r="K54" s="755">
        <v>111.64366573714179</v>
      </c>
      <c r="L54" s="755">
        <v>127.56514713172751</v>
      </c>
      <c r="M54" s="757">
        <f t="shared" ref="M54:M55" si="525">SUM(I54:L54)</f>
        <v>417.95146839000745</v>
      </c>
      <c r="N54" s="755">
        <v>149.55756181968448</v>
      </c>
      <c r="O54" s="755">
        <v>176.59841189689649</v>
      </c>
      <c r="P54" s="755">
        <v>215.5331800815224</v>
      </c>
      <c r="Q54" s="755">
        <v>243.72299386024144</v>
      </c>
      <c r="R54" s="757">
        <f t="shared" ref="R54:R55" si="526">SUM(N54:Q54)</f>
        <v>785.41214765834491</v>
      </c>
      <c r="S54" s="755">
        <v>259.21154309986235</v>
      </c>
      <c r="T54" s="755">
        <v>273.12252965341111</v>
      </c>
      <c r="U54" s="755">
        <v>305.03174651263532</v>
      </c>
      <c r="V54" s="755">
        <v>320.96032871039802</v>
      </c>
      <c r="W54" s="757">
        <f t="shared" ref="W54:W55" si="527">SUM(S54:V54)</f>
        <v>1158.3261479763069</v>
      </c>
      <c r="X54" s="755">
        <v>329.58386592842953</v>
      </c>
      <c r="Y54" s="755">
        <v>340.90584368318292</v>
      </c>
      <c r="Z54" s="755">
        <v>374.08529723620592</v>
      </c>
      <c r="AA54" s="755">
        <v>386.91048106692938</v>
      </c>
      <c r="AB54" s="757">
        <f t="shared" ref="AB54:AB55" si="528">SUM(X54:AA54)</f>
        <v>1431.4854879147476</v>
      </c>
      <c r="AC54" s="755">
        <v>392.83482031100664</v>
      </c>
      <c r="AD54" s="755">
        <v>403.05712606078697</v>
      </c>
      <c r="AE54" s="755">
        <v>438.97511571230592</v>
      </c>
      <c r="AF54" s="755">
        <v>450.7938779333715</v>
      </c>
      <c r="AG54" s="757">
        <f t="shared" ref="AG54:AG55" si="529">SUM(AC54:AF54)</f>
        <v>1685.6609400174711</v>
      </c>
      <c r="AH54" s="755">
        <v>456.49777434951778</v>
      </c>
      <c r="AI54" s="755">
        <v>468.34178189025374</v>
      </c>
      <c r="AJ54" s="755">
        <v>498.42511159063093</v>
      </c>
      <c r="AK54" s="755">
        <v>512.3041098738064</v>
      </c>
      <c r="AL54" s="757">
        <f t="shared" ref="AL54:AL55" si="530">SUM(AH54:AK54)</f>
        <v>1935.568777704209</v>
      </c>
      <c r="AM54" s="755">
        <v>511.44282763395961</v>
      </c>
      <c r="AN54" s="755">
        <v>513.86453950534326</v>
      </c>
      <c r="AO54" s="755">
        <v>536.31483324734097</v>
      </c>
      <c r="AP54" s="755">
        <v>541.13501824411605</v>
      </c>
      <c r="AQ54" s="757">
        <f t="shared" ref="AQ54:AQ55" si="531">SUM(AM54:AP54)</f>
        <v>2102.7572186307598</v>
      </c>
      <c r="AR54" s="755">
        <v>537.0149690156577</v>
      </c>
      <c r="AS54" s="755">
        <v>539.55776648061044</v>
      </c>
      <c r="AT54" s="755">
        <v>552.40427824476126</v>
      </c>
      <c r="AU54" s="755">
        <v>557.36906879143964</v>
      </c>
      <c r="AV54" s="757">
        <f t="shared" ref="AV54:AV55" si="532">SUM(AR54:AU54)</f>
        <v>2186.3460825324692</v>
      </c>
      <c r="AW54" s="755">
        <v>553.12541808612741</v>
      </c>
      <c r="AX54" s="755">
        <v>555.74449947502887</v>
      </c>
      <c r="AY54" s="755">
        <v>568.97640659210424</v>
      </c>
      <c r="AZ54" s="755">
        <v>574.09014085518288</v>
      </c>
      <c r="BA54" s="757">
        <f t="shared" ref="BA54:BA55" si="533">SUM(AW54:AZ54)</f>
        <v>2251.9364650084435</v>
      </c>
      <c r="BB54" s="755">
        <v>569.71918062871134</v>
      </c>
      <c r="BC54" s="755">
        <v>572.41683445927981</v>
      </c>
      <c r="BD54" s="755">
        <v>586.04569878986729</v>
      </c>
      <c r="BE54" s="755">
        <v>591.31284508083843</v>
      </c>
      <c r="BF54" s="757">
        <f t="shared" ref="BF54:BF55" si="534">SUM(BB54:BE54)</f>
        <v>2319.4945589586969</v>
      </c>
      <c r="BG54" s="755">
        <v>586.81075604757268</v>
      </c>
      <c r="BH54" s="755">
        <v>589.58933949305822</v>
      </c>
      <c r="BI54" s="755">
        <v>603.62706975356343</v>
      </c>
      <c r="BJ54" s="755">
        <v>609.0522304332635</v>
      </c>
      <c r="BK54" s="757">
        <f t="shared" ref="BK54:BK55" si="535">SUM(BG54:BJ54)</f>
        <v>2389.0793957274577</v>
      </c>
      <c r="BL54" s="755">
        <v>604.41507872900002</v>
      </c>
      <c r="BM54" s="755">
        <v>607.27701967785003</v>
      </c>
      <c r="BN54" s="755">
        <v>621.73588184617029</v>
      </c>
      <c r="BO54" s="755">
        <v>627.32379734626147</v>
      </c>
      <c r="BP54" s="757">
        <f t="shared" ref="BP54" si="536">SUM(BL54:BO54)</f>
        <v>2460.7517775992819</v>
      </c>
      <c r="BQ54" s="755">
        <v>622.54753109087005</v>
      </c>
      <c r="BR54" s="755">
        <v>625.49533026818563</v>
      </c>
      <c r="BS54" s="755">
        <v>621.73588184617029</v>
      </c>
      <c r="BT54" s="755">
        <v>627.32379734626147</v>
      </c>
      <c r="BU54" s="757">
        <f t="shared" ref="BU54:BU55" si="537">SUM(BQ54:BT54)</f>
        <v>2497.1025405514874</v>
      </c>
      <c r="BV54" s="751"/>
    </row>
    <row r="55" spans="1:74" ht="17.25" customHeight="1" thickBot="1">
      <c r="C55" s="758" t="s">
        <v>664</v>
      </c>
      <c r="D55" s="755">
        <v>33</v>
      </c>
      <c r="E55" s="755">
        <v>60</v>
      </c>
      <c r="F55" s="755">
        <v>62</v>
      </c>
      <c r="G55" s="755">
        <v>66.448620996008358</v>
      </c>
      <c r="H55" s="806">
        <f t="shared" si="524"/>
        <v>221.44862099600834</v>
      </c>
      <c r="I55" s="755">
        <v>84</v>
      </c>
      <c r="J55" s="755">
        <v>66.319858864796743</v>
      </c>
      <c r="K55" s="755">
        <v>78.15056601599926</v>
      </c>
      <c r="L55" s="755">
        <v>89.295602992209254</v>
      </c>
      <c r="M55" s="757">
        <f t="shared" si="525"/>
        <v>317.76602787300527</v>
      </c>
      <c r="N55" s="755">
        <v>104.69029327377912</v>
      </c>
      <c r="O55" s="755">
        <v>123.61888832782752</v>
      </c>
      <c r="P55" s="755">
        <v>150.87322605706569</v>
      </c>
      <c r="Q55" s="755">
        <v>170.606095702169</v>
      </c>
      <c r="R55" s="757">
        <f t="shared" si="526"/>
        <v>549.78850336084133</v>
      </c>
      <c r="S55" s="755">
        <v>181.4480801699037</v>
      </c>
      <c r="T55" s="755">
        <v>191.18577075738773</v>
      </c>
      <c r="U55" s="755">
        <v>213.5222225588447</v>
      </c>
      <c r="V55" s="755">
        <v>224.6722300972786</v>
      </c>
      <c r="W55" s="757">
        <f t="shared" si="527"/>
        <v>810.82830358341471</v>
      </c>
      <c r="X55" s="755">
        <v>230.70870614990068</v>
      </c>
      <c r="Y55" s="755">
        <v>238.63409057822804</v>
      </c>
      <c r="Z55" s="755">
        <v>261.85970806534414</v>
      </c>
      <c r="AA55" s="755">
        <v>270.83733674685067</v>
      </c>
      <c r="AB55" s="757">
        <f t="shared" si="528"/>
        <v>1002.0398415403236</v>
      </c>
      <c r="AC55" s="755">
        <v>274.98437421770461</v>
      </c>
      <c r="AD55" s="755">
        <v>282.13998824255088</v>
      </c>
      <c r="AE55" s="755">
        <v>307.28258099861415</v>
      </c>
      <c r="AF55" s="755">
        <v>315.55571455336013</v>
      </c>
      <c r="AG55" s="757">
        <f t="shared" si="529"/>
        <v>1179.9626580122297</v>
      </c>
      <c r="AH55" s="755">
        <v>319.54844204466235</v>
      </c>
      <c r="AI55" s="755">
        <v>327.83924732317763</v>
      </c>
      <c r="AJ55" s="755">
        <v>348.89757811344163</v>
      </c>
      <c r="AK55" s="755">
        <v>358.6128769116645</v>
      </c>
      <c r="AL55" s="757">
        <f t="shared" si="530"/>
        <v>1354.8981443929461</v>
      </c>
      <c r="AM55" s="755">
        <v>358.0099793437717</v>
      </c>
      <c r="AN55" s="755">
        <v>359.70517765374024</v>
      </c>
      <c r="AO55" s="755">
        <v>375.42038327313867</v>
      </c>
      <c r="AP55" s="755">
        <v>378.79451277088123</v>
      </c>
      <c r="AQ55" s="757">
        <f t="shared" si="531"/>
        <v>1471.9300530415319</v>
      </c>
      <c r="AR55" s="755">
        <v>375.91047831096034</v>
      </c>
      <c r="AS55" s="755">
        <v>377.69043653642728</v>
      </c>
      <c r="AT55" s="755">
        <v>386.68299477133286</v>
      </c>
      <c r="AU55" s="755">
        <v>390.15834815400768</v>
      </c>
      <c r="AV55" s="757">
        <f t="shared" si="532"/>
        <v>1530.4422577727282</v>
      </c>
      <c r="AW55" s="755">
        <v>387.18779266028918</v>
      </c>
      <c r="AX55" s="755">
        <v>389.02114963252012</v>
      </c>
      <c r="AY55" s="755">
        <v>398.28348461447285</v>
      </c>
      <c r="AZ55" s="755">
        <v>401.86309859862797</v>
      </c>
      <c r="BA55" s="757">
        <f t="shared" si="533"/>
        <v>1576.35552550591</v>
      </c>
      <c r="BB55" s="755">
        <v>398.80342644009795</v>
      </c>
      <c r="BC55" s="755">
        <v>400.6917841214958</v>
      </c>
      <c r="BD55" s="755">
        <v>410.23198915290709</v>
      </c>
      <c r="BE55" s="755">
        <v>413.91899155658689</v>
      </c>
      <c r="BF55" s="757">
        <f t="shared" si="534"/>
        <v>1623.6461912710877</v>
      </c>
      <c r="BG55" s="755">
        <v>410.76752923330088</v>
      </c>
      <c r="BH55" s="755">
        <v>412.71253764514069</v>
      </c>
      <c r="BI55" s="755">
        <v>422.53894882749432</v>
      </c>
      <c r="BJ55" s="755">
        <v>426.33656130328444</v>
      </c>
      <c r="BK55" s="757">
        <f t="shared" si="535"/>
        <v>1672.3555770092205</v>
      </c>
      <c r="BL55" s="755">
        <v>423.09055511029993</v>
      </c>
      <c r="BM55" s="755">
        <v>425.09391377449492</v>
      </c>
      <c r="BN55" s="755">
        <v>435.21511729231923</v>
      </c>
      <c r="BO55" s="755">
        <v>439.12665814238306</v>
      </c>
      <c r="BP55" s="757">
        <f>SUM(BL55:BO55)</f>
        <v>1722.5262443194972</v>
      </c>
      <c r="BQ55" s="755">
        <v>435.78327176360898</v>
      </c>
      <c r="BR55" s="755">
        <v>437.84673118772986</v>
      </c>
      <c r="BS55" s="755">
        <v>435.21511729231923</v>
      </c>
      <c r="BT55" s="755">
        <v>439.12665814238306</v>
      </c>
      <c r="BU55" s="757">
        <f t="shared" si="537"/>
        <v>1747.9717783860413</v>
      </c>
      <c r="BV55" s="751"/>
    </row>
    <row r="56" spans="1:74" ht="17.25" customHeight="1" thickBot="1">
      <c r="C56" s="762" t="s">
        <v>35</v>
      </c>
      <c r="D56" s="763">
        <f t="shared" ref="D56:BN56" si="538">CHOOSE($B$59,D53,D54,D55)</f>
        <v>33</v>
      </c>
      <c r="E56" s="763">
        <f t="shared" si="538"/>
        <v>60</v>
      </c>
      <c r="F56" s="763">
        <f t="shared" si="538"/>
        <v>62</v>
      </c>
      <c r="G56" s="763">
        <f t="shared" si="538"/>
        <v>70</v>
      </c>
      <c r="H56" s="763">
        <f t="shared" si="538"/>
        <v>225</v>
      </c>
      <c r="I56" s="763">
        <f t="shared" si="538"/>
        <v>84</v>
      </c>
      <c r="J56" s="763">
        <f t="shared" si="538"/>
        <v>94.742655521138218</v>
      </c>
      <c r="K56" s="763">
        <f t="shared" si="538"/>
        <v>111.64366573714179</v>
      </c>
      <c r="L56" s="763">
        <f t="shared" si="538"/>
        <v>127.56514713172751</v>
      </c>
      <c r="M56" s="763">
        <f t="shared" si="538"/>
        <v>417.95146839000745</v>
      </c>
      <c r="N56" s="763">
        <f t="shared" si="538"/>
        <v>149.55756181968448</v>
      </c>
      <c r="O56" s="763">
        <f t="shared" si="538"/>
        <v>176.59841189689649</v>
      </c>
      <c r="P56" s="763">
        <f t="shared" si="538"/>
        <v>215.5331800815224</v>
      </c>
      <c r="Q56" s="763">
        <f t="shared" si="538"/>
        <v>243.72299386024144</v>
      </c>
      <c r="R56" s="763">
        <f t="shared" si="538"/>
        <v>785.41214765834491</v>
      </c>
      <c r="S56" s="763">
        <f t="shared" si="538"/>
        <v>259.21154309986235</v>
      </c>
      <c r="T56" s="763">
        <f t="shared" si="538"/>
        <v>273.12252965341111</v>
      </c>
      <c r="U56" s="763">
        <f t="shared" si="538"/>
        <v>305.03174651263532</v>
      </c>
      <c r="V56" s="763">
        <f t="shared" si="538"/>
        <v>320.96032871039802</v>
      </c>
      <c r="W56" s="763">
        <f t="shared" si="538"/>
        <v>1158.3261479763069</v>
      </c>
      <c r="X56" s="763">
        <f t="shared" si="538"/>
        <v>329.58386592842953</v>
      </c>
      <c r="Y56" s="763">
        <f t="shared" si="538"/>
        <v>340.90584368318292</v>
      </c>
      <c r="Z56" s="763">
        <f t="shared" si="538"/>
        <v>374.08529723620592</v>
      </c>
      <c r="AA56" s="763">
        <f t="shared" si="538"/>
        <v>386.91048106692938</v>
      </c>
      <c r="AB56" s="763">
        <f t="shared" si="538"/>
        <v>1431.4854879147476</v>
      </c>
      <c r="AC56" s="763">
        <f t="shared" si="538"/>
        <v>392.83482031100664</v>
      </c>
      <c r="AD56" s="763">
        <f t="shared" si="538"/>
        <v>403.05712606078697</v>
      </c>
      <c r="AE56" s="763">
        <f t="shared" si="538"/>
        <v>438.97511571230592</v>
      </c>
      <c r="AF56" s="763">
        <f t="shared" si="538"/>
        <v>450.7938779333715</v>
      </c>
      <c r="AG56" s="763">
        <f t="shared" si="538"/>
        <v>1685.6609400174711</v>
      </c>
      <c r="AH56" s="763">
        <f t="shared" si="538"/>
        <v>456.49777434951778</v>
      </c>
      <c r="AI56" s="763">
        <f t="shared" si="538"/>
        <v>468.34178189025374</v>
      </c>
      <c r="AJ56" s="763">
        <f t="shared" si="538"/>
        <v>498.42511159063093</v>
      </c>
      <c r="AK56" s="763">
        <f t="shared" si="538"/>
        <v>512.3041098738064</v>
      </c>
      <c r="AL56" s="763">
        <f t="shared" si="538"/>
        <v>1935.568777704209</v>
      </c>
      <c r="AM56" s="763">
        <f t="shared" si="538"/>
        <v>511.44282763395961</v>
      </c>
      <c r="AN56" s="763">
        <f t="shared" si="538"/>
        <v>513.86453950534326</v>
      </c>
      <c r="AO56" s="763">
        <f t="shared" si="538"/>
        <v>536.31483324734097</v>
      </c>
      <c r="AP56" s="763">
        <f t="shared" si="538"/>
        <v>541.13501824411605</v>
      </c>
      <c r="AQ56" s="763">
        <f t="shared" si="538"/>
        <v>2102.7572186307598</v>
      </c>
      <c r="AR56" s="763">
        <f t="shared" si="538"/>
        <v>537.0149690156577</v>
      </c>
      <c r="AS56" s="763">
        <f t="shared" si="538"/>
        <v>539.55776648061044</v>
      </c>
      <c r="AT56" s="763">
        <f t="shared" si="538"/>
        <v>552.40427824476126</v>
      </c>
      <c r="AU56" s="763">
        <f t="shared" si="538"/>
        <v>557.36906879143964</v>
      </c>
      <c r="AV56" s="763">
        <f t="shared" si="538"/>
        <v>2186.3460825324692</v>
      </c>
      <c r="AW56" s="763">
        <f t="shared" si="538"/>
        <v>553.12541808612741</v>
      </c>
      <c r="AX56" s="763">
        <f t="shared" si="538"/>
        <v>555.74449947502887</v>
      </c>
      <c r="AY56" s="763">
        <f t="shared" si="538"/>
        <v>568.97640659210424</v>
      </c>
      <c r="AZ56" s="763">
        <f t="shared" si="538"/>
        <v>574.09014085518288</v>
      </c>
      <c r="BA56" s="763">
        <f t="shared" si="538"/>
        <v>2251.9364650084435</v>
      </c>
      <c r="BB56" s="763">
        <f t="shared" si="538"/>
        <v>569.71918062871134</v>
      </c>
      <c r="BC56" s="763">
        <f t="shared" si="538"/>
        <v>572.41683445927981</v>
      </c>
      <c r="BD56" s="763">
        <f t="shared" si="538"/>
        <v>586.04569878986729</v>
      </c>
      <c r="BE56" s="763">
        <f t="shared" si="538"/>
        <v>591.31284508083843</v>
      </c>
      <c r="BF56" s="763">
        <f t="shared" si="538"/>
        <v>2319.4945589586969</v>
      </c>
      <c r="BG56" s="763">
        <f t="shared" si="538"/>
        <v>586.81075604757268</v>
      </c>
      <c r="BH56" s="763">
        <f t="shared" si="538"/>
        <v>589.58933949305822</v>
      </c>
      <c r="BI56" s="763">
        <f t="shared" si="538"/>
        <v>603.62706975356343</v>
      </c>
      <c r="BJ56" s="763">
        <f t="shared" si="538"/>
        <v>609.0522304332635</v>
      </c>
      <c r="BK56" s="763">
        <f t="shared" si="538"/>
        <v>2389.0793957274577</v>
      </c>
      <c r="BL56" s="763">
        <f t="shared" si="538"/>
        <v>604.41507872900002</v>
      </c>
      <c r="BM56" s="763">
        <f t="shared" si="538"/>
        <v>607.27701967785003</v>
      </c>
      <c r="BN56" s="763">
        <f t="shared" si="538"/>
        <v>621.73588184617029</v>
      </c>
      <c r="BO56" s="763">
        <f t="shared" ref="BO56:BU56" si="539">CHOOSE($B$59,BO53,BO54,BO55)</f>
        <v>627.32379734626147</v>
      </c>
      <c r="BP56" s="763">
        <f t="shared" si="539"/>
        <v>2460.7517775992819</v>
      </c>
      <c r="BQ56" s="763">
        <f t="shared" si="539"/>
        <v>622.54753109087005</v>
      </c>
      <c r="BR56" s="763">
        <f t="shared" si="539"/>
        <v>625.49533026818563</v>
      </c>
      <c r="BS56" s="763">
        <f t="shared" si="539"/>
        <v>621.73588184617029</v>
      </c>
      <c r="BT56" s="763">
        <f t="shared" si="539"/>
        <v>627.32379734626147</v>
      </c>
      <c r="BU56" s="764">
        <f t="shared" si="539"/>
        <v>2497.1025405514874</v>
      </c>
    </row>
    <row r="57" spans="1:74" ht="13.5" thickBot="1">
      <c r="D57" s="752"/>
      <c r="E57" s="752"/>
      <c r="F57" s="752"/>
      <c r="G57" s="752"/>
      <c r="H57" s="761"/>
      <c r="I57" s="752"/>
      <c r="J57" s="752"/>
      <c r="K57" s="752"/>
      <c r="L57" s="752"/>
      <c r="M57" s="761"/>
      <c r="N57" s="752"/>
      <c r="O57" s="752"/>
      <c r="P57" s="752"/>
      <c r="Q57" s="752"/>
      <c r="R57" s="761"/>
      <c r="S57" s="752"/>
      <c r="T57" s="752"/>
      <c r="U57" s="752"/>
      <c r="V57" s="752"/>
      <c r="W57" s="761"/>
      <c r="X57" s="752"/>
      <c r="Y57" s="752"/>
      <c r="Z57" s="752"/>
      <c r="AA57" s="752"/>
      <c r="AB57" s="761"/>
      <c r="AC57" s="752"/>
      <c r="AD57" s="752"/>
      <c r="AE57" s="752"/>
      <c r="AF57" s="752"/>
      <c r="AG57" s="761"/>
      <c r="AH57" s="752"/>
      <c r="AI57" s="752"/>
      <c r="AJ57" s="752"/>
      <c r="AK57" s="752"/>
      <c r="AL57" s="761"/>
      <c r="AM57" s="752"/>
      <c r="AN57" s="752"/>
      <c r="AO57" s="752"/>
      <c r="AP57" s="752"/>
      <c r="AQ57" s="761"/>
      <c r="AR57" s="752"/>
      <c r="AS57" s="752"/>
      <c r="AT57" s="752"/>
      <c r="AU57" s="752"/>
      <c r="AV57" s="761"/>
      <c r="AW57" s="752"/>
      <c r="AX57" s="752"/>
      <c r="AY57" s="752"/>
      <c r="AZ57" s="752"/>
      <c r="BA57" s="761"/>
      <c r="BB57" s="752"/>
      <c r="BC57" s="752"/>
      <c r="BD57" s="752"/>
      <c r="BE57" s="752"/>
      <c r="BF57" s="761"/>
      <c r="BG57" s="752"/>
      <c r="BH57" s="752"/>
      <c r="BI57" s="752"/>
      <c r="BJ57" s="752"/>
      <c r="BK57" s="761"/>
      <c r="BL57" s="752"/>
      <c r="BM57" s="752"/>
      <c r="BN57" s="752"/>
      <c r="BO57" s="752"/>
      <c r="BP57" s="761"/>
      <c r="BQ57" s="752"/>
      <c r="BR57" s="752"/>
      <c r="BS57" s="752"/>
      <c r="BT57" s="752"/>
      <c r="BU57" s="761"/>
    </row>
    <row r="58" spans="1:74" ht="13.5" thickBot="1">
      <c r="B58" s="691" t="s">
        <v>797</v>
      </c>
      <c r="D58" s="752"/>
      <c r="E58" s="752"/>
      <c r="F58" s="752"/>
      <c r="G58" s="752"/>
      <c r="H58" s="761"/>
      <c r="I58" s="752"/>
      <c r="J58" s="752"/>
      <c r="K58" s="752"/>
      <c r="L58" s="752"/>
      <c r="M58" s="761"/>
      <c r="N58" s="752"/>
      <c r="O58" s="752"/>
      <c r="P58" s="752"/>
      <c r="Q58" s="752"/>
      <c r="R58" s="761"/>
      <c r="S58" s="752"/>
      <c r="T58" s="752"/>
      <c r="U58" s="752"/>
      <c r="V58" s="752"/>
      <c r="W58" s="761"/>
      <c r="X58" s="752"/>
      <c r="Y58" s="752"/>
      <c r="Z58" s="752"/>
      <c r="AA58" s="752"/>
      <c r="AB58" s="761"/>
      <c r="AC58" s="752"/>
      <c r="AD58" s="752"/>
      <c r="AE58" s="752"/>
      <c r="AF58" s="752"/>
      <c r="AG58" s="761"/>
      <c r="AH58" s="752"/>
      <c r="AI58" s="752"/>
      <c r="AJ58" s="752"/>
      <c r="AK58" s="752"/>
      <c r="AL58" s="761"/>
      <c r="AM58" s="752"/>
      <c r="AN58" s="752"/>
      <c r="AO58" s="752"/>
      <c r="AP58" s="752"/>
      <c r="AQ58" s="761"/>
      <c r="AR58" s="752"/>
      <c r="AS58" s="752"/>
      <c r="AT58" s="752"/>
      <c r="AU58" s="752"/>
      <c r="AV58" s="761"/>
      <c r="AW58" s="752"/>
      <c r="AX58" s="752"/>
      <c r="AY58" s="752"/>
      <c r="AZ58" s="752"/>
      <c r="BA58" s="761"/>
      <c r="BB58" s="752"/>
      <c r="BC58" s="752"/>
      <c r="BD58" s="752"/>
      <c r="BE58" s="752"/>
      <c r="BF58" s="761"/>
      <c r="BG58" s="752"/>
      <c r="BH58" s="752"/>
      <c r="BI58" s="752"/>
      <c r="BJ58" s="752"/>
      <c r="BK58" s="761"/>
      <c r="BL58" s="752"/>
      <c r="BM58" s="752"/>
      <c r="BN58" s="752"/>
      <c r="BO58" s="752"/>
      <c r="BP58" s="761"/>
      <c r="BQ58" s="752"/>
      <c r="BR58" s="752"/>
      <c r="BS58" s="752"/>
      <c r="BT58" s="752"/>
      <c r="BU58" s="761"/>
    </row>
    <row r="59" spans="1:74" ht="13.5" thickBot="1">
      <c r="B59" s="690">
        <f>DCF!$C$25</f>
        <v>2</v>
      </c>
      <c r="D59" s="752"/>
      <c r="E59" s="752"/>
      <c r="F59" s="752"/>
      <c r="G59" s="752"/>
      <c r="H59" s="761"/>
      <c r="I59" s="752"/>
      <c r="J59" s="752"/>
      <c r="K59" s="752"/>
      <c r="L59" s="752"/>
      <c r="M59" s="761"/>
      <c r="N59" s="752"/>
      <c r="O59" s="752"/>
      <c r="P59" s="752"/>
      <c r="Q59" s="752"/>
      <c r="R59" s="761"/>
      <c r="S59" s="752"/>
      <c r="T59" s="752"/>
      <c r="U59" s="752"/>
      <c r="V59" s="752"/>
      <c r="W59" s="761"/>
      <c r="X59" s="752"/>
      <c r="Y59" s="752"/>
      <c r="Z59" s="752"/>
      <c r="AA59" s="752"/>
      <c r="AB59" s="761"/>
      <c r="AC59" s="752"/>
      <c r="AD59" s="752"/>
      <c r="AE59" s="752"/>
      <c r="AF59" s="752"/>
      <c r="AG59" s="761"/>
      <c r="AH59" s="752"/>
      <c r="AI59" s="752"/>
      <c r="AJ59" s="752"/>
      <c r="AK59" s="752"/>
      <c r="AL59" s="761"/>
      <c r="AM59" s="752"/>
      <c r="AN59" s="752"/>
      <c r="AO59" s="752"/>
      <c r="AP59" s="752"/>
      <c r="AQ59" s="761"/>
      <c r="AR59" s="752"/>
      <c r="AS59" s="752"/>
      <c r="AT59" s="752"/>
      <c r="AU59" s="752"/>
      <c r="AV59" s="761"/>
      <c r="AW59" s="752"/>
      <c r="AX59" s="752"/>
      <c r="AY59" s="752"/>
      <c r="AZ59" s="752"/>
      <c r="BA59" s="761"/>
      <c r="BB59" s="752"/>
      <c r="BC59" s="752"/>
      <c r="BD59" s="752"/>
      <c r="BE59" s="752"/>
      <c r="BF59" s="761"/>
      <c r="BG59" s="752"/>
      <c r="BH59" s="752"/>
      <c r="BI59" s="752"/>
      <c r="BJ59" s="752"/>
      <c r="BK59" s="761"/>
      <c r="BL59" s="752"/>
      <c r="BM59" s="752"/>
      <c r="BN59" s="752"/>
      <c r="BO59" s="752"/>
      <c r="BP59" s="761"/>
      <c r="BQ59" s="752"/>
      <c r="BR59" s="752"/>
      <c r="BS59" s="752"/>
      <c r="BT59" s="752"/>
      <c r="BU59" s="761"/>
    </row>
    <row r="60" spans="1:74">
      <c r="D60" s="752"/>
      <c r="E60" s="752"/>
      <c r="F60" s="752"/>
      <c r="G60" s="752"/>
      <c r="H60" s="761"/>
      <c r="I60" s="752"/>
      <c r="J60" s="752"/>
      <c r="K60" s="752"/>
      <c r="L60" s="752"/>
      <c r="M60" s="761"/>
      <c r="N60" s="752"/>
      <c r="O60" s="752"/>
      <c r="P60" s="752"/>
      <c r="Q60" s="752"/>
      <c r="R60" s="761"/>
      <c r="S60" s="752"/>
      <c r="T60" s="752"/>
      <c r="U60" s="752"/>
      <c r="V60" s="752"/>
      <c r="W60" s="761"/>
      <c r="X60" s="752"/>
      <c r="Y60" s="752"/>
      <c r="Z60" s="752"/>
      <c r="AA60" s="752"/>
      <c r="AB60" s="761"/>
      <c r="AC60" s="752"/>
      <c r="AD60" s="752"/>
      <c r="AE60" s="752"/>
      <c r="AF60" s="752"/>
      <c r="AG60" s="761"/>
      <c r="AH60" s="752"/>
      <c r="AI60" s="752"/>
      <c r="AJ60" s="752"/>
      <c r="AK60" s="752"/>
      <c r="AL60" s="761"/>
      <c r="AM60" s="752"/>
      <c r="AN60" s="752"/>
      <c r="AO60" s="752"/>
      <c r="AP60" s="752"/>
      <c r="AQ60" s="761"/>
      <c r="AR60" s="752"/>
      <c r="AS60" s="752"/>
      <c r="AT60" s="752"/>
      <c r="AU60" s="752"/>
      <c r="AV60" s="761"/>
      <c r="AW60" s="752"/>
      <c r="AX60" s="752"/>
      <c r="AY60" s="752"/>
      <c r="AZ60" s="752"/>
      <c r="BA60" s="761"/>
      <c r="BB60" s="752"/>
      <c r="BC60" s="752"/>
      <c r="BD60" s="752"/>
      <c r="BE60" s="752"/>
      <c r="BF60" s="761"/>
      <c r="BG60" s="752"/>
      <c r="BH60" s="752"/>
      <c r="BI60" s="752"/>
      <c r="BJ60" s="752"/>
      <c r="BK60" s="761"/>
      <c r="BL60" s="752"/>
      <c r="BM60" s="752"/>
      <c r="BN60" s="752"/>
      <c r="BO60" s="752"/>
      <c r="BP60" s="761"/>
      <c r="BQ60" s="752"/>
      <c r="BR60" s="752"/>
      <c r="BS60" s="752"/>
      <c r="BT60" s="752"/>
      <c r="BU60" s="761"/>
    </row>
  </sheetData>
  <pageMargins left="0.7" right="0.7" top="0.75" bottom="0.75" header="0.3" footer="0.3"/>
  <pageSetup orientation="portrait" r:id="rId1"/>
  <ignoredErrors>
    <ignoredError sqref="H3 H33:H34 H4:H11 H12:H17 H37:H43 H27:H30 H22:H25 H54:H55 H44:H53 H19:H20" formulaRange="1"/>
  </ignoredError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AM26"/>
  <sheetViews>
    <sheetView zoomScaleNormal="100" workbookViewId="0">
      <pane xSplit="5" ySplit="2" topLeftCell="F3" activePane="bottomRight" state="frozen"/>
      <selection pane="topRight" activeCell="F1" sqref="F1"/>
      <selection pane="bottomLeft" activeCell="A3" sqref="A3"/>
      <selection pane="bottomRight" activeCell="M9" sqref="M9"/>
    </sheetView>
  </sheetViews>
  <sheetFormatPr defaultRowHeight="12.75" outlineLevelRow="1"/>
  <cols>
    <col min="1" max="1" width="2.42578125" customWidth="1"/>
    <col min="2" max="2" width="26.28515625" bestFit="1" customWidth="1"/>
    <col min="3" max="3" width="31.140625" bestFit="1" customWidth="1"/>
    <col min="4" max="4" width="8" style="509" bestFit="1" customWidth="1"/>
    <col min="5" max="5" width="7" style="509" bestFit="1" customWidth="1"/>
  </cols>
  <sheetData>
    <row r="1" spans="1:39" ht="6.75" customHeight="1"/>
    <row r="2" spans="1:39">
      <c r="B2" s="26" t="s">
        <v>676</v>
      </c>
      <c r="C2" s="26" t="s">
        <v>677</v>
      </c>
      <c r="D2" s="566" t="s">
        <v>678</v>
      </c>
      <c r="E2" s="566" t="s">
        <v>679</v>
      </c>
      <c r="F2" s="26"/>
      <c r="G2" s="697" t="s">
        <v>726</v>
      </c>
      <c r="H2" s="697" t="s">
        <v>731</v>
      </c>
      <c r="I2" s="607" t="s">
        <v>106</v>
      </c>
      <c r="J2" s="607" t="s">
        <v>115</v>
      </c>
      <c r="K2" s="607" t="s">
        <v>114</v>
      </c>
      <c r="L2" s="607" t="s">
        <v>113</v>
      </c>
      <c r="M2" s="607" t="s">
        <v>67</v>
      </c>
      <c r="N2" s="607" t="s">
        <v>787</v>
      </c>
      <c r="O2" s="607" t="s">
        <v>788</v>
      </c>
      <c r="P2" s="607" t="s">
        <v>789</v>
      </c>
      <c r="Q2" s="607" t="s">
        <v>790</v>
      </c>
      <c r="R2" s="607" t="s">
        <v>791</v>
      </c>
      <c r="S2" s="607" t="s">
        <v>792</v>
      </c>
      <c r="T2" s="607" t="s">
        <v>793</v>
      </c>
      <c r="U2" s="607" t="s">
        <v>794</v>
      </c>
      <c r="V2" s="607" t="s">
        <v>795</v>
      </c>
      <c r="W2" s="607" t="s">
        <v>796</v>
      </c>
    </row>
    <row r="3" spans="1:39">
      <c r="B3" s="349" t="s">
        <v>680</v>
      </c>
      <c r="C3" s="349" t="s">
        <v>681</v>
      </c>
      <c r="D3" s="350" t="s">
        <v>41</v>
      </c>
      <c r="E3" s="509">
        <v>2017</v>
      </c>
      <c r="G3" s="1"/>
      <c r="H3" s="1"/>
      <c r="I3" s="1"/>
      <c r="J3" s="1">
        <v>0</v>
      </c>
      <c r="K3" s="1">
        <f>IF(DCF!$C$25=1,100,0)</f>
        <v>0</v>
      </c>
      <c r="L3" s="1">
        <f>K3*3</f>
        <v>0</v>
      </c>
      <c r="M3" s="363">
        <f>L3*1.5</f>
        <v>0</v>
      </c>
      <c r="N3" s="1">
        <f>M3*1.35</f>
        <v>0</v>
      </c>
      <c r="O3" s="1">
        <f>N3*1.25</f>
        <v>0</v>
      </c>
      <c r="P3" s="1">
        <f>O3*1.2</f>
        <v>0</v>
      </c>
      <c r="Q3" s="1">
        <f>P3*1.15</f>
        <v>0</v>
      </c>
      <c r="R3" s="1">
        <f t="shared" ref="R3" si="0">Q3*1.05</f>
        <v>0</v>
      </c>
      <c r="S3" s="1">
        <f t="shared" ref="S3" si="1">R3*1.05</f>
        <v>0</v>
      </c>
      <c r="T3" s="1">
        <f t="shared" ref="T3" si="2">S3*1.05</f>
        <v>0</v>
      </c>
      <c r="U3" s="1">
        <f t="shared" ref="U3" si="3">T3*1.05</f>
        <v>0</v>
      </c>
      <c r="V3" s="1">
        <f t="shared" ref="V3" si="4">U3*1.05</f>
        <v>0</v>
      </c>
      <c r="W3" s="1">
        <f t="shared" ref="W3" si="5">V3*1.05</f>
        <v>0</v>
      </c>
      <c r="Y3" s="769"/>
      <c r="Z3" s="769"/>
      <c r="AA3" s="769"/>
      <c r="AB3" s="769"/>
      <c r="AC3" s="769"/>
      <c r="AD3" s="769"/>
      <c r="AE3" s="769"/>
      <c r="AF3" s="769"/>
      <c r="AG3" s="769"/>
      <c r="AH3" s="769"/>
      <c r="AI3" s="769"/>
      <c r="AJ3" s="769"/>
      <c r="AK3" s="769"/>
      <c r="AL3" s="769"/>
      <c r="AM3" s="46"/>
    </row>
    <row r="4" spans="1:39">
      <c r="B4" s="349" t="s">
        <v>687</v>
      </c>
      <c r="C4" s="349" t="s">
        <v>688</v>
      </c>
      <c r="E4" s="350">
        <v>2017</v>
      </c>
      <c r="G4" s="1"/>
      <c r="H4" s="1"/>
      <c r="I4" s="1"/>
      <c r="J4" s="1"/>
      <c r="K4" s="1">
        <v>150</v>
      </c>
      <c r="L4" s="1">
        <v>450</v>
      </c>
      <c r="M4" s="1">
        <v>650</v>
      </c>
      <c r="N4" s="1">
        <v>850</v>
      </c>
      <c r="O4" s="1">
        <v>1000</v>
      </c>
      <c r="P4" s="641">
        <v>1500</v>
      </c>
      <c r="Q4" s="641">
        <f>P4*1.2</f>
        <v>1800</v>
      </c>
      <c r="R4" s="641">
        <f t="shared" ref="R4" si="6">Q4*1.2</f>
        <v>2160</v>
      </c>
      <c r="S4" s="641">
        <f t="shared" ref="S4" si="7">R4*1.2</f>
        <v>2592</v>
      </c>
      <c r="T4" s="641">
        <f t="shared" ref="T4" si="8">S4*1.2</f>
        <v>3110.4</v>
      </c>
      <c r="U4" s="641">
        <f>T4</f>
        <v>3110.4</v>
      </c>
      <c r="V4" s="641">
        <f>U4</f>
        <v>3110.4</v>
      </c>
      <c r="W4" s="641">
        <f>V4</f>
        <v>3110.4</v>
      </c>
      <c r="X4" s="641"/>
      <c r="Y4" s="46"/>
      <c r="Z4" s="769"/>
      <c r="AA4" s="769"/>
      <c r="AB4" s="769"/>
      <c r="AC4" s="769"/>
      <c r="AD4" s="769"/>
      <c r="AE4" s="769"/>
      <c r="AF4" s="769"/>
      <c r="AG4" s="769"/>
      <c r="AH4" s="769"/>
      <c r="AI4" s="769"/>
      <c r="AJ4" s="769"/>
      <c r="AK4" s="769"/>
      <c r="AL4" s="769"/>
      <c r="AM4" s="46"/>
    </row>
    <row r="5" spans="1:39">
      <c r="B5" s="349" t="s">
        <v>692</v>
      </c>
      <c r="C5" s="349" t="s">
        <v>689</v>
      </c>
      <c r="E5" s="350">
        <v>2017</v>
      </c>
      <c r="G5" s="1"/>
      <c r="H5" s="1"/>
      <c r="I5" s="1"/>
      <c r="J5" s="1"/>
      <c r="K5" s="1">
        <v>0</v>
      </c>
      <c r="L5" s="1">
        <v>50</v>
      </c>
      <c r="M5" s="1">
        <v>200</v>
      </c>
      <c r="N5" s="1">
        <v>375</v>
      </c>
      <c r="O5" s="1">
        <v>550</v>
      </c>
      <c r="P5" s="641">
        <f>O5*1.1</f>
        <v>605</v>
      </c>
      <c r="Q5" s="641">
        <f t="shared" ref="Q5" si="9">P5*1.1</f>
        <v>665.5</v>
      </c>
      <c r="R5" s="641">
        <f t="shared" ref="R5" si="10">Q5*1.1</f>
        <v>732.05000000000007</v>
      </c>
      <c r="S5" s="641">
        <f t="shared" ref="S5" si="11">R5*1.1</f>
        <v>805.25500000000011</v>
      </c>
      <c r="T5" s="641">
        <f t="shared" ref="T5" si="12">S5*1.1</f>
        <v>885.78050000000019</v>
      </c>
      <c r="U5" s="641">
        <f t="shared" ref="U5" si="13">T5*1.1</f>
        <v>974.35855000000026</v>
      </c>
      <c r="V5" s="641">
        <f t="shared" ref="V5:V6" si="14">U5*1.1</f>
        <v>1071.7944050000003</v>
      </c>
      <c r="W5" s="641">
        <f t="shared" ref="W5:W6" si="15">V5*1.1</f>
        <v>1178.9738455000004</v>
      </c>
      <c r="Y5" s="46"/>
      <c r="Z5" s="769"/>
      <c r="AA5" s="769"/>
      <c r="AB5" s="769"/>
      <c r="AC5" s="769"/>
      <c r="AD5" s="769"/>
      <c r="AE5" s="769"/>
      <c r="AF5" s="769"/>
      <c r="AG5" s="769"/>
      <c r="AH5" s="769"/>
      <c r="AI5" s="769"/>
      <c r="AJ5" s="769"/>
      <c r="AK5" s="769"/>
      <c r="AL5" s="769"/>
      <c r="AM5" s="46"/>
    </row>
    <row r="6" spans="1:39">
      <c r="B6" s="349" t="s">
        <v>943</v>
      </c>
      <c r="C6" s="349" t="s">
        <v>944</v>
      </c>
      <c r="D6" s="805"/>
      <c r="E6" s="350">
        <v>2022</v>
      </c>
      <c r="G6" s="1"/>
      <c r="H6" s="1"/>
      <c r="I6" s="1"/>
      <c r="J6" s="1"/>
      <c r="K6" s="1"/>
      <c r="L6" s="1"/>
      <c r="M6" s="1"/>
      <c r="N6" s="1"/>
      <c r="O6" s="1">
        <v>200</v>
      </c>
      <c r="P6" s="641">
        <v>550</v>
      </c>
      <c r="Q6" s="641">
        <v>900</v>
      </c>
      <c r="R6" s="641">
        <v>1300</v>
      </c>
      <c r="S6" s="641">
        <f>R6*1.2</f>
        <v>1560</v>
      </c>
      <c r="T6" s="641">
        <f t="shared" ref="T6" si="16">S6*1.2</f>
        <v>1872</v>
      </c>
      <c r="U6" s="641">
        <f>T6*1.1</f>
        <v>2059.2000000000003</v>
      </c>
      <c r="V6" s="641">
        <f t="shared" si="14"/>
        <v>2265.1200000000003</v>
      </c>
      <c r="W6" s="641">
        <f t="shared" si="15"/>
        <v>2491.6320000000005</v>
      </c>
      <c r="Y6" s="46"/>
      <c r="Z6" s="769"/>
      <c r="AA6" s="769"/>
      <c r="AB6" s="769"/>
      <c r="AC6" s="769"/>
      <c r="AD6" s="769"/>
      <c r="AE6" s="769"/>
      <c r="AF6" s="769"/>
      <c r="AG6" s="769"/>
      <c r="AH6" s="769"/>
      <c r="AI6" s="769"/>
      <c r="AJ6" s="769"/>
      <c r="AK6" s="769"/>
      <c r="AL6" s="769"/>
      <c r="AM6" s="46"/>
    </row>
    <row r="7" spans="1:39">
      <c r="B7" s="349" t="s">
        <v>715</v>
      </c>
      <c r="C7" s="349" t="s">
        <v>881</v>
      </c>
      <c r="D7" s="350" t="s">
        <v>882</v>
      </c>
      <c r="E7" s="350">
        <v>2018</v>
      </c>
      <c r="G7" s="1"/>
      <c r="H7" s="1"/>
      <c r="I7" s="1">
        <f>'AMG334'!E33</f>
        <v>0</v>
      </c>
      <c r="J7" s="1">
        <f>'AMG334'!F33</f>
        <v>0</v>
      </c>
      <c r="K7" s="1">
        <f>'AMG334'!G33</f>
        <v>47.708609590209804</v>
      </c>
      <c r="L7" s="1">
        <f>'AMG334'!H33</f>
        <v>166.72122475334217</v>
      </c>
      <c r="M7" s="1">
        <f>'AMG334'!I33</f>
        <v>365.44628671214923</v>
      </c>
      <c r="N7" s="641">
        <f>'AMG334'!J33</f>
        <v>616.4607824810048</v>
      </c>
      <c r="O7" s="641">
        <f>'AMG334'!K33</f>
        <v>849.18143377216745</v>
      </c>
      <c r="P7" s="641">
        <f>'AMG334'!L33</f>
        <v>1099.6997510569215</v>
      </c>
      <c r="Q7" s="641">
        <f>'AMG334'!M33</f>
        <v>1144.1276209996211</v>
      </c>
      <c r="R7" s="641">
        <f>'AMG334'!N33</f>
        <v>1190.3503768880062</v>
      </c>
      <c r="S7" s="641">
        <f>'AMG334'!O33</f>
        <v>1238.4405321142817</v>
      </c>
      <c r="T7" s="641">
        <f>'AMG334'!P33</f>
        <v>1288.473529611699</v>
      </c>
      <c r="U7" s="641">
        <f>'AMG334'!Q33</f>
        <v>1340.5278602080111</v>
      </c>
      <c r="V7" s="641">
        <f>'AMG334'!R33</f>
        <v>1394.6851857604152</v>
      </c>
      <c r="W7" s="641">
        <f>'AMG334'!S33</f>
        <v>1451.0304672651355</v>
      </c>
      <c r="Y7" s="46"/>
      <c r="Z7" s="46"/>
      <c r="AA7" s="46"/>
      <c r="AB7" s="46"/>
      <c r="AC7" s="46"/>
      <c r="AD7" s="46"/>
      <c r="AE7" s="46"/>
      <c r="AF7" s="46"/>
      <c r="AG7" s="46"/>
      <c r="AH7" s="46"/>
      <c r="AI7" s="46"/>
      <c r="AJ7" s="46"/>
      <c r="AK7" s="46"/>
      <c r="AL7" s="46"/>
      <c r="AM7" s="46"/>
    </row>
    <row r="8" spans="1:39" outlineLevel="1">
      <c r="B8" s="27" t="s">
        <v>662</v>
      </c>
      <c r="C8" s="78"/>
      <c r="D8" s="352"/>
      <c r="E8" s="352"/>
      <c r="F8" s="78"/>
      <c r="G8" s="80">
        <f>G9*1.3</f>
        <v>0</v>
      </c>
      <c r="H8" s="80">
        <f t="shared" ref="H8:W8" si="17">H9*1.5</f>
        <v>0</v>
      </c>
      <c r="I8" s="80">
        <f t="shared" si="17"/>
        <v>0</v>
      </c>
      <c r="J8" s="80">
        <f t="shared" si="17"/>
        <v>0</v>
      </c>
      <c r="K8" s="80">
        <f>K9*1.5</f>
        <v>296.56291438531468</v>
      </c>
      <c r="L8" s="80">
        <f t="shared" si="17"/>
        <v>1000.0818371300134</v>
      </c>
      <c r="M8" s="80">
        <f t="shared" si="17"/>
        <v>1823.1694300682238</v>
      </c>
      <c r="N8" s="80">
        <f t="shared" si="17"/>
        <v>2762.1911737215073</v>
      </c>
      <c r="O8" s="80">
        <f t="shared" si="17"/>
        <v>3898.7721506582511</v>
      </c>
      <c r="P8" s="80">
        <f t="shared" si="17"/>
        <v>5632.0496265853826</v>
      </c>
      <c r="Q8" s="80">
        <f t="shared" si="17"/>
        <v>6764.4414314994319</v>
      </c>
      <c r="R8" s="80">
        <f t="shared" si="17"/>
        <v>8073.6005653320099</v>
      </c>
      <c r="S8" s="80">
        <f t="shared" si="17"/>
        <v>9293.5432981714221</v>
      </c>
      <c r="T8" s="80">
        <f t="shared" si="17"/>
        <v>10734.981044417549</v>
      </c>
      <c r="U8" s="80">
        <f t="shared" si="17"/>
        <v>11226.729615312019</v>
      </c>
      <c r="V8" s="80">
        <f t="shared" si="17"/>
        <v>11762.999386140624</v>
      </c>
      <c r="W8" s="80">
        <f t="shared" si="17"/>
        <v>12348.054469147704</v>
      </c>
    </row>
    <row r="9" spans="1:39" outlineLevel="1">
      <c r="B9" s="27" t="s">
        <v>663</v>
      </c>
      <c r="C9" s="78"/>
      <c r="D9" s="352"/>
      <c r="E9" s="352"/>
      <c r="F9" s="78"/>
      <c r="G9" s="80">
        <f t="shared" ref="G9:W9" si="18">SUM(G3:G7)</f>
        <v>0</v>
      </c>
      <c r="H9" s="80">
        <f t="shared" si="18"/>
        <v>0</v>
      </c>
      <c r="I9" s="80">
        <f t="shared" si="18"/>
        <v>0</v>
      </c>
      <c r="J9" s="80">
        <f t="shared" si="18"/>
        <v>0</v>
      </c>
      <c r="K9" s="80">
        <f t="shared" si="18"/>
        <v>197.70860959020979</v>
      </c>
      <c r="L9" s="80">
        <f t="shared" si="18"/>
        <v>666.7212247533422</v>
      </c>
      <c r="M9" s="80">
        <f t="shared" si="18"/>
        <v>1215.4462867121492</v>
      </c>
      <c r="N9" s="80">
        <f t="shared" si="18"/>
        <v>1841.4607824810048</v>
      </c>
      <c r="O9" s="80">
        <f t="shared" si="18"/>
        <v>2599.1814337721676</v>
      </c>
      <c r="P9" s="80">
        <f t="shared" si="18"/>
        <v>3754.6997510569217</v>
      </c>
      <c r="Q9" s="80">
        <f t="shared" si="18"/>
        <v>4509.6276209996213</v>
      </c>
      <c r="R9" s="80">
        <f t="shared" si="18"/>
        <v>5382.4003768880066</v>
      </c>
      <c r="S9" s="80">
        <f t="shared" si="18"/>
        <v>6195.6955321142814</v>
      </c>
      <c r="T9" s="80">
        <f t="shared" si="18"/>
        <v>7156.6540296116991</v>
      </c>
      <c r="U9" s="80">
        <f t="shared" si="18"/>
        <v>7484.4864102080119</v>
      </c>
      <c r="V9" s="80">
        <f t="shared" si="18"/>
        <v>7841.9995907604161</v>
      </c>
      <c r="W9" s="80">
        <f t="shared" si="18"/>
        <v>8232.0363127651362</v>
      </c>
    </row>
    <row r="10" spans="1:39" outlineLevel="1">
      <c r="B10" s="27" t="s">
        <v>664</v>
      </c>
      <c r="C10" s="78"/>
      <c r="D10" s="352"/>
      <c r="E10" s="352"/>
      <c r="F10" s="78"/>
      <c r="G10" s="80">
        <v>0</v>
      </c>
      <c r="H10" s="80">
        <v>0</v>
      </c>
      <c r="I10" s="80">
        <v>0</v>
      </c>
      <c r="J10" s="80">
        <v>0</v>
      </c>
      <c r="K10" s="80">
        <v>0</v>
      </c>
      <c r="L10" s="80">
        <v>0</v>
      </c>
      <c r="M10" s="80">
        <v>0</v>
      </c>
      <c r="N10" s="78">
        <v>0</v>
      </c>
      <c r="O10" s="78">
        <v>0</v>
      </c>
      <c r="P10" s="78">
        <v>0</v>
      </c>
      <c r="Q10" s="78">
        <v>0</v>
      </c>
      <c r="R10" s="78">
        <v>0</v>
      </c>
      <c r="S10" s="78">
        <v>0</v>
      </c>
      <c r="T10" s="78">
        <v>0</v>
      </c>
      <c r="U10" s="78">
        <v>0</v>
      </c>
      <c r="V10" s="78">
        <v>0</v>
      </c>
      <c r="W10" s="78">
        <v>0</v>
      </c>
    </row>
    <row r="11" spans="1:39">
      <c r="A11" s="576" t="s">
        <v>591</v>
      </c>
      <c r="B11" s="573" t="s">
        <v>682</v>
      </c>
      <c r="C11" s="483"/>
      <c r="D11" s="574"/>
      <c r="E11" s="574"/>
      <c r="F11" s="483"/>
      <c r="G11" s="575">
        <f>CHOOSE($B$26,Pipeline!G8,Pipeline!G9,Pipeline!G10)</f>
        <v>0</v>
      </c>
      <c r="H11" s="575">
        <f>CHOOSE($B$26,Pipeline!H8,Pipeline!H9,Pipeline!H10)</f>
        <v>0</v>
      </c>
      <c r="I11" s="575">
        <f>CHOOSE($B$26,Pipeline!I8,Pipeline!I9,Pipeline!I10)</f>
        <v>0</v>
      </c>
      <c r="J11" s="575">
        <f>CHOOSE($B$26,Pipeline!J8,Pipeline!J9,Pipeline!J10)</f>
        <v>0</v>
      </c>
      <c r="K11" s="575">
        <f>CHOOSE($B$26,Pipeline!K8,Pipeline!K9,Pipeline!K10)</f>
        <v>197.70860959020979</v>
      </c>
      <c r="L11" s="575">
        <f>CHOOSE($B$26,Pipeline!L8,Pipeline!L9,Pipeline!L10)</f>
        <v>666.7212247533422</v>
      </c>
      <c r="M11" s="575">
        <f>CHOOSE($B$26,Pipeline!M8,Pipeline!M9,Pipeline!M10)</f>
        <v>1215.4462867121492</v>
      </c>
      <c r="N11" s="575">
        <f>CHOOSE($B$26,Pipeline!N8,Pipeline!N9,Pipeline!N10)</f>
        <v>1841.4607824810048</v>
      </c>
      <c r="O11" s="575">
        <f>CHOOSE($B$26,Pipeline!O8,Pipeline!O9,Pipeline!O10)</f>
        <v>2599.1814337721676</v>
      </c>
      <c r="P11" s="575">
        <f>CHOOSE($B$26,Pipeline!P8,Pipeline!P9,Pipeline!P10)</f>
        <v>3754.6997510569217</v>
      </c>
      <c r="Q11" s="575">
        <f>CHOOSE($B$26,Pipeline!Q8,Pipeline!Q9,Pipeline!Q10)</f>
        <v>4509.6276209996213</v>
      </c>
      <c r="R11" s="575">
        <f>CHOOSE($B$26,Pipeline!R8,Pipeline!R9,Pipeline!R10)</f>
        <v>5382.4003768880066</v>
      </c>
      <c r="S11" s="575">
        <f>CHOOSE($B$26,Pipeline!S8,Pipeline!S9,Pipeline!S10)</f>
        <v>6195.6955321142814</v>
      </c>
      <c r="T11" s="575">
        <f>CHOOSE($B$26,Pipeline!T8,Pipeline!T9,Pipeline!T10)</f>
        <v>7156.6540296116991</v>
      </c>
      <c r="U11" s="575">
        <f>CHOOSE($B$26,Pipeline!U8,Pipeline!U9,Pipeline!U10)</f>
        <v>7484.4864102080119</v>
      </c>
      <c r="V11" s="575">
        <f>CHOOSE($B$26,Pipeline!V8,Pipeline!V9,Pipeline!V10)</f>
        <v>7841.9995907604161</v>
      </c>
      <c r="W11" s="575">
        <f>CHOOSE($B$26,Pipeline!W8,Pipeline!W9,Pipeline!W10)</f>
        <v>8232.0363127651362</v>
      </c>
    </row>
    <row r="13" spans="1:39">
      <c r="B13" s="349" t="s">
        <v>686</v>
      </c>
      <c r="G13" s="35"/>
    </row>
    <row r="14" spans="1:39">
      <c r="B14" s="349" t="str">
        <f>B3</f>
        <v>Romosozumab</v>
      </c>
      <c r="G14" s="35">
        <v>0.4</v>
      </c>
      <c r="H14" s="35">
        <f t="shared" ref="H14:W14" si="19">G14</f>
        <v>0.4</v>
      </c>
      <c r="I14" s="35">
        <f t="shared" si="19"/>
        <v>0.4</v>
      </c>
      <c r="J14" s="35">
        <f t="shared" si="19"/>
        <v>0.4</v>
      </c>
      <c r="K14" s="35">
        <f t="shared" si="19"/>
        <v>0.4</v>
      </c>
      <c r="L14" s="35">
        <f t="shared" si="19"/>
        <v>0.4</v>
      </c>
      <c r="M14" s="35">
        <f t="shared" si="19"/>
        <v>0.4</v>
      </c>
      <c r="N14" s="35">
        <f t="shared" si="19"/>
        <v>0.4</v>
      </c>
      <c r="O14" s="35">
        <f t="shared" si="19"/>
        <v>0.4</v>
      </c>
      <c r="P14" s="35">
        <f t="shared" si="19"/>
        <v>0.4</v>
      </c>
      <c r="Q14" s="35">
        <f t="shared" si="19"/>
        <v>0.4</v>
      </c>
      <c r="R14" s="35">
        <f t="shared" si="19"/>
        <v>0.4</v>
      </c>
      <c r="S14" s="35">
        <f t="shared" si="19"/>
        <v>0.4</v>
      </c>
      <c r="T14" s="35">
        <f t="shared" si="19"/>
        <v>0.4</v>
      </c>
      <c r="U14" s="35">
        <f t="shared" si="19"/>
        <v>0.4</v>
      </c>
      <c r="V14" s="35">
        <f t="shared" si="19"/>
        <v>0.4</v>
      </c>
      <c r="W14" s="35">
        <f t="shared" si="19"/>
        <v>0.4</v>
      </c>
    </row>
    <row r="15" spans="1:39">
      <c r="B15" s="349" t="str">
        <f>B4</f>
        <v>Biosimilars - Amgen</v>
      </c>
      <c r="G15" s="35">
        <v>0.25</v>
      </c>
      <c r="H15" s="35">
        <f t="shared" ref="H15:W15" si="20">G15</f>
        <v>0.25</v>
      </c>
      <c r="I15" s="35">
        <f t="shared" si="20"/>
        <v>0.25</v>
      </c>
      <c r="J15" s="35">
        <f t="shared" si="20"/>
        <v>0.25</v>
      </c>
      <c r="K15" s="35">
        <f t="shared" si="20"/>
        <v>0.25</v>
      </c>
      <c r="L15" s="35">
        <f t="shared" si="20"/>
        <v>0.25</v>
      </c>
      <c r="M15" s="35">
        <f t="shared" si="20"/>
        <v>0.25</v>
      </c>
      <c r="N15" s="35">
        <f t="shared" si="20"/>
        <v>0.25</v>
      </c>
      <c r="O15" s="35">
        <f t="shared" si="20"/>
        <v>0.25</v>
      </c>
      <c r="P15" s="35">
        <f t="shared" si="20"/>
        <v>0.25</v>
      </c>
      <c r="Q15" s="35">
        <f t="shared" si="20"/>
        <v>0.25</v>
      </c>
      <c r="R15" s="35">
        <f t="shared" si="20"/>
        <v>0.25</v>
      </c>
      <c r="S15" s="35">
        <f t="shared" si="20"/>
        <v>0.25</v>
      </c>
      <c r="T15" s="35">
        <f t="shared" si="20"/>
        <v>0.25</v>
      </c>
      <c r="U15" s="35">
        <f t="shared" si="20"/>
        <v>0.25</v>
      </c>
      <c r="V15" s="35">
        <f t="shared" si="20"/>
        <v>0.25</v>
      </c>
      <c r="W15" s="35">
        <f t="shared" si="20"/>
        <v>0.25</v>
      </c>
    </row>
    <row r="16" spans="1:39">
      <c r="B16" s="349" t="str">
        <f>B5</f>
        <v>Biosimilars - Collab w/ Actavis</v>
      </c>
      <c r="G16" s="35">
        <v>0.45</v>
      </c>
      <c r="H16" s="35">
        <f>G16</f>
        <v>0.45</v>
      </c>
      <c r="I16" s="35">
        <f t="shared" ref="I16:M18" si="21">H16</f>
        <v>0.45</v>
      </c>
      <c r="J16" s="35">
        <f t="shared" si="21"/>
        <v>0.45</v>
      </c>
      <c r="K16" s="35">
        <f t="shared" si="21"/>
        <v>0.45</v>
      </c>
      <c r="L16" s="35">
        <f t="shared" si="21"/>
        <v>0.45</v>
      </c>
      <c r="M16" s="35">
        <f t="shared" si="21"/>
        <v>0.45</v>
      </c>
      <c r="N16" s="35">
        <f t="shared" ref="N16:W17" si="22">M16</f>
        <v>0.45</v>
      </c>
      <c r="O16" s="35">
        <f t="shared" si="22"/>
        <v>0.45</v>
      </c>
      <c r="P16" s="35">
        <f t="shared" si="22"/>
        <v>0.45</v>
      </c>
      <c r="Q16" s="35">
        <f t="shared" si="22"/>
        <v>0.45</v>
      </c>
      <c r="R16" s="35">
        <f t="shared" si="22"/>
        <v>0.45</v>
      </c>
      <c r="S16" s="35">
        <f t="shared" si="22"/>
        <v>0.45</v>
      </c>
      <c r="T16" s="35">
        <f t="shared" si="22"/>
        <v>0.45</v>
      </c>
      <c r="U16" s="35">
        <f t="shared" si="22"/>
        <v>0.45</v>
      </c>
      <c r="V16" s="35">
        <f t="shared" si="22"/>
        <v>0.45</v>
      </c>
      <c r="W16" s="35">
        <f t="shared" si="22"/>
        <v>0.45</v>
      </c>
    </row>
    <row r="17" spans="2:23">
      <c r="B17" s="349" t="str">
        <f>B6</f>
        <v>Tezepelumab</v>
      </c>
      <c r="D17" s="805"/>
      <c r="E17" s="805"/>
      <c r="G17" s="35"/>
      <c r="H17" s="35"/>
      <c r="I17" s="35"/>
      <c r="J17" s="35"/>
      <c r="K17" s="35"/>
      <c r="L17" s="35"/>
      <c r="M17" s="35"/>
      <c r="N17" s="35"/>
      <c r="O17" s="35">
        <v>0.45</v>
      </c>
      <c r="P17" s="35">
        <f>O17</f>
        <v>0.45</v>
      </c>
      <c r="Q17" s="35">
        <f t="shared" si="22"/>
        <v>0.45</v>
      </c>
      <c r="R17" s="35">
        <f t="shared" si="22"/>
        <v>0.45</v>
      </c>
      <c r="S17" s="35">
        <f t="shared" si="22"/>
        <v>0.45</v>
      </c>
      <c r="T17" s="35">
        <f t="shared" si="22"/>
        <v>0.45</v>
      </c>
      <c r="U17" s="35">
        <f t="shared" si="22"/>
        <v>0.45</v>
      </c>
      <c r="V17" s="35">
        <f t="shared" si="22"/>
        <v>0.45</v>
      </c>
      <c r="W17" s="35">
        <f t="shared" si="22"/>
        <v>0.45</v>
      </c>
    </row>
    <row r="18" spans="2:23">
      <c r="B18" s="349" t="str">
        <f>B7</f>
        <v>AMG334</v>
      </c>
      <c r="D18" s="707"/>
      <c r="E18" s="707"/>
      <c r="G18" s="35"/>
      <c r="H18" s="35"/>
      <c r="I18" s="35">
        <v>0.17499999999999999</v>
      </c>
      <c r="J18" s="35">
        <f>I18</f>
        <v>0.17499999999999999</v>
      </c>
      <c r="K18" s="35">
        <f t="shared" si="21"/>
        <v>0.17499999999999999</v>
      </c>
      <c r="L18" s="35">
        <f t="shared" si="21"/>
        <v>0.17499999999999999</v>
      </c>
      <c r="M18" s="35">
        <f t="shared" si="21"/>
        <v>0.17499999999999999</v>
      </c>
      <c r="N18" s="35">
        <f>M18</f>
        <v>0.17499999999999999</v>
      </c>
      <c r="O18" s="35">
        <f>N18</f>
        <v>0.17499999999999999</v>
      </c>
      <c r="P18" s="35">
        <f>O18*0.99</f>
        <v>0.17324999999999999</v>
      </c>
      <c r="Q18" s="35">
        <f t="shared" ref="Q18:W18" si="23">P18*0.99</f>
        <v>0.17151749999999999</v>
      </c>
      <c r="R18" s="35">
        <f t="shared" si="23"/>
        <v>0.16980232499999998</v>
      </c>
      <c r="S18" s="35">
        <f t="shared" si="23"/>
        <v>0.16810430174999996</v>
      </c>
      <c r="T18" s="35">
        <f t="shared" si="23"/>
        <v>0.16642325873249997</v>
      </c>
      <c r="U18" s="35">
        <f t="shared" si="23"/>
        <v>0.16475902614517496</v>
      </c>
      <c r="V18" s="35">
        <f t="shared" si="23"/>
        <v>0.1631114358837232</v>
      </c>
      <c r="W18" s="35">
        <f t="shared" si="23"/>
        <v>0.16148032152488598</v>
      </c>
    </row>
    <row r="19" spans="2:23">
      <c r="B19" s="349" t="s">
        <v>690</v>
      </c>
      <c r="G19" s="59"/>
      <c r="H19" s="59"/>
      <c r="I19" s="59"/>
      <c r="J19" s="59" t="str">
        <f>IFERROR(J21/J11,"NA")</f>
        <v>NA</v>
      </c>
      <c r="K19" s="59">
        <f t="shared" ref="K19:W19" si="24">K21/K11</f>
        <v>0.28016346233548917</v>
      </c>
      <c r="L19" s="59">
        <f t="shared" si="24"/>
        <v>0.29625644414661806</v>
      </c>
      <c r="M19" s="59">
        <f t="shared" si="24"/>
        <v>0.32049327212211903</v>
      </c>
      <c r="N19" s="59">
        <f t="shared" si="24"/>
        <v>0.33257444266896524</v>
      </c>
      <c r="O19" s="59">
        <f t="shared" si="24"/>
        <v>0.34854936477049858</v>
      </c>
      <c r="P19" s="59">
        <f t="shared" si="24"/>
        <v>0.34762111982844635</v>
      </c>
      <c r="Q19" s="59">
        <f t="shared" si="24"/>
        <v>0.35025917130705353</v>
      </c>
      <c r="R19" s="59">
        <f t="shared" si="24"/>
        <v>0.35200221170340351</v>
      </c>
      <c r="S19" s="59">
        <f t="shared" si="24"/>
        <v>0.34995910081348275</v>
      </c>
      <c r="T19" s="59">
        <f t="shared" si="24"/>
        <v>0.34802966361167326</v>
      </c>
      <c r="U19" s="59">
        <f t="shared" si="24"/>
        <v>0.3516167763656623</v>
      </c>
      <c r="V19" s="59">
        <f t="shared" si="24"/>
        <v>0.35522032237024215</v>
      </c>
      <c r="W19" s="59">
        <f t="shared" si="24"/>
        <v>0.35882878525984019</v>
      </c>
    </row>
    <row r="21" spans="2:23">
      <c r="B21" s="349" t="s">
        <v>691</v>
      </c>
      <c r="G21" s="77">
        <f>SUMPRODUCT(G14:G16,G3:G5)</f>
        <v>0</v>
      </c>
      <c r="H21" s="77">
        <f>SUMPRODUCT(H14:H16,H3:H5)</f>
        <v>0</v>
      </c>
      <c r="I21" s="77">
        <f>SUMPRODUCT(I14:I18,I3:I7)+'AMG334'!E36</f>
        <v>0</v>
      </c>
      <c r="J21" s="77">
        <f>SUMPRODUCT(J14:J18,J3:J7)+'AMG334'!F36</f>
        <v>0</v>
      </c>
      <c r="K21" s="77">
        <f>SUMPRODUCT(K14:K18,K3:K7)+'AMG334'!G36</f>
        <v>55.390728596328671</v>
      </c>
      <c r="L21" s="77">
        <f>SUMPRODUCT(L14:L18,L3:L7)+'AMG334'!H36</f>
        <v>197.52045928250331</v>
      </c>
      <c r="M21" s="77">
        <f>SUMPRODUCT(M14:M18,M3:M7)+'AMG334'!I36</f>
        <v>389.54235751705596</v>
      </c>
      <c r="N21" s="77">
        <f>SUMPRODUCT(N14:N18,N3:N7)+'AMG334'!J36</f>
        <v>612.42279343037683</v>
      </c>
      <c r="O21" s="77">
        <f>SUMPRODUCT(O14:O18,O3:O7)+'AMG334'!K36</f>
        <v>905.94303766456278</v>
      </c>
      <c r="P21" s="77">
        <f>SUMPRODUCT(P14:P18,P3:P7)+'AMG334'!L36</f>
        <v>1305.2129320819959</v>
      </c>
      <c r="Q21" s="77">
        <f>SUMPRODUCT(Q14:Q18,Q3:Q7)+'AMG334'!M36</f>
        <v>1579.5384334347266</v>
      </c>
      <c r="R21" s="77">
        <f>SUMPRODUCT(R14:R18,R3:R7)+'AMG334'!N36</f>
        <v>1894.6168369378111</v>
      </c>
      <c r="S21" s="77">
        <f>SUMPRODUCT(S14:S18,S3:S7)+'AMG334'!O36</f>
        <v>2168.2400373328264</v>
      </c>
      <c r="T21" s="77">
        <f>SUMPRODUCT(T14:T18,T3:T7)+'AMG334'!P36</f>
        <v>2490.7278945108856</v>
      </c>
      <c r="U21" s="77">
        <f>SUMPRODUCT(U14:U18,U3:U7)+'AMG334'!Q36</f>
        <v>2631.6709843099493</v>
      </c>
      <c r="V21" s="77">
        <f>SUMPRODUCT(V14:V18,V3:V7)+'AMG334'!R36</f>
        <v>2785.637622657222</v>
      </c>
      <c r="W21" s="77">
        <f>SUMPRODUCT(W14:W18,W3:W7)+'AMG334'!S36</f>
        <v>2953.8915903244078</v>
      </c>
    </row>
    <row r="26" spans="2:23">
      <c r="B26" s="688">
        <f>DCF!C25</f>
        <v>2</v>
      </c>
    </row>
  </sheetData>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1:AO319"/>
  <sheetViews>
    <sheetView topLeftCell="B1" zoomScaleNormal="100" workbookViewId="0">
      <pane xSplit="18" ySplit="1" topLeftCell="Z247" activePane="bottomRight" state="frozen"/>
      <selection activeCell="B1" sqref="B1"/>
      <selection pane="topRight" activeCell="T1" sqref="T1"/>
      <selection pane="bottomLeft" activeCell="B2" sqref="B2"/>
      <selection pane="bottomRight" activeCell="AB278" sqref="AB278"/>
    </sheetView>
  </sheetViews>
  <sheetFormatPr defaultRowHeight="12.75" outlineLevelRow="2" outlineLevelCol="1"/>
  <cols>
    <col min="1" max="1" width="2" style="106" customWidth="1"/>
    <col min="2" max="2" width="70.85546875" style="106" customWidth="1"/>
    <col min="3" max="3" width="8.7109375" style="208" customWidth="1"/>
    <col min="4" max="19" width="8.7109375" style="208" hidden="1" customWidth="1" outlineLevel="1"/>
    <col min="20" max="20" width="8.7109375" style="558" customWidth="1" collapsed="1"/>
    <col min="21" max="31" width="8.7109375" style="558" customWidth="1"/>
    <col min="32" max="16384" width="9.140625" style="106"/>
  </cols>
  <sheetData>
    <row r="1" spans="2:41" ht="11.25" customHeight="1">
      <c r="B1" s="205"/>
      <c r="C1" s="106"/>
      <c r="D1" s="602">
        <f t="shared" ref="D1:N1" si="0">E1-1</f>
        <v>1993</v>
      </c>
      <c r="E1" s="602">
        <f t="shared" si="0"/>
        <v>1994</v>
      </c>
      <c r="F1" s="602">
        <f t="shared" si="0"/>
        <v>1995</v>
      </c>
      <c r="G1" s="602">
        <f t="shared" si="0"/>
        <v>1996</v>
      </c>
      <c r="H1" s="602">
        <f t="shared" si="0"/>
        <v>1997</v>
      </c>
      <c r="I1" s="602">
        <f t="shared" si="0"/>
        <v>1998</v>
      </c>
      <c r="J1" s="602">
        <f t="shared" si="0"/>
        <v>1999</v>
      </c>
      <c r="K1" s="602">
        <f t="shared" si="0"/>
        <v>2000</v>
      </c>
      <c r="L1" s="602">
        <f t="shared" si="0"/>
        <v>2001</v>
      </c>
      <c r="M1" s="602">
        <f t="shared" si="0"/>
        <v>2002</v>
      </c>
      <c r="N1" s="602">
        <f t="shared" si="0"/>
        <v>2003</v>
      </c>
      <c r="O1" s="602">
        <v>2004</v>
      </c>
      <c r="P1" s="602">
        <v>2005</v>
      </c>
      <c r="Q1" s="602">
        <v>2006</v>
      </c>
      <c r="R1" s="602">
        <v>2007</v>
      </c>
      <c r="S1" s="602">
        <v>2008</v>
      </c>
      <c r="T1" s="602">
        <f>S1+1</f>
        <v>2009</v>
      </c>
      <c r="U1" s="602">
        <v>2010</v>
      </c>
      <c r="V1" s="602">
        <v>2011</v>
      </c>
      <c r="W1" s="602">
        <v>2012</v>
      </c>
      <c r="X1" s="602">
        <v>2013</v>
      </c>
      <c r="Y1" s="602">
        <f t="shared" ref="Y1:AE1" si="1">X1+1</f>
        <v>2014</v>
      </c>
      <c r="Z1" s="602">
        <f t="shared" si="1"/>
        <v>2015</v>
      </c>
      <c r="AA1" s="602">
        <f t="shared" si="1"/>
        <v>2016</v>
      </c>
      <c r="AB1" s="602">
        <f t="shared" si="1"/>
        <v>2017</v>
      </c>
      <c r="AC1" s="602">
        <f t="shared" si="1"/>
        <v>2018</v>
      </c>
      <c r="AD1" s="602">
        <f t="shared" si="1"/>
        <v>2019</v>
      </c>
      <c r="AE1" s="602">
        <f t="shared" si="1"/>
        <v>2020</v>
      </c>
      <c r="AF1" s="167">
        <f t="shared" ref="AF1:AO1" si="2">AE1+1</f>
        <v>2021</v>
      </c>
      <c r="AG1" s="167">
        <f t="shared" si="2"/>
        <v>2022</v>
      </c>
      <c r="AH1" s="167">
        <f t="shared" si="2"/>
        <v>2023</v>
      </c>
      <c r="AI1" s="167">
        <f t="shared" si="2"/>
        <v>2024</v>
      </c>
      <c r="AJ1" s="167">
        <f t="shared" si="2"/>
        <v>2025</v>
      </c>
      <c r="AK1" s="167">
        <f t="shared" si="2"/>
        <v>2026</v>
      </c>
      <c r="AL1" s="167">
        <f t="shared" si="2"/>
        <v>2027</v>
      </c>
      <c r="AM1" s="167">
        <f t="shared" si="2"/>
        <v>2028</v>
      </c>
      <c r="AN1" s="167">
        <f t="shared" si="2"/>
        <v>2029</v>
      </c>
      <c r="AO1" s="167">
        <f t="shared" si="2"/>
        <v>2030</v>
      </c>
    </row>
    <row r="2" spans="2:41">
      <c r="B2" s="205"/>
      <c r="C2" s="106"/>
    </row>
    <row r="3" spans="2:41">
      <c r="B3" s="206" t="s">
        <v>471</v>
      </c>
      <c r="C3" s="207" t="s">
        <v>472</v>
      </c>
    </row>
    <row r="4" spans="2:41" outlineLevel="1">
      <c r="B4" s="167"/>
      <c r="C4" s="209"/>
      <c r="D4" s="210"/>
      <c r="E4" s="210"/>
      <c r="F4" s="210"/>
      <c r="G4" s="210"/>
      <c r="H4" s="210"/>
      <c r="I4" s="210"/>
      <c r="J4" s="210"/>
      <c r="K4" s="210"/>
      <c r="L4" s="210"/>
      <c r="M4" s="210"/>
      <c r="N4" s="210"/>
      <c r="O4" s="210"/>
      <c r="P4" s="210"/>
      <c r="Q4" s="210"/>
      <c r="R4" s="210"/>
      <c r="S4" s="210"/>
    </row>
    <row r="5" spans="2:41" s="204" customFormat="1" outlineLevel="2">
      <c r="B5" s="211" t="s">
        <v>489</v>
      </c>
      <c r="C5" s="212">
        <v>2008</v>
      </c>
      <c r="D5" s="202"/>
      <c r="E5" s="202"/>
      <c r="F5" s="202"/>
      <c r="G5" s="202"/>
      <c r="H5" s="202"/>
      <c r="I5" s="202"/>
      <c r="J5" s="202"/>
      <c r="K5" s="202"/>
      <c r="L5" s="202"/>
      <c r="M5" s="203"/>
      <c r="N5" s="203"/>
      <c r="O5" s="203"/>
      <c r="P5" s="202"/>
      <c r="Q5" s="202"/>
      <c r="R5" s="202">
        <v>2000</v>
      </c>
      <c r="S5" s="202">
        <v>0</v>
      </c>
      <c r="T5" s="558"/>
      <c r="U5" s="558"/>
      <c r="V5" s="558"/>
      <c r="W5" s="558"/>
      <c r="X5" s="558">
        <v>0</v>
      </c>
      <c r="Y5" s="558"/>
      <c r="Z5" s="558"/>
      <c r="AA5" s="558"/>
      <c r="AB5" s="558"/>
      <c r="AC5" s="558"/>
      <c r="AD5" s="558"/>
      <c r="AE5" s="558"/>
    </row>
    <row r="6" spans="2:41" s="204" customFormat="1" outlineLevel="2">
      <c r="B6" s="211" t="s">
        <v>488</v>
      </c>
      <c r="C6" s="212">
        <v>2009</v>
      </c>
      <c r="D6" s="202"/>
      <c r="E6" s="202"/>
      <c r="F6" s="202"/>
      <c r="G6" s="202"/>
      <c r="H6" s="202"/>
      <c r="I6" s="202"/>
      <c r="J6" s="202"/>
      <c r="K6" s="202"/>
      <c r="L6" s="202"/>
      <c r="M6" s="202"/>
      <c r="N6" s="202"/>
      <c r="O6" s="202">
        <v>998</v>
      </c>
      <c r="P6" s="202">
        <v>998</v>
      </c>
      <c r="Q6" s="202">
        <v>999</v>
      </c>
      <c r="R6" s="202">
        <v>999</v>
      </c>
      <c r="S6" s="202">
        <v>1000</v>
      </c>
      <c r="T6" s="558">
        <v>0</v>
      </c>
      <c r="U6" s="558"/>
      <c r="V6" s="558"/>
      <c r="W6" s="558"/>
      <c r="X6" s="558">
        <v>0</v>
      </c>
      <c r="Y6" s="558"/>
      <c r="Z6" s="558"/>
      <c r="AA6" s="558"/>
      <c r="AB6" s="558"/>
      <c r="AC6" s="558"/>
      <c r="AD6" s="558"/>
      <c r="AE6" s="558"/>
    </row>
    <row r="7" spans="2:41" s="204" customFormat="1" outlineLevel="2">
      <c r="B7" s="211" t="s">
        <v>473</v>
      </c>
      <c r="C7" s="212">
        <v>2011</v>
      </c>
      <c r="D7" s="202"/>
      <c r="E7" s="202"/>
      <c r="F7" s="202"/>
      <c r="G7" s="202"/>
      <c r="H7" s="202"/>
      <c r="I7" s="202"/>
      <c r="J7" s="202"/>
      <c r="K7" s="202"/>
      <c r="L7" s="202"/>
      <c r="M7" s="202"/>
      <c r="N7" s="203"/>
      <c r="O7" s="203"/>
      <c r="P7" s="203"/>
      <c r="Q7" s="203">
        <v>2500</v>
      </c>
      <c r="R7" s="203">
        <v>2500</v>
      </c>
      <c r="S7" s="203">
        <v>2206</v>
      </c>
      <c r="T7" s="559">
        <v>2342</v>
      </c>
      <c r="U7" s="558">
        <v>2488</v>
      </c>
      <c r="V7" s="558">
        <v>0</v>
      </c>
      <c r="W7" s="558"/>
      <c r="X7" s="562">
        <v>0</v>
      </c>
      <c r="Y7" s="558"/>
      <c r="Z7" s="558"/>
      <c r="AA7" s="558"/>
      <c r="AB7" s="558"/>
      <c r="AC7" s="558"/>
      <c r="AD7" s="558"/>
      <c r="AE7" s="558"/>
    </row>
    <row r="8" spans="2:41" s="204" customFormat="1" outlineLevel="1">
      <c r="B8" s="211" t="s">
        <v>474</v>
      </c>
      <c r="C8" s="212">
        <v>2013</v>
      </c>
      <c r="D8" s="202"/>
      <c r="E8" s="202"/>
      <c r="F8" s="202"/>
      <c r="G8" s="202"/>
      <c r="H8" s="202"/>
      <c r="I8" s="202"/>
      <c r="J8" s="202"/>
      <c r="K8" s="202"/>
      <c r="L8" s="202"/>
      <c r="M8" s="202"/>
      <c r="N8" s="203"/>
      <c r="O8" s="203"/>
      <c r="P8" s="203"/>
      <c r="Q8" s="203">
        <v>2500</v>
      </c>
      <c r="R8" s="203">
        <v>2500</v>
      </c>
      <c r="S8" s="203">
        <v>1970</v>
      </c>
      <c r="T8" s="559">
        <v>2088</v>
      </c>
      <c r="U8" s="558">
        <v>2213</v>
      </c>
      <c r="V8" s="558">
        <v>2346</v>
      </c>
      <c r="W8" s="558">
        <v>2488</v>
      </c>
      <c r="X8" s="562">
        <v>0</v>
      </c>
      <c r="Y8" s="558"/>
      <c r="Z8" s="558"/>
      <c r="AA8" s="558"/>
      <c r="AB8" s="558"/>
      <c r="AC8" s="558"/>
      <c r="AD8" s="558"/>
      <c r="AE8" s="558"/>
    </row>
    <row r="9" spans="2:41" s="204" customFormat="1" outlineLevel="1">
      <c r="B9" s="211" t="s">
        <v>493</v>
      </c>
      <c r="C9" s="212">
        <v>2014</v>
      </c>
      <c r="D9" s="202"/>
      <c r="E9" s="202"/>
      <c r="F9" s="202"/>
      <c r="G9" s="202"/>
      <c r="H9" s="202"/>
      <c r="I9" s="202"/>
      <c r="J9" s="202"/>
      <c r="K9" s="202"/>
      <c r="L9" s="202"/>
      <c r="M9" s="203"/>
      <c r="N9" s="203"/>
      <c r="O9" s="203"/>
      <c r="P9" s="202"/>
      <c r="Q9" s="202"/>
      <c r="R9" s="202"/>
      <c r="S9" s="202"/>
      <c r="T9" s="558"/>
      <c r="U9" s="558"/>
      <c r="V9" s="558">
        <v>1000</v>
      </c>
      <c r="W9" s="558">
        <f>V9</f>
        <v>1000</v>
      </c>
      <c r="X9" s="562">
        <v>1000</v>
      </c>
      <c r="Y9" s="562">
        <v>0</v>
      </c>
      <c r="Z9" s="558"/>
      <c r="AA9" s="558"/>
      <c r="AB9" s="558"/>
      <c r="AC9" s="558"/>
      <c r="AD9" s="558"/>
      <c r="AE9" s="558"/>
    </row>
    <row r="10" spans="2:41" s="204" customFormat="1" outlineLevel="1">
      <c r="B10" s="211" t="s">
        <v>476</v>
      </c>
      <c r="C10" s="212">
        <v>2014</v>
      </c>
      <c r="D10" s="202"/>
      <c r="E10" s="202"/>
      <c r="F10" s="202"/>
      <c r="G10" s="202"/>
      <c r="H10" s="202"/>
      <c r="I10" s="202"/>
      <c r="J10" s="202"/>
      <c r="K10" s="202"/>
      <c r="L10" s="202"/>
      <c r="M10" s="202"/>
      <c r="N10" s="203"/>
      <c r="O10" s="203">
        <v>1000</v>
      </c>
      <c r="P10" s="203">
        <v>1000</v>
      </c>
      <c r="Q10" s="203">
        <v>1000</v>
      </c>
      <c r="R10" s="203">
        <v>1000</v>
      </c>
      <c r="S10" s="203">
        <v>1000</v>
      </c>
      <c r="T10" s="559">
        <v>1000</v>
      </c>
      <c r="U10" s="558">
        <v>1000</v>
      </c>
      <c r="V10" s="558">
        <f>U10</f>
        <v>1000</v>
      </c>
      <c r="W10" s="558">
        <f>V10</f>
        <v>1000</v>
      </c>
      <c r="X10" s="562">
        <v>1000</v>
      </c>
      <c r="Y10" s="562">
        <v>0</v>
      </c>
      <c r="Z10" s="558"/>
      <c r="AA10" s="558"/>
      <c r="AB10" s="558"/>
      <c r="AC10" s="558"/>
      <c r="AD10" s="558"/>
      <c r="AE10" s="558"/>
    </row>
    <row r="11" spans="2:41" s="204" customFormat="1" outlineLevel="1">
      <c r="B11" s="211" t="s">
        <v>492</v>
      </c>
      <c r="C11" s="212">
        <v>2016</v>
      </c>
      <c r="D11" s="202"/>
      <c r="E11" s="202"/>
      <c r="F11" s="202"/>
      <c r="G11" s="202"/>
      <c r="H11" s="202"/>
      <c r="I11" s="202"/>
      <c r="J11" s="202"/>
      <c r="K11" s="202"/>
      <c r="L11" s="202"/>
      <c r="M11" s="203"/>
      <c r="N11" s="203"/>
      <c r="O11" s="203"/>
      <c r="P11" s="202"/>
      <c r="Q11" s="202"/>
      <c r="R11" s="202"/>
      <c r="S11" s="202"/>
      <c r="T11" s="558"/>
      <c r="U11" s="558"/>
      <c r="V11" s="558">
        <v>748</v>
      </c>
      <c r="W11" s="558">
        <v>749</v>
      </c>
      <c r="X11" s="562">
        <v>749</v>
      </c>
      <c r="Y11" s="562">
        <v>749</v>
      </c>
      <c r="Z11" s="562">
        <v>750</v>
      </c>
      <c r="AA11" s="562">
        <v>0</v>
      </c>
      <c r="AB11" s="558"/>
      <c r="AC11" s="558"/>
      <c r="AD11" s="558"/>
      <c r="AE11" s="558"/>
    </row>
    <row r="12" spans="2:41" s="204" customFormat="1" outlineLevel="1">
      <c r="B12" s="564" t="s">
        <v>494</v>
      </c>
      <c r="C12" s="212">
        <v>2016</v>
      </c>
      <c r="D12" s="202"/>
      <c r="E12" s="202"/>
      <c r="F12" s="202"/>
      <c r="G12" s="202"/>
      <c r="H12" s="202"/>
      <c r="I12" s="202"/>
      <c r="J12" s="202"/>
      <c r="K12" s="202"/>
      <c r="L12" s="202"/>
      <c r="M12" s="203"/>
      <c r="N12" s="203"/>
      <c r="O12" s="203"/>
      <c r="P12" s="202"/>
      <c r="Q12" s="202"/>
      <c r="R12" s="202"/>
      <c r="S12" s="202"/>
      <c r="T12" s="558"/>
      <c r="U12" s="558"/>
      <c r="V12" s="558">
        <v>999</v>
      </c>
      <c r="W12" s="558">
        <f>V12</f>
        <v>999</v>
      </c>
      <c r="X12" s="562">
        <v>999</v>
      </c>
      <c r="Y12" s="562">
        <v>1000</v>
      </c>
      <c r="Z12" s="562">
        <v>1000</v>
      </c>
      <c r="AA12" s="562">
        <v>0</v>
      </c>
      <c r="AB12" s="558"/>
      <c r="AC12" s="558"/>
      <c r="AD12" s="558"/>
      <c r="AE12" s="558"/>
    </row>
    <row r="13" spans="2:41" s="204" customFormat="1" outlineLevel="1">
      <c r="B13" s="564" t="s">
        <v>924</v>
      </c>
      <c r="C13" s="212">
        <v>2017</v>
      </c>
      <c r="D13" s="202"/>
      <c r="E13" s="202"/>
      <c r="F13" s="202"/>
      <c r="G13" s="202"/>
      <c r="H13" s="202"/>
      <c r="I13" s="202"/>
      <c r="J13" s="202"/>
      <c r="K13" s="202"/>
      <c r="L13" s="202"/>
      <c r="M13" s="203"/>
      <c r="N13" s="203"/>
      <c r="O13" s="203"/>
      <c r="P13" s="202"/>
      <c r="Q13" s="202"/>
      <c r="R13" s="202"/>
      <c r="S13" s="202"/>
      <c r="T13" s="558"/>
      <c r="U13" s="558"/>
      <c r="V13" s="558"/>
      <c r="W13" s="558"/>
      <c r="X13" s="562"/>
      <c r="Y13" s="562"/>
      <c r="Z13" s="562"/>
      <c r="AA13" s="562">
        <v>605</v>
      </c>
      <c r="AB13" s="562">
        <v>0</v>
      </c>
      <c r="AC13" s="558"/>
      <c r="AD13" s="558"/>
      <c r="AE13" s="558"/>
    </row>
    <row r="14" spans="2:41" s="204" customFormat="1" outlineLevel="1">
      <c r="B14" s="564" t="s">
        <v>706</v>
      </c>
      <c r="C14" s="631">
        <v>2017</v>
      </c>
      <c r="D14" s="202"/>
      <c r="E14" s="202"/>
      <c r="F14" s="202"/>
      <c r="G14" s="202"/>
      <c r="H14" s="202"/>
      <c r="I14" s="202"/>
      <c r="J14" s="202"/>
      <c r="K14" s="202"/>
      <c r="L14" s="202"/>
      <c r="M14" s="202"/>
      <c r="N14" s="203"/>
      <c r="O14" s="203"/>
      <c r="P14" s="203"/>
      <c r="Q14" s="203"/>
      <c r="R14" s="203"/>
      <c r="S14" s="203"/>
      <c r="T14" s="559"/>
      <c r="U14" s="558"/>
      <c r="V14" s="558"/>
      <c r="W14" s="558"/>
      <c r="X14" s="562"/>
      <c r="Y14" s="562">
        <v>600</v>
      </c>
      <c r="Z14" s="562">
        <v>600</v>
      </c>
      <c r="AA14" s="562">
        <v>600</v>
      </c>
      <c r="AB14" s="562">
        <v>0</v>
      </c>
      <c r="AC14" s="558"/>
      <c r="AD14" s="558"/>
      <c r="AE14" s="558"/>
    </row>
    <row r="15" spans="2:41" s="204" customFormat="1" outlineLevel="1">
      <c r="B15" s="564" t="s">
        <v>708</v>
      </c>
      <c r="C15" s="631">
        <v>2017</v>
      </c>
      <c r="D15" s="202"/>
      <c r="E15" s="202"/>
      <c r="F15" s="202"/>
      <c r="G15" s="202"/>
      <c r="H15" s="202"/>
      <c r="I15" s="202"/>
      <c r="J15" s="202"/>
      <c r="K15" s="202"/>
      <c r="L15" s="202"/>
      <c r="M15" s="202"/>
      <c r="N15" s="203"/>
      <c r="O15" s="203"/>
      <c r="P15" s="203"/>
      <c r="Q15" s="203"/>
      <c r="R15" s="203"/>
      <c r="S15" s="203"/>
      <c r="T15" s="559"/>
      <c r="U15" s="558"/>
      <c r="V15" s="558"/>
      <c r="W15" s="558"/>
      <c r="X15" s="562"/>
      <c r="Y15" s="562">
        <v>849</v>
      </c>
      <c r="Z15" s="562">
        <v>849</v>
      </c>
      <c r="AA15" s="562">
        <v>850</v>
      </c>
      <c r="AB15" s="562">
        <v>0</v>
      </c>
      <c r="AC15" s="558"/>
      <c r="AD15" s="558"/>
      <c r="AE15" s="558"/>
    </row>
    <row r="16" spans="2:41" s="204" customFormat="1" outlineLevel="1">
      <c r="B16" s="564" t="s">
        <v>499</v>
      </c>
      <c r="C16" s="212">
        <v>2017</v>
      </c>
      <c r="D16" s="202"/>
      <c r="E16" s="202"/>
      <c r="F16" s="202"/>
      <c r="G16" s="202"/>
      <c r="H16" s="202"/>
      <c r="I16" s="202"/>
      <c r="J16" s="202"/>
      <c r="K16" s="202"/>
      <c r="L16" s="202"/>
      <c r="M16" s="203"/>
      <c r="N16" s="203"/>
      <c r="O16" s="203"/>
      <c r="P16" s="202"/>
      <c r="Q16" s="202"/>
      <c r="R16" s="202"/>
      <c r="S16" s="202"/>
      <c r="T16" s="558"/>
      <c r="U16" s="558"/>
      <c r="V16" s="558"/>
      <c r="W16" s="558">
        <v>1248</v>
      </c>
      <c r="X16" s="562">
        <v>1248</v>
      </c>
      <c r="Y16" s="562">
        <v>1249</v>
      </c>
      <c r="Z16" s="562">
        <v>1249</v>
      </c>
      <c r="AA16" s="562">
        <v>1250</v>
      </c>
      <c r="AB16" s="562">
        <v>0</v>
      </c>
      <c r="AC16" s="558"/>
      <c r="AD16" s="558"/>
      <c r="AE16" s="558"/>
    </row>
    <row r="17" spans="2:32" s="204" customFormat="1" outlineLevel="1">
      <c r="B17" s="564" t="s">
        <v>475</v>
      </c>
      <c r="C17" s="212">
        <v>2017</v>
      </c>
      <c r="D17" s="202"/>
      <c r="E17" s="202"/>
      <c r="F17" s="202"/>
      <c r="G17" s="202"/>
      <c r="H17" s="202"/>
      <c r="I17" s="202"/>
      <c r="J17" s="202"/>
      <c r="K17" s="202"/>
      <c r="L17" s="202"/>
      <c r="M17" s="202"/>
      <c r="N17" s="203"/>
      <c r="O17" s="203"/>
      <c r="P17" s="203"/>
      <c r="Q17" s="203"/>
      <c r="R17" s="203">
        <v>1099</v>
      </c>
      <c r="S17" s="203">
        <v>1099</v>
      </c>
      <c r="T17" s="559">
        <v>1099</v>
      </c>
      <c r="U17" s="558">
        <v>1099</v>
      </c>
      <c r="V17" s="558">
        <f>U17</f>
        <v>1099</v>
      </c>
      <c r="W17" s="558">
        <f>V17</f>
        <v>1099</v>
      </c>
      <c r="X17" s="562">
        <v>1099</v>
      </c>
      <c r="Y17" s="562">
        <v>1100</v>
      </c>
      <c r="Z17" s="562">
        <v>1100</v>
      </c>
      <c r="AA17" s="562">
        <v>1100</v>
      </c>
      <c r="AB17" s="562">
        <v>0</v>
      </c>
      <c r="AC17" s="558"/>
      <c r="AD17" s="558"/>
      <c r="AE17" s="558"/>
    </row>
    <row r="18" spans="2:32" s="204" customFormat="1" ht="11.25" customHeight="1" outlineLevel="1">
      <c r="B18" s="564" t="s">
        <v>483</v>
      </c>
      <c r="C18" s="212">
        <v>2018</v>
      </c>
      <c r="D18" s="202"/>
      <c r="E18" s="202"/>
      <c r="F18" s="202"/>
      <c r="G18" s="202"/>
      <c r="H18" s="202"/>
      <c r="I18" s="202"/>
      <c r="J18" s="202"/>
      <c r="K18" s="202"/>
      <c r="L18" s="202"/>
      <c r="M18" s="202"/>
      <c r="N18" s="203"/>
      <c r="O18" s="203"/>
      <c r="P18" s="203"/>
      <c r="Q18" s="203"/>
      <c r="R18" s="203"/>
      <c r="S18" s="203">
        <v>499</v>
      </c>
      <c r="T18" s="559">
        <v>499</v>
      </c>
      <c r="U18" s="558">
        <v>499</v>
      </c>
      <c r="V18" s="558">
        <f>U18</f>
        <v>499</v>
      </c>
      <c r="W18" s="558">
        <f>V18</f>
        <v>499</v>
      </c>
      <c r="X18" s="562">
        <v>500</v>
      </c>
      <c r="Y18" s="562">
        <v>500</v>
      </c>
      <c r="Z18" s="562">
        <v>500</v>
      </c>
      <c r="AA18" s="562">
        <v>500</v>
      </c>
      <c r="AB18" s="562">
        <v>500</v>
      </c>
      <c r="AC18" s="558">
        <v>0</v>
      </c>
      <c r="AD18" s="558"/>
      <c r="AE18" s="558"/>
    </row>
    <row r="19" spans="2:32" s="204" customFormat="1" outlineLevel="1">
      <c r="B19" s="564" t="s">
        <v>544</v>
      </c>
      <c r="C19" s="212">
        <v>2018</v>
      </c>
      <c r="D19" s="202"/>
      <c r="E19" s="202"/>
      <c r="F19" s="202"/>
      <c r="G19" s="202"/>
      <c r="H19" s="202"/>
      <c r="I19" s="202"/>
      <c r="J19" s="202"/>
      <c r="K19" s="202"/>
      <c r="L19" s="202"/>
      <c r="M19" s="203"/>
      <c r="N19" s="203"/>
      <c r="O19" s="203"/>
      <c r="P19" s="202"/>
      <c r="Q19" s="202"/>
      <c r="R19" s="202"/>
      <c r="S19" s="202"/>
      <c r="T19" s="558"/>
      <c r="U19" s="558"/>
      <c r="V19" s="558"/>
      <c r="W19" s="558"/>
      <c r="X19" s="562">
        <v>3100</v>
      </c>
      <c r="Y19" s="562">
        <v>0</v>
      </c>
      <c r="Z19" s="562">
        <v>0</v>
      </c>
      <c r="AA19" s="562">
        <v>0</v>
      </c>
      <c r="AB19" s="558">
        <f>AA19</f>
        <v>0</v>
      </c>
      <c r="AC19" s="558">
        <v>0</v>
      </c>
      <c r="AD19" s="558"/>
      <c r="AE19" s="558"/>
    </row>
    <row r="20" spans="2:32" s="204" customFormat="1" outlineLevel="1">
      <c r="B20" s="564" t="s">
        <v>545</v>
      </c>
      <c r="C20" s="212">
        <v>2018</v>
      </c>
      <c r="D20" s="202"/>
      <c r="E20" s="202"/>
      <c r="F20" s="202"/>
      <c r="G20" s="202"/>
      <c r="H20" s="202"/>
      <c r="I20" s="202"/>
      <c r="J20" s="202"/>
      <c r="K20" s="202"/>
      <c r="L20" s="202"/>
      <c r="M20" s="202"/>
      <c r="N20" s="202"/>
      <c r="O20" s="202"/>
      <c r="P20" s="202"/>
      <c r="Q20" s="202"/>
      <c r="R20" s="202"/>
      <c r="S20" s="202"/>
      <c r="T20" s="558"/>
      <c r="U20" s="558"/>
      <c r="V20" s="558"/>
      <c r="W20" s="558"/>
      <c r="X20" s="562">
        <v>4875</v>
      </c>
      <c r="Y20" s="562">
        <v>4375</v>
      </c>
      <c r="Z20" s="562">
        <v>1975</v>
      </c>
      <c r="AA20" s="562">
        <v>0</v>
      </c>
      <c r="AB20" s="558">
        <v>0</v>
      </c>
      <c r="AC20" s="558">
        <v>0</v>
      </c>
      <c r="AD20" s="558"/>
      <c r="AE20" s="558"/>
    </row>
    <row r="21" spans="2:32" s="204" customFormat="1" outlineLevel="1">
      <c r="B21" s="564" t="s">
        <v>497</v>
      </c>
      <c r="C21" s="212">
        <v>2018</v>
      </c>
      <c r="D21" s="202"/>
      <c r="E21" s="202"/>
      <c r="F21" s="202"/>
      <c r="G21" s="202"/>
      <c r="H21" s="202"/>
      <c r="I21" s="202"/>
      <c r="J21" s="202"/>
      <c r="K21" s="202"/>
      <c r="L21" s="202"/>
      <c r="M21" s="203"/>
      <c r="N21" s="203"/>
      <c r="O21" s="203"/>
      <c r="P21" s="202"/>
      <c r="Q21" s="202"/>
      <c r="R21" s="202"/>
      <c r="S21" s="202"/>
      <c r="T21" s="558"/>
      <c r="U21" s="558"/>
      <c r="V21" s="558">
        <v>714</v>
      </c>
      <c r="W21" s="558">
        <v>723</v>
      </c>
      <c r="X21" s="562">
        <v>751</v>
      </c>
      <c r="Y21" s="562">
        <v>668</v>
      </c>
      <c r="Z21" s="562">
        <v>598</v>
      </c>
      <c r="AA21" s="562">
        <v>577</v>
      </c>
      <c r="AB21" s="562">
        <v>653</v>
      </c>
      <c r="AC21" s="558">
        <v>0</v>
      </c>
      <c r="AD21" s="558"/>
      <c r="AE21" s="558"/>
    </row>
    <row r="22" spans="2:32" s="204" customFormat="1" outlineLevel="1">
      <c r="B22" s="564" t="s">
        <v>707</v>
      </c>
      <c r="C22" s="631">
        <v>2019</v>
      </c>
      <c r="D22" s="202"/>
      <c r="E22" s="202"/>
      <c r="F22" s="202"/>
      <c r="G22" s="202"/>
      <c r="H22" s="202"/>
      <c r="I22" s="202"/>
      <c r="J22" s="202"/>
      <c r="K22" s="202"/>
      <c r="L22" s="202"/>
      <c r="M22" s="203"/>
      <c r="N22" s="203"/>
      <c r="O22" s="203"/>
      <c r="P22" s="202"/>
      <c r="Q22" s="202"/>
      <c r="R22" s="202"/>
      <c r="S22" s="202"/>
      <c r="T22" s="558"/>
      <c r="U22" s="558"/>
      <c r="V22" s="558"/>
      <c r="W22" s="558"/>
      <c r="X22" s="562"/>
      <c r="Y22" s="562">
        <v>250</v>
      </c>
      <c r="Z22" s="562">
        <v>250</v>
      </c>
      <c r="AA22" s="562">
        <v>250</v>
      </c>
      <c r="AB22" s="562">
        <v>550</v>
      </c>
      <c r="AC22" s="677">
        <f>AB22</f>
        <v>550</v>
      </c>
      <c r="AD22" s="677">
        <v>0</v>
      </c>
      <c r="AE22" s="558"/>
    </row>
    <row r="23" spans="2:32" s="204" customFormat="1" outlineLevel="1">
      <c r="B23" s="564" t="s">
        <v>709</v>
      </c>
      <c r="C23" s="631">
        <v>2019</v>
      </c>
      <c r="D23" s="202"/>
      <c r="E23" s="202"/>
      <c r="F23" s="202"/>
      <c r="G23" s="202"/>
      <c r="H23" s="202"/>
      <c r="I23" s="202"/>
      <c r="J23" s="202"/>
      <c r="K23" s="202"/>
      <c r="L23" s="202"/>
      <c r="M23" s="202"/>
      <c r="N23" s="203"/>
      <c r="O23" s="203"/>
      <c r="P23" s="203"/>
      <c r="Q23" s="203"/>
      <c r="R23" s="203"/>
      <c r="S23" s="203"/>
      <c r="T23" s="559"/>
      <c r="U23" s="558"/>
      <c r="V23" s="558"/>
      <c r="W23" s="558"/>
      <c r="X23" s="562"/>
      <c r="Y23" s="562">
        <v>1398</v>
      </c>
      <c r="Z23" s="562">
        <v>1398</v>
      </c>
      <c r="AA23" s="562">
        <v>1400</v>
      </c>
      <c r="AB23" s="562">
        <v>1400</v>
      </c>
      <c r="AC23" s="677">
        <v>1400</v>
      </c>
      <c r="AD23" s="677">
        <v>0</v>
      </c>
      <c r="AE23" s="558"/>
    </row>
    <row r="24" spans="2:32" s="204" customFormat="1" outlineLevel="1">
      <c r="B24" s="564" t="s">
        <v>477</v>
      </c>
      <c r="C24" s="212">
        <v>2019</v>
      </c>
      <c r="D24" s="202"/>
      <c r="E24" s="202"/>
      <c r="F24" s="202"/>
      <c r="G24" s="202"/>
      <c r="H24" s="202"/>
      <c r="I24" s="202"/>
      <c r="J24" s="202"/>
      <c r="K24" s="202"/>
      <c r="L24" s="202"/>
      <c r="M24" s="202"/>
      <c r="N24" s="203"/>
      <c r="O24" s="203"/>
      <c r="P24" s="203"/>
      <c r="Q24" s="203"/>
      <c r="R24" s="203"/>
      <c r="S24" s="203"/>
      <c r="T24" s="559">
        <v>998</v>
      </c>
      <c r="U24" s="558">
        <v>998</v>
      </c>
      <c r="V24" s="558">
        <f>U24</f>
        <v>998</v>
      </c>
      <c r="W24" s="558">
        <v>999</v>
      </c>
      <c r="X24" s="562">
        <v>999</v>
      </c>
      <c r="Y24" s="562">
        <v>999</v>
      </c>
      <c r="Z24" s="562">
        <v>999</v>
      </c>
      <c r="AA24" s="562">
        <v>1000</v>
      </c>
      <c r="AB24" s="562">
        <v>1000</v>
      </c>
      <c r="AC24" s="558">
        <f>AB24</f>
        <v>1000</v>
      </c>
      <c r="AD24" s="558">
        <v>0</v>
      </c>
      <c r="AE24" s="558"/>
    </row>
    <row r="25" spans="2:32" s="204" customFormat="1" outlineLevel="1">
      <c r="B25" s="807" t="s">
        <v>945</v>
      </c>
      <c r="C25" s="808">
        <v>2019</v>
      </c>
      <c r="D25" s="202"/>
      <c r="E25" s="202"/>
      <c r="F25" s="202"/>
      <c r="G25" s="202"/>
      <c r="H25" s="202"/>
      <c r="I25" s="202"/>
      <c r="J25" s="202"/>
      <c r="K25" s="202"/>
      <c r="L25" s="202"/>
      <c r="M25" s="202"/>
      <c r="N25" s="203"/>
      <c r="O25" s="203"/>
      <c r="P25" s="203"/>
      <c r="Q25" s="203"/>
      <c r="R25" s="203"/>
      <c r="S25" s="203"/>
      <c r="T25" s="559"/>
      <c r="U25" s="558"/>
      <c r="V25" s="558"/>
      <c r="W25" s="558"/>
      <c r="X25" s="562"/>
      <c r="Y25" s="562"/>
      <c r="Z25" s="562"/>
      <c r="AA25" s="562"/>
      <c r="AB25" s="562">
        <v>700</v>
      </c>
      <c r="AC25" s="558">
        <f>AB25</f>
        <v>700</v>
      </c>
      <c r="AD25" s="558">
        <v>0</v>
      </c>
      <c r="AE25" s="558"/>
    </row>
    <row r="26" spans="2:32" s="204" customFormat="1" outlineLevel="1">
      <c r="B26" s="564" t="s">
        <v>501</v>
      </c>
      <c r="C26" s="212">
        <v>2019</v>
      </c>
      <c r="D26" s="202"/>
      <c r="E26" s="202"/>
      <c r="F26" s="202"/>
      <c r="G26" s="202"/>
      <c r="H26" s="202"/>
      <c r="I26" s="202"/>
      <c r="J26" s="202"/>
      <c r="K26" s="202"/>
      <c r="L26" s="202"/>
      <c r="M26" s="203"/>
      <c r="N26" s="203"/>
      <c r="O26" s="203"/>
      <c r="P26" s="202"/>
      <c r="Q26" s="202"/>
      <c r="R26" s="202"/>
      <c r="S26" s="202"/>
      <c r="T26" s="558"/>
      <c r="U26" s="558"/>
      <c r="V26" s="558"/>
      <c r="W26" s="558">
        <v>887</v>
      </c>
      <c r="X26" s="562">
        <v>925</v>
      </c>
      <c r="Y26" s="562">
        <v>814</v>
      </c>
      <c r="Z26" s="562">
        <v>731</v>
      </c>
      <c r="AA26" s="562">
        <v>710</v>
      </c>
      <c r="AB26" s="562">
        <v>810</v>
      </c>
      <c r="AC26" s="558">
        <f t="shared" ref="AC26:AC27" si="3">AB26</f>
        <v>810</v>
      </c>
      <c r="AD26" s="558">
        <v>0</v>
      </c>
      <c r="AE26" s="558"/>
    </row>
    <row r="27" spans="2:32" s="204" customFormat="1" outlineLevel="1">
      <c r="B27" s="564" t="s">
        <v>485</v>
      </c>
      <c r="C27" s="212">
        <v>2020</v>
      </c>
      <c r="D27" s="202"/>
      <c r="E27" s="202"/>
      <c r="F27" s="202"/>
      <c r="G27" s="202"/>
      <c r="H27" s="202"/>
      <c r="I27" s="202"/>
      <c r="J27" s="202"/>
      <c r="K27" s="202"/>
      <c r="L27" s="202"/>
      <c r="M27" s="202"/>
      <c r="N27" s="203"/>
      <c r="O27" s="203"/>
      <c r="P27" s="202"/>
      <c r="Q27" s="202"/>
      <c r="R27" s="202"/>
      <c r="S27" s="202"/>
      <c r="T27" s="558"/>
      <c r="U27" s="558">
        <v>300</v>
      </c>
      <c r="V27" s="558">
        <f>U27</f>
        <v>300</v>
      </c>
      <c r="W27" s="558">
        <f>V27</f>
        <v>300</v>
      </c>
      <c r="X27" s="562">
        <v>300</v>
      </c>
      <c r="Y27" s="562">
        <v>300</v>
      </c>
      <c r="Z27" s="562">
        <v>300</v>
      </c>
      <c r="AA27" s="562">
        <v>300</v>
      </c>
      <c r="AB27" s="562">
        <v>300</v>
      </c>
      <c r="AC27" s="558">
        <f t="shared" si="3"/>
        <v>300</v>
      </c>
      <c r="AD27" s="558">
        <f>AC27</f>
        <v>300</v>
      </c>
      <c r="AE27" s="558">
        <v>0</v>
      </c>
    </row>
    <row r="28" spans="2:32" s="204" customFormat="1" outlineLevel="1">
      <c r="B28" s="564" t="s">
        <v>480</v>
      </c>
      <c r="C28" s="212">
        <v>2020</v>
      </c>
      <c r="D28" s="202"/>
      <c r="E28" s="202"/>
      <c r="F28" s="202"/>
      <c r="G28" s="202"/>
      <c r="H28" s="202"/>
      <c r="I28" s="202"/>
      <c r="J28" s="202"/>
      <c r="K28" s="202"/>
      <c r="L28" s="202"/>
      <c r="M28" s="202"/>
      <c r="N28" s="203"/>
      <c r="O28" s="203"/>
      <c r="P28" s="203"/>
      <c r="Q28" s="203"/>
      <c r="R28" s="203"/>
      <c r="S28" s="203"/>
      <c r="T28" s="559"/>
      <c r="U28" s="558">
        <v>897</v>
      </c>
      <c r="V28" s="558">
        <f>U28</f>
        <v>897</v>
      </c>
      <c r="W28" s="558">
        <f t="shared" ref="W28:AD31" si="4">V28</f>
        <v>897</v>
      </c>
      <c r="X28" s="562">
        <v>898</v>
      </c>
      <c r="Y28" s="562">
        <v>898</v>
      </c>
      <c r="Z28" s="562">
        <v>898</v>
      </c>
      <c r="AA28" s="562">
        <v>900</v>
      </c>
      <c r="AB28" s="562">
        <v>900</v>
      </c>
      <c r="AC28" s="558">
        <f t="shared" si="4"/>
        <v>900</v>
      </c>
      <c r="AD28" s="558">
        <f t="shared" si="4"/>
        <v>900</v>
      </c>
      <c r="AE28" s="558">
        <v>0</v>
      </c>
    </row>
    <row r="29" spans="2:32" s="204" customFormat="1" outlineLevel="1">
      <c r="B29" s="564" t="s">
        <v>732</v>
      </c>
      <c r="C29" s="212">
        <v>2020</v>
      </c>
      <c r="D29" s="202"/>
      <c r="E29" s="202"/>
      <c r="F29" s="202"/>
      <c r="G29" s="202"/>
      <c r="H29" s="202"/>
      <c r="I29" s="202"/>
      <c r="J29" s="202"/>
      <c r="K29" s="202"/>
      <c r="L29" s="202"/>
      <c r="M29" s="202"/>
      <c r="N29" s="203"/>
      <c r="O29" s="203"/>
      <c r="P29" s="203"/>
      <c r="Q29" s="203"/>
      <c r="R29" s="203"/>
      <c r="S29" s="203"/>
      <c r="T29" s="559"/>
      <c r="U29" s="558"/>
      <c r="V29" s="558"/>
      <c r="W29" s="558"/>
      <c r="X29" s="562"/>
      <c r="Y29" s="562"/>
      <c r="Z29" s="562">
        <v>750</v>
      </c>
      <c r="AA29" s="562">
        <v>750</v>
      </c>
      <c r="AB29" s="562">
        <v>750</v>
      </c>
      <c r="AC29" s="558">
        <f t="shared" si="4"/>
        <v>750</v>
      </c>
      <c r="AD29" s="558">
        <f t="shared" si="4"/>
        <v>750</v>
      </c>
      <c r="AE29" s="558">
        <v>0</v>
      </c>
    </row>
    <row r="30" spans="2:32" s="204" customFormat="1" outlineLevel="1">
      <c r="B30" s="807" t="s">
        <v>946</v>
      </c>
      <c r="C30" s="808">
        <v>2020</v>
      </c>
      <c r="D30" s="202"/>
      <c r="E30" s="202"/>
      <c r="F30" s="202"/>
      <c r="G30" s="202"/>
      <c r="H30" s="202"/>
      <c r="I30" s="202"/>
      <c r="J30" s="202"/>
      <c r="K30" s="202"/>
      <c r="L30" s="202"/>
      <c r="M30" s="202"/>
      <c r="N30" s="203"/>
      <c r="O30" s="203"/>
      <c r="P30" s="203"/>
      <c r="Q30" s="203"/>
      <c r="R30" s="203"/>
      <c r="S30" s="203"/>
      <c r="T30" s="559"/>
      <c r="U30" s="558"/>
      <c r="V30" s="558"/>
      <c r="W30" s="558"/>
      <c r="X30" s="562"/>
      <c r="Y30" s="562"/>
      <c r="Z30" s="562"/>
      <c r="AA30" s="562"/>
      <c r="AB30" s="562">
        <v>300</v>
      </c>
      <c r="AC30" s="558">
        <f t="shared" si="4"/>
        <v>300</v>
      </c>
      <c r="AD30" s="558">
        <f>AC30</f>
        <v>300</v>
      </c>
      <c r="AE30" s="558">
        <v>0</v>
      </c>
    </row>
    <row r="31" spans="2:32" s="204" customFormat="1" outlineLevel="1">
      <c r="B31" s="807" t="s">
        <v>947</v>
      </c>
      <c r="C31" s="808">
        <v>2020</v>
      </c>
      <c r="D31" s="202"/>
      <c r="E31" s="202"/>
      <c r="F31" s="202"/>
      <c r="G31" s="202"/>
      <c r="H31" s="202"/>
      <c r="I31" s="202"/>
      <c r="J31" s="202"/>
      <c r="K31" s="202"/>
      <c r="L31" s="202"/>
      <c r="M31" s="202"/>
      <c r="N31" s="203"/>
      <c r="O31" s="203"/>
      <c r="P31" s="203"/>
      <c r="Q31" s="203"/>
      <c r="R31" s="203"/>
      <c r="S31" s="203"/>
      <c r="T31" s="559"/>
      <c r="U31" s="558"/>
      <c r="V31" s="558"/>
      <c r="W31" s="558"/>
      <c r="X31" s="562"/>
      <c r="Y31" s="562"/>
      <c r="Z31" s="562"/>
      <c r="AA31" s="562"/>
      <c r="AB31" s="562">
        <v>700</v>
      </c>
      <c r="AC31" s="558">
        <f t="shared" si="4"/>
        <v>700</v>
      </c>
      <c r="AD31" s="558">
        <f>AC31</f>
        <v>700</v>
      </c>
      <c r="AE31" s="558">
        <v>0</v>
      </c>
    </row>
    <row r="32" spans="2:32" s="204" customFormat="1" outlineLevel="1">
      <c r="B32" s="564" t="s">
        <v>491</v>
      </c>
      <c r="C32" s="212">
        <v>2021</v>
      </c>
      <c r="D32" s="202"/>
      <c r="E32" s="202"/>
      <c r="F32" s="202"/>
      <c r="G32" s="202"/>
      <c r="H32" s="202"/>
      <c r="I32" s="202"/>
      <c r="J32" s="202"/>
      <c r="K32" s="202"/>
      <c r="L32" s="202"/>
      <c r="M32" s="203"/>
      <c r="N32" s="203"/>
      <c r="O32" s="203"/>
      <c r="P32" s="202"/>
      <c r="Q32" s="202"/>
      <c r="R32" s="202"/>
      <c r="S32" s="202"/>
      <c r="T32" s="558"/>
      <c r="U32" s="558"/>
      <c r="V32" s="558">
        <v>998</v>
      </c>
      <c r="W32" s="558">
        <f>V32</f>
        <v>998</v>
      </c>
      <c r="X32" s="558">
        <v>998</v>
      </c>
      <c r="Y32" s="562">
        <v>998</v>
      </c>
      <c r="Z32" s="562">
        <v>999</v>
      </c>
      <c r="AA32" s="562">
        <v>1000</v>
      </c>
      <c r="AB32" s="562">
        <v>1000</v>
      </c>
      <c r="AC32" s="558">
        <f t="shared" ref="AC32:AE47" si="5">AB32</f>
        <v>1000</v>
      </c>
      <c r="AD32" s="558">
        <f t="shared" si="5"/>
        <v>1000</v>
      </c>
      <c r="AE32" s="558">
        <f t="shared" si="5"/>
        <v>1000</v>
      </c>
      <c r="AF32" s="204">
        <v>0</v>
      </c>
    </row>
    <row r="33" spans="2:41" s="204" customFormat="1" outlineLevel="1">
      <c r="B33" s="564" t="s">
        <v>495</v>
      </c>
      <c r="C33" s="212">
        <v>2021</v>
      </c>
      <c r="D33" s="202"/>
      <c r="E33" s="202"/>
      <c r="F33" s="202"/>
      <c r="G33" s="202"/>
      <c r="H33" s="202"/>
      <c r="I33" s="202"/>
      <c r="J33" s="202"/>
      <c r="K33" s="202"/>
      <c r="L33" s="202"/>
      <c r="M33" s="203"/>
      <c r="N33" s="203"/>
      <c r="O33" s="203"/>
      <c r="P33" s="202"/>
      <c r="Q33" s="202"/>
      <c r="R33" s="202"/>
      <c r="S33" s="202"/>
      <c r="T33" s="558"/>
      <c r="U33" s="558"/>
      <c r="V33" s="558">
        <v>1745</v>
      </c>
      <c r="W33" s="558">
        <f>V33</f>
        <v>1745</v>
      </c>
      <c r="X33" s="558">
        <v>1746</v>
      </c>
      <c r="Y33" s="562">
        <v>1747</v>
      </c>
      <c r="Z33" s="562">
        <v>1747</v>
      </c>
      <c r="AA33" s="562">
        <v>1750</v>
      </c>
      <c r="AB33" s="562">
        <v>1750</v>
      </c>
      <c r="AC33" s="558">
        <f t="shared" si="5"/>
        <v>1750</v>
      </c>
      <c r="AD33" s="558">
        <f t="shared" si="5"/>
        <v>1750</v>
      </c>
      <c r="AE33" s="558">
        <f t="shared" si="5"/>
        <v>1750</v>
      </c>
      <c r="AF33" s="204">
        <v>0</v>
      </c>
    </row>
    <row r="34" spans="2:41" s="204" customFormat="1" outlineLevel="1">
      <c r="B34" s="564" t="s">
        <v>810</v>
      </c>
      <c r="C34" s="212">
        <v>2021</v>
      </c>
      <c r="D34" s="202"/>
      <c r="E34" s="202"/>
      <c r="F34" s="202"/>
      <c r="G34" s="202"/>
      <c r="H34" s="202"/>
      <c r="I34" s="202"/>
      <c r="J34" s="202"/>
      <c r="K34" s="202"/>
      <c r="L34" s="202"/>
      <c r="M34" s="203"/>
      <c r="N34" s="203"/>
      <c r="O34" s="203"/>
      <c r="P34" s="202"/>
      <c r="Q34" s="202"/>
      <c r="R34" s="202"/>
      <c r="S34" s="202"/>
      <c r="T34" s="558"/>
      <c r="U34" s="558"/>
      <c r="V34" s="558"/>
      <c r="W34" s="558"/>
      <c r="X34" s="558"/>
      <c r="Y34" s="562"/>
      <c r="Z34" s="562"/>
      <c r="AA34" s="562">
        <v>750</v>
      </c>
      <c r="AB34" s="562">
        <v>750</v>
      </c>
      <c r="AC34" s="558">
        <f t="shared" si="5"/>
        <v>750</v>
      </c>
      <c r="AD34" s="558">
        <f t="shared" si="5"/>
        <v>750</v>
      </c>
      <c r="AE34" s="558">
        <f t="shared" si="5"/>
        <v>750</v>
      </c>
      <c r="AF34" s="204">
        <v>0</v>
      </c>
    </row>
    <row r="35" spans="2:41" s="204" customFormat="1" outlineLevel="1">
      <c r="B35" s="564" t="s">
        <v>799</v>
      </c>
      <c r="C35" s="212">
        <v>2022</v>
      </c>
      <c r="D35" s="202"/>
      <c r="E35" s="202"/>
      <c r="F35" s="202"/>
      <c r="G35" s="202"/>
      <c r="H35" s="202"/>
      <c r="I35" s="202"/>
      <c r="J35" s="202"/>
      <c r="K35" s="202"/>
      <c r="L35" s="202"/>
      <c r="M35" s="203"/>
      <c r="N35" s="203"/>
      <c r="O35" s="203"/>
      <c r="P35" s="202"/>
      <c r="Q35" s="202"/>
      <c r="R35" s="202"/>
      <c r="S35" s="202"/>
      <c r="T35" s="558"/>
      <c r="U35" s="558"/>
      <c r="V35" s="558"/>
      <c r="W35" s="558">
        <v>747</v>
      </c>
      <c r="X35" s="558">
        <v>747</v>
      </c>
      <c r="Y35" s="562">
        <v>747</v>
      </c>
      <c r="Z35" s="562">
        <v>748</v>
      </c>
      <c r="AA35" s="562">
        <v>750</v>
      </c>
      <c r="AB35" s="562">
        <v>750</v>
      </c>
      <c r="AC35" s="558">
        <f t="shared" si="5"/>
        <v>750</v>
      </c>
      <c r="AD35" s="558">
        <f t="shared" si="5"/>
        <v>750</v>
      </c>
      <c r="AE35" s="558">
        <f t="shared" si="5"/>
        <v>750</v>
      </c>
      <c r="AF35" s="204">
        <f t="shared" ref="AF35:AF40" si="6">AE35</f>
        <v>750</v>
      </c>
      <c r="AG35" s="204">
        <v>0</v>
      </c>
    </row>
    <row r="36" spans="2:41" s="204" customFormat="1" outlineLevel="1">
      <c r="B36" s="564" t="s">
        <v>733</v>
      </c>
      <c r="C36" s="212">
        <v>2022</v>
      </c>
      <c r="D36" s="202"/>
      <c r="E36" s="202"/>
      <c r="F36" s="202"/>
      <c r="G36" s="202"/>
      <c r="H36" s="202"/>
      <c r="I36" s="202"/>
      <c r="J36" s="202"/>
      <c r="K36" s="202"/>
      <c r="L36" s="202"/>
      <c r="M36" s="203"/>
      <c r="N36" s="203"/>
      <c r="O36" s="203"/>
      <c r="P36" s="202"/>
      <c r="Q36" s="202"/>
      <c r="R36" s="202"/>
      <c r="S36" s="202"/>
      <c r="T36" s="558"/>
      <c r="U36" s="558"/>
      <c r="V36" s="558"/>
      <c r="W36" s="558"/>
      <c r="X36" s="558"/>
      <c r="Y36" s="562"/>
      <c r="Z36" s="562">
        <v>499</v>
      </c>
      <c r="AA36" s="562">
        <v>500</v>
      </c>
      <c r="AB36" s="562">
        <v>500</v>
      </c>
      <c r="AC36" s="558">
        <f t="shared" si="5"/>
        <v>500</v>
      </c>
      <c r="AD36" s="558">
        <f t="shared" si="5"/>
        <v>500</v>
      </c>
      <c r="AE36" s="558">
        <f t="shared" si="5"/>
        <v>500</v>
      </c>
      <c r="AF36" s="204">
        <f t="shared" si="6"/>
        <v>500</v>
      </c>
      <c r="AG36" s="204">
        <v>0</v>
      </c>
    </row>
    <row r="37" spans="2:41" s="204" customFormat="1" outlineLevel="1">
      <c r="B37" s="564" t="s">
        <v>807</v>
      </c>
      <c r="C37" s="212">
        <v>2022</v>
      </c>
      <c r="D37" s="202"/>
      <c r="E37" s="202"/>
      <c r="F37" s="202"/>
      <c r="G37" s="202"/>
      <c r="H37" s="202"/>
      <c r="I37" s="202"/>
      <c r="J37" s="202"/>
      <c r="K37" s="202"/>
      <c r="L37" s="202"/>
      <c r="M37" s="203"/>
      <c r="N37" s="203"/>
      <c r="O37" s="203"/>
      <c r="P37" s="202"/>
      <c r="Q37" s="202"/>
      <c r="R37" s="202"/>
      <c r="S37" s="202"/>
      <c r="T37" s="558"/>
      <c r="U37" s="558"/>
      <c r="V37" s="558"/>
      <c r="W37" s="558"/>
      <c r="X37" s="558"/>
      <c r="Y37" s="562"/>
      <c r="Z37" s="562"/>
      <c r="AA37" s="562">
        <v>1315</v>
      </c>
      <c r="AB37" s="562">
        <v>1501</v>
      </c>
      <c r="AC37" s="558">
        <f t="shared" si="5"/>
        <v>1501</v>
      </c>
      <c r="AD37" s="558">
        <f t="shared" si="5"/>
        <v>1501</v>
      </c>
      <c r="AE37" s="558">
        <f t="shared" si="5"/>
        <v>1501</v>
      </c>
      <c r="AF37" s="204">
        <f t="shared" si="6"/>
        <v>1501</v>
      </c>
      <c r="AG37" s="204">
        <v>0</v>
      </c>
      <c r="AH37" s="204">
        <f>AG37</f>
        <v>0</v>
      </c>
      <c r="AI37" s="204">
        <f t="shared" ref="AI37:AO37" si="7">AH37</f>
        <v>0</v>
      </c>
      <c r="AJ37" s="204">
        <f t="shared" si="7"/>
        <v>0</v>
      </c>
      <c r="AK37" s="204">
        <f t="shared" si="7"/>
        <v>0</v>
      </c>
      <c r="AL37" s="204">
        <f t="shared" si="7"/>
        <v>0</v>
      </c>
      <c r="AM37" s="204">
        <f t="shared" si="7"/>
        <v>0</v>
      </c>
      <c r="AN37" s="204">
        <f t="shared" si="7"/>
        <v>0</v>
      </c>
      <c r="AO37" s="204">
        <f t="shared" si="7"/>
        <v>0</v>
      </c>
    </row>
    <row r="38" spans="2:41" s="204" customFormat="1" outlineLevel="1">
      <c r="B38" s="807" t="s">
        <v>948</v>
      </c>
      <c r="C38" s="808">
        <v>2022</v>
      </c>
      <c r="D38" s="202"/>
      <c r="E38" s="202"/>
      <c r="F38" s="202"/>
      <c r="G38" s="202"/>
      <c r="H38" s="202"/>
      <c r="I38" s="202"/>
      <c r="J38" s="202"/>
      <c r="K38" s="202"/>
      <c r="L38" s="202"/>
      <c r="M38" s="203"/>
      <c r="N38" s="203"/>
      <c r="O38" s="203"/>
      <c r="P38" s="202"/>
      <c r="Q38" s="202"/>
      <c r="R38" s="202"/>
      <c r="S38" s="202"/>
      <c r="T38" s="558"/>
      <c r="U38" s="558"/>
      <c r="V38" s="558"/>
      <c r="W38" s="558"/>
      <c r="X38" s="558"/>
      <c r="Y38" s="562"/>
      <c r="Z38" s="562"/>
      <c r="AA38" s="562"/>
      <c r="AB38" s="562">
        <v>1500</v>
      </c>
      <c r="AC38" s="558">
        <f t="shared" si="5"/>
        <v>1500</v>
      </c>
      <c r="AD38" s="558">
        <f t="shared" si="5"/>
        <v>1500</v>
      </c>
      <c r="AE38" s="558">
        <f t="shared" si="5"/>
        <v>1500</v>
      </c>
      <c r="AF38" s="204">
        <f t="shared" si="6"/>
        <v>1500</v>
      </c>
      <c r="AG38" s="204">
        <v>0</v>
      </c>
    </row>
    <row r="39" spans="2:41" s="204" customFormat="1" outlineLevel="1">
      <c r="B39" s="564" t="s">
        <v>808</v>
      </c>
      <c r="C39" s="212">
        <v>2023</v>
      </c>
      <c r="D39" s="202"/>
      <c r="E39" s="202"/>
      <c r="F39" s="202"/>
      <c r="G39" s="202"/>
      <c r="H39" s="202"/>
      <c r="I39" s="202"/>
      <c r="J39" s="202"/>
      <c r="K39" s="202"/>
      <c r="L39" s="202"/>
      <c r="M39" s="203"/>
      <c r="N39" s="203"/>
      <c r="O39" s="203"/>
      <c r="P39" s="202"/>
      <c r="Q39" s="202"/>
      <c r="R39" s="202"/>
      <c r="S39" s="202"/>
      <c r="T39" s="558"/>
      <c r="U39" s="558"/>
      <c r="V39" s="558"/>
      <c r="W39" s="558"/>
      <c r="X39" s="558"/>
      <c r="Y39" s="562"/>
      <c r="Z39" s="562"/>
      <c r="AA39" s="562">
        <v>687</v>
      </c>
      <c r="AB39" s="562">
        <v>719</v>
      </c>
      <c r="AC39" s="558">
        <f t="shared" si="5"/>
        <v>719</v>
      </c>
      <c r="AD39" s="558">
        <f t="shared" si="5"/>
        <v>719</v>
      </c>
      <c r="AE39" s="558">
        <f t="shared" si="5"/>
        <v>719</v>
      </c>
      <c r="AF39" s="204">
        <f t="shared" si="6"/>
        <v>719</v>
      </c>
      <c r="AG39" s="204">
        <f>AF39</f>
        <v>719</v>
      </c>
      <c r="AH39" s="204">
        <v>0</v>
      </c>
      <c r="AI39" s="204">
        <f t="shared" ref="AI39:AO39" si="8">AH39</f>
        <v>0</v>
      </c>
      <c r="AJ39" s="204">
        <f t="shared" si="8"/>
        <v>0</v>
      </c>
      <c r="AK39" s="204">
        <f t="shared" si="8"/>
        <v>0</v>
      </c>
      <c r="AL39" s="204">
        <f t="shared" si="8"/>
        <v>0</v>
      </c>
      <c r="AM39" s="204">
        <f t="shared" si="8"/>
        <v>0</v>
      </c>
      <c r="AN39" s="204">
        <f t="shared" si="8"/>
        <v>0</v>
      </c>
      <c r="AO39" s="204">
        <f t="shared" si="8"/>
        <v>0</v>
      </c>
    </row>
    <row r="40" spans="2:41" s="204" customFormat="1" outlineLevel="1">
      <c r="B40" s="564" t="s">
        <v>811</v>
      </c>
      <c r="C40" s="212">
        <v>2023</v>
      </c>
      <c r="D40" s="202"/>
      <c r="E40" s="202"/>
      <c r="F40" s="202"/>
      <c r="G40" s="202"/>
      <c r="H40" s="202"/>
      <c r="I40" s="202"/>
      <c r="J40" s="202"/>
      <c r="K40" s="202"/>
      <c r="L40" s="202"/>
      <c r="M40" s="203"/>
      <c r="N40" s="203"/>
      <c r="O40" s="203"/>
      <c r="P40" s="202"/>
      <c r="Q40" s="202"/>
      <c r="R40" s="202"/>
      <c r="S40" s="202"/>
      <c r="T40" s="558"/>
      <c r="U40" s="558"/>
      <c r="V40" s="558"/>
      <c r="W40" s="558"/>
      <c r="X40" s="558"/>
      <c r="Y40" s="562"/>
      <c r="Z40" s="562"/>
      <c r="AA40" s="562">
        <v>750</v>
      </c>
      <c r="AB40" s="562">
        <v>750</v>
      </c>
      <c r="AC40" s="558">
        <f t="shared" si="5"/>
        <v>750</v>
      </c>
      <c r="AD40" s="558">
        <f t="shared" si="5"/>
        <v>750</v>
      </c>
      <c r="AE40" s="558">
        <f t="shared" si="5"/>
        <v>750</v>
      </c>
      <c r="AF40" s="204">
        <f t="shared" si="6"/>
        <v>750</v>
      </c>
      <c r="AG40" s="204">
        <f>AF40</f>
        <v>750</v>
      </c>
      <c r="AH40" s="204">
        <v>0</v>
      </c>
    </row>
    <row r="41" spans="2:41" s="204" customFormat="1" outlineLevel="1">
      <c r="B41" s="564" t="s">
        <v>800</v>
      </c>
      <c r="C41" s="676">
        <v>2024</v>
      </c>
      <c r="D41" s="202"/>
      <c r="E41" s="202"/>
      <c r="F41" s="202"/>
      <c r="G41" s="202"/>
      <c r="H41" s="202"/>
      <c r="I41" s="202"/>
      <c r="J41" s="202"/>
      <c r="K41" s="202"/>
      <c r="L41" s="202"/>
      <c r="M41" s="203"/>
      <c r="N41" s="203"/>
      <c r="O41" s="203"/>
      <c r="P41" s="202"/>
      <c r="Q41" s="202"/>
      <c r="R41" s="202"/>
      <c r="S41" s="202"/>
      <c r="T41" s="558"/>
      <c r="U41" s="558"/>
      <c r="V41" s="558"/>
      <c r="W41" s="558"/>
      <c r="X41" s="558"/>
      <c r="Y41" s="562">
        <v>1398</v>
      </c>
      <c r="Z41" s="562">
        <v>1398</v>
      </c>
      <c r="AA41" s="562">
        <v>1400</v>
      </c>
      <c r="AB41" s="562">
        <v>1400</v>
      </c>
      <c r="AC41" s="677">
        <v>1400</v>
      </c>
      <c r="AD41" s="677">
        <v>1400</v>
      </c>
      <c r="AE41" s="677">
        <v>1400</v>
      </c>
      <c r="AF41" s="677">
        <v>1400</v>
      </c>
      <c r="AG41" s="677">
        <v>1400</v>
      </c>
      <c r="AH41" s="677">
        <v>1400</v>
      </c>
      <c r="AI41" s="677">
        <v>0</v>
      </c>
    </row>
    <row r="42" spans="2:41" s="204" customFormat="1" outlineLevel="1">
      <c r="B42" s="564" t="s">
        <v>734</v>
      </c>
      <c r="C42" s="676">
        <v>2025</v>
      </c>
      <c r="D42" s="202"/>
      <c r="E42" s="202"/>
      <c r="F42" s="202"/>
      <c r="G42" s="202"/>
      <c r="H42" s="202"/>
      <c r="I42" s="202"/>
      <c r="J42" s="202"/>
      <c r="K42" s="202"/>
      <c r="L42" s="202"/>
      <c r="M42" s="203"/>
      <c r="N42" s="203"/>
      <c r="O42" s="203"/>
      <c r="P42" s="202"/>
      <c r="Q42" s="202"/>
      <c r="R42" s="202"/>
      <c r="S42" s="202"/>
      <c r="T42" s="558"/>
      <c r="U42" s="558"/>
      <c r="V42" s="558"/>
      <c r="W42" s="558"/>
      <c r="X42" s="558"/>
      <c r="Y42" s="562"/>
      <c r="Z42" s="562">
        <v>995</v>
      </c>
      <c r="AA42" s="562">
        <v>1000</v>
      </c>
      <c r="AB42" s="562">
        <v>1000</v>
      </c>
      <c r="AC42" s="677">
        <f t="shared" ref="AC42:AE43" si="9">AB42</f>
        <v>1000</v>
      </c>
      <c r="AD42" s="677">
        <f t="shared" si="9"/>
        <v>1000</v>
      </c>
      <c r="AE42" s="677">
        <f t="shared" si="9"/>
        <v>1000</v>
      </c>
      <c r="AF42" s="204">
        <f t="shared" ref="AF42:AF59" si="10">AE42</f>
        <v>1000</v>
      </c>
      <c r="AG42" s="204">
        <f t="shared" ref="AG42:AI43" si="11">AF42</f>
        <v>1000</v>
      </c>
      <c r="AH42" s="204">
        <f t="shared" si="11"/>
        <v>1000</v>
      </c>
      <c r="AI42" s="204">
        <f t="shared" si="11"/>
        <v>1000</v>
      </c>
      <c r="AJ42" s="204">
        <v>0</v>
      </c>
    </row>
    <row r="43" spans="2:41" s="204" customFormat="1" outlineLevel="1">
      <c r="B43" s="564" t="s">
        <v>809</v>
      </c>
      <c r="C43" s="676">
        <v>2026</v>
      </c>
      <c r="D43" s="202"/>
      <c r="E43" s="202"/>
      <c r="F43" s="202"/>
      <c r="G43" s="202"/>
      <c r="H43" s="202"/>
      <c r="I43" s="202"/>
      <c r="J43" s="202"/>
      <c r="K43" s="202"/>
      <c r="L43" s="202"/>
      <c r="M43" s="203"/>
      <c r="N43" s="203"/>
      <c r="O43" s="203"/>
      <c r="P43" s="202"/>
      <c r="Q43" s="202"/>
      <c r="R43" s="202"/>
      <c r="S43" s="202"/>
      <c r="T43" s="558"/>
      <c r="U43" s="558"/>
      <c r="V43" s="558"/>
      <c r="W43" s="558"/>
      <c r="X43" s="558"/>
      <c r="Y43" s="562"/>
      <c r="Z43" s="562"/>
      <c r="AA43" s="562">
        <v>789</v>
      </c>
      <c r="AB43" s="562">
        <v>901</v>
      </c>
      <c r="AC43" s="677">
        <f t="shared" si="9"/>
        <v>901</v>
      </c>
      <c r="AD43" s="677">
        <f t="shared" si="9"/>
        <v>901</v>
      </c>
      <c r="AE43" s="677">
        <f t="shared" si="9"/>
        <v>901</v>
      </c>
      <c r="AF43" s="204">
        <f t="shared" si="10"/>
        <v>901</v>
      </c>
      <c r="AG43" s="204">
        <f>AF43</f>
        <v>901</v>
      </c>
      <c r="AH43" s="204">
        <f t="shared" si="11"/>
        <v>901</v>
      </c>
      <c r="AI43" s="204">
        <f t="shared" si="11"/>
        <v>901</v>
      </c>
      <c r="AJ43" s="204">
        <f>AI43</f>
        <v>901</v>
      </c>
      <c r="AK43" s="204">
        <v>0</v>
      </c>
      <c r="AL43" s="204">
        <f>AK43</f>
        <v>0</v>
      </c>
      <c r="AM43" s="204">
        <f>AL43</f>
        <v>0</v>
      </c>
      <c r="AN43" s="204">
        <f>AM43</f>
        <v>0</v>
      </c>
      <c r="AO43" s="204">
        <f>AN43</f>
        <v>0</v>
      </c>
    </row>
    <row r="44" spans="2:41" s="204" customFormat="1" outlineLevel="1">
      <c r="B44" s="564" t="s">
        <v>675</v>
      </c>
      <c r="C44" s="212">
        <v>2026</v>
      </c>
      <c r="D44" s="202"/>
      <c r="E44" s="202"/>
      <c r="F44" s="202"/>
      <c r="G44" s="202"/>
      <c r="H44" s="202"/>
      <c r="I44" s="202"/>
      <c r="J44" s="202"/>
      <c r="K44" s="202"/>
      <c r="L44" s="202"/>
      <c r="M44" s="203"/>
      <c r="N44" s="203"/>
      <c r="O44" s="203"/>
      <c r="P44" s="202"/>
      <c r="Q44" s="202"/>
      <c r="R44" s="202"/>
      <c r="S44" s="202"/>
      <c r="T44" s="558"/>
      <c r="U44" s="558"/>
      <c r="V44" s="558">
        <v>739</v>
      </c>
      <c r="W44" s="558">
        <v>763</v>
      </c>
      <c r="X44" s="558">
        <v>781</v>
      </c>
      <c r="Y44" s="562">
        <v>735</v>
      </c>
      <c r="Z44" s="562">
        <v>696</v>
      </c>
      <c r="AA44" s="562">
        <v>586</v>
      </c>
      <c r="AB44" s="562">
        <v>642</v>
      </c>
      <c r="AC44" s="558">
        <f t="shared" si="5"/>
        <v>642</v>
      </c>
      <c r="AD44" s="558">
        <f t="shared" si="5"/>
        <v>642</v>
      </c>
      <c r="AE44" s="558">
        <f t="shared" si="5"/>
        <v>642</v>
      </c>
      <c r="AF44" s="204">
        <f t="shared" si="10"/>
        <v>642</v>
      </c>
      <c r="AG44" s="204">
        <f t="shared" ref="AG44:AJ46" si="12">AF44</f>
        <v>642</v>
      </c>
      <c r="AH44" s="204">
        <f t="shared" si="12"/>
        <v>642</v>
      </c>
      <c r="AI44" s="204">
        <f t="shared" si="12"/>
        <v>642</v>
      </c>
      <c r="AJ44" s="204">
        <f t="shared" si="12"/>
        <v>642</v>
      </c>
      <c r="AK44" s="204">
        <v>0</v>
      </c>
    </row>
    <row r="45" spans="2:41" s="204" customFormat="1" outlineLevel="1">
      <c r="B45" s="564" t="s">
        <v>812</v>
      </c>
      <c r="C45" s="212">
        <v>2026</v>
      </c>
      <c r="D45" s="202"/>
      <c r="E45" s="202"/>
      <c r="F45" s="202"/>
      <c r="G45" s="202"/>
      <c r="H45" s="202"/>
      <c r="I45" s="202"/>
      <c r="J45" s="202"/>
      <c r="K45" s="202"/>
      <c r="L45" s="202"/>
      <c r="M45" s="203"/>
      <c r="N45" s="203"/>
      <c r="O45" s="203"/>
      <c r="P45" s="202"/>
      <c r="Q45" s="202"/>
      <c r="R45" s="202"/>
      <c r="S45" s="202"/>
      <c r="T45" s="558"/>
      <c r="U45" s="558"/>
      <c r="V45" s="558"/>
      <c r="W45" s="558"/>
      <c r="X45" s="558"/>
      <c r="Y45" s="562"/>
      <c r="Z45" s="562"/>
      <c r="AA45" s="562">
        <v>1250</v>
      </c>
      <c r="AB45" s="562">
        <v>1250</v>
      </c>
      <c r="AC45" s="558">
        <f t="shared" si="5"/>
        <v>1250</v>
      </c>
      <c r="AD45" s="558">
        <f t="shared" si="5"/>
        <v>1250</v>
      </c>
      <c r="AE45" s="558">
        <f t="shared" si="5"/>
        <v>1250</v>
      </c>
      <c r="AF45" s="204">
        <f t="shared" si="10"/>
        <v>1250</v>
      </c>
      <c r="AG45" s="204">
        <f t="shared" si="12"/>
        <v>1250</v>
      </c>
      <c r="AH45" s="204">
        <f t="shared" si="12"/>
        <v>1250</v>
      </c>
      <c r="AI45" s="204">
        <f t="shared" si="12"/>
        <v>1250</v>
      </c>
      <c r="AJ45" s="204">
        <f t="shared" si="12"/>
        <v>1250</v>
      </c>
      <c r="AK45" s="204">
        <v>0</v>
      </c>
    </row>
    <row r="46" spans="2:41" s="204" customFormat="1" outlineLevel="1">
      <c r="B46" s="807" t="s">
        <v>949</v>
      </c>
      <c r="C46" s="808">
        <v>2027</v>
      </c>
      <c r="D46" s="202"/>
      <c r="E46" s="202"/>
      <c r="F46" s="202"/>
      <c r="G46" s="202"/>
      <c r="H46" s="202"/>
      <c r="I46" s="202"/>
      <c r="J46" s="202"/>
      <c r="K46" s="202"/>
      <c r="L46" s="202"/>
      <c r="M46" s="203"/>
      <c r="N46" s="203"/>
      <c r="O46" s="203"/>
      <c r="P46" s="202"/>
      <c r="Q46" s="202"/>
      <c r="R46" s="202"/>
      <c r="S46" s="202"/>
      <c r="T46" s="558"/>
      <c r="U46" s="558"/>
      <c r="V46" s="558"/>
      <c r="W46" s="558"/>
      <c r="X46" s="558"/>
      <c r="Y46" s="562"/>
      <c r="Z46" s="562"/>
      <c r="AA46" s="562"/>
      <c r="AB46" s="562">
        <v>1000</v>
      </c>
      <c r="AC46" s="558">
        <f t="shared" si="5"/>
        <v>1000</v>
      </c>
      <c r="AD46" s="558">
        <f t="shared" si="5"/>
        <v>1000</v>
      </c>
      <c r="AE46" s="558">
        <f t="shared" si="5"/>
        <v>1000</v>
      </c>
      <c r="AF46" s="204">
        <f t="shared" si="10"/>
        <v>1000</v>
      </c>
      <c r="AG46" s="204">
        <f t="shared" si="12"/>
        <v>1000</v>
      </c>
      <c r="AH46" s="204">
        <f t="shared" si="12"/>
        <v>1000</v>
      </c>
      <c r="AI46" s="204">
        <f t="shared" si="12"/>
        <v>1000</v>
      </c>
      <c r="AJ46" s="204">
        <f>AI46</f>
        <v>1000</v>
      </c>
      <c r="AK46" s="204">
        <f>AJ46</f>
        <v>1000</v>
      </c>
      <c r="AL46" s="204">
        <v>0</v>
      </c>
    </row>
    <row r="47" spans="2:41" s="204" customFormat="1" outlineLevel="1">
      <c r="B47" s="564" t="s">
        <v>801</v>
      </c>
      <c r="C47" s="212">
        <v>2029</v>
      </c>
      <c r="D47" s="202"/>
      <c r="E47" s="202"/>
      <c r="F47" s="202"/>
      <c r="G47" s="202"/>
      <c r="H47" s="202"/>
      <c r="I47" s="202"/>
      <c r="J47" s="202"/>
      <c r="K47" s="202"/>
      <c r="L47" s="202"/>
      <c r="M47" s="203"/>
      <c r="N47" s="203"/>
      <c r="O47" s="203"/>
      <c r="P47" s="202"/>
      <c r="Q47" s="202"/>
      <c r="R47" s="202"/>
      <c r="S47" s="202"/>
      <c r="T47" s="558"/>
      <c r="U47" s="558"/>
      <c r="V47" s="558"/>
      <c r="W47" s="558">
        <v>1117</v>
      </c>
      <c r="X47" s="558">
        <v>1144</v>
      </c>
      <c r="Y47" s="562">
        <v>1076</v>
      </c>
      <c r="Z47" s="562">
        <v>1018</v>
      </c>
      <c r="AA47" s="562">
        <v>864</v>
      </c>
      <c r="AB47" s="562">
        <v>946</v>
      </c>
      <c r="AC47" s="558">
        <f t="shared" si="5"/>
        <v>946</v>
      </c>
      <c r="AD47" s="558">
        <f t="shared" si="5"/>
        <v>946</v>
      </c>
      <c r="AE47" s="558">
        <f t="shared" si="5"/>
        <v>946</v>
      </c>
      <c r="AF47" s="204">
        <f t="shared" si="10"/>
        <v>946</v>
      </c>
      <c r="AG47" s="204">
        <f>AF47</f>
        <v>946</v>
      </c>
      <c r="AH47" s="204">
        <f t="shared" ref="AH47:AM47" si="13">AG47</f>
        <v>946</v>
      </c>
      <c r="AI47" s="204">
        <f t="shared" si="13"/>
        <v>946</v>
      </c>
      <c r="AJ47" s="204">
        <f t="shared" si="13"/>
        <v>946</v>
      </c>
      <c r="AK47" s="204">
        <f t="shared" si="13"/>
        <v>946</v>
      </c>
      <c r="AL47" s="204">
        <f t="shared" si="13"/>
        <v>946</v>
      </c>
      <c r="AM47" s="204">
        <f t="shared" si="13"/>
        <v>946</v>
      </c>
      <c r="AN47" s="204">
        <v>0</v>
      </c>
    </row>
    <row r="48" spans="2:41" s="204" customFormat="1" outlineLevel="1">
      <c r="B48" s="564" t="s">
        <v>486</v>
      </c>
      <c r="C48" s="212">
        <v>2032</v>
      </c>
      <c r="D48" s="202"/>
      <c r="E48" s="202"/>
      <c r="F48" s="202"/>
      <c r="G48" s="202"/>
      <c r="H48" s="202"/>
      <c r="I48" s="202"/>
      <c r="J48" s="202"/>
      <c r="K48" s="202"/>
      <c r="L48" s="202"/>
      <c r="M48" s="202">
        <v>3070</v>
      </c>
      <c r="N48" s="202">
        <v>2900</v>
      </c>
      <c r="O48" s="202">
        <v>2912</v>
      </c>
      <c r="P48" s="202">
        <v>1759</v>
      </c>
      <c r="Q48" s="202">
        <v>1778</v>
      </c>
      <c r="R48" s="202">
        <v>80</v>
      </c>
      <c r="S48" s="202">
        <v>81</v>
      </c>
      <c r="T48" s="558">
        <v>82</v>
      </c>
      <c r="U48" s="558">
        <v>83</v>
      </c>
      <c r="V48" s="558">
        <v>84</v>
      </c>
      <c r="W48" s="558">
        <v>0</v>
      </c>
      <c r="X48" s="558">
        <v>0</v>
      </c>
      <c r="Y48" s="558">
        <f t="shared" ref="Y48:AD48" si="14">X48</f>
        <v>0</v>
      </c>
      <c r="Z48" s="558">
        <f t="shared" si="14"/>
        <v>0</v>
      </c>
      <c r="AA48" s="558">
        <f t="shared" si="14"/>
        <v>0</v>
      </c>
      <c r="AB48" s="558">
        <f t="shared" si="14"/>
        <v>0</v>
      </c>
      <c r="AC48" s="558">
        <f t="shared" si="14"/>
        <v>0</v>
      </c>
      <c r="AD48" s="558">
        <f t="shared" si="14"/>
        <v>0</v>
      </c>
      <c r="AE48" s="558">
        <f>AD48</f>
        <v>0</v>
      </c>
      <c r="AF48" s="204">
        <f t="shared" si="10"/>
        <v>0</v>
      </c>
      <c r="AG48" s="204">
        <f t="shared" ref="AG48:AO55" si="15">AF48</f>
        <v>0</v>
      </c>
      <c r="AH48" s="204">
        <f t="shared" si="15"/>
        <v>0</v>
      </c>
      <c r="AI48" s="204">
        <f t="shared" si="15"/>
        <v>0</v>
      </c>
      <c r="AJ48" s="204">
        <f t="shared" si="15"/>
        <v>0</v>
      </c>
      <c r="AK48" s="204">
        <f t="shared" si="15"/>
        <v>0</v>
      </c>
      <c r="AL48" s="204">
        <f t="shared" si="15"/>
        <v>0</v>
      </c>
      <c r="AM48" s="204">
        <f t="shared" si="15"/>
        <v>0</v>
      </c>
      <c r="AN48" s="204">
        <f t="shared" si="15"/>
        <v>0</v>
      </c>
      <c r="AO48" s="204">
        <f t="shared" si="15"/>
        <v>0</v>
      </c>
    </row>
    <row r="49" spans="2:41" s="204" customFormat="1" outlineLevel="1">
      <c r="B49" s="211" t="s">
        <v>479</v>
      </c>
      <c r="C49" s="212">
        <v>2037</v>
      </c>
      <c r="D49" s="202"/>
      <c r="E49" s="202"/>
      <c r="F49" s="202"/>
      <c r="G49" s="202"/>
      <c r="H49" s="202"/>
      <c r="I49" s="202"/>
      <c r="J49" s="202"/>
      <c r="K49" s="202"/>
      <c r="L49" s="202"/>
      <c r="M49" s="202"/>
      <c r="N49" s="203"/>
      <c r="O49" s="203"/>
      <c r="P49" s="203"/>
      <c r="Q49" s="203"/>
      <c r="R49" s="203">
        <v>899</v>
      </c>
      <c r="S49" s="203">
        <v>899</v>
      </c>
      <c r="T49" s="559">
        <v>899</v>
      </c>
      <c r="U49" s="558">
        <v>899</v>
      </c>
      <c r="V49" s="558">
        <f>U49</f>
        <v>899</v>
      </c>
      <c r="W49" s="558">
        <f t="shared" ref="W49:AE49" si="16">V49</f>
        <v>899</v>
      </c>
      <c r="X49" s="562">
        <v>899</v>
      </c>
      <c r="Y49" s="562">
        <v>899</v>
      </c>
      <c r="Z49" s="562">
        <v>899</v>
      </c>
      <c r="AA49" s="562">
        <v>552</v>
      </c>
      <c r="AB49" s="562">
        <v>552</v>
      </c>
      <c r="AC49" s="558">
        <f t="shared" si="16"/>
        <v>552</v>
      </c>
      <c r="AD49" s="558">
        <f t="shared" si="16"/>
        <v>552</v>
      </c>
      <c r="AE49" s="558">
        <f t="shared" si="16"/>
        <v>552</v>
      </c>
      <c r="AF49" s="204">
        <f t="shared" si="10"/>
        <v>552</v>
      </c>
      <c r="AG49" s="204">
        <f t="shared" si="15"/>
        <v>552</v>
      </c>
      <c r="AH49" s="204">
        <f t="shared" si="15"/>
        <v>552</v>
      </c>
      <c r="AI49" s="204">
        <f t="shared" si="15"/>
        <v>552</v>
      </c>
      <c r="AJ49" s="204">
        <f t="shared" si="15"/>
        <v>552</v>
      </c>
      <c r="AK49" s="204">
        <f t="shared" si="15"/>
        <v>552</v>
      </c>
      <c r="AL49" s="204">
        <f t="shared" si="15"/>
        <v>552</v>
      </c>
      <c r="AM49" s="204">
        <f t="shared" si="15"/>
        <v>552</v>
      </c>
      <c r="AN49" s="204">
        <f t="shared" si="15"/>
        <v>552</v>
      </c>
      <c r="AO49" s="204">
        <f t="shared" si="15"/>
        <v>552</v>
      </c>
    </row>
    <row r="50" spans="2:41" s="204" customFormat="1" outlineLevel="1">
      <c r="B50" s="211" t="s">
        <v>484</v>
      </c>
      <c r="C50" s="212">
        <v>2038</v>
      </c>
      <c r="D50" s="202"/>
      <c r="E50" s="202"/>
      <c r="F50" s="202"/>
      <c r="G50" s="202"/>
      <c r="H50" s="202"/>
      <c r="I50" s="202"/>
      <c r="J50" s="202"/>
      <c r="K50" s="202"/>
      <c r="L50" s="202"/>
      <c r="M50" s="202"/>
      <c r="N50" s="203"/>
      <c r="O50" s="203"/>
      <c r="P50" s="203"/>
      <c r="Q50" s="203"/>
      <c r="R50" s="203"/>
      <c r="S50" s="203">
        <v>498</v>
      </c>
      <c r="T50" s="559">
        <v>499</v>
      </c>
      <c r="U50" s="558">
        <v>499</v>
      </c>
      <c r="V50" s="558">
        <f>U50</f>
        <v>499</v>
      </c>
      <c r="W50" s="558">
        <f t="shared" ref="W50:AE50" si="17">V50</f>
        <v>499</v>
      </c>
      <c r="X50" s="562">
        <v>499</v>
      </c>
      <c r="Y50" s="562">
        <v>499</v>
      </c>
      <c r="Z50" s="562">
        <v>499</v>
      </c>
      <c r="AA50" s="562">
        <v>291</v>
      </c>
      <c r="AB50" s="562">
        <v>291</v>
      </c>
      <c r="AC50" s="558">
        <f t="shared" si="17"/>
        <v>291</v>
      </c>
      <c r="AD50" s="558">
        <f t="shared" si="17"/>
        <v>291</v>
      </c>
      <c r="AE50" s="558">
        <f t="shared" si="17"/>
        <v>291</v>
      </c>
      <c r="AF50" s="204">
        <f t="shared" si="10"/>
        <v>291</v>
      </c>
      <c r="AG50" s="204">
        <f t="shared" si="15"/>
        <v>291</v>
      </c>
      <c r="AH50" s="204">
        <f t="shared" si="15"/>
        <v>291</v>
      </c>
      <c r="AI50" s="204">
        <f t="shared" si="15"/>
        <v>291</v>
      </c>
      <c r="AJ50" s="204">
        <f t="shared" si="15"/>
        <v>291</v>
      </c>
      <c r="AK50" s="204">
        <f t="shared" si="15"/>
        <v>291</v>
      </c>
      <c r="AL50" s="204">
        <f t="shared" si="15"/>
        <v>291</v>
      </c>
      <c r="AM50" s="204">
        <f t="shared" si="15"/>
        <v>291</v>
      </c>
      <c r="AN50" s="204">
        <f t="shared" si="15"/>
        <v>291</v>
      </c>
      <c r="AO50" s="204">
        <f t="shared" si="15"/>
        <v>291</v>
      </c>
    </row>
    <row r="51" spans="2:41" s="204" customFormat="1" outlineLevel="1">
      <c r="B51" s="211" t="s">
        <v>478</v>
      </c>
      <c r="C51" s="212">
        <v>2039</v>
      </c>
      <c r="D51" s="202"/>
      <c r="E51" s="202"/>
      <c r="F51" s="202"/>
      <c r="G51" s="202"/>
      <c r="H51" s="202"/>
      <c r="I51" s="202"/>
      <c r="J51" s="202"/>
      <c r="K51" s="202"/>
      <c r="L51" s="202"/>
      <c r="M51" s="202"/>
      <c r="N51" s="203"/>
      <c r="O51" s="203"/>
      <c r="P51" s="203"/>
      <c r="Q51" s="203"/>
      <c r="R51" s="203"/>
      <c r="S51" s="203"/>
      <c r="T51" s="559">
        <v>995</v>
      </c>
      <c r="U51" s="558">
        <v>996</v>
      </c>
      <c r="V51" s="558">
        <f>U51</f>
        <v>996</v>
      </c>
      <c r="W51" s="558">
        <f t="shared" ref="W51:AE51" si="18">V51</f>
        <v>996</v>
      </c>
      <c r="X51" s="562">
        <v>996</v>
      </c>
      <c r="Y51" s="562">
        <v>996</v>
      </c>
      <c r="Z51" s="562">
        <v>996</v>
      </c>
      <c r="AA51" s="562">
        <v>466</v>
      </c>
      <c r="AB51" s="562">
        <v>466</v>
      </c>
      <c r="AC51" s="558">
        <f t="shared" si="18"/>
        <v>466</v>
      </c>
      <c r="AD51" s="558">
        <f t="shared" si="18"/>
        <v>466</v>
      </c>
      <c r="AE51" s="558">
        <f t="shared" si="18"/>
        <v>466</v>
      </c>
      <c r="AF51" s="204">
        <f t="shared" si="10"/>
        <v>466</v>
      </c>
      <c r="AG51" s="204">
        <f t="shared" si="15"/>
        <v>466</v>
      </c>
      <c r="AH51" s="204">
        <f t="shared" si="15"/>
        <v>466</v>
      </c>
      <c r="AI51" s="204">
        <f t="shared" si="15"/>
        <v>466</v>
      </c>
      <c r="AJ51" s="204">
        <f t="shared" si="15"/>
        <v>466</v>
      </c>
      <c r="AK51" s="204">
        <f t="shared" si="15"/>
        <v>466</v>
      </c>
      <c r="AL51" s="204">
        <f t="shared" si="15"/>
        <v>466</v>
      </c>
      <c r="AM51" s="204">
        <f t="shared" si="15"/>
        <v>466</v>
      </c>
      <c r="AN51" s="204">
        <f t="shared" si="15"/>
        <v>466</v>
      </c>
      <c r="AO51" s="204">
        <f t="shared" si="15"/>
        <v>466</v>
      </c>
    </row>
    <row r="52" spans="2:41" s="204" customFormat="1" outlineLevel="1">
      <c r="B52" s="211" t="s">
        <v>481</v>
      </c>
      <c r="C52" s="212">
        <v>2040</v>
      </c>
      <c r="D52" s="202"/>
      <c r="E52" s="202"/>
      <c r="F52" s="202"/>
      <c r="G52" s="202"/>
      <c r="H52" s="202"/>
      <c r="I52" s="202"/>
      <c r="J52" s="202"/>
      <c r="K52" s="202"/>
      <c r="L52" s="202"/>
      <c r="M52" s="202"/>
      <c r="N52" s="203"/>
      <c r="O52" s="203"/>
      <c r="P52" s="203"/>
      <c r="Q52" s="203"/>
      <c r="R52" s="203"/>
      <c r="S52" s="203"/>
      <c r="T52" s="559"/>
      <c r="U52" s="558">
        <v>696</v>
      </c>
      <c r="V52" s="558">
        <v>697</v>
      </c>
      <c r="W52" s="558">
        <f>V52</f>
        <v>697</v>
      </c>
      <c r="X52" s="562">
        <v>697</v>
      </c>
      <c r="Y52" s="562">
        <v>697</v>
      </c>
      <c r="Z52" s="562">
        <v>697</v>
      </c>
      <c r="AA52" s="562">
        <v>412</v>
      </c>
      <c r="AB52" s="562">
        <v>412</v>
      </c>
      <c r="AC52" s="558">
        <f>AB52</f>
        <v>412</v>
      </c>
      <c r="AD52" s="558">
        <f>AC52</f>
        <v>412</v>
      </c>
      <c r="AE52" s="558">
        <f>AD52</f>
        <v>412</v>
      </c>
      <c r="AF52" s="204">
        <f t="shared" si="10"/>
        <v>412</v>
      </c>
      <c r="AG52" s="204">
        <f t="shared" si="15"/>
        <v>412</v>
      </c>
      <c r="AH52" s="204">
        <f t="shared" si="15"/>
        <v>412</v>
      </c>
      <c r="AI52" s="204">
        <f t="shared" si="15"/>
        <v>412</v>
      </c>
      <c r="AJ52" s="204">
        <f t="shared" si="15"/>
        <v>412</v>
      </c>
      <c r="AK52" s="204">
        <f t="shared" si="15"/>
        <v>412</v>
      </c>
      <c r="AL52" s="204">
        <f t="shared" si="15"/>
        <v>412</v>
      </c>
      <c r="AM52" s="204">
        <f t="shared" si="15"/>
        <v>412</v>
      </c>
      <c r="AN52" s="204">
        <f t="shared" si="15"/>
        <v>412</v>
      </c>
      <c r="AO52" s="204">
        <f t="shared" si="15"/>
        <v>412</v>
      </c>
    </row>
    <row r="53" spans="2:41" s="204" customFormat="1" outlineLevel="1">
      <c r="B53" s="211" t="s">
        <v>482</v>
      </c>
      <c r="C53" s="212">
        <v>2041</v>
      </c>
      <c r="D53" s="202"/>
      <c r="E53" s="202"/>
      <c r="F53" s="202"/>
      <c r="G53" s="202"/>
      <c r="H53" s="202"/>
      <c r="I53" s="202"/>
      <c r="J53" s="202"/>
      <c r="K53" s="202"/>
      <c r="L53" s="202"/>
      <c r="M53" s="202"/>
      <c r="N53" s="203"/>
      <c r="O53" s="203"/>
      <c r="P53" s="203"/>
      <c r="Q53" s="203"/>
      <c r="R53" s="203"/>
      <c r="S53" s="203"/>
      <c r="T53" s="559"/>
      <c r="U53" s="558">
        <v>595</v>
      </c>
      <c r="V53" s="558">
        <f>U53</f>
        <v>595</v>
      </c>
      <c r="W53" s="558">
        <f t="shared" ref="W53:AE53" si="19">V53</f>
        <v>595</v>
      </c>
      <c r="X53" s="562">
        <v>596</v>
      </c>
      <c r="Y53" s="562">
        <v>596</v>
      </c>
      <c r="Z53" s="562">
        <v>596</v>
      </c>
      <c r="AA53" s="562">
        <v>600</v>
      </c>
      <c r="AB53" s="562">
        <v>600</v>
      </c>
      <c r="AC53" s="558">
        <f t="shared" si="19"/>
        <v>600</v>
      </c>
      <c r="AD53" s="558">
        <f t="shared" si="19"/>
        <v>600</v>
      </c>
      <c r="AE53" s="558">
        <f t="shared" si="19"/>
        <v>600</v>
      </c>
      <c r="AF53" s="204">
        <f t="shared" si="10"/>
        <v>600</v>
      </c>
      <c r="AG53" s="204">
        <f t="shared" si="15"/>
        <v>600</v>
      </c>
      <c r="AH53" s="204">
        <f t="shared" si="15"/>
        <v>600</v>
      </c>
      <c r="AI53" s="204">
        <f t="shared" si="15"/>
        <v>600</v>
      </c>
      <c r="AJ53" s="204">
        <f t="shared" si="15"/>
        <v>600</v>
      </c>
      <c r="AK53" s="204">
        <f t="shared" si="15"/>
        <v>600</v>
      </c>
      <c r="AL53" s="204">
        <f t="shared" si="15"/>
        <v>600</v>
      </c>
      <c r="AM53" s="204">
        <f t="shared" si="15"/>
        <v>600</v>
      </c>
      <c r="AN53" s="204">
        <f t="shared" si="15"/>
        <v>600</v>
      </c>
      <c r="AO53" s="204">
        <f t="shared" si="15"/>
        <v>600</v>
      </c>
    </row>
    <row r="54" spans="2:41" s="204" customFormat="1" outlineLevel="1">
      <c r="B54" s="211" t="s">
        <v>496</v>
      </c>
      <c r="C54" s="212">
        <v>2041</v>
      </c>
      <c r="D54" s="202"/>
      <c r="E54" s="202"/>
      <c r="F54" s="202"/>
      <c r="G54" s="202"/>
      <c r="H54" s="202"/>
      <c r="I54" s="202"/>
      <c r="J54" s="202"/>
      <c r="K54" s="202"/>
      <c r="L54" s="202"/>
      <c r="M54" s="203"/>
      <c r="N54" s="203"/>
      <c r="O54" s="203"/>
      <c r="P54" s="202"/>
      <c r="Q54" s="202"/>
      <c r="R54" s="202"/>
      <c r="S54" s="202"/>
      <c r="T54" s="558"/>
      <c r="U54" s="558"/>
      <c r="V54" s="558">
        <v>2232</v>
      </c>
      <c r="W54" s="558">
        <f>V54</f>
        <v>2232</v>
      </c>
      <c r="X54" s="558">
        <v>2233</v>
      </c>
      <c r="Y54" s="562">
        <v>2233</v>
      </c>
      <c r="Z54" s="562">
        <v>2234</v>
      </c>
      <c r="AA54" s="562">
        <v>974</v>
      </c>
      <c r="AB54" s="562">
        <v>974</v>
      </c>
      <c r="AC54" s="558">
        <f t="shared" ref="AC54:AE59" si="20">AB54</f>
        <v>974</v>
      </c>
      <c r="AD54" s="558">
        <f t="shared" si="20"/>
        <v>974</v>
      </c>
      <c r="AE54" s="558">
        <f t="shared" si="20"/>
        <v>974</v>
      </c>
      <c r="AF54" s="204">
        <f t="shared" si="10"/>
        <v>974</v>
      </c>
      <c r="AG54" s="204">
        <f t="shared" si="15"/>
        <v>974</v>
      </c>
      <c r="AH54" s="204">
        <f t="shared" si="15"/>
        <v>974</v>
      </c>
      <c r="AI54" s="204">
        <f t="shared" si="15"/>
        <v>974</v>
      </c>
      <c r="AJ54" s="204">
        <f t="shared" si="15"/>
        <v>974</v>
      </c>
      <c r="AK54" s="204">
        <f t="shared" si="15"/>
        <v>974</v>
      </c>
      <c r="AL54" s="204">
        <f t="shared" si="15"/>
        <v>974</v>
      </c>
      <c r="AM54" s="204">
        <f t="shared" si="15"/>
        <v>974</v>
      </c>
      <c r="AN54" s="204">
        <f t="shared" si="15"/>
        <v>974</v>
      </c>
      <c r="AO54" s="204">
        <f t="shared" si="15"/>
        <v>974</v>
      </c>
    </row>
    <row r="55" spans="2:41" s="204" customFormat="1" outlineLevel="1">
      <c r="B55" s="211" t="s">
        <v>490</v>
      </c>
      <c r="C55" s="212">
        <v>2042</v>
      </c>
      <c r="D55" s="202"/>
      <c r="E55" s="202"/>
      <c r="F55" s="202"/>
      <c r="G55" s="202"/>
      <c r="H55" s="202"/>
      <c r="I55" s="202"/>
      <c r="J55" s="202"/>
      <c r="K55" s="202"/>
      <c r="L55" s="202"/>
      <c r="M55" s="203"/>
      <c r="N55" s="203"/>
      <c r="O55" s="203"/>
      <c r="P55" s="202"/>
      <c r="Q55" s="202"/>
      <c r="R55" s="202"/>
      <c r="S55" s="202"/>
      <c r="T55" s="558"/>
      <c r="U55" s="558"/>
      <c r="V55" s="558">
        <v>1244</v>
      </c>
      <c r="W55" s="558">
        <f>V55</f>
        <v>1244</v>
      </c>
      <c r="X55" s="558">
        <v>1244</v>
      </c>
      <c r="Y55" s="562">
        <v>1245</v>
      </c>
      <c r="Z55" s="562">
        <v>1245</v>
      </c>
      <c r="AA55" s="562">
        <v>487</v>
      </c>
      <c r="AB55" s="562">
        <v>487</v>
      </c>
      <c r="AC55" s="558">
        <f t="shared" si="20"/>
        <v>487</v>
      </c>
      <c r="AD55" s="558">
        <f t="shared" si="20"/>
        <v>487</v>
      </c>
      <c r="AE55" s="558">
        <f t="shared" si="20"/>
        <v>487</v>
      </c>
      <c r="AF55" s="204">
        <f t="shared" si="10"/>
        <v>487</v>
      </c>
      <c r="AG55" s="204">
        <f>AF55</f>
        <v>487</v>
      </c>
      <c r="AH55" s="204">
        <f t="shared" si="15"/>
        <v>487</v>
      </c>
      <c r="AI55" s="204">
        <f t="shared" si="15"/>
        <v>487</v>
      </c>
      <c r="AJ55" s="204">
        <f t="shared" si="15"/>
        <v>487</v>
      </c>
      <c r="AK55" s="204">
        <f t="shared" si="15"/>
        <v>487</v>
      </c>
      <c r="AL55" s="204">
        <f t="shared" si="15"/>
        <v>487</v>
      </c>
      <c r="AM55" s="204">
        <f t="shared" si="15"/>
        <v>487</v>
      </c>
      <c r="AN55" s="204">
        <f t="shared" si="15"/>
        <v>487</v>
      </c>
      <c r="AO55" s="204">
        <f t="shared" si="15"/>
        <v>487</v>
      </c>
    </row>
    <row r="56" spans="2:41" s="204" customFormat="1" outlineLevel="1">
      <c r="B56" s="211" t="s">
        <v>500</v>
      </c>
      <c r="C56" s="212">
        <v>2043</v>
      </c>
      <c r="D56" s="202"/>
      <c r="E56" s="202"/>
      <c r="F56" s="202"/>
      <c r="G56" s="202"/>
      <c r="H56" s="202"/>
      <c r="I56" s="202"/>
      <c r="J56" s="202"/>
      <c r="K56" s="202"/>
      <c r="L56" s="202"/>
      <c r="M56" s="203"/>
      <c r="N56" s="203"/>
      <c r="O56" s="203"/>
      <c r="P56" s="202"/>
      <c r="Q56" s="202"/>
      <c r="R56" s="202"/>
      <c r="S56" s="202"/>
      <c r="T56" s="558"/>
      <c r="U56" s="558"/>
      <c r="V56" s="558"/>
      <c r="W56" s="558">
        <v>1000</v>
      </c>
      <c r="X56" s="558">
        <v>1000</v>
      </c>
      <c r="Y56" s="562">
        <v>1000</v>
      </c>
      <c r="Z56" s="562">
        <v>1000</v>
      </c>
      <c r="AA56" s="562">
        <v>261</v>
      </c>
      <c r="AB56" s="562">
        <v>261</v>
      </c>
      <c r="AC56" s="558">
        <f t="shared" si="20"/>
        <v>261</v>
      </c>
      <c r="AD56" s="558">
        <f t="shared" si="20"/>
        <v>261</v>
      </c>
      <c r="AE56" s="558">
        <f t="shared" si="20"/>
        <v>261</v>
      </c>
      <c r="AF56" s="204">
        <f t="shared" si="10"/>
        <v>261</v>
      </c>
      <c r="AG56" s="204">
        <f>AF56</f>
        <v>261</v>
      </c>
      <c r="AH56" s="204">
        <f t="shared" ref="AH56:AO59" si="21">AG56</f>
        <v>261</v>
      </c>
      <c r="AI56" s="204">
        <f t="shared" si="21"/>
        <v>261</v>
      </c>
      <c r="AJ56" s="204">
        <f t="shared" si="21"/>
        <v>261</v>
      </c>
      <c r="AK56" s="204">
        <f t="shared" si="21"/>
        <v>261</v>
      </c>
      <c r="AL56" s="204">
        <f t="shared" si="21"/>
        <v>261</v>
      </c>
      <c r="AM56" s="204">
        <f t="shared" si="21"/>
        <v>261</v>
      </c>
      <c r="AN56" s="204">
        <f t="shared" si="21"/>
        <v>261</v>
      </c>
      <c r="AO56" s="204">
        <f t="shared" si="21"/>
        <v>261</v>
      </c>
    </row>
    <row r="57" spans="2:41" s="204" customFormat="1" outlineLevel="1">
      <c r="B57" s="564" t="s">
        <v>735</v>
      </c>
      <c r="C57" s="212">
        <v>2045</v>
      </c>
      <c r="D57" s="202"/>
      <c r="E57" s="202"/>
      <c r="F57" s="202"/>
      <c r="G57" s="202"/>
      <c r="H57" s="202"/>
      <c r="I57" s="202"/>
      <c r="J57" s="202"/>
      <c r="K57" s="202"/>
      <c r="L57" s="202"/>
      <c r="M57" s="203"/>
      <c r="N57" s="203"/>
      <c r="O57" s="203"/>
      <c r="P57" s="202"/>
      <c r="Q57" s="202"/>
      <c r="R57" s="202"/>
      <c r="S57" s="202"/>
      <c r="T57" s="558"/>
      <c r="U57" s="558"/>
      <c r="V57" s="558"/>
      <c r="W57" s="558"/>
      <c r="X57" s="558"/>
      <c r="Y57" s="562"/>
      <c r="Z57" s="562">
        <v>1243</v>
      </c>
      <c r="AA57" s="562">
        <f>1250+1000</f>
        <v>2250</v>
      </c>
      <c r="AB57" s="562">
        <v>2250</v>
      </c>
      <c r="AC57" s="558">
        <f t="shared" si="20"/>
        <v>2250</v>
      </c>
      <c r="AD57" s="558">
        <f t="shared" si="20"/>
        <v>2250</v>
      </c>
      <c r="AE57" s="558">
        <f t="shared" si="20"/>
        <v>2250</v>
      </c>
      <c r="AF57" s="204">
        <f t="shared" si="10"/>
        <v>2250</v>
      </c>
      <c r="AG57" s="204">
        <f>AF57</f>
        <v>2250</v>
      </c>
      <c r="AH57" s="204">
        <f t="shared" si="21"/>
        <v>2250</v>
      </c>
      <c r="AI57" s="204">
        <f t="shared" si="21"/>
        <v>2250</v>
      </c>
      <c r="AJ57" s="204">
        <f t="shared" si="21"/>
        <v>2250</v>
      </c>
      <c r="AK57" s="204">
        <f t="shared" si="21"/>
        <v>2250</v>
      </c>
      <c r="AL57" s="204">
        <f t="shared" si="21"/>
        <v>2250</v>
      </c>
      <c r="AM57" s="204">
        <f t="shared" si="21"/>
        <v>2250</v>
      </c>
      <c r="AN57" s="204">
        <f t="shared" si="21"/>
        <v>2250</v>
      </c>
      <c r="AO57" s="204">
        <f t="shared" si="21"/>
        <v>2250</v>
      </c>
    </row>
    <row r="58" spans="2:41" s="204" customFormat="1" outlineLevel="1">
      <c r="B58" s="564" t="s">
        <v>805</v>
      </c>
      <c r="C58" s="212">
        <v>2048</v>
      </c>
      <c r="D58" s="202"/>
      <c r="E58" s="202"/>
      <c r="F58" s="202"/>
      <c r="G58" s="202"/>
      <c r="H58" s="202"/>
      <c r="I58" s="202"/>
      <c r="J58" s="202"/>
      <c r="K58" s="202"/>
      <c r="L58" s="202"/>
      <c r="M58" s="203"/>
      <c r="N58" s="203"/>
      <c r="O58" s="203"/>
      <c r="P58" s="202"/>
      <c r="Q58" s="202"/>
      <c r="R58" s="202"/>
      <c r="S58" s="202"/>
      <c r="T58" s="558"/>
      <c r="U58" s="558"/>
      <c r="V58" s="558"/>
      <c r="W58" s="558"/>
      <c r="X58" s="558"/>
      <c r="Y58" s="562"/>
      <c r="Z58" s="562"/>
      <c r="AA58" s="562">
        <v>1415</v>
      </c>
      <c r="AB58" s="562">
        <v>1415</v>
      </c>
      <c r="AC58" s="558">
        <f t="shared" si="20"/>
        <v>1415</v>
      </c>
      <c r="AD58" s="558">
        <f t="shared" si="20"/>
        <v>1415</v>
      </c>
      <c r="AE58" s="558">
        <f t="shared" si="20"/>
        <v>1415</v>
      </c>
      <c r="AF58" s="204">
        <f t="shared" si="10"/>
        <v>1415</v>
      </c>
      <c r="AG58" s="204">
        <f>AF58</f>
        <v>1415</v>
      </c>
      <c r="AH58" s="204">
        <f t="shared" si="21"/>
        <v>1415</v>
      </c>
      <c r="AI58" s="204">
        <f t="shared" si="21"/>
        <v>1415</v>
      </c>
      <c r="AJ58" s="204">
        <f t="shared" si="21"/>
        <v>1415</v>
      </c>
      <c r="AK58" s="204">
        <f t="shared" si="21"/>
        <v>1415</v>
      </c>
      <c r="AL58" s="204">
        <f t="shared" si="21"/>
        <v>1415</v>
      </c>
      <c r="AM58" s="204">
        <f t="shared" si="21"/>
        <v>1415</v>
      </c>
      <c r="AN58" s="204">
        <f t="shared" si="21"/>
        <v>1415</v>
      </c>
      <c r="AO58" s="204">
        <f t="shared" si="21"/>
        <v>1415</v>
      </c>
    </row>
    <row r="59" spans="2:41" s="204" customFormat="1" outlineLevel="1">
      <c r="B59" s="564" t="s">
        <v>806</v>
      </c>
      <c r="C59" s="212">
        <v>2051</v>
      </c>
      <c r="D59" s="202"/>
      <c r="E59" s="202"/>
      <c r="F59" s="202"/>
      <c r="G59" s="202"/>
      <c r="H59" s="202"/>
      <c r="I59" s="202"/>
      <c r="J59" s="202"/>
      <c r="K59" s="202"/>
      <c r="L59" s="202"/>
      <c r="M59" s="203"/>
      <c r="N59" s="203"/>
      <c r="O59" s="203"/>
      <c r="P59" s="202"/>
      <c r="Q59" s="202"/>
      <c r="R59" s="202"/>
      <c r="S59" s="202"/>
      <c r="T59" s="558"/>
      <c r="U59" s="558"/>
      <c r="V59" s="558"/>
      <c r="W59" s="558"/>
      <c r="X59" s="558"/>
      <c r="Y59" s="562"/>
      <c r="Z59" s="562"/>
      <c r="AA59" s="562">
        <v>3541</v>
      </c>
      <c r="AB59" s="562">
        <v>3541</v>
      </c>
      <c r="AC59" s="558">
        <f t="shared" si="20"/>
        <v>3541</v>
      </c>
      <c r="AD59" s="558">
        <f t="shared" si="20"/>
        <v>3541</v>
      </c>
      <c r="AE59" s="558">
        <f t="shared" si="20"/>
        <v>3541</v>
      </c>
      <c r="AF59" s="204">
        <f t="shared" si="10"/>
        <v>3541</v>
      </c>
      <c r="AG59" s="204">
        <f>AF59</f>
        <v>3541</v>
      </c>
      <c r="AH59" s="204">
        <f t="shared" si="21"/>
        <v>3541</v>
      </c>
      <c r="AI59" s="204">
        <f t="shared" si="21"/>
        <v>3541</v>
      </c>
      <c r="AJ59" s="204">
        <f t="shared" si="21"/>
        <v>3541</v>
      </c>
      <c r="AK59" s="204">
        <f t="shared" si="21"/>
        <v>3541</v>
      </c>
      <c r="AL59" s="204">
        <f t="shared" si="21"/>
        <v>3541</v>
      </c>
      <c r="AM59" s="204">
        <f t="shared" si="21"/>
        <v>3541</v>
      </c>
      <c r="AN59" s="204">
        <f t="shared" si="21"/>
        <v>3541</v>
      </c>
      <c r="AO59" s="204">
        <f t="shared" si="21"/>
        <v>3541</v>
      </c>
    </row>
    <row r="60" spans="2:41" s="204" customFormat="1" ht="11.25" customHeight="1" outlineLevel="1">
      <c r="B60" s="211" t="s">
        <v>487</v>
      </c>
      <c r="C60" s="212">
        <v>2097</v>
      </c>
      <c r="D60" s="202"/>
      <c r="E60" s="202"/>
      <c r="F60" s="202"/>
      <c r="G60" s="203">
        <v>100</v>
      </c>
      <c r="H60" s="203">
        <v>100</v>
      </c>
      <c r="I60" s="203">
        <v>100</v>
      </c>
      <c r="J60" s="203">
        <v>100</v>
      </c>
      <c r="K60" s="203">
        <v>100</v>
      </c>
      <c r="L60" s="203">
        <v>100</v>
      </c>
      <c r="M60" s="203">
        <v>100</v>
      </c>
      <c r="N60" s="203">
        <v>100</v>
      </c>
      <c r="O60" s="203">
        <v>100</v>
      </c>
      <c r="P60" s="202">
        <v>100</v>
      </c>
      <c r="Q60" s="202">
        <v>100</v>
      </c>
      <c r="R60" s="202">
        <v>100</v>
      </c>
      <c r="S60" s="202">
        <v>100</v>
      </c>
      <c r="T60" s="558">
        <v>100</v>
      </c>
      <c r="U60" s="558">
        <v>100</v>
      </c>
      <c r="V60" s="558">
        <f>U60</f>
        <v>100</v>
      </c>
      <c r="W60" s="558">
        <v>109</v>
      </c>
      <c r="X60" s="558">
        <v>0</v>
      </c>
      <c r="Y60" s="558">
        <f>X60</f>
        <v>0</v>
      </c>
      <c r="Z60" s="558">
        <f t="shared" ref="Z60:AE62" si="22">Y60</f>
        <v>0</v>
      </c>
      <c r="AA60" s="558">
        <f t="shared" si="22"/>
        <v>0</v>
      </c>
      <c r="AB60" s="558">
        <f t="shared" si="22"/>
        <v>0</v>
      </c>
      <c r="AC60" s="558">
        <f t="shared" si="22"/>
        <v>0</v>
      </c>
      <c r="AD60" s="558">
        <f t="shared" si="22"/>
        <v>0</v>
      </c>
      <c r="AE60" s="558">
        <f t="shared" si="22"/>
        <v>0</v>
      </c>
      <c r="AF60" s="204">
        <f>AE60</f>
        <v>0</v>
      </c>
      <c r="AG60" s="204">
        <f t="shared" ref="AG60:AO62" si="23">AF60</f>
        <v>0</v>
      </c>
      <c r="AH60" s="204">
        <f t="shared" si="23"/>
        <v>0</v>
      </c>
      <c r="AI60" s="204">
        <f t="shared" si="23"/>
        <v>0</v>
      </c>
      <c r="AJ60" s="204">
        <f t="shared" si="23"/>
        <v>0</v>
      </c>
      <c r="AK60" s="204">
        <f t="shared" si="23"/>
        <v>0</v>
      </c>
      <c r="AL60" s="204">
        <f t="shared" si="23"/>
        <v>0</v>
      </c>
      <c r="AM60" s="204">
        <f t="shared" si="23"/>
        <v>0</v>
      </c>
      <c r="AN60" s="204">
        <f t="shared" si="23"/>
        <v>0</v>
      </c>
      <c r="AO60" s="204">
        <f t="shared" si="23"/>
        <v>0</v>
      </c>
    </row>
    <row r="61" spans="2:41" s="204" customFormat="1" outlineLevel="1">
      <c r="B61" s="211" t="s">
        <v>502</v>
      </c>
      <c r="C61" s="212"/>
      <c r="D61" s="202">
        <f>181.242-SUM(D7:D60)-D20</f>
        <v>181.24199999999999</v>
      </c>
      <c r="E61" s="202">
        <f>183.4-SUM(E7:E60)-E20</f>
        <v>183.4</v>
      </c>
      <c r="F61" s="202">
        <f>177.2-SUM(F7:F60)-F20</f>
        <v>177.2</v>
      </c>
      <c r="G61" s="202">
        <f>177.2-SUM(G7:G60)-G20</f>
        <v>77.199999999999989</v>
      </c>
      <c r="H61" s="202">
        <f>259-SUM(H7:H60)-H20</f>
        <v>159</v>
      </c>
      <c r="I61" s="202">
        <f>229-SUM(I7:I60)-I20</f>
        <v>129</v>
      </c>
      <c r="J61" s="202">
        <f>223-SUM(J7:J60)-J20</f>
        <v>123</v>
      </c>
      <c r="K61" s="202">
        <f>223-SUM(K7:K60)-K20</f>
        <v>123</v>
      </c>
      <c r="L61" s="202">
        <f>223-SUM(L7:L60)-L20</f>
        <v>123</v>
      </c>
      <c r="M61" s="202"/>
      <c r="N61" s="202">
        <f>3080-SUM(N7:N60)-N20</f>
        <v>80</v>
      </c>
      <c r="O61" s="202">
        <f>200-O60</f>
        <v>100</v>
      </c>
      <c r="P61" s="202">
        <f>200-P60</f>
        <v>100</v>
      </c>
      <c r="Q61" s="202">
        <f>235-Q60</f>
        <v>135</v>
      </c>
      <c r="R61" s="202"/>
      <c r="S61" s="202"/>
      <c r="T61" s="558"/>
      <c r="U61" s="558"/>
      <c r="V61" s="558"/>
      <c r="W61" s="558"/>
      <c r="X61" s="558">
        <v>105</v>
      </c>
      <c r="Y61" s="562">
        <v>100</v>
      </c>
      <c r="Z61" s="562">
        <v>100</v>
      </c>
      <c r="AA61" s="562">
        <v>100</v>
      </c>
      <c r="AB61" s="562">
        <v>100</v>
      </c>
      <c r="AC61" s="558">
        <f t="shared" si="22"/>
        <v>100</v>
      </c>
      <c r="AD61" s="558">
        <f t="shared" si="22"/>
        <v>100</v>
      </c>
      <c r="AE61" s="558">
        <f t="shared" si="22"/>
        <v>100</v>
      </c>
      <c r="AF61" s="204">
        <f>AE61</f>
        <v>100</v>
      </c>
      <c r="AG61" s="204">
        <f t="shared" si="23"/>
        <v>100</v>
      </c>
      <c r="AH61" s="204">
        <f t="shared" si="23"/>
        <v>100</v>
      </c>
      <c r="AI61" s="204">
        <f t="shared" si="23"/>
        <v>100</v>
      </c>
      <c r="AJ61" s="204">
        <f t="shared" si="23"/>
        <v>100</v>
      </c>
      <c r="AK61" s="204">
        <f t="shared" si="23"/>
        <v>100</v>
      </c>
      <c r="AL61" s="204">
        <f t="shared" si="23"/>
        <v>100</v>
      </c>
      <c r="AM61" s="204">
        <f t="shared" si="23"/>
        <v>100</v>
      </c>
      <c r="AN61" s="204">
        <f t="shared" si="23"/>
        <v>100</v>
      </c>
      <c r="AO61" s="204">
        <f t="shared" si="23"/>
        <v>100</v>
      </c>
    </row>
    <row r="62" spans="2:41" s="204" customFormat="1" outlineLevel="1">
      <c r="B62" s="564" t="s">
        <v>925</v>
      </c>
      <c r="C62" s="212"/>
      <c r="D62" s="202"/>
      <c r="E62" s="202"/>
      <c r="F62" s="202"/>
      <c r="G62" s="202"/>
      <c r="H62" s="202"/>
      <c r="I62" s="202"/>
      <c r="J62" s="202"/>
      <c r="K62" s="202"/>
      <c r="L62" s="202"/>
      <c r="M62" s="202"/>
      <c r="N62" s="202"/>
      <c r="O62" s="202"/>
      <c r="P62" s="202"/>
      <c r="Q62" s="202"/>
      <c r="R62" s="202"/>
      <c r="S62" s="202"/>
      <c r="T62" s="558"/>
      <c r="U62" s="558"/>
      <c r="V62" s="558"/>
      <c r="W62" s="558"/>
      <c r="X62" s="558"/>
      <c r="Y62" s="562"/>
      <c r="Z62" s="562"/>
      <c r="AA62" s="562">
        <v>-936</v>
      </c>
      <c r="AB62" s="562">
        <v>-929</v>
      </c>
      <c r="AC62" s="558">
        <v>0</v>
      </c>
      <c r="AD62" s="558">
        <f t="shared" si="22"/>
        <v>0</v>
      </c>
      <c r="AE62" s="558">
        <f t="shared" si="22"/>
        <v>0</v>
      </c>
      <c r="AF62" s="204">
        <f>AE62</f>
        <v>0</v>
      </c>
      <c r="AG62" s="204">
        <f t="shared" si="23"/>
        <v>0</v>
      </c>
      <c r="AH62" s="204">
        <f t="shared" si="23"/>
        <v>0</v>
      </c>
      <c r="AI62" s="204">
        <f t="shared" si="23"/>
        <v>0</v>
      </c>
      <c r="AJ62" s="204">
        <f t="shared" si="23"/>
        <v>0</v>
      </c>
      <c r="AK62" s="204">
        <f t="shared" si="23"/>
        <v>0</v>
      </c>
      <c r="AL62" s="204">
        <f t="shared" si="23"/>
        <v>0</v>
      </c>
      <c r="AM62" s="204">
        <f t="shared" si="23"/>
        <v>0</v>
      </c>
      <c r="AN62" s="204">
        <f t="shared" si="23"/>
        <v>0</v>
      </c>
      <c r="AO62" s="204">
        <f t="shared" si="23"/>
        <v>0</v>
      </c>
    </row>
    <row r="63" spans="2:41" s="204" customFormat="1" outlineLevel="1">
      <c r="B63" s="211"/>
      <c r="C63" s="213"/>
      <c r="D63" s="202"/>
      <c r="E63" s="202"/>
      <c r="F63" s="202"/>
      <c r="G63" s="202"/>
      <c r="H63" s="202"/>
      <c r="I63" s="202"/>
      <c r="J63" s="202"/>
      <c r="K63" s="202"/>
      <c r="L63" s="202"/>
      <c r="M63" s="202"/>
      <c r="N63" s="202"/>
      <c r="O63" s="202"/>
      <c r="P63" s="202"/>
      <c r="Q63" s="202"/>
      <c r="R63" s="202"/>
      <c r="S63" s="202"/>
      <c r="T63" s="558"/>
      <c r="U63" s="558"/>
      <c r="V63" s="558"/>
      <c r="W63" s="558"/>
      <c r="X63" s="558"/>
      <c r="Y63" s="558"/>
      <c r="Z63" s="558"/>
      <c r="AA63" s="558"/>
      <c r="AB63" s="558"/>
      <c r="AC63" s="558"/>
      <c r="AD63" s="558"/>
      <c r="AE63" s="558"/>
    </row>
    <row r="64" spans="2:41" s="204" customFormat="1" outlineLevel="1">
      <c r="B64" s="214" t="s">
        <v>504</v>
      </c>
      <c r="C64" s="215"/>
      <c r="D64" s="216">
        <f t="shared" ref="D64:W64" si="24">SUM(D7:D61)</f>
        <v>181.24199999999999</v>
      </c>
      <c r="E64" s="216">
        <f t="shared" si="24"/>
        <v>183.4</v>
      </c>
      <c r="F64" s="216">
        <f t="shared" si="24"/>
        <v>177.2</v>
      </c>
      <c r="G64" s="216">
        <f t="shared" si="24"/>
        <v>177.2</v>
      </c>
      <c r="H64" s="216">
        <f t="shared" si="24"/>
        <v>259</v>
      </c>
      <c r="I64" s="216">
        <f t="shared" si="24"/>
        <v>229</v>
      </c>
      <c r="J64" s="216">
        <f t="shared" si="24"/>
        <v>223</v>
      </c>
      <c r="K64" s="216">
        <f t="shared" si="24"/>
        <v>223</v>
      </c>
      <c r="L64" s="216">
        <f t="shared" si="24"/>
        <v>223</v>
      </c>
      <c r="M64" s="216">
        <f t="shared" si="24"/>
        <v>3170</v>
      </c>
      <c r="N64" s="216">
        <f t="shared" si="24"/>
        <v>3080</v>
      </c>
      <c r="O64" s="216">
        <f t="shared" si="24"/>
        <v>4112</v>
      </c>
      <c r="P64" s="216">
        <f t="shared" si="24"/>
        <v>2959</v>
      </c>
      <c r="Q64" s="216">
        <f t="shared" si="24"/>
        <v>8013</v>
      </c>
      <c r="R64" s="216">
        <f t="shared" si="24"/>
        <v>8178</v>
      </c>
      <c r="S64" s="216">
        <f t="shared" si="24"/>
        <v>8352</v>
      </c>
      <c r="T64" s="560">
        <f t="shared" si="24"/>
        <v>10601</v>
      </c>
      <c r="U64" s="560">
        <f t="shared" si="24"/>
        <v>13362</v>
      </c>
      <c r="V64" s="560">
        <f t="shared" si="24"/>
        <v>21428</v>
      </c>
      <c r="W64" s="560">
        <f t="shared" si="24"/>
        <v>26529</v>
      </c>
      <c r="X64" s="560">
        <f t="shared" ref="X64:Z64" si="25">SUM(X5:X61)</f>
        <v>32128</v>
      </c>
      <c r="Y64" s="560">
        <f>SUM(Y5:Y61)</f>
        <v>30715</v>
      </c>
      <c r="Z64" s="560">
        <f t="shared" si="25"/>
        <v>31556</v>
      </c>
      <c r="AA64" s="560">
        <f t="shared" ref="AA64:AO64" si="26">SUM(AA5:AA62)</f>
        <v>34596</v>
      </c>
      <c r="AB64" s="560">
        <f t="shared" si="26"/>
        <v>35342</v>
      </c>
      <c r="AC64" s="560">
        <f t="shared" si="26"/>
        <v>35118</v>
      </c>
      <c r="AD64" s="560">
        <f t="shared" si="26"/>
        <v>30658</v>
      </c>
      <c r="AE64" s="560">
        <f t="shared" si="26"/>
        <v>27708</v>
      </c>
      <c r="AF64" s="214">
        <f t="shared" si="26"/>
        <v>24208</v>
      </c>
      <c r="AG64" s="214">
        <f t="shared" si="26"/>
        <v>19957</v>
      </c>
      <c r="AH64" s="214">
        <f t="shared" si="26"/>
        <v>18488</v>
      </c>
      <c r="AI64" s="214">
        <f t="shared" si="26"/>
        <v>17088</v>
      </c>
      <c r="AJ64" s="214">
        <f t="shared" si="26"/>
        <v>16088</v>
      </c>
      <c r="AK64" s="214">
        <f t="shared" si="26"/>
        <v>13295</v>
      </c>
      <c r="AL64" s="214">
        <f t="shared" si="26"/>
        <v>12295</v>
      </c>
      <c r="AM64" s="214">
        <f t="shared" si="26"/>
        <v>12295</v>
      </c>
      <c r="AN64" s="214">
        <f t="shared" si="26"/>
        <v>11349</v>
      </c>
      <c r="AO64" s="214">
        <f t="shared" si="26"/>
        <v>11349</v>
      </c>
    </row>
    <row r="65" spans="2:41" s="204" customFormat="1" outlineLevel="1">
      <c r="B65" s="214" t="s">
        <v>505</v>
      </c>
      <c r="C65" s="202"/>
      <c r="D65" s="216">
        <f>+BS!C28+BS!C29+BS!C23+BS!C22</f>
        <v>181.24199999999999</v>
      </c>
      <c r="E65" s="216">
        <f>+BS!D28+BS!D29+BS!D23+BS!D22</f>
        <v>183.4</v>
      </c>
      <c r="F65" s="216">
        <f>+BS!E28+BS!E29+BS!E23+BS!E22</f>
        <v>177.2</v>
      </c>
      <c r="G65" s="216">
        <f>+BS!F28+BS!F29+BS!F23+BS!F22</f>
        <v>177.2</v>
      </c>
      <c r="H65" s="216">
        <f>+BS!G28+BS!G29+BS!G23+BS!G22</f>
        <v>259</v>
      </c>
      <c r="I65" s="216">
        <f>+BS!H28+BS!H29+BS!H23+BS!H22</f>
        <v>229</v>
      </c>
      <c r="J65" s="216">
        <f>+BS!I28+BS!I29+BS!I23+BS!I22</f>
        <v>223</v>
      </c>
      <c r="K65" s="216">
        <f>+BS!J28+BS!J29+BS!J23+BS!J22</f>
        <v>223</v>
      </c>
      <c r="L65" s="216">
        <f>+BS!K28+BS!K29+BS!K23+BS!K22</f>
        <v>223</v>
      </c>
      <c r="M65" s="216">
        <f>+BS!L28+BS!L29+BS!L23+BS!L22</f>
        <v>3170.6</v>
      </c>
      <c r="N65" s="216">
        <f>+BS!M28+BS!M29+BS!M23+BS!M22</f>
        <v>3080</v>
      </c>
      <c r="O65" s="216">
        <f>+BS!N28+BS!N29+BS!N23+BS!N22</f>
        <v>5110</v>
      </c>
      <c r="P65" s="216">
        <f>+BS!O28+BS!O29+BS!O23+BS!O22</f>
        <v>3957</v>
      </c>
      <c r="Q65" s="216">
        <f>+BS!P28+BS!P29+BS!P23+BS!P22</f>
        <v>9012</v>
      </c>
      <c r="R65" s="216">
        <f>+BS!Q28+BS!Q29+BS!Q23+BS!Q22</f>
        <v>11177</v>
      </c>
      <c r="S65" s="216">
        <f>+BS!R28+BS!R29+BS!R23+BS!R22</f>
        <v>9352</v>
      </c>
      <c r="T65" s="560">
        <f>+BS!S28+BS!S29+BS!S23+BS!S22</f>
        <v>10601</v>
      </c>
      <c r="U65" s="560">
        <f>+BS!T28+BS!T29+BS!T23+BS!T22</f>
        <v>13362</v>
      </c>
      <c r="V65" s="560">
        <f>+BS!U28+BS!U29+BS!U23+BS!U22</f>
        <v>21428</v>
      </c>
      <c r="W65" s="560">
        <f>+BS!V28+BS!V29+BS!V23+BS!V22</f>
        <v>26529</v>
      </c>
      <c r="X65" s="560">
        <f>+BS!W28+BS!W29+BS!W23+BS!W22</f>
        <v>32128</v>
      </c>
      <c r="Y65" s="560">
        <f>+BS!X28+BS!X29+BS!X23+BS!X22</f>
        <v>30715</v>
      </c>
      <c r="Z65" s="560">
        <f>+BS!Y28+BS!Y29+BS!Y23+BS!Y22</f>
        <v>31556</v>
      </c>
      <c r="AA65" s="560">
        <f>+BS!Z28+BS!Z29+BS!Z23+BS!Z22</f>
        <v>34596</v>
      </c>
      <c r="AB65" s="560">
        <f>+BS!AA28+BS!AA29+BS!AA23+BS!AA22</f>
        <v>35342</v>
      </c>
      <c r="AC65" s="560">
        <f>+BS!AB28+BS!AB29+BS!AB23+BS!AB22</f>
        <v>35118</v>
      </c>
      <c r="AD65" s="560">
        <f>+BS!AC28+BS!AC29+BS!AC23+BS!AC22</f>
        <v>30658</v>
      </c>
      <c r="AE65" s="560">
        <f>+BS!AD28+BS!AD29+BS!AD23+BS!AD22</f>
        <v>27708</v>
      </c>
      <c r="AF65" s="214">
        <f>+BS!AE28+BS!AE29+BS!AE23+BS!AE22</f>
        <v>24208</v>
      </c>
      <c r="AG65" s="214">
        <f>+BS!AF28+BS!AF29+BS!AF23+BS!AF22</f>
        <v>19957</v>
      </c>
      <c r="AH65" s="214">
        <f>+BS!AG28+BS!AG29+BS!AG23+BS!AG22</f>
        <v>18488</v>
      </c>
      <c r="AI65" s="214">
        <f>+BS!AH28+BS!AH29+BS!AH23+BS!AH22</f>
        <v>17088</v>
      </c>
      <c r="AJ65" s="214">
        <f>+BS!AI28+BS!AI29+BS!AI23+BS!AI22</f>
        <v>16088</v>
      </c>
      <c r="AK65" s="214">
        <f>+BS!AJ28+BS!AJ29+BS!AJ23+BS!AJ22</f>
        <v>13295</v>
      </c>
      <c r="AL65" s="214">
        <f>+BS!AK28+BS!AK29+BS!AK23+BS!AK22</f>
        <v>12295</v>
      </c>
      <c r="AM65" s="214">
        <f>+BS!AL28+BS!AL29+BS!AL23+BS!AL22</f>
        <v>12295</v>
      </c>
      <c r="AN65" s="214">
        <f>+BS!AM28+BS!AM29+BS!AM23+BS!AM22</f>
        <v>11349</v>
      </c>
      <c r="AO65" s="214">
        <f>+BS!AN28+BS!AN29+BS!AN23+BS!AN22</f>
        <v>11349</v>
      </c>
    </row>
    <row r="66" spans="2:41" s="204" customFormat="1" outlineLevel="1">
      <c r="B66" s="211" t="s">
        <v>188</v>
      </c>
      <c r="C66" s="202"/>
      <c r="D66" s="217">
        <f t="shared" ref="D66:AO66" si="27">D64-D65</f>
        <v>0</v>
      </c>
      <c r="E66" s="217">
        <f t="shared" si="27"/>
        <v>0</v>
      </c>
      <c r="F66" s="217">
        <f t="shared" si="27"/>
        <v>0</v>
      </c>
      <c r="G66" s="217">
        <f t="shared" si="27"/>
        <v>0</v>
      </c>
      <c r="H66" s="217">
        <f t="shared" si="27"/>
        <v>0</v>
      </c>
      <c r="I66" s="217">
        <f t="shared" si="27"/>
        <v>0</v>
      </c>
      <c r="J66" s="217">
        <f t="shared" si="27"/>
        <v>0</v>
      </c>
      <c r="K66" s="217">
        <f t="shared" si="27"/>
        <v>0</v>
      </c>
      <c r="L66" s="217">
        <f t="shared" si="27"/>
        <v>0</v>
      </c>
      <c r="M66" s="217">
        <f t="shared" si="27"/>
        <v>-0.59999999999990905</v>
      </c>
      <c r="N66" s="218">
        <f t="shared" si="27"/>
        <v>0</v>
      </c>
      <c r="O66" s="218">
        <f t="shared" si="27"/>
        <v>-998</v>
      </c>
      <c r="P66" s="218">
        <f t="shared" si="27"/>
        <v>-998</v>
      </c>
      <c r="Q66" s="218">
        <f t="shared" si="27"/>
        <v>-999</v>
      </c>
      <c r="R66" s="218">
        <f t="shared" si="27"/>
        <v>-2999</v>
      </c>
      <c r="S66" s="218">
        <f t="shared" si="27"/>
        <v>-1000</v>
      </c>
      <c r="T66" s="559">
        <f t="shared" si="27"/>
        <v>0</v>
      </c>
      <c r="U66" s="559">
        <f t="shared" si="27"/>
        <v>0</v>
      </c>
      <c r="V66" s="559">
        <f t="shared" si="27"/>
        <v>0</v>
      </c>
      <c r="W66" s="559">
        <f t="shared" si="27"/>
        <v>0</v>
      </c>
      <c r="X66" s="559">
        <f t="shared" si="27"/>
        <v>0</v>
      </c>
      <c r="Y66" s="559">
        <f t="shared" si="27"/>
        <v>0</v>
      </c>
      <c r="Z66" s="559">
        <f t="shared" si="27"/>
        <v>0</v>
      </c>
      <c r="AA66" s="559">
        <f t="shared" si="27"/>
        <v>0</v>
      </c>
      <c r="AB66" s="559">
        <f t="shared" si="27"/>
        <v>0</v>
      </c>
      <c r="AC66" s="559">
        <f t="shared" si="27"/>
        <v>0</v>
      </c>
      <c r="AD66" s="559">
        <f t="shared" si="27"/>
        <v>0</v>
      </c>
      <c r="AE66" s="559">
        <f t="shared" si="27"/>
        <v>0</v>
      </c>
      <c r="AF66" s="204">
        <f t="shared" si="27"/>
        <v>0</v>
      </c>
      <c r="AG66" s="204">
        <f t="shared" si="27"/>
        <v>0</v>
      </c>
      <c r="AH66" s="204">
        <f t="shared" si="27"/>
        <v>0</v>
      </c>
      <c r="AI66" s="204">
        <f t="shared" si="27"/>
        <v>0</v>
      </c>
      <c r="AJ66" s="204">
        <f t="shared" si="27"/>
        <v>0</v>
      </c>
      <c r="AK66" s="204">
        <f t="shared" si="27"/>
        <v>0</v>
      </c>
      <c r="AL66" s="204">
        <f t="shared" si="27"/>
        <v>0</v>
      </c>
      <c r="AM66" s="204">
        <f t="shared" si="27"/>
        <v>0</v>
      </c>
      <c r="AN66" s="204">
        <f t="shared" si="27"/>
        <v>0</v>
      </c>
      <c r="AO66" s="204">
        <f t="shared" si="27"/>
        <v>0</v>
      </c>
    </row>
    <row r="67" spans="2:41" s="214" customFormat="1" outlineLevel="1">
      <c r="B67" s="211" t="s">
        <v>506</v>
      </c>
      <c r="C67" s="219"/>
      <c r="D67" s="215"/>
      <c r="E67" s="215"/>
      <c r="F67" s="215"/>
      <c r="G67" s="215"/>
      <c r="H67" s="215"/>
      <c r="I67" s="215"/>
      <c r="J67" s="215"/>
      <c r="K67" s="215"/>
      <c r="L67" s="215"/>
      <c r="M67" s="215"/>
      <c r="N67" s="215"/>
      <c r="O67" s="215"/>
      <c r="P67" s="215"/>
      <c r="Q67" s="215"/>
      <c r="R67" s="215"/>
      <c r="S67" s="215"/>
      <c r="T67" s="560"/>
      <c r="U67" s="563">
        <f>U64/IS!BD112</f>
        <v>1.8643784010046045</v>
      </c>
      <c r="V67" s="563">
        <f>V64/IS!BI112</f>
        <v>3.175930042982066</v>
      </c>
      <c r="W67" s="563">
        <f>W64/IS!BN112</f>
        <v>3.4883629191321499</v>
      </c>
      <c r="X67" s="563">
        <f>X64/IS!BS112</f>
        <v>3.8905303947687093</v>
      </c>
      <c r="Y67" s="563">
        <f>Y64/IS!BX112</f>
        <v>2.9066906406737956</v>
      </c>
      <c r="Z67" s="563">
        <f>Z64/IS!CC112</f>
        <v>2.5950657894736842</v>
      </c>
      <c r="AA67" s="563">
        <f>AA64/IS!CH112</f>
        <v>2.5530219172016824</v>
      </c>
      <c r="AB67" s="563">
        <f>AB64/IS!CM112</f>
        <v>2.5961948137809445</v>
      </c>
      <c r="AC67" s="563">
        <f>AC64/IS!CR112</f>
        <v>2.537284808771501</v>
      </c>
      <c r="AD67" s="563">
        <f>AD64/IS!CW112</f>
        <v>2.2501664914419304</v>
      </c>
      <c r="AE67" s="563">
        <f>AE64/IS!DB112</f>
        <v>2.0193498631710716</v>
      </c>
      <c r="AF67" s="563">
        <f>AF64/IS!DG112</f>
        <v>1.7754662911762642</v>
      </c>
      <c r="AG67" s="563">
        <f>AG64/IS!DL112</f>
        <v>1.3879298335978354</v>
      </c>
      <c r="AH67" s="563">
        <f>AH64/IS!DQ112</f>
        <v>1.2780868205455618</v>
      </c>
      <c r="AI67" s="563">
        <f>AI64/IS!DV112</f>
        <v>1.199522072347698</v>
      </c>
      <c r="AJ67" s="563">
        <f>AJ64/IS!EA112</f>
        <v>1.1025099116706643</v>
      </c>
      <c r="AK67" s="563">
        <f>AK64/IS!EF112</f>
        <v>0.92192708160229797</v>
      </c>
      <c r="AL67" s="563">
        <f>AL64/IS!EK112</f>
        <v>0.85508445096087549</v>
      </c>
      <c r="AM67" s="563">
        <f>AM64/IS!EP112</f>
        <v>0.94974468252495081</v>
      </c>
      <c r="AN67" s="563">
        <f>AN64/IS!EU112</f>
        <v>0.91994012362498268</v>
      </c>
      <c r="AO67" s="563">
        <f>AO64/IS!EZ112</f>
        <v>0.93844658016169014</v>
      </c>
    </row>
    <row r="68" spans="2:41" s="214" customFormat="1">
      <c r="B68" s="211"/>
      <c r="C68" s="219"/>
      <c r="D68" s="215"/>
      <c r="E68" s="215"/>
      <c r="F68" s="215"/>
      <c r="G68" s="215"/>
      <c r="H68" s="215"/>
      <c r="I68" s="215"/>
      <c r="J68" s="215"/>
      <c r="K68" s="215"/>
      <c r="L68" s="215"/>
      <c r="M68" s="215"/>
      <c r="N68" s="215"/>
      <c r="O68" s="215"/>
      <c r="P68" s="215"/>
      <c r="Q68" s="215"/>
      <c r="R68" s="215"/>
      <c r="S68" s="215"/>
      <c r="T68" s="560"/>
      <c r="U68" s="560"/>
      <c r="V68" s="560"/>
      <c r="W68" s="560"/>
      <c r="X68" s="560"/>
      <c r="Y68" s="560"/>
      <c r="Z68" s="560"/>
      <c r="AA68" s="560"/>
      <c r="AB68" s="560"/>
      <c r="AC68" s="560"/>
      <c r="AD68" s="560"/>
      <c r="AE68" s="560"/>
    </row>
    <row r="69" spans="2:41" s="204" customFormat="1">
      <c r="B69" s="206" t="s">
        <v>507</v>
      </c>
      <c r="C69" s="202"/>
      <c r="D69" s="203"/>
      <c r="E69" s="203"/>
      <c r="F69" s="203"/>
      <c r="G69" s="203"/>
      <c r="H69" s="203"/>
      <c r="I69" s="203"/>
      <c r="J69" s="203"/>
      <c r="K69" s="203"/>
      <c r="L69" s="203"/>
      <c r="M69" s="203"/>
      <c r="N69" s="203"/>
      <c r="O69" s="203"/>
      <c r="P69" s="203"/>
      <c r="Q69" s="203"/>
      <c r="R69" s="203"/>
      <c r="S69" s="203"/>
      <c r="T69" s="559"/>
      <c r="U69" s="559"/>
      <c r="V69" s="559"/>
      <c r="W69" s="559"/>
      <c r="X69" s="559"/>
      <c r="Y69" s="559"/>
      <c r="Z69" s="559"/>
      <c r="AA69" s="559"/>
      <c r="AB69" s="558"/>
      <c r="AC69" s="558"/>
      <c r="AD69" s="558"/>
      <c r="AE69" s="558"/>
    </row>
    <row r="70" spans="2:41" s="204" customFormat="1" hidden="1" outlineLevel="1">
      <c r="B70" s="211"/>
      <c r="C70" s="202"/>
      <c r="D70" s="203"/>
      <c r="E70" s="203"/>
      <c r="F70" s="203"/>
      <c r="G70" s="203"/>
      <c r="H70" s="203"/>
      <c r="I70" s="203"/>
      <c r="J70" s="203"/>
      <c r="K70" s="203"/>
      <c r="L70" s="203"/>
      <c r="M70" s="203"/>
      <c r="N70" s="203"/>
      <c r="O70" s="203"/>
      <c r="P70" s="203"/>
      <c r="Q70" s="203"/>
      <c r="R70" s="203"/>
      <c r="S70" s="203"/>
      <c r="T70" s="559"/>
      <c r="U70" s="559"/>
      <c r="V70" s="559"/>
      <c r="W70" s="559"/>
      <c r="X70" s="559"/>
      <c r="Y70" s="559"/>
      <c r="Z70" s="559"/>
      <c r="AA70" s="559"/>
      <c r="AB70" s="558"/>
      <c r="AC70" s="558"/>
      <c r="AD70" s="558"/>
      <c r="AE70" s="558"/>
    </row>
    <row r="71" spans="2:41" s="204" customFormat="1" hidden="1" outlineLevel="1">
      <c r="B71" s="211" t="s">
        <v>359</v>
      </c>
      <c r="C71" s="202"/>
      <c r="D71" s="203"/>
      <c r="E71" s="203"/>
      <c r="F71" s="203"/>
      <c r="G71" s="203"/>
      <c r="H71" s="203"/>
      <c r="I71" s="203"/>
      <c r="J71" s="203"/>
      <c r="K71" s="203"/>
      <c r="L71" s="203"/>
      <c r="M71" s="203"/>
      <c r="N71" s="203"/>
      <c r="O71" s="203"/>
      <c r="P71" s="203"/>
      <c r="Q71" s="203"/>
      <c r="R71" s="203"/>
      <c r="S71" s="203"/>
      <c r="T71" s="559"/>
      <c r="U71" s="559"/>
      <c r="V71" s="559"/>
      <c r="W71" s="559">
        <f t="shared" ref="W71:AO71" si="28">SUM(IF($C7-W1=1,W$7,0),IF($C8-W1=1,W$8,0))</f>
        <v>2488</v>
      </c>
      <c r="X71" s="559">
        <f t="shared" si="28"/>
        <v>0</v>
      </c>
      <c r="Y71" s="559">
        <f t="shared" si="28"/>
        <v>0</v>
      </c>
      <c r="Z71" s="559">
        <f t="shared" si="28"/>
        <v>0</v>
      </c>
      <c r="AA71" s="559">
        <f t="shared" si="28"/>
        <v>0</v>
      </c>
      <c r="AB71" s="559">
        <f t="shared" si="28"/>
        <v>0</v>
      </c>
      <c r="AC71" s="559">
        <f t="shared" si="28"/>
        <v>0</v>
      </c>
      <c r="AD71" s="559">
        <f t="shared" si="28"/>
        <v>0</v>
      </c>
      <c r="AE71" s="559">
        <f t="shared" si="28"/>
        <v>0</v>
      </c>
      <c r="AF71" s="204">
        <f t="shared" si="28"/>
        <v>0</v>
      </c>
      <c r="AG71" s="204">
        <f t="shared" si="28"/>
        <v>0</v>
      </c>
      <c r="AH71" s="204">
        <f t="shared" si="28"/>
        <v>0</v>
      </c>
      <c r="AI71" s="204">
        <f t="shared" si="28"/>
        <v>0</v>
      </c>
      <c r="AJ71" s="204">
        <f t="shared" si="28"/>
        <v>0</v>
      </c>
      <c r="AK71" s="204">
        <f t="shared" si="28"/>
        <v>0</v>
      </c>
      <c r="AL71" s="204">
        <f t="shared" si="28"/>
        <v>0</v>
      </c>
      <c r="AM71" s="204">
        <f t="shared" si="28"/>
        <v>0</v>
      </c>
      <c r="AN71" s="204">
        <f t="shared" si="28"/>
        <v>0</v>
      </c>
      <c r="AO71" s="204">
        <f t="shared" si="28"/>
        <v>0</v>
      </c>
    </row>
    <row r="72" spans="2:41" s="204" customFormat="1" hidden="1" outlineLevel="1">
      <c r="B72" s="211" t="s">
        <v>360</v>
      </c>
      <c r="C72" s="202"/>
      <c r="D72" s="203"/>
      <c r="E72" s="203"/>
      <c r="F72" s="203"/>
      <c r="G72" s="203"/>
      <c r="H72" s="203"/>
      <c r="I72" s="203"/>
      <c r="J72" s="203"/>
      <c r="K72" s="203"/>
      <c r="L72" s="203"/>
      <c r="M72" s="203"/>
      <c r="N72" s="203"/>
      <c r="O72" s="203"/>
      <c r="P72" s="203"/>
      <c r="Q72" s="203"/>
      <c r="R72" s="203"/>
      <c r="S72" s="203"/>
      <c r="T72" s="559"/>
      <c r="U72" s="559"/>
      <c r="V72" s="559"/>
      <c r="W72" s="559">
        <f>SUM(IF($C17-W1=1,W$17,0),IF($C10-W$1=1,W10,0),IF($C24-W$1=1,W24,0),IF($C51-W$1=1,W51,0),IF($C49-W$1=1,W49,0),IF($C28-W$1=1,W28,0),IF($C52-W$1=1,W52,0),IF($C53-W$1=1,W53,0),IF($C18-W$1=1,W18,0),IF($C50-W$1=1,W50,0),IF($C27-W$1=1,W27,0),IF($C48-W$1=1,W48,0),IF($C60-W$1=1,W60,0),IF($C6-W$1=1,W6,0),IF($C5-W$1=1,W5,0),IF($C20-W$1=1,W20,0),IF($C61-W$1=1,W61,0),IF($C55-W$1=1,W55,0),IF($C32-W$1=1,W32,0),IF($C11-W$1=1,W11,0),IF($C9-W$1=1,W9,0),IF($C12-W$1=1,W12,0),IF($C33-W$1=1,W33,0),IF($C54-W$1=1,W54,0),IF($C21-W$1=1,W21,0),IF($C44-W$1=1,W44,0),IF($C16-W$1=1,W16,0),IF($C35-W$1=1,W35,0),IF($C56-W$1=1,W56,0),IF($C19-W$1=1,W19,0))+IF($C26-W$1=1,W26,0)+IF($C47-W$1=1,W47,0)</f>
        <v>0</v>
      </c>
      <c r="X72" s="559">
        <f>SUM(IF($C17-X1=1,X$17,0),IF($C10-X$1=1,X10,0),IF($C24-X$1=1,X24,0),IF($C51-X$1=1,X51,0),IF($C49-X$1=1,X49,0),IF($C28-X$1=1,X28,0),IF($C52-X$1=1,X52,0),IF($C53-X$1=1,X53,0),IF($C18-X$1=1,X18,0),IF($C50-X$1=1,X50,0),IF($C27-X$1=1,X27,0),IF($C48-X$1=1,X48,0),IF($C60-X$1=1,X60,0),IF($C6-X$1=1,X6,0),IF($C5-X$1=1,X5,0),IF($C20-X$1=1,X20,0),IF($C61-X$1=1,X61,0),IF($C55-X$1=1,X55,0),IF($C32-X$1=1,X32,0),IF($C11-X$1=1,X11,0),IF($C9-X$1=1,X9,0),IF($C12-X$1=1,X12,0),IF($C33-X$1=1,X33,0),IF($C54-X$1=1,X54,0),IF($C21-X$1=1,X21,0),IF($C44-X$1=1,X44,0),IF($C16-X$1=1,X16,0),IF($C35-X$1=1,X35,0),IF($C56-X$1=1,X56,0),IF($C19-X$1=1,X19,0))+IF($C26-X$1=1,X26,0)+IF($C47-X$1=1,X47,0)</f>
        <v>2000</v>
      </c>
      <c r="Y72" s="559">
        <f>SUM(IF($C17-Y1=1,Y$17,0),IF($C10-Y$1=1,Y10,0),IF($C24-Y$1=1,Y24,0),IF($C51-Y$1=1,Y51,0),IF($C49-Y$1=1,Y49,0),IF($C28-Y$1=1,Y28,0),IF($C52-Y$1=1,Y52,0),IF($C53-Y$1=1,Y53,0),IF($C18-Y$1=1,Y18,0),IF($C50-Y$1=1,Y50,0),IF($C27-Y$1=1,Y27,0),IF($C48-Y$1=1,Y48,0),IF($C60-Y$1=1,Y60,0),IF($C6-Y$1=1,Y6,0),IF($C5-Y$1=1,Y5,0),IF($C20-Y$1=1,Y20,0),IF($C61-Y$1=1,Y61,0),IF($C55-Y$1=1,Y55,0),IF($C32-Y$1=1,Y32,0),IF($C11-Y$1=1,Y11,0),IF($C9-Y$1=1,Y9,0),IF($C12-Y$1=1,Y12,0),IF($C33-Y$1=1,Y33,0),IF($C54-Y$1=1,Y54,0),IF($C21-Y$1=1,Y21,0),IF($C44-Y$1=1,Y44,0),IF($C16-Y$1=1,Y16,0),IF($C35-Y$1=1,Y35,0),IF($C56-Y$1=1,Y56,0),IF($C19-Y$1=1,Y19,0))+IF($C26-Y$1=1,Y26,0)+IF($C47-Y$1=1,Y47,0)</f>
        <v>0</v>
      </c>
      <c r="Z72" s="559">
        <f>SUM(IF($C17-Z1=1,Z$17,0),IF($C10-Z$1=1,Z10,0),IF($C24-Z$1=1,Z24,0),IF($C51-Z$1=1,Z51,0),IF($C49-Z$1=1,Z49,0),IF($C28-Z$1=1,Z28,0),IF($C52-Z$1=1,Z52,0),IF($C53-Z$1=1,Z53,0),IF($C18-Z$1=1,Z18,0),IF($C50-Z$1=1,Z50,0),IF($C27-Z$1=1,Z27,0),IF($C48-Z$1=1,Z48,0),IF($C60-Z$1=1,Z60,0),IF($C6-Z$1=1,Z6,0),IF($C5-Z$1=1,Z5,0),IF($C20-Z$1=1,Z20,0),IF($C61-Z$1=1,Z61,0),IF($C55-Z$1=1,Z55,0),IF($C32-Z$1=1,Z32,0),IF($C11-Z$1=1,Z11,0),IF($C9-Z$1=1,Z9,0),IF($C12-Z$1=1,Z12,0),IF($C33-Z$1=1,Z33,0),IF($C54-Z$1=1,Z54,0),IF($C21-Z$1=1,Z21,0),IF($C44-Z$1=1,Z44,0),IF($C16-Z$1=1,Z16,0),IF($C35-Z$1=1,Z35,0),IF($C56-Z$1=1,Z56,0),IF($C19-Z$1=1,Z19,0))+IF($C26-Z$1=1,Z26,0)+IF($C47-Z$1=1,Z47,0)</f>
        <v>1750</v>
      </c>
      <c r="AA72" s="559">
        <f>SUM(IF($C17-AA1=1,AA$17,0),IF($C10-AA$1=1,AA10,0),IF($C24-AA$1=1,AA24,0),IF($C51-AA$1=1,AA51,0),IF($C49-AA$1=1,AA49,0),IF($C28-AA$1=1,AA28,0),IF($C52-AA$1=1,AA52,0),IF($C53-AA$1=1,AA53,0),IF($C18-AA$1=1,AA18,0),IF($C50-AA$1=1,AA50,0),IF($C27-AA$1=1,AA27,0),IF($C48-AA$1=1,AA48,0),IF($C60-AA$1=1,AA60,0),IF($C6-AA$1=1,AA6,0),IF($C5-AA$1=1,AA5,0),IF($C20-AA$1=1,AA20,0),IF($C61-AA$1=1,AA61,0),IF($C55-AA$1=1,AA55,0),IF($C32-AA$1=1,AA32,0),IF($C11-AA$1=1,AA11,0),IF($C9-AA$1=1,AA9,0),IF($C12-AA$1=1,AA12,0),IF($C33-AA$1=1,AA33,0),IF($C54-AA$1=1,AA54,0),IF($C21-AA$1=1,AA21,0),IF($C44-AA$1=1,AA44,0),IF($C16-AA$1=1,AA16,0),IF($C35-AA$1=1,AA35,0),IF($C56-AA$1=1,AA56,0),IF($C19-AA$1=1,AA19,0))+IF($C26-AA$1=1,AA26,0)+IF($C47-AA$1=1,AA47,0)+IF($C14-AA$1=1,AA14,0)+IF($C15-AA$1=1,AA15,0)+IF($C22-AA$1=1,AA22,0)+IF($C23-AA$1=1,AA23,0)+IF($C29-AA$1=1,AA29,0)+IF($C36-AA$1=1,AA36,0)+IF($C41-AA$1=1,AA41,0)+IF($C42-AA$1=1,AA42,0)+IF($C57-AA$1=1,AA57,0)+IF($C58-AA$1=1,AA58,0)+IF($C59-AA$1=1,AA59,0)+IF($C37-AA$1=1,AA37,0)+IF($C39-AA$1=1,AA39,0)+IF($C43-AA$1=1,AA43,0)+IF($C34-AA$1=1,AA34,0)+IF($C40-AA$1=1,AA40,0)+IF($C45-AA$1=1,AA45,0)+IF($C13-AA$1=1,AA13,0)</f>
        <v>4405</v>
      </c>
      <c r="AB72" s="559">
        <f t="shared" ref="AB72:AO72" si="29">SUM(IF($C17-AB1=1,AB$17,0),IF($C10-AB$1=1,AB10,0),IF($C24-AB$1=1,AB24,0),IF($C51-AB$1=1,AB51,0),IF($C49-AB$1=1,AB49,0),IF($C28-AB$1=1,AB28,0),IF($C52-AB$1=1,AB52,0),IF($C53-AB$1=1,AB53,0),IF($C18-AB$1=1,AB18,0),IF($C50-AB$1=1,AB50,0),IF($C27-AB$1=1,AB27,0),IF($C48-AB$1=1,AB48,0),IF($C60-AB$1=1,AB60,0),IF($C6-AB$1=1,AB6,0),IF($C5-AB$1=1,AB5,0),IF($C20-AB$1=1,AB20,0),IF($C61-AB$1=1,AB61,0),IF($C55-AB$1=1,AB55,0),IF($C32-AB$1=1,AB32,0),IF($C11-AB$1=1,AB11,0),IF($C9-AB$1=1,AB9,0),IF($C12-AB$1=1,AB12,0),IF($C33-AB$1=1,AB33,0),IF($C54-AB$1=1,AB54,0),IF($C21-AB$1=1,AB21,0),IF($C44-AB$1=1,AB44,0),IF($C16-AB$1=1,AB16,0),IF($C35-AB$1=1,AB35,0),IF($C56-AB$1=1,AB56,0),IF($C19-AB$1=1,AB19,0))+IF($C26-AB$1=1,AB26,0)+IF($C47-AB$1=1,AB47,0)+IF($C14-AB$1=1,AB14,0)+IF($C15-AB$1=1,AB15,0)+IF($C22-AB$1=1,AB22,0)+IF($C23-AB$1=1,AB23,0)+IF($C29-AB$1=1,AB29,0)+IF($C36-AB$1=1,AB36,0)+IF($C41-AB$1=1,AB41,0)+IF($C42-AB$1=1,AB42,0)+IF($C57-AB$1=1,AB57,0)+IF($C58-AB$1=1,AB58,0)+IF($C59-AB$1=1,AB59,0)+IF($C37-AB$1=1,AB37,0)+IF($C39-AB$1=1,AB39,0)+IF($C43-AB$1=1,AB43,0)+IF($C34-AB$1=1,AB34,0)+IF($C40-AB$1=1,AB40,0)+IF($C45-AB$1=1,AB45,0)</f>
        <v>1153</v>
      </c>
      <c r="AC72" s="559">
        <f t="shared" si="29"/>
        <v>3760</v>
      </c>
      <c r="AD72" s="559">
        <f t="shared" si="29"/>
        <v>1950</v>
      </c>
      <c r="AE72" s="559">
        <f t="shared" si="29"/>
        <v>3500</v>
      </c>
      <c r="AF72" s="204">
        <f t="shared" si="29"/>
        <v>2751</v>
      </c>
      <c r="AG72" s="204">
        <f t="shared" si="29"/>
        <v>1469</v>
      </c>
      <c r="AH72" s="204">
        <f t="shared" si="29"/>
        <v>1400</v>
      </c>
      <c r="AI72" s="204">
        <f t="shared" si="29"/>
        <v>1000</v>
      </c>
      <c r="AJ72" s="204">
        <f t="shared" si="29"/>
        <v>2793</v>
      </c>
      <c r="AK72" s="204">
        <f t="shared" si="29"/>
        <v>0</v>
      </c>
      <c r="AL72" s="204">
        <f t="shared" si="29"/>
        <v>0</v>
      </c>
      <c r="AM72" s="204">
        <f t="shared" si="29"/>
        <v>946</v>
      </c>
      <c r="AN72" s="204">
        <f t="shared" si="29"/>
        <v>0</v>
      </c>
      <c r="AO72" s="204">
        <f t="shared" si="29"/>
        <v>0</v>
      </c>
    </row>
    <row r="73" spans="2:41" s="204" customFormat="1" hidden="1" outlineLevel="1">
      <c r="B73" s="211" t="s">
        <v>508</v>
      </c>
      <c r="C73" s="202"/>
      <c r="D73" s="203"/>
      <c r="E73" s="203"/>
      <c r="F73" s="203"/>
      <c r="G73" s="203"/>
      <c r="H73" s="203"/>
      <c r="I73" s="203"/>
      <c r="J73" s="203"/>
      <c r="K73" s="203"/>
      <c r="L73" s="203"/>
      <c r="M73" s="203"/>
      <c r="N73" s="203"/>
      <c r="O73" s="203"/>
      <c r="P73" s="203"/>
      <c r="Q73" s="203"/>
      <c r="R73" s="203"/>
      <c r="S73" s="203"/>
      <c r="T73" s="559"/>
      <c r="U73" s="559"/>
      <c r="V73" s="559"/>
      <c r="W73" s="559">
        <f t="shared" ref="W73:AO73" si="30">+SUM(W7:W8)-W71</f>
        <v>0</v>
      </c>
      <c r="X73" s="559">
        <f t="shared" si="30"/>
        <v>0</v>
      </c>
      <c r="Y73" s="559">
        <f t="shared" si="30"/>
        <v>0</v>
      </c>
      <c r="Z73" s="559">
        <f t="shared" si="30"/>
        <v>0</v>
      </c>
      <c r="AA73" s="559">
        <f t="shared" si="30"/>
        <v>0</v>
      </c>
      <c r="AB73" s="559">
        <f t="shared" si="30"/>
        <v>0</v>
      </c>
      <c r="AC73" s="559">
        <f t="shared" si="30"/>
        <v>0</v>
      </c>
      <c r="AD73" s="559">
        <f t="shared" si="30"/>
        <v>0</v>
      </c>
      <c r="AE73" s="559">
        <f t="shared" si="30"/>
        <v>0</v>
      </c>
      <c r="AF73" s="204">
        <f t="shared" si="30"/>
        <v>0</v>
      </c>
      <c r="AG73" s="204">
        <f t="shared" si="30"/>
        <v>0</v>
      </c>
      <c r="AH73" s="204">
        <f t="shared" si="30"/>
        <v>0</v>
      </c>
      <c r="AI73" s="204">
        <f t="shared" si="30"/>
        <v>0</v>
      </c>
      <c r="AJ73" s="204">
        <f t="shared" si="30"/>
        <v>0</v>
      </c>
      <c r="AK73" s="204">
        <f t="shared" si="30"/>
        <v>0</v>
      </c>
      <c r="AL73" s="204">
        <f t="shared" si="30"/>
        <v>0</v>
      </c>
      <c r="AM73" s="204">
        <f t="shared" si="30"/>
        <v>0</v>
      </c>
      <c r="AN73" s="204">
        <f t="shared" si="30"/>
        <v>0</v>
      </c>
      <c r="AO73" s="204">
        <f t="shared" si="30"/>
        <v>0</v>
      </c>
    </row>
    <row r="74" spans="2:41" s="204" customFormat="1" hidden="1" outlineLevel="1">
      <c r="B74" s="211" t="s">
        <v>509</v>
      </c>
      <c r="C74" s="202"/>
      <c r="D74" s="203"/>
      <c r="E74" s="203"/>
      <c r="F74" s="203"/>
      <c r="G74" s="203"/>
      <c r="H74" s="203"/>
      <c r="I74" s="203"/>
      <c r="J74" s="203"/>
      <c r="K74" s="203"/>
      <c r="L74" s="203"/>
      <c r="M74" s="203"/>
      <c r="N74" s="203"/>
      <c r="O74" s="203"/>
      <c r="P74" s="203"/>
      <c r="Q74" s="203"/>
      <c r="R74" s="203"/>
      <c r="S74" s="203"/>
      <c r="T74" s="559"/>
      <c r="U74" s="559"/>
      <c r="V74" s="559"/>
      <c r="W74" s="559">
        <f>+SUM(W17:W61)-W72</f>
        <v>19045</v>
      </c>
      <c r="X74" s="559">
        <f t="shared" ref="X74:AA74" si="31">+SUM(X8:X61)-X72</f>
        <v>30128</v>
      </c>
      <c r="Y74" s="559">
        <f t="shared" si="31"/>
        <v>30715</v>
      </c>
      <c r="Z74" s="559">
        <f t="shared" si="31"/>
        <v>29806</v>
      </c>
      <c r="AA74" s="559">
        <f t="shared" si="31"/>
        <v>31127</v>
      </c>
      <c r="AB74" s="559">
        <f>+SUM(AB8:AB62)-AB72</f>
        <v>34189</v>
      </c>
      <c r="AC74" s="559">
        <f t="shared" ref="AC74:AO74" si="32">+SUM(AC8:AC62)-AC72</f>
        <v>31358</v>
      </c>
      <c r="AD74" s="559">
        <f t="shared" si="32"/>
        <v>28708</v>
      </c>
      <c r="AE74" s="559">
        <f t="shared" si="32"/>
        <v>24208</v>
      </c>
      <c r="AF74" s="204">
        <f t="shared" si="32"/>
        <v>21457</v>
      </c>
      <c r="AG74" s="204">
        <f t="shared" si="32"/>
        <v>18488</v>
      </c>
      <c r="AH74" s="204">
        <f t="shared" si="32"/>
        <v>17088</v>
      </c>
      <c r="AI74" s="204">
        <f t="shared" si="32"/>
        <v>16088</v>
      </c>
      <c r="AJ74" s="204">
        <f t="shared" si="32"/>
        <v>13295</v>
      </c>
      <c r="AK74" s="204">
        <f t="shared" si="32"/>
        <v>13295</v>
      </c>
      <c r="AL74" s="204">
        <f t="shared" si="32"/>
        <v>12295</v>
      </c>
      <c r="AM74" s="204">
        <f t="shared" si="32"/>
        <v>11349</v>
      </c>
      <c r="AN74" s="204">
        <f t="shared" si="32"/>
        <v>11349</v>
      </c>
      <c r="AO74" s="204">
        <f t="shared" si="32"/>
        <v>11349</v>
      </c>
    </row>
    <row r="75" spans="2:41" collapsed="1">
      <c r="B75" s="220"/>
      <c r="D75" s="221"/>
      <c r="E75" s="221"/>
      <c r="F75" s="221"/>
      <c r="G75" s="221"/>
      <c r="H75" s="221"/>
      <c r="I75" s="221"/>
      <c r="J75" s="221"/>
      <c r="K75" s="221"/>
      <c r="L75" s="221"/>
      <c r="M75" s="221"/>
      <c r="N75" s="221"/>
      <c r="O75" s="221"/>
      <c r="P75" s="221"/>
      <c r="Q75" s="221"/>
      <c r="R75" s="221"/>
      <c r="S75" s="221"/>
      <c r="T75" s="559"/>
      <c r="U75" s="559"/>
      <c r="V75" s="559"/>
      <c r="W75" s="559"/>
      <c r="X75" s="559"/>
      <c r="Y75" s="559"/>
      <c r="Z75" s="559"/>
      <c r="AA75" s="559"/>
    </row>
    <row r="76" spans="2:41" s="223" customFormat="1" collapsed="1">
      <c r="B76" s="220" t="s">
        <v>538</v>
      </c>
      <c r="C76" s="222"/>
      <c r="D76" s="222"/>
      <c r="E76" s="222"/>
      <c r="F76" s="222"/>
      <c r="G76" s="222"/>
      <c r="H76" s="222"/>
      <c r="I76" s="222"/>
      <c r="J76" s="222"/>
      <c r="K76" s="222"/>
      <c r="L76" s="222"/>
      <c r="M76" s="222"/>
      <c r="N76" s="222"/>
      <c r="O76" s="222"/>
      <c r="P76" s="222"/>
      <c r="Q76" s="222"/>
      <c r="R76" s="222"/>
      <c r="S76" s="222"/>
      <c r="T76" s="558"/>
      <c r="U76" s="558"/>
      <c r="V76" s="558"/>
      <c r="W76" s="558"/>
      <c r="X76" s="558"/>
      <c r="Y76" s="558"/>
      <c r="Z76" s="558"/>
      <c r="AA76" s="558"/>
      <c r="AB76" s="558"/>
      <c r="AC76" s="558"/>
      <c r="AD76" s="558"/>
      <c r="AE76" s="558"/>
    </row>
    <row r="77" spans="2:41" s="223" customFormat="1" outlineLevel="1">
      <c r="B77" s="224"/>
      <c r="C77" s="222"/>
      <c r="D77" s="222"/>
      <c r="E77" s="222"/>
      <c r="F77" s="222"/>
      <c r="G77" s="222"/>
      <c r="H77" s="222"/>
      <c r="I77" s="222"/>
      <c r="J77" s="222"/>
      <c r="K77" s="222"/>
      <c r="L77" s="222"/>
      <c r="M77" s="222"/>
      <c r="N77" s="222"/>
      <c r="O77" s="222"/>
      <c r="P77" s="222"/>
      <c r="Q77" s="222"/>
      <c r="R77" s="222"/>
      <c r="S77" s="222"/>
      <c r="T77" s="558"/>
      <c r="U77" s="558"/>
      <c r="V77" s="558"/>
      <c r="W77" s="558"/>
      <c r="X77" s="558"/>
      <c r="Y77" s="558"/>
      <c r="Z77" s="558"/>
      <c r="AA77" s="558"/>
      <c r="AB77" s="558"/>
      <c r="AC77" s="558"/>
      <c r="AD77" s="558"/>
      <c r="AE77" s="558"/>
    </row>
    <row r="78" spans="2:41" s="223" customFormat="1" outlineLevel="1">
      <c r="B78" s="224" t="s">
        <v>473</v>
      </c>
      <c r="C78" s="222"/>
      <c r="D78" s="202"/>
      <c r="E78" s="202">
        <f t="shared" ref="E78:AE78" si="33">E7-D7</f>
        <v>0</v>
      </c>
      <c r="F78" s="202">
        <f t="shared" si="33"/>
        <v>0</v>
      </c>
      <c r="G78" s="202">
        <f t="shared" si="33"/>
        <v>0</v>
      </c>
      <c r="H78" s="202">
        <f t="shared" si="33"/>
        <v>0</v>
      </c>
      <c r="I78" s="202">
        <f t="shared" si="33"/>
        <v>0</v>
      </c>
      <c r="J78" s="202">
        <f t="shared" si="33"/>
        <v>0</v>
      </c>
      <c r="K78" s="202">
        <f t="shared" si="33"/>
        <v>0</v>
      </c>
      <c r="L78" s="202">
        <f t="shared" si="33"/>
        <v>0</v>
      </c>
      <c r="M78" s="202">
        <f t="shared" si="33"/>
        <v>0</v>
      </c>
      <c r="N78" s="202">
        <f t="shared" si="33"/>
        <v>0</v>
      </c>
      <c r="O78" s="202">
        <f t="shared" si="33"/>
        <v>0</v>
      </c>
      <c r="P78" s="202">
        <f t="shared" si="33"/>
        <v>0</v>
      </c>
      <c r="Q78" s="202">
        <f t="shared" si="33"/>
        <v>2500</v>
      </c>
      <c r="R78" s="202">
        <f t="shared" si="33"/>
        <v>0</v>
      </c>
      <c r="S78" s="202">
        <f t="shared" si="33"/>
        <v>-294</v>
      </c>
      <c r="T78" s="558">
        <f t="shared" si="33"/>
        <v>136</v>
      </c>
      <c r="U78" s="558">
        <f t="shared" si="33"/>
        <v>146</v>
      </c>
      <c r="V78" s="558">
        <f t="shared" si="33"/>
        <v>-2488</v>
      </c>
      <c r="W78" s="558">
        <f t="shared" si="33"/>
        <v>0</v>
      </c>
      <c r="X78" s="558">
        <f t="shared" si="33"/>
        <v>0</v>
      </c>
      <c r="Y78" s="558">
        <f t="shared" si="33"/>
        <v>0</v>
      </c>
      <c r="Z78" s="558">
        <f t="shared" si="33"/>
        <v>0</v>
      </c>
      <c r="AA78" s="558">
        <f t="shared" si="33"/>
        <v>0</v>
      </c>
      <c r="AB78" s="558">
        <f t="shared" si="33"/>
        <v>0</v>
      </c>
      <c r="AC78" s="558">
        <f t="shared" si="33"/>
        <v>0</v>
      </c>
      <c r="AD78" s="558">
        <f t="shared" si="33"/>
        <v>0</v>
      </c>
      <c r="AE78" s="558">
        <f t="shared" si="33"/>
        <v>0</v>
      </c>
      <c r="AF78" s="558">
        <f t="shared" ref="AF78:AO78" si="34">AF7-AE7</f>
        <v>0</v>
      </c>
      <c r="AG78" s="558">
        <f t="shared" si="34"/>
        <v>0</v>
      </c>
      <c r="AH78" s="558">
        <f t="shared" si="34"/>
        <v>0</v>
      </c>
      <c r="AI78" s="558">
        <f t="shared" si="34"/>
        <v>0</v>
      </c>
      <c r="AJ78" s="558">
        <f t="shared" si="34"/>
        <v>0</v>
      </c>
      <c r="AK78" s="558">
        <f t="shared" si="34"/>
        <v>0</v>
      </c>
      <c r="AL78" s="558">
        <f t="shared" si="34"/>
        <v>0</v>
      </c>
      <c r="AM78" s="558">
        <f t="shared" si="34"/>
        <v>0</v>
      </c>
      <c r="AN78" s="558">
        <f t="shared" si="34"/>
        <v>0</v>
      </c>
      <c r="AO78" s="558">
        <f t="shared" si="34"/>
        <v>0</v>
      </c>
    </row>
    <row r="79" spans="2:41" s="223" customFormat="1" outlineLevel="1">
      <c r="B79" s="224" t="s">
        <v>474</v>
      </c>
      <c r="C79" s="222"/>
      <c r="D79" s="202"/>
      <c r="E79" s="202">
        <f t="shared" ref="E79:AE79" si="35">E8-D8</f>
        <v>0</v>
      </c>
      <c r="F79" s="202">
        <f t="shared" si="35"/>
        <v>0</v>
      </c>
      <c r="G79" s="202">
        <f t="shared" si="35"/>
        <v>0</v>
      </c>
      <c r="H79" s="202">
        <f t="shared" si="35"/>
        <v>0</v>
      </c>
      <c r="I79" s="202">
        <f t="shared" si="35"/>
        <v>0</v>
      </c>
      <c r="J79" s="202">
        <f t="shared" si="35"/>
        <v>0</v>
      </c>
      <c r="K79" s="202">
        <f t="shared" si="35"/>
        <v>0</v>
      </c>
      <c r="L79" s="202">
        <f t="shared" si="35"/>
        <v>0</v>
      </c>
      <c r="M79" s="202">
        <f t="shared" si="35"/>
        <v>0</v>
      </c>
      <c r="N79" s="202">
        <f t="shared" si="35"/>
        <v>0</v>
      </c>
      <c r="O79" s="202">
        <f t="shared" si="35"/>
        <v>0</v>
      </c>
      <c r="P79" s="202">
        <f t="shared" si="35"/>
        <v>0</v>
      </c>
      <c r="Q79" s="202">
        <f t="shared" si="35"/>
        <v>2500</v>
      </c>
      <c r="R79" s="202">
        <f t="shared" si="35"/>
        <v>0</v>
      </c>
      <c r="S79" s="202">
        <f t="shared" si="35"/>
        <v>-530</v>
      </c>
      <c r="T79" s="558">
        <f t="shared" si="35"/>
        <v>118</v>
      </c>
      <c r="U79" s="558">
        <f t="shared" si="35"/>
        <v>125</v>
      </c>
      <c r="V79" s="558">
        <f t="shared" si="35"/>
        <v>133</v>
      </c>
      <c r="W79" s="558">
        <f t="shared" si="35"/>
        <v>142</v>
      </c>
      <c r="X79" s="558">
        <f t="shared" si="35"/>
        <v>-2488</v>
      </c>
      <c r="Y79" s="558">
        <f t="shared" si="35"/>
        <v>0</v>
      </c>
      <c r="Z79" s="558">
        <f t="shared" si="35"/>
        <v>0</v>
      </c>
      <c r="AA79" s="558">
        <f t="shared" si="35"/>
        <v>0</v>
      </c>
      <c r="AB79" s="558">
        <f t="shared" si="35"/>
        <v>0</v>
      </c>
      <c r="AC79" s="558">
        <f t="shared" si="35"/>
        <v>0</v>
      </c>
      <c r="AD79" s="558">
        <f t="shared" si="35"/>
        <v>0</v>
      </c>
      <c r="AE79" s="558">
        <f t="shared" si="35"/>
        <v>0</v>
      </c>
      <c r="AF79" s="558">
        <f t="shared" ref="AF79:AO79" si="36">AF8-AE8</f>
        <v>0</v>
      </c>
      <c r="AG79" s="558">
        <f t="shared" si="36"/>
        <v>0</v>
      </c>
      <c r="AH79" s="558">
        <f t="shared" si="36"/>
        <v>0</v>
      </c>
      <c r="AI79" s="558">
        <f t="shared" si="36"/>
        <v>0</v>
      </c>
      <c r="AJ79" s="558">
        <f t="shared" si="36"/>
        <v>0</v>
      </c>
      <c r="AK79" s="558">
        <f t="shared" si="36"/>
        <v>0</v>
      </c>
      <c r="AL79" s="558">
        <f t="shared" si="36"/>
        <v>0</v>
      </c>
      <c r="AM79" s="558">
        <f t="shared" si="36"/>
        <v>0</v>
      </c>
      <c r="AN79" s="558">
        <f t="shared" si="36"/>
        <v>0</v>
      </c>
      <c r="AO79" s="558">
        <f t="shared" si="36"/>
        <v>0</v>
      </c>
    </row>
    <row r="80" spans="2:41" s="223" customFormat="1" outlineLevel="1">
      <c r="B80" s="224" t="s">
        <v>475</v>
      </c>
      <c r="C80" s="222"/>
      <c r="D80" s="202"/>
      <c r="E80" s="202">
        <f t="shared" ref="E80:AE80" si="37">E17-D17</f>
        <v>0</v>
      </c>
      <c r="F80" s="202">
        <f t="shared" si="37"/>
        <v>0</v>
      </c>
      <c r="G80" s="202">
        <f t="shared" si="37"/>
        <v>0</v>
      </c>
      <c r="H80" s="202">
        <f t="shared" si="37"/>
        <v>0</v>
      </c>
      <c r="I80" s="202">
        <f t="shared" si="37"/>
        <v>0</v>
      </c>
      <c r="J80" s="202">
        <f t="shared" si="37"/>
        <v>0</v>
      </c>
      <c r="K80" s="202">
        <f t="shared" si="37"/>
        <v>0</v>
      </c>
      <c r="L80" s="202">
        <f t="shared" si="37"/>
        <v>0</v>
      </c>
      <c r="M80" s="202">
        <f t="shared" si="37"/>
        <v>0</v>
      </c>
      <c r="N80" s="202">
        <f t="shared" si="37"/>
        <v>0</v>
      </c>
      <c r="O80" s="202">
        <f t="shared" si="37"/>
        <v>0</v>
      </c>
      <c r="P80" s="202">
        <f t="shared" si="37"/>
        <v>0</v>
      </c>
      <c r="Q80" s="202">
        <f t="shared" si="37"/>
        <v>0</v>
      </c>
      <c r="R80" s="202">
        <f t="shared" si="37"/>
        <v>1099</v>
      </c>
      <c r="S80" s="202">
        <f t="shared" si="37"/>
        <v>0</v>
      </c>
      <c r="T80" s="558">
        <f t="shared" si="37"/>
        <v>0</v>
      </c>
      <c r="U80" s="558">
        <f t="shared" si="37"/>
        <v>0</v>
      </c>
      <c r="V80" s="558">
        <f t="shared" si="37"/>
        <v>0</v>
      </c>
      <c r="W80" s="558">
        <f t="shared" si="37"/>
        <v>0</v>
      </c>
      <c r="X80" s="558">
        <f t="shared" si="37"/>
        <v>0</v>
      </c>
      <c r="Y80" s="558">
        <f t="shared" si="37"/>
        <v>1</v>
      </c>
      <c r="Z80" s="558">
        <f t="shared" si="37"/>
        <v>0</v>
      </c>
      <c r="AA80" s="558">
        <f t="shared" si="37"/>
        <v>0</v>
      </c>
      <c r="AB80" s="558">
        <f t="shared" si="37"/>
        <v>-1100</v>
      </c>
      <c r="AC80" s="558">
        <f t="shared" si="37"/>
        <v>0</v>
      </c>
      <c r="AD80" s="558">
        <f t="shared" si="37"/>
        <v>0</v>
      </c>
      <c r="AE80" s="558">
        <f t="shared" si="37"/>
        <v>0</v>
      </c>
      <c r="AF80" s="558">
        <f t="shared" ref="AF80:AO80" si="38">AF17-AE17</f>
        <v>0</v>
      </c>
      <c r="AG80" s="558">
        <f t="shared" si="38"/>
        <v>0</v>
      </c>
      <c r="AH80" s="558">
        <f t="shared" si="38"/>
        <v>0</v>
      </c>
      <c r="AI80" s="558">
        <f t="shared" si="38"/>
        <v>0</v>
      </c>
      <c r="AJ80" s="558">
        <f t="shared" si="38"/>
        <v>0</v>
      </c>
      <c r="AK80" s="558">
        <f t="shared" si="38"/>
        <v>0</v>
      </c>
      <c r="AL80" s="558">
        <f t="shared" si="38"/>
        <v>0</v>
      </c>
      <c r="AM80" s="558">
        <f t="shared" si="38"/>
        <v>0</v>
      </c>
      <c r="AN80" s="558">
        <f t="shared" si="38"/>
        <v>0</v>
      </c>
      <c r="AO80" s="558">
        <f t="shared" si="38"/>
        <v>0</v>
      </c>
    </row>
    <row r="81" spans="2:41" s="223" customFormat="1" outlineLevel="1">
      <c r="B81" s="224" t="s">
        <v>476</v>
      </c>
      <c r="C81" s="222"/>
      <c r="D81" s="202"/>
      <c r="E81" s="202">
        <f t="shared" ref="E81:AE81" si="39">E10-D10</f>
        <v>0</v>
      </c>
      <c r="F81" s="202">
        <f t="shared" si="39"/>
        <v>0</v>
      </c>
      <c r="G81" s="202">
        <f t="shared" si="39"/>
        <v>0</v>
      </c>
      <c r="H81" s="202">
        <f t="shared" si="39"/>
        <v>0</v>
      </c>
      <c r="I81" s="202">
        <f t="shared" si="39"/>
        <v>0</v>
      </c>
      <c r="J81" s="202">
        <f t="shared" si="39"/>
        <v>0</v>
      </c>
      <c r="K81" s="202">
        <f t="shared" si="39"/>
        <v>0</v>
      </c>
      <c r="L81" s="202">
        <f t="shared" si="39"/>
        <v>0</v>
      </c>
      <c r="M81" s="202">
        <f t="shared" si="39"/>
        <v>0</v>
      </c>
      <c r="N81" s="202">
        <f t="shared" si="39"/>
        <v>0</v>
      </c>
      <c r="O81" s="202">
        <f t="shared" si="39"/>
        <v>1000</v>
      </c>
      <c r="P81" s="202">
        <f t="shared" si="39"/>
        <v>0</v>
      </c>
      <c r="Q81" s="202">
        <f t="shared" si="39"/>
        <v>0</v>
      </c>
      <c r="R81" s="202">
        <f t="shared" si="39"/>
        <v>0</v>
      </c>
      <c r="S81" s="202">
        <f t="shared" si="39"/>
        <v>0</v>
      </c>
      <c r="T81" s="558">
        <f t="shared" si="39"/>
        <v>0</v>
      </c>
      <c r="U81" s="558">
        <f t="shared" si="39"/>
        <v>0</v>
      </c>
      <c r="V81" s="558">
        <f t="shared" si="39"/>
        <v>0</v>
      </c>
      <c r="W81" s="558">
        <f t="shared" si="39"/>
        <v>0</v>
      </c>
      <c r="X81" s="558">
        <f t="shared" si="39"/>
        <v>0</v>
      </c>
      <c r="Y81" s="558">
        <f>Y10-X10</f>
        <v>-1000</v>
      </c>
      <c r="Z81" s="558">
        <f t="shared" si="39"/>
        <v>0</v>
      </c>
      <c r="AA81" s="558">
        <f t="shared" si="39"/>
        <v>0</v>
      </c>
      <c r="AB81" s="558">
        <f t="shared" si="39"/>
        <v>0</v>
      </c>
      <c r="AC81" s="558">
        <f t="shared" si="39"/>
        <v>0</v>
      </c>
      <c r="AD81" s="558">
        <f t="shared" si="39"/>
        <v>0</v>
      </c>
      <c r="AE81" s="558">
        <f t="shared" si="39"/>
        <v>0</v>
      </c>
      <c r="AF81" s="558">
        <f t="shared" ref="AF81:AO81" si="40">AF10-AE10</f>
        <v>0</v>
      </c>
      <c r="AG81" s="558">
        <f t="shared" si="40"/>
        <v>0</v>
      </c>
      <c r="AH81" s="558">
        <f t="shared" si="40"/>
        <v>0</v>
      </c>
      <c r="AI81" s="558">
        <f t="shared" si="40"/>
        <v>0</v>
      </c>
      <c r="AJ81" s="558">
        <f t="shared" si="40"/>
        <v>0</v>
      </c>
      <c r="AK81" s="558">
        <f t="shared" si="40"/>
        <v>0</v>
      </c>
      <c r="AL81" s="558">
        <f t="shared" si="40"/>
        <v>0</v>
      </c>
      <c r="AM81" s="558">
        <f t="shared" si="40"/>
        <v>0</v>
      </c>
      <c r="AN81" s="558">
        <f t="shared" si="40"/>
        <v>0</v>
      </c>
      <c r="AO81" s="558">
        <f t="shared" si="40"/>
        <v>0</v>
      </c>
    </row>
    <row r="82" spans="2:41" s="223" customFormat="1" outlineLevel="1">
      <c r="B82" s="224" t="s">
        <v>477</v>
      </c>
      <c r="C82" s="222"/>
      <c r="D82" s="202"/>
      <c r="E82" s="202">
        <f t="shared" ref="E82:AE83" si="41">E24-D24</f>
        <v>0</v>
      </c>
      <c r="F82" s="202">
        <f t="shared" si="41"/>
        <v>0</v>
      </c>
      <c r="G82" s="202">
        <f t="shared" si="41"/>
        <v>0</v>
      </c>
      <c r="H82" s="202">
        <f t="shared" si="41"/>
        <v>0</v>
      </c>
      <c r="I82" s="202">
        <f t="shared" si="41"/>
        <v>0</v>
      </c>
      <c r="J82" s="202">
        <f t="shared" si="41"/>
        <v>0</v>
      </c>
      <c r="K82" s="202">
        <f t="shared" si="41"/>
        <v>0</v>
      </c>
      <c r="L82" s="202">
        <f t="shared" si="41"/>
        <v>0</v>
      </c>
      <c r="M82" s="202">
        <f t="shared" si="41"/>
        <v>0</v>
      </c>
      <c r="N82" s="202">
        <f t="shared" si="41"/>
        <v>0</v>
      </c>
      <c r="O82" s="202">
        <f t="shared" si="41"/>
        <v>0</v>
      </c>
      <c r="P82" s="202">
        <f t="shared" si="41"/>
        <v>0</v>
      </c>
      <c r="Q82" s="202">
        <f t="shared" si="41"/>
        <v>0</v>
      </c>
      <c r="R82" s="202">
        <f t="shared" si="41"/>
        <v>0</v>
      </c>
      <c r="S82" s="202">
        <f t="shared" si="41"/>
        <v>0</v>
      </c>
      <c r="T82" s="558">
        <f t="shared" si="41"/>
        <v>998</v>
      </c>
      <c r="U82" s="558">
        <f t="shared" si="41"/>
        <v>0</v>
      </c>
      <c r="V82" s="558">
        <f t="shared" si="41"/>
        <v>0</v>
      </c>
      <c r="W82" s="558">
        <f t="shared" si="41"/>
        <v>1</v>
      </c>
      <c r="X82" s="558">
        <f t="shared" si="41"/>
        <v>0</v>
      </c>
      <c r="Y82" s="558">
        <f t="shared" si="41"/>
        <v>0</v>
      </c>
      <c r="Z82" s="558">
        <f t="shared" si="41"/>
        <v>0</v>
      </c>
      <c r="AA82" s="558">
        <f t="shared" si="41"/>
        <v>1</v>
      </c>
      <c r="AB82" s="558">
        <f t="shared" si="41"/>
        <v>0</v>
      </c>
      <c r="AC82" s="558">
        <f t="shared" si="41"/>
        <v>0</v>
      </c>
      <c r="AD82" s="558">
        <f t="shared" si="41"/>
        <v>-1000</v>
      </c>
      <c r="AE82" s="558">
        <f t="shared" si="41"/>
        <v>0</v>
      </c>
      <c r="AF82" s="558">
        <f t="shared" ref="AF82:AO83" si="42">AF24-AE24</f>
        <v>0</v>
      </c>
      <c r="AG82" s="558">
        <f t="shared" si="42"/>
        <v>0</v>
      </c>
      <c r="AH82" s="558">
        <f t="shared" si="42"/>
        <v>0</v>
      </c>
      <c r="AI82" s="558">
        <f t="shared" si="42"/>
        <v>0</v>
      </c>
      <c r="AJ82" s="558">
        <f t="shared" si="42"/>
        <v>0</v>
      </c>
      <c r="AK82" s="558">
        <f t="shared" si="42"/>
        <v>0</v>
      </c>
      <c r="AL82" s="558">
        <f t="shared" si="42"/>
        <v>0</v>
      </c>
      <c r="AM82" s="558">
        <f t="shared" si="42"/>
        <v>0</v>
      </c>
      <c r="AN82" s="558">
        <f t="shared" si="42"/>
        <v>0</v>
      </c>
      <c r="AO82" s="558">
        <f t="shared" si="42"/>
        <v>0</v>
      </c>
    </row>
    <row r="83" spans="2:41" s="223" customFormat="1" outlineLevel="1">
      <c r="B83" s="807" t="s">
        <v>945</v>
      </c>
      <c r="C83" s="222"/>
      <c r="D83" s="202"/>
      <c r="E83" s="202"/>
      <c r="F83" s="202"/>
      <c r="G83" s="202"/>
      <c r="H83" s="202"/>
      <c r="I83" s="202"/>
      <c r="J83" s="202"/>
      <c r="K83" s="202"/>
      <c r="L83" s="202"/>
      <c r="M83" s="202"/>
      <c r="N83" s="202"/>
      <c r="O83" s="202"/>
      <c r="P83" s="202"/>
      <c r="Q83" s="202"/>
      <c r="R83" s="202"/>
      <c r="S83" s="202"/>
      <c r="T83" s="558">
        <f t="shared" ref="T83" si="43">T25-S25</f>
        <v>0</v>
      </c>
      <c r="U83" s="558">
        <f t="shared" ref="U83" si="44">U25-T25</f>
        <v>0</v>
      </c>
      <c r="V83" s="558">
        <f t="shared" ref="V83" si="45">V25-U25</f>
        <v>0</v>
      </c>
      <c r="W83" s="558">
        <f t="shared" ref="W83" si="46">W25-V25</f>
        <v>0</v>
      </c>
      <c r="X83" s="558">
        <f t="shared" ref="X83" si="47">X25-W25</f>
        <v>0</v>
      </c>
      <c r="Y83" s="558">
        <f t="shared" ref="Y83" si="48">Y25-X25</f>
        <v>0</v>
      </c>
      <c r="Z83" s="558">
        <f t="shared" ref="Z83" si="49">Z25-Y25</f>
        <v>0</v>
      </c>
      <c r="AA83" s="558">
        <f t="shared" ref="AA83" si="50">AA25-Z25</f>
        <v>0</v>
      </c>
      <c r="AB83" s="558">
        <f t="shared" si="41"/>
        <v>700</v>
      </c>
      <c r="AC83" s="558">
        <f t="shared" ref="AC83" si="51">AC25-AB25</f>
        <v>0</v>
      </c>
      <c r="AD83" s="558">
        <f t="shared" ref="AD83" si="52">AD25-AC25</f>
        <v>-700</v>
      </c>
      <c r="AE83" s="558">
        <f t="shared" ref="AE83" si="53">AE25-AD25</f>
        <v>0</v>
      </c>
      <c r="AF83" s="558">
        <f t="shared" si="42"/>
        <v>0</v>
      </c>
      <c r="AG83" s="558">
        <f t="shared" si="42"/>
        <v>0</v>
      </c>
      <c r="AH83" s="558">
        <f t="shared" si="42"/>
        <v>0</v>
      </c>
      <c r="AI83" s="558">
        <f t="shared" si="42"/>
        <v>0</v>
      </c>
      <c r="AJ83" s="558">
        <f t="shared" si="42"/>
        <v>0</v>
      </c>
      <c r="AK83" s="558">
        <f t="shared" si="42"/>
        <v>0</v>
      </c>
      <c r="AL83" s="558">
        <f t="shared" si="42"/>
        <v>0</v>
      </c>
      <c r="AM83" s="558">
        <f t="shared" si="42"/>
        <v>0</v>
      </c>
      <c r="AN83" s="558">
        <f t="shared" si="42"/>
        <v>0</v>
      </c>
      <c r="AO83" s="558">
        <f t="shared" si="42"/>
        <v>0</v>
      </c>
    </row>
    <row r="84" spans="2:41" s="223" customFormat="1" outlineLevel="1">
      <c r="B84" s="224" t="s">
        <v>478</v>
      </c>
      <c r="C84" s="222"/>
      <c r="D84" s="202"/>
      <c r="E84" s="202">
        <f t="shared" ref="E84:AE84" si="54">E51-D51</f>
        <v>0</v>
      </c>
      <c r="F84" s="202">
        <f t="shared" si="54"/>
        <v>0</v>
      </c>
      <c r="G84" s="202">
        <f t="shared" si="54"/>
        <v>0</v>
      </c>
      <c r="H84" s="202">
        <f t="shared" si="54"/>
        <v>0</v>
      </c>
      <c r="I84" s="202">
        <f t="shared" si="54"/>
        <v>0</v>
      </c>
      <c r="J84" s="202">
        <f t="shared" si="54"/>
        <v>0</v>
      </c>
      <c r="K84" s="202">
        <f t="shared" si="54"/>
        <v>0</v>
      </c>
      <c r="L84" s="202">
        <f t="shared" si="54"/>
        <v>0</v>
      </c>
      <c r="M84" s="202">
        <f t="shared" si="54"/>
        <v>0</v>
      </c>
      <c r="N84" s="202">
        <f t="shared" si="54"/>
        <v>0</v>
      </c>
      <c r="O84" s="202">
        <f t="shared" si="54"/>
        <v>0</v>
      </c>
      <c r="P84" s="202">
        <f t="shared" si="54"/>
        <v>0</v>
      </c>
      <c r="Q84" s="202">
        <f t="shared" si="54"/>
        <v>0</v>
      </c>
      <c r="R84" s="202">
        <f t="shared" si="54"/>
        <v>0</v>
      </c>
      <c r="S84" s="202">
        <f t="shared" si="54"/>
        <v>0</v>
      </c>
      <c r="T84" s="558">
        <f t="shared" si="54"/>
        <v>995</v>
      </c>
      <c r="U84" s="558">
        <f t="shared" si="54"/>
        <v>1</v>
      </c>
      <c r="V84" s="558">
        <f t="shared" si="54"/>
        <v>0</v>
      </c>
      <c r="W84" s="558">
        <f t="shared" si="54"/>
        <v>0</v>
      </c>
      <c r="X84" s="558">
        <f t="shared" si="54"/>
        <v>0</v>
      </c>
      <c r="Y84" s="558">
        <f t="shared" si="54"/>
        <v>0</v>
      </c>
      <c r="Z84" s="558">
        <f t="shared" si="54"/>
        <v>0</v>
      </c>
      <c r="AA84" s="558">
        <f t="shared" si="54"/>
        <v>-530</v>
      </c>
      <c r="AB84" s="558">
        <f t="shared" si="54"/>
        <v>0</v>
      </c>
      <c r="AC84" s="558">
        <f t="shared" si="54"/>
        <v>0</v>
      </c>
      <c r="AD84" s="558">
        <f t="shared" si="54"/>
        <v>0</v>
      </c>
      <c r="AE84" s="558">
        <f t="shared" si="54"/>
        <v>0</v>
      </c>
      <c r="AF84" s="558">
        <f t="shared" ref="AF84:AO84" si="55">AF51-AE51</f>
        <v>0</v>
      </c>
      <c r="AG84" s="558">
        <f t="shared" si="55"/>
        <v>0</v>
      </c>
      <c r="AH84" s="558">
        <f t="shared" si="55"/>
        <v>0</v>
      </c>
      <c r="AI84" s="558">
        <f t="shared" si="55"/>
        <v>0</v>
      </c>
      <c r="AJ84" s="558">
        <f t="shared" si="55"/>
        <v>0</v>
      </c>
      <c r="AK84" s="558">
        <f t="shared" si="55"/>
        <v>0</v>
      </c>
      <c r="AL84" s="558">
        <f t="shared" si="55"/>
        <v>0</v>
      </c>
      <c r="AM84" s="558">
        <f t="shared" si="55"/>
        <v>0</v>
      </c>
      <c r="AN84" s="558">
        <f t="shared" si="55"/>
        <v>0</v>
      </c>
      <c r="AO84" s="558">
        <f t="shared" si="55"/>
        <v>0</v>
      </c>
    </row>
    <row r="85" spans="2:41" s="223" customFormat="1" outlineLevel="1">
      <c r="B85" s="224" t="s">
        <v>479</v>
      </c>
      <c r="C85" s="222"/>
      <c r="D85" s="202"/>
      <c r="E85" s="202">
        <f t="shared" ref="E85:AE85" si="56">E49-D49</f>
        <v>0</v>
      </c>
      <c r="F85" s="202">
        <f t="shared" si="56"/>
        <v>0</v>
      </c>
      <c r="G85" s="202">
        <f t="shared" si="56"/>
        <v>0</v>
      </c>
      <c r="H85" s="202">
        <f t="shared" si="56"/>
        <v>0</v>
      </c>
      <c r="I85" s="202">
        <f t="shared" si="56"/>
        <v>0</v>
      </c>
      <c r="J85" s="202">
        <f t="shared" si="56"/>
        <v>0</v>
      </c>
      <c r="K85" s="202">
        <f t="shared" si="56"/>
        <v>0</v>
      </c>
      <c r="L85" s="202">
        <f t="shared" si="56"/>
        <v>0</v>
      </c>
      <c r="M85" s="202">
        <f t="shared" si="56"/>
        <v>0</v>
      </c>
      <c r="N85" s="202">
        <f t="shared" si="56"/>
        <v>0</v>
      </c>
      <c r="O85" s="202">
        <f t="shared" si="56"/>
        <v>0</v>
      </c>
      <c r="P85" s="202">
        <f t="shared" si="56"/>
        <v>0</v>
      </c>
      <c r="Q85" s="202">
        <f t="shared" si="56"/>
        <v>0</v>
      </c>
      <c r="R85" s="202">
        <f t="shared" si="56"/>
        <v>899</v>
      </c>
      <c r="S85" s="202">
        <f t="shared" si="56"/>
        <v>0</v>
      </c>
      <c r="T85" s="558">
        <f t="shared" si="56"/>
        <v>0</v>
      </c>
      <c r="U85" s="558">
        <f t="shared" si="56"/>
        <v>0</v>
      </c>
      <c r="V85" s="558">
        <f t="shared" si="56"/>
        <v>0</v>
      </c>
      <c r="W85" s="558">
        <f t="shared" si="56"/>
        <v>0</v>
      </c>
      <c r="X85" s="558">
        <f t="shared" si="56"/>
        <v>0</v>
      </c>
      <c r="Y85" s="558">
        <f t="shared" si="56"/>
        <v>0</v>
      </c>
      <c r="Z85" s="558">
        <f t="shared" si="56"/>
        <v>0</v>
      </c>
      <c r="AA85" s="558">
        <f t="shared" si="56"/>
        <v>-347</v>
      </c>
      <c r="AB85" s="558">
        <f t="shared" si="56"/>
        <v>0</v>
      </c>
      <c r="AC85" s="558">
        <f t="shared" si="56"/>
        <v>0</v>
      </c>
      <c r="AD85" s="558">
        <f t="shared" si="56"/>
        <v>0</v>
      </c>
      <c r="AE85" s="558">
        <f t="shared" si="56"/>
        <v>0</v>
      </c>
      <c r="AF85" s="558">
        <f t="shared" ref="AF85:AO85" si="57">AF49-AE49</f>
        <v>0</v>
      </c>
      <c r="AG85" s="558">
        <f t="shared" si="57"/>
        <v>0</v>
      </c>
      <c r="AH85" s="558">
        <f t="shared" si="57"/>
        <v>0</v>
      </c>
      <c r="AI85" s="558">
        <f t="shared" si="57"/>
        <v>0</v>
      </c>
      <c r="AJ85" s="558">
        <f t="shared" si="57"/>
        <v>0</v>
      </c>
      <c r="AK85" s="558">
        <f t="shared" si="57"/>
        <v>0</v>
      </c>
      <c r="AL85" s="558">
        <f t="shared" si="57"/>
        <v>0</v>
      </c>
      <c r="AM85" s="558">
        <f t="shared" si="57"/>
        <v>0</v>
      </c>
      <c r="AN85" s="558">
        <f t="shared" si="57"/>
        <v>0</v>
      </c>
      <c r="AO85" s="558">
        <f t="shared" si="57"/>
        <v>0</v>
      </c>
    </row>
    <row r="86" spans="2:41" s="223" customFormat="1" outlineLevel="1">
      <c r="B86" s="224" t="s">
        <v>480</v>
      </c>
      <c r="C86" s="222"/>
      <c r="D86" s="202"/>
      <c r="E86" s="202">
        <f t="shared" ref="E86:AE86" si="58">E28-D28</f>
        <v>0</v>
      </c>
      <c r="F86" s="202">
        <f t="shared" si="58"/>
        <v>0</v>
      </c>
      <c r="G86" s="202">
        <f t="shared" si="58"/>
        <v>0</v>
      </c>
      <c r="H86" s="202">
        <f t="shared" si="58"/>
        <v>0</v>
      </c>
      <c r="I86" s="202">
        <f t="shared" si="58"/>
        <v>0</v>
      </c>
      <c r="J86" s="202">
        <f t="shared" si="58"/>
        <v>0</v>
      </c>
      <c r="K86" s="202">
        <f t="shared" si="58"/>
        <v>0</v>
      </c>
      <c r="L86" s="202">
        <f t="shared" si="58"/>
        <v>0</v>
      </c>
      <c r="M86" s="202">
        <f t="shared" si="58"/>
        <v>0</v>
      </c>
      <c r="N86" s="202">
        <f t="shared" si="58"/>
        <v>0</v>
      </c>
      <c r="O86" s="202">
        <f t="shared" si="58"/>
        <v>0</v>
      </c>
      <c r="P86" s="202">
        <f t="shared" si="58"/>
        <v>0</v>
      </c>
      <c r="Q86" s="202">
        <f t="shared" si="58"/>
        <v>0</v>
      </c>
      <c r="R86" s="202">
        <f t="shared" si="58"/>
        <v>0</v>
      </c>
      <c r="S86" s="202">
        <f t="shared" si="58"/>
        <v>0</v>
      </c>
      <c r="T86" s="558">
        <f t="shared" si="58"/>
        <v>0</v>
      </c>
      <c r="U86" s="558">
        <f t="shared" si="58"/>
        <v>897</v>
      </c>
      <c r="V86" s="558">
        <f t="shared" si="58"/>
        <v>0</v>
      </c>
      <c r="W86" s="558">
        <f t="shared" si="58"/>
        <v>0</v>
      </c>
      <c r="X86" s="558">
        <f t="shared" si="58"/>
        <v>1</v>
      </c>
      <c r="Y86" s="558">
        <f t="shared" si="58"/>
        <v>0</v>
      </c>
      <c r="Z86" s="558">
        <f t="shared" si="58"/>
        <v>0</v>
      </c>
      <c r="AA86" s="558">
        <f t="shared" si="58"/>
        <v>2</v>
      </c>
      <c r="AB86" s="558">
        <f t="shared" si="58"/>
        <v>0</v>
      </c>
      <c r="AC86" s="558">
        <f t="shared" si="58"/>
        <v>0</v>
      </c>
      <c r="AD86" s="558">
        <f t="shared" si="58"/>
        <v>0</v>
      </c>
      <c r="AE86" s="558">
        <f t="shared" si="58"/>
        <v>-900</v>
      </c>
      <c r="AF86" s="558">
        <f t="shared" ref="AF86:AO86" si="59">AF28-AE28</f>
        <v>0</v>
      </c>
      <c r="AG86" s="558">
        <f t="shared" si="59"/>
        <v>0</v>
      </c>
      <c r="AH86" s="558">
        <f t="shared" si="59"/>
        <v>0</v>
      </c>
      <c r="AI86" s="558">
        <f t="shared" si="59"/>
        <v>0</v>
      </c>
      <c r="AJ86" s="558">
        <f t="shared" si="59"/>
        <v>0</v>
      </c>
      <c r="AK86" s="558">
        <f t="shared" si="59"/>
        <v>0</v>
      </c>
      <c r="AL86" s="558">
        <f t="shared" si="59"/>
        <v>0</v>
      </c>
      <c r="AM86" s="558">
        <f t="shared" si="59"/>
        <v>0</v>
      </c>
      <c r="AN86" s="558">
        <f t="shared" si="59"/>
        <v>0</v>
      </c>
      <c r="AO86" s="558">
        <f t="shared" si="59"/>
        <v>0</v>
      </c>
    </row>
    <row r="87" spans="2:41" s="223" customFormat="1" outlineLevel="1">
      <c r="B87" s="224" t="s">
        <v>481</v>
      </c>
      <c r="C87" s="222"/>
      <c r="D87" s="202"/>
      <c r="E87" s="202">
        <f t="shared" ref="E87:AE87" si="60">E52-D52</f>
        <v>0</v>
      </c>
      <c r="F87" s="202">
        <f t="shared" si="60"/>
        <v>0</v>
      </c>
      <c r="G87" s="202">
        <f t="shared" si="60"/>
        <v>0</v>
      </c>
      <c r="H87" s="202">
        <f t="shared" si="60"/>
        <v>0</v>
      </c>
      <c r="I87" s="202">
        <f t="shared" si="60"/>
        <v>0</v>
      </c>
      <c r="J87" s="202">
        <f t="shared" si="60"/>
        <v>0</v>
      </c>
      <c r="K87" s="202">
        <f t="shared" si="60"/>
        <v>0</v>
      </c>
      <c r="L87" s="202">
        <f t="shared" si="60"/>
        <v>0</v>
      </c>
      <c r="M87" s="202">
        <f t="shared" si="60"/>
        <v>0</v>
      </c>
      <c r="N87" s="202">
        <f t="shared" si="60"/>
        <v>0</v>
      </c>
      <c r="O87" s="202">
        <f t="shared" si="60"/>
        <v>0</v>
      </c>
      <c r="P87" s="202">
        <f t="shared" si="60"/>
        <v>0</v>
      </c>
      <c r="Q87" s="202">
        <f t="shared" si="60"/>
        <v>0</v>
      </c>
      <c r="R87" s="202">
        <f t="shared" si="60"/>
        <v>0</v>
      </c>
      <c r="S87" s="202">
        <f t="shared" si="60"/>
        <v>0</v>
      </c>
      <c r="T87" s="558">
        <f t="shared" si="60"/>
        <v>0</v>
      </c>
      <c r="U87" s="558">
        <f t="shared" si="60"/>
        <v>696</v>
      </c>
      <c r="V87" s="558">
        <f t="shared" si="60"/>
        <v>1</v>
      </c>
      <c r="W87" s="558">
        <f t="shared" si="60"/>
        <v>0</v>
      </c>
      <c r="X87" s="558">
        <f t="shared" si="60"/>
        <v>0</v>
      </c>
      <c r="Y87" s="558">
        <f t="shared" si="60"/>
        <v>0</v>
      </c>
      <c r="Z87" s="558">
        <f t="shared" si="60"/>
        <v>0</v>
      </c>
      <c r="AA87" s="558">
        <f t="shared" si="60"/>
        <v>-285</v>
      </c>
      <c r="AB87" s="558">
        <f t="shared" si="60"/>
        <v>0</v>
      </c>
      <c r="AC87" s="558">
        <f t="shared" si="60"/>
        <v>0</v>
      </c>
      <c r="AD87" s="558">
        <f t="shared" si="60"/>
        <v>0</v>
      </c>
      <c r="AE87" s="558">
        <f t="shared" si="60"/>
        <v>0</v>
      </c>
      <c r="AF87" s="558">
        <f t="shared" ref="AF87:AO87" si="61">AF52-AE52</f>
        <v>0</v>
      </c>
      <c r="AG87" s="558">
        <f t="shared" si="61"/>
        <v>0</v>
      </c>
      <c r="AH87" s="558">
        <f t="shared" si="61"/>
        <v>0</v>
      </c>
      <c r="AI87" s="558">
        <f t="shared" si="61"/>
        <v>0</v>
      </c>
      <c r="AJ87" s="558">
        <f t="shared" si="61"/>
        <v>0</v>
      </c>
      <c r="AK87" s="558">
        <f t="shared" si="61"/>
        <v>0</v>
      </c>
      <c r="AL87" s="558">
        <f t="shared" si="61"/>
        <v>0</v>
      </c>
      <c r="AM87" s="558">
        <f t="shared" si="61"/>
        <v>0</v>
      </c>
      <c r="AN87" s="558">
        <f t="shared" si="61"/>
        <v>0</v>
      </c>
      <c r="AO87" s="558">
        <f t="shared" si="61"/>
        <v>0</v>
      </c>
    </row>
    <row r="88" spans="2:41" s="223" customFormat="1" outlineLevel="1">
      <c r="B88" s="807" t="s">
        <v>946</v>
      </c>
      <c r="C88" s="222"/>
      <c r="D88" s="202"/>
      <c r="E88" s="202"/>
      <c r="F88" s="202"/>
      <c r="G88" s="202"/>
      <c r="H88" s="202"/>
      <c r="I88" s="202"/>
      <c r="J88" s="202"/>
      <c r="K88" s="202"/>
      <c r="L88" s="202"/>
      <c r="M88" s="202"/>
      <c r="N88" s="202"/>
      <c r="O88" s="202"/>
      <c r="P88" s="202"/>
      <c r="Q88" s="202"/>
      <c r="R88" s="202"/>
      <c r="S88" s="202"/>
      <c r="T88" s="558">
        <f t="shared" ref="T88:AA88" si="62">T30-S30</f>
        <v>0</v>
      </c>
      <c r="U88" s="558">
        <f t="shared" si="62"/>
        <v>0</v>
      </c>
      <c r="V88" s="558">
        <f t="shared" si="62"/>
        <v>0</v>
      </c>
      <c r="W88" s="558">
        <f t="shared" si="62"/>
        <v>0</v>
      </c>
      <c r="X88" s="558">
        <f t="shared" si="62"/>
        <v>0</v>
      </c>
      <c r="Y88" s="558">
        <f t="shared" si="62"/>
        <v>0</v>
      </c>
      <c r="Z88" s="558">
        <f t="shared" si="62"/>
        <v>0</v>
      </c>
      <c r="AA88" s="558">
        <f t="shared" si="62"/>
        <v>0</v>
      </c>
      <c r="AB88" s="558">
        <f>AB30-AA30</f>
        <v>300</v>
      </c>
      <c r="AC88" s="558">
        <f t="shared" ref="AC88:AO88" si="63">AC30-AB30</f>
        <v>0</v>
      </c>
      <c r="AD88" s="558">
        <f t="shared" si="63"/>
        <v>0</v>
      </c>
      <c r="AE88" s="558">
        <f t="shared" si="63"/>
        <v>-300</v>
      </c>
      <c r="AF88" s="558">
        <f t="shared" si="63"/>
        <v>0</v>
      </c>
      <c r="AG88" s="558">
        <f t="shared" si="63"/>
        <v>0</v>
      </c>
      <c r="AH88" s="558">
        <f t="shared" si="63"/>
        <v>0</v>
      </c>
      <c r="AI88" s="558">
        <f t="shared" si="63"/>
        <v>0</v>
      </c>
      <c r="AJ88" s="558">
        <f t="shared" si="63"/>
        <v>0</v>
      </c>
      <c r="AK88" s="558">
        <f t="shared" si="63"/>
        <v>0</v>
      </c>
      <c r="AL88" s="558">
        <f t="shared" si="63"/>
        <v>0</v>
      </c>
      <c r="AM88" s="558">
        <f t="shared" si="63"/>
        <v>0</v>
      </c>
      <c r="AN88" s="558">
        <f t="shared" si="63"/>
        <v>0</v>
      </c>
      <c r="AO88" s="558">
        <f t="shared" si="63"/>
        <v>0</v>
      </c>
    </row>
    <row r="89" spans="2:41" s="223" customFormat="1" outlineLevel="1">
      <c r="B89" s="807" t="s">
        <v>947</v>
      </c>
      <c r="C89" s="222"/>
      <c r="D89" s="202"/>
      <c r="E89" s="202"/>
      <c r="F89" s="202"/>
      <c r="G89" s="202"/>
      <c r="H89" s="202"/>
      <c r="I89" s="202"/>
      <c r="J89" s="202"/>
      <c r="K89" s="202"/>
      <c r="L89" s="202"/>
      <c r="M89" s="202"/>
      <c r="N89" s="202"/>
      <c r="O89" s="202"/>
      <c r="P89" s="202"/>
      <c r="Q89" s="202"/>
      <c r="R89" s="202"/>
      <c r="S89" s="202"/>
      <c r="T89" s="558">
        <f t="shared" ref="T89:AA89" si="64">T31-S31</f>
        <v>0</v>
      </c>
      <c r="U89" s="558">
        <f t="shared" si="64"/>
        <v>0</v>
      </c>
      <c r="V89" s="558">
        <f t="shared" si="64"/>
        <v>0</v>
      </c>
      <c r="W89" s="558">
        <f t="shared" si="64"/>
        <v>0</v>
      </c>
      <c r="X89" s="558">
        <f t="shared" si="64"/>
        <v>0</v>
      </c>
      <c r="Y89" s="558">
        <f t="shared" si="64"/>
        <v>0</v>
      </c>
      <c r="Z89" s="558">
        <f t="shared" si="64"/>
        <v>0</v>
      </c>
      <c r="AA89" s="558">
        <f t="shared" si="64"/>
        <v>0</v>
      </c>
      <c r="AB89" s="558">
        <f>AB31-AA31</f>
        <v>700</v>
      </c>
      <c r="AC89" s="558">
        <f t="shared" ref="AC89:AO89" si="65">AC31-AB31</f>
        <v>0</v>
      </c>
      <c r="AD89" s="558">
        <f t="shared" si="65"/>
        <v>0</v>
      </c>
      <c r="AE89" s="558">
        <f t="shared" si="65"/>
        <v>-700</v>
      </c>
      <c r="AF89" s="558">
        <f t="shared" si="65"/>
        <v>0</v>
      </c>
      <c r="AG89" s="558">
        <f t="shared" si="65"/>
        <v>0</v>
      </c>
      <c r="AH89" s="558">
        <f t="shared" si="65"/>
        <v>0</v>
      </c>
      <c r="AI89" s="558">
        <f t="shared" si="65"/>
        <v>0</v>
      </c>
      <c r="AJ89" s="558">
        <f t="shared" si="65"/>
        <v>0</v>
      </c>
      <c r="AK89" s="558">
        <f t="shared" si="65"/>
        <v>0</v>
      </c>
      <c r="AL89" s="558">
        <f t="shared" si="65"/>
        <v>0</v>
      </c>
      <c r="AM89" s="558">
        <f t="shared" si="65"/>
        <v>0</v>
      </c>
      <c r="AN89" s="558">
        <f t="shared" si="65"/>
        <v>0</v>
      </c>
      <c r="AO89" s="558">
        <f t="shared" si="65"/>
        <v>0</v>
      </c>
    </row>
    <row r="90" spans="2:41" s="223" customFormat="1" outlineLevel="1">
      <c r="B90" s="807" t="s">
        <v>949</v>
      </c>
      <c r="C90" s="222"/>
      <c r="D90" s="202"/>
      <c r="E90" s="202"/>
      <c r="F90" s="202"/>
      <c r="G90" s="202"/>
      <c r="H90" s="202"/>
      <c r="I90" s="202"/>
      <c r="J90" s="202"/>
      <c r="K90" s="202"/>
      <c r="L90" s="202"/>
      <c r="M90" s="202"/>
      <c r="N90" s="202"/>
      <c r="O90" s="202"/>
      <c r="P90" s="202"/>
      <c r="Q90" s="202"/>
      <c r="R90" s="202"/>
      <c r="S90" s="202"/>
      <c r="T90" s="558">
        <f t="shared" ref="T90:AA90" si="66">T46-S46</f>
        <v>0</v>
      </c>
      <c r="U90" s="558">
        <f t="shared" si="66"/>
        <v>0</v>
      </c>
      <c r="V90" s="558">
        <f t="shared" si="66"/>
        <v>0</v>
      </c>
      <c r="W90" s="558">
        <f t="shared" si="66"/>
        <v>0</v>
      </c>
      <c r="X90" s="558">
        <f t="shared" si="66"/>
        <v>0</v>
      </c>
      <c r="Y90" s="558">
        <f t="shared" si="66"/>
        <v>0</v>
      </c>
      <c r="Z90" s="558">
        <f t="shared" si="66"/>
        <v>0</v>
      </c>
      <c r="AA90" s="558">
        <f t="shared" si="66"/>
        <v>0</v>
      </c>
      <c r="AB90" s="558">
        <f>AB46-AA46</f>
        <v>1000</v>
      </c>
      <c r="AC90" s="558">
        <f t="shared" ref="AC90:AO90" si="67">AC46-AB46</f>
        <v>0</v>
      </c>
      <c r="AD90" s="558">
        <f t="shared" si="67"/>
        <v>0</v>
      </c>
      <c r="AE90" s="558">
        <f t="shared" si="67"/>
        <v>0</v>
      </c>
      <c r="AF90" s="558">
        <f t="shared" si="67"/>
        <v>0</v>
      </c>
      <c r="AG90" s="558">
        <f t="shared" si="67"/>
        <v>0</v>
      </c>
      <c r="AH90" s="558">
        <f t="shared" si="67"/>
        <v>0</v>
      </c>
      <c r="AI90" s="558">
        <f t="shared" si="67"/>
        <v>0</v>
      </c>
      <c r="AJ90" s="558">
        <f t="shared" si="67"/>
        <v>0</v>
      </c>
      <c r="AK90" s="558">
        <f t="shared" si="67"/>
        <v>0</v>
      </c>
      <c r="AL90" s="558">
        <f t="shared" si="67"/>
        <v>-1000</v>
      </c>
      <c r="AM90" s="558">
        <f t="shared" si="67"/>
        <v>0</v>
      </c>
      <c r="AN90" s="558">
        <f t="shared" si="67"/>
        <v>0</v>
      </c>
      <c r="AO90" s="558">
        <f t="shared" si="67"/>
        <v>0</v>
      </c>
    </row>
    <row r="91" spans="2:41" s="223" customFormat="1" outlineLevel="1">
      <c r="B91" s="807" t="s">
        <v>948</v>
      </c>
      <c r="C91" s="222"/>
      <c r="D91" s="202"/>
      <c r="E91" s="202"/>
      <c r="F91" s="202"/>
      <c r="G91" s="202"/>
      <c r="H91" s="202"/>
      <c r="I91" s="202"/>
      <c r="J91" s="202"/>
      <c r="K91" s="202"/>
      <c r="L91" s="202"/>
      <c r="M91" s="202"/>
      <c r="N91" s="202"/>
      <c r="O91" s="202"/>
      <c r="P91" s="202"/>
      <c r="Q91" s="202"/>
      <c r="R91" s="202"/>
      <c r="S91" s="202"/>
      <c r="T91" s="558">
        <f t="shared" ref="T91:AA91" si="68">T38-S38</f>
        <v>0</v>
      </c>
      <c r="U91" s="558">
        <f t="shared" si="68"/>
        <v>0</v>
      </c>
      <c r="V91" s="558">
        <f t="shared" si="68"/>
        <v>0</v>
      </c>
      <c r="W91" s="558">
        <f t="shared" si="68"/>
        <v>0</v>
      </c>
      <c r="X91" s="558">
        <f t="shared" si="68"/>
        <v>0</v>
      </c>
      <c r="Y91" s="558">
        <f t="shared" si="68"/>
        <v>0</v>
      </c>
      <c r="Z91" s="558">
        <f t="shared" si="68"/>
        <v>0</v>
      </c>
      <c r="AA91" s="558">
        <f t="shared" si="68"/>
        <v>0</v>
      </c>
      <c r="AB91" s="558">
        <f>AB38-AA38</f>
        <v>1500</v>
      </c>
      <c r="AC91" s="558">
        <f t="shared" ref="AC91:AO91" si="69">AC38-AB38</f>
        <v>0</v>
      </c>
      <c r="AD91" s="558">
        <f t="shared" si="69"/>
        <v>0</v>
      </c>
      <c r="AE91" s="558">
        <f t="shared" si="69"/>
        <v>0</v>
      </c>
      <c r="AF91" s="558">
        <f t="shared" si="69"/>
        <v>0</v>
      </c>
      <c r="AG91" s="558">
        <f t="shared" si="69"/>
        <v>-1500</v>
      </c>
      <c r="AH91" s="558">
        <f t="shared" si="69"/>
        <v>0</v>
      </c>
      <c r="AI91" s="558">
        <f t="shared" si="69"/>
        <v>0</v>
      </c>
      <c r="AJ91" s="558">
        <f t="shared" si="69"/>
        <v>0</v>
      </c>
      <c r="AK91" s="558">
        <f t="shared" si="69"/>
        <v>0</v>
      </c>
      <c r="AL91" s="558">
        <f t="shared" si="69"/>
        <v>0</v>
      </c>
      <c r="AM91" s="558">
        <f t="shared" si="69"/>
        <v>0</v>
      </c>
      <c r="AN91" s="558">
        <f t="shared" si="69"/>
        <v>0</v>
      </c>
      <c r="AO91" s="558">
        <f t="shared" si="69"/>
        <v>0</v>
      </c>
    </row>
    <row r="92" spans="2:41" s="223" customFormat="1" outlineLevel="1">
      <c r="B92" s="224" t="s">
        <v>482</v>
      </c>
      <c r="C92" s="222"/>
      <c r="D92" s="202"/>
      <c r="E92" s="202">
        <f t="shared" ref="E92:AE92" si="70">E53-D53</f>
        <v>0</v>
      </c>
      <c r="F92" s="202">
        <f t="shared" si="70"/>
        <v>0</v>
      </c>
      <c r="G92" s="202">
        <f t="shared" si="70"/>
        <v>0</v>
      </c>
      <c r="H92" s="202">
        <f t="shared" si="70"/>
        <v>0</v>
      </c>
      <c r="I92" s="202">
        <f t="shared" si="70"/>
        <v>0</v>
      </c>
      <c r="J92" s="202">
        <f t="shared" si="70"/>
        <v>0</v>
      </c>
      <c r="K92" s="202">
        <f t="shared" si="70"/>
        <v>0</v>
      </c>
      <c r="L92" s="202">
        <f t="shared" si="70"/>
        <v>0</v>
      </c>
      <c r="M92" s="202">
        <f t="shared" si="70"/>
        <v>0</v>
      </c>
      <c r="N92" s="202">
        <f t="shared" si="70"/>
        <v>0</v>
      </c>
      <c r="O92" s="202">
        <f t="shared" si="70"/>
        <v>0</v>
      </c>
      <c r="P92" s="202">
        <f t="shared" si="70"/>
        <v>0</v>
      </c>
      <c r="Q92" s="202">
        <f t="shared" si="70"/>
        <v>0</v>
      </c>
      <c r="R92" s="202">
        <f t="shared" si="70"/>
        <v>0</v>
      </c>
      <c r="S92" s="202">
        <f t="shared" si="70"/>
        <v>0</v>
      </c>
      <c r="T92" s="558">
        <f t="shared" si="70"/>
        <v>0</v>
      </c>
      <c r="U92" s="558">
        <f t="shared" si="70"/>
        <v>595</v>
      </c>
      <c r="V92" s="558">
        <f t="shared" si="70"/>
        <v>0</v>
      </c>
      <c r="W92" s="558">
        <f t="shared" si="70"/>
        <v>0</v>
      </c>
      <c r="X92" s="558">
        <f t="shared" si="70"/>
        <v>1</v>
      </c>
      <c r="Y92" s="558">
        <f t="shared" si="70"/>
        <v>0</v>
      </c>
      <c r="Z92" s="558">
        <f t="shared" si="70"/>
        <v>0</v>
      </c>
      <c r="AA92" s="558">
        <f t="shared" si="70"/>
        <v>4</v>
      </c>
      <c r="AB92" s="558">
        <f t="shared" si="70"/>
        <v>0</v>
      </c>
      <c r="AC92" s="558">
        <f t="shared" si="70"/>
        <v>0</v>
      </c>
      <c r="AD92" s="558">
        <f t="shared" si="70"/>
        <v>0</v>
      </c>
      <c r="AE92" s="558">
        <f t="shared" si="70"/>
        <v>0</v>
      </c>
      <c r="AF92" s="558">
        <f t="shared" ref="AF92:AO92" si="71">AF53-AE53</f>
        <v>0</v>
      </c>
      <c r="AG92" s="558">
        <f t="shared" si="71"/>
        <v>0</v>
      </c>
      <c r="AH92" s="558">
        <f t="shared" si="71"/>
        <v>0</v>
      </c>
      <c r="AI92" s="558">
        <f t="shared" si="71"/>
        <v>0</v>
      </c>
      <c r="AJ92" s="558">
        <f t="shared" si="71"/>
        <v>0</v>
      </c>
      <c r="AK92" s="558">
        <f t="shared" si="71"/>
        <v>0</v>
      </c>
      <c r="AL92" s="558">
        <f t="shared" si="71"/>
        <v>0</v>
      </c>
      <c r="AM92" s="558">
        <f t="shared" si="71"/>
        <v>0</v>
      </c>
      <c r="AN92" s="558">
        <f t="shared" si="71"/>
        <v>0</v>
      </c>
      <c r="AO92" s="558">
        <f t="shared" si="71"/>
        <v>0</v>
      </c>
    </row>
    <row r="93" spans="2:41" s="223" customFormat="1" outlineLevel="1">
      <c r="B93" s="224" t="s">
        <v>483</v>
      </c>
      <c r="C93" s="222"/>
      <c r="D93" s="202"/>
      <c r="E93" s="202">
        <f t="shared" ref="E93:AE93" si="72">E18-D18</f>
        <v>0</v>
      </c>
      <c r="F93" s="202">
        <f t="shared" si="72"/>
        <v>0</v>
      </c>
      <c r="G93" s="202">
        <f t="shared" si="72"/>
        <v>0</v>
      </c>
      <c r="H93" s="202">
        <f t="shared" si="72"/>
        <v>0</v>
      </c>
      <c r="I93" s="202">
        <f t="shared" si="72"/>
        <v>0</v>
      </c>
      <c r="J93" s="202">
        <f t="shared" si="72"/>
        <v>0</v>
      </c>
      <c r="K93" s="202">
        <f t="shared" si="72"/>
        <v>0</v>
      </c>
      <c r="L93" s="202">
        <f t="shared" si="72"/>
        <v>0</v>
      </c>
      <c r="M93" s="202">
        <f t="shared" si="72"/>
        <v>0</v>
      </c>
      <c r="N93" s="202">
        <f t="shared" si="72"/>
        <v>0</v>
      </c>
      <c r="O93" s="202">
        <f t="shared" si="72"/>
        <v>0</v>
      </c>
      <c r="P93" s="202">
        <f t="shared" si="72"/>
        <v>0</v>
      </c>
      <c r="Q93" s="202">
        <f t="shared" si="72"/>
        <v>0</v>
      </c>
      <c r="R93" s="202">
        <f t="shared" si="72"/>
        <v>0</v>
      </c>
      <c r="S93" s="202">
        <f t="shared" si="72"/>
        <v>499</v>
      </c>
      <c r="T93" s="558">
        <f t="shared" si="72"/>
        <v>0</v>
      </c>
      <c r="U93" s="558">
        <f t="shared" si="72"/>
        <v>0</v>
      </c>
      <c r="V93" s="558">
        <f t="shared" si="72"/>
        <v>0</v>
      </c>
      <c r="W93" s="558">
        <f t="shared" si="72"/>
        <v>0</v>
      </c>
      <c r="X93" s="558">
        <f t="shared" si="72"/>
        <v>1</v>
      </c>
      <c r="Y93" s="558">
        <f t="shared" si="72"/>
        <v>0</v>
      </c>
      <c r="Z93" s="558">
        <f t="shared" si="72"/>
        <v>0</v>
      </c>
      <c r="AA93" s="558">
        <f t="shared" si="72"/>
        <v>0</v>
      </c>
      <c r="AB93" s="558">
        <f t="shared" si="72"/>
        <v>0</v>
      </c>
      <c r="AC93" s="558">
        <f t="shared" si="72"/>
        <v>-500</v>
      </c>
      <c r="AD93" s="558">
        <f t="shared" si="72"/>
        <v>0</v>
      </c>
      <c r="AE93" s="558">
        <f t="shared" si="72"/>
        <v>0</v>
      </c>
      <c r="AF93" s="558">
        <f t="shared" ref="AF93:AO93" si="73">AF18-AE18</f>
        <v>0</v>
      </c>
      <c r="AG93" s="558">
        <f t="shared" si="73"/>
        <v>0</v>
      </c>
      <c r="AH93" s="558">
        <f t="shared" si="73"/>
        <v>0</v>
      </c>
      <c r="AI93" s="558">
        <f t="shared" si="73"/>
        <v>0</v>
      </c>
      <c r="AJ93" s="558">
        <f t="shared" si="73"/>
        <v>0</v>
      </c>
      <c r="AK93" s="558">
        <f t="shared" si="73"/>
        <v>0</v>
      </c>
      <c r="AL93" s="558">
        <f t="shared" si="73"/>
        <v>0</v>
      </c>
      <c r="AM93" s="558">
        <f t="shared" si="73"/>
        <v>0</v>
      </c>
      <c r="AN93" s="558">
        <f t="shared" si="73"/>
        <v>0</v>
      </c>
      <c r="AO93" s="558">
        <f t="shared" si="73"/>
        <v>0</v>
      </c>
    </row>
    <row r="94" spans="2:41" s="223" customFormat="1" outlineLevel="1">
      <c r="B94" s="224" t="s">
        <v>484</v>
      </c>
      <c r="C94" s="222"/>
      <c r="D94" s="202"/>
      <c r="E94" s="202">
        <f t="shared" ref="E94:AE94" si="74">E50-D50</f>
        <v>0</v>
      </c>
      <c r="F94" s="202">
        <f t="shared" si="74"/>
        <v>0</v>
      </c>
      <c r="G94" s="202">
        <f t="shared" si="74"/>
        <v>0</v>
      </c>
      <c r="H94" s="202">
        <f t="shared" si="74"/>
        <v>0</v>
      </c>
      <c r="I94" s="202">
        <f t="shared" si="74"/>
        <v>0</v>
      </c>
      <c r="J94" s="202">
        <f t="shared" si="74"/>
        <v>0</v>
      </c>
      <c r="K94" s="202">
        <f t="shared" si="74"/>
        <v>0</v>
      </c>
      <c r="L94" s="202">
        <f t="shared" si="74"/>
        <v>0</v>
      </c>
      <c r="M94" s="202">
        <f t="shared" si="74"/>
        <v>0</v>
      </c>
      <c r="N94" s="202">
        <f t="shared" si="74"/>
        <v>0</v>
      </c>
      <c r="O94" s="202">
        <f t="shared" si="74"/>
        <v>0</v>
      </c>
      <c r="P94" s="202">
        <f t="shared" si="74"/>
        <v>0</v>
      </c>
      <c r="Q94" s="202">
        <f t="shared" si="74"/>
        <v>0</v>
      </c>
      <c r="R94" s="202">
        <f t="shared" si="74"/>
        <v>0</v>
      </c>
      <c r="S94" s="202">
        <f t="shared" si="74"/>
        <v>498</v>
      </c>
      <c r="T94" s="558">
        <f t="shared" si="74"/>
        <v>1</v>
      </c>
      <c r="U94" s="558">
        <f t="shared" si="74"/>
        <v>0</v>
      </c>
      <c r="V94" s="558">
        <f t="shared" si="74"/>
        <v>0</v>
      </c>
      <c r="W94" s="558">
        <f t="shared" si="74"/>
        <v>0</v>
      </c>
      <c r="X94" s="558">
        <f t="shared" si="74"/>
        <v>0</v>
      </c>
      <c r="Y94" s="558">
        <f t="shared" si="74"/>
        <v>0</v>
      </c>
      <c r="Z94" s="558">
        <f t="shared" si="74"/>
        <v>0</v>
      </c>
      <c r="AA94" s="558">
        <f t="shared" si="74"/>
        <v>-208</v>
      </c>
      <c r="AB94" s="558">
        <f t="shared" si="74"/>
        <v>0</v>
      </c>
      <c r="AC94" s="558">
        <f t="shared" si="74"/>
        <v>0</v>
      </c>
      <c r="AD94" s="558">
        <f t="shared" si="74"/>
        <v>0</v>
      </c>
      <c r="AE94" s="558">
        <f t="shared" si="74"/>
        <v>0</v>
      </c>
      <c r="AF94" s="558">
        <f t="shared" ref="AF94:AO94" si="75">AF50-AE50</f>
        <v>0</v>
      </c>
      <c r="AG94" s="558">
        <f t="shared" si="75"/>
        <v>0</v>
      </c>
      <c r="AH94" s="558">
        <f t="shared" si="75"/>
        <v>0</v>
      </c>
      <c r="AI94" s="558">
        <f t="shared" si="75"/>
        <v>0</v>
      </c>
      <c r="AJ94" s="558">
        <f t="shared" si="75"/>
        <v>0</v>
      </c>
      <c r="AK94" s="558">
        <f t="shared" si="75"/>
        <v>0</v>
      </c>
      <c r="AL94" s="558">
        <f t="shared" si="75"/>
        <v>0</v>
      </c>
      <c r="AM94" s="558">
        <f t="shared" si="75"/>
        <v>0</v>
      </c>
      <c r="AN94" s="558">
        <f t="shared" si="75"/>
        <v>0</v>
      </c>
      <c r="AO94" s="558">
        <f t="shared" si="75"/>
        <v>0</v>
      </c>
    </row>
    <row r="95" spans="2:41" s="223" customFormat="1" outlineLevel="1">
      <c r="B95" s="224" t="s">
        <v>485</v>
      </c>
      <c r="C95" s="222"/>
      <c r="D95" s="202"/>
      <c r="E95" s="202">
        <f t="shared" ref="E95:AE95" si="76">E27-D27</f>
        <v>0</v>
      </c>
      <c r="F95" s="202">
        <f t="shared" si="76"/>
        <v>0</v>
      </c>
      <c r="G95" s="202">
        <f t="shared" si="76"/>
        <v>0</v>
      </c>
      <c r="H95" s="202">
        <f t="shared" si="76"/>
        <v>0</v>
      </c>
      <c r="I95" s="202">
        <f t="shared" si="76"/>
        <v>0</v>
      </c>
      <c r="J95" s="202">
        <f t="shared" si="76"/>
        <v>0</v>
      </c>
      <c r="K95" s="202">
        <f t="shared" si="76"/>
        <v>0</v>
      </c>
      <c r="L95" s="202">
        <f t="shared" si="76"/>
        <v>0</v>
      </c>
      <c r="M95" s="202">
        <f t="shared" si="76"/>
        <v>0</v>
      </c>
      <c r="N95" s="202">
        <f t="shared" si="76"/>
        <v>0</v>
      </c>
      <c r="O95" s="202">
        <f t="shared" si="76"/>
        <v>0</v>
      </c>
      <c r="P95" s="202">
        <f t="shared" si="76"/>
        <v>0</v>
      </c>
      <c r="Q95" s="202">
        <f t="shared" si="76"/>
        <v>0</v>
      </c>
      <c r="R95" s="202">
        <f t="shared" si="76"/>
        <v>0</v>
      </c>
      <c r="S95" s="202">
        <f t="shared" si="76"/>
        <v>0</v>
      </c>
      <c r="T95" s="558">
        <f t="shared" si="76"/>
        <v>0</v>
      </c>
      <c r="U95" s="558">
        <f t="shared" si="76"/>
        <v>300</v>
      </c>
      <c r="V95" s="558">
        <f t="shared" si="76"/>
        <v>0</v>
      </c>
      <c r="W95" s="558">
        <f t="shared" si="76"/>
        <v>0</v>
      </c>
      <c r="X95" s="558">
        <f t="shared" si="76"/>
        <v>0</v>
      </c>
      <c r="Y95" s="558">
        <f t="shared" si="76"/>
        <v>0</v>
      </c>
      <c r="Z95" s="558">
        <f t="shared" si="76"/>
        <v>0</v>
      </c>
      <c r="AA95" s="558">
        <f t="shared" si="76"/>
        <v>0</v>
      </c>
      <c r="AB95" s="558">
        <f t="shared" si="76"/>
        <v>0</v>
      </c>
      <c r="AC95" s="558">
        <f t="shared" si="76"/>
        <v>0</v>
      </c>
      <c r="AD95" s="558">
        <f t="shared" si="76"/>
        <v>0</v>
      </c>
      <c r="AE95" s="558">
        <f t="shared" si="76"/>
        <v>-300</v>
      </c>
      <c r="AF95" s="558">
        <f t="shared" ref="AF95:AO95" si="77">AF27-AE27</f>
        <v>0</v>
      </c>
      <c r="AG95" s="558">
        <f t="shared" si="77"/>
        <v>0</v>
      </c>
      <c r="AH95" s="558">
        <f t="shared" si="77"/>
        <v>0</v>
      </c>
      <c r="AI95" s="558">
        <f t="shared" si="77"/>
        <v>0</v>
      </c>
      <c r="AJ95" s="558">
        <f t="shared" si="77"/>
        <v>0</v>
      </c>
      <c r="AK95" s="558">
        <f t="shared" si="77"/>
        <v>0</v>
      </c>
      <c r="AL95" s="558">
        <f t="shared" si="77"/>
        <v>0</v>
      </c>
      <c r="AM95" s="558">
        <f t="shared" si="77"/>
        <v>0</v>
      </c>
      <c r="AN95" s="558">
        <f t="shared" si="77"/>
        <v>0</v>
      </c>
      <c r="AO95" s="558">
        <f t="shared" si="77"/>
        <v>0</v>
      </c>
    </row>
    <row r="96" spans="2:41" s="223" customFormat="1" outlineLevel="1">
      <c r="B96" s="224" t="s">
        <v>486</v>
      </c>
      <c r="C96" s="222"/>
      <c r="D96" s="202"/>
      <c r="E96" s="202">
        <f t="shared" ref="E96:AE96" si="78">E48-D48</f>
        <v>0</v>
      </c>
      <c r="F96" s="202">
        <f t="shared" si="78"/>
        <v>0</v>
      </c>
      <c r="G96" s="202">
        <f t="shared" si="78"/>
        <v>0</v>
      </c>
      <c r="H96" s="202">
        <f t="shared" si="78"/>
        <v>0</v>
      </c>
      <c r="I96" s="202">
        <f t="shared" si="78"/>
        <v>0</v>
      </c>
      <c r="J96" s="202">
        <f t="shared" si="78"/>
        <v>0</v>
      </c>
      <c r="K96" s="202">
        <f t="shared" si="78"/>
        <v>0</v>
      </c>
      <c r="L96" s="202">
        <f t="shared" si="78"/>
        <v>0</v>
      </c>
      <c r="M96" s="202">
        <f t="shared" si="78"/>
        <v>3070</v>
      </c>
      <c r="N96" s="202">
        <f t="shared" si="78"/>
        <v>-170</v>
      </c>
      <c r="O96" s="202">
        <f t="shared" si="78"/>
        <v>12</v>
      </c>
      <c r="P96" s="202">
        <f t="shared" si="78"/>
        <v>-1153</v>
      </c>
      <c r="Q96" s="202">
        <f t="shared" si="78"/>
        <v>19</v>
      </c>
      <c r="R96" s="202">
        <f t="shared" si="78"/>
        <v>-1698</v>
      </c>
      <c r="S96" s="202">
        <f t="shared" si="78"/>
        <v>1</v>
      </c>
      <c r="T96" s="558">
        <f t="shared" si="78"/>
        <v>1</v>
      </c>
      <c r="U96" s="558">
        <f t="shared" si="78"/>
        <v>1</v>
      </c>
      <c r="V96" s="558">
        <f t="shared" si="78"/>
        <v>1</v>
      </c>
      <c r="W96" s="558">
        <f t="shared" si="78"/>
        <v>-84</v>
      </c>
      <c r="X96" s="558">
        <f t="shared" si="78"/>
        <v>0</v>
      </c>
      <c r="Y96" s="558">
        <f t="shared" si="78"/>
        <v>0</v>
      </c>
      <c r="Z96" s="558">
        <f t="shared" si="78"/>
        <v>0</v>
      </c>
      <c r="AA96" s="558">
        <f t="shared" si="78"/>
        <v>0</v>
      </c>
      <c r="AB96" s="558">
        <f t="shared" si="78"/>
        <v>0</v>
      </c>
      <c r="AC96" s="558">
        <f t="shared" si="78"/>
        <v>0</v>
      </c>
      <c r="AD96" s="558">
        <f t="shared" si="78"/>
        <v>0</v>
      </c>
      <c r="AE96" s="558">
        <f t="shared" si="78"/>
        <v>0</v>
      </c>
      <c r="AF96" s="558">
        <f t="shared" ref="AF96:AO96" si="79">AF48-AE48</f>
        <v>0</v>
      </c>
      <c r="AG96" s="558">
        <f t="shared" si="79"/>
        <v>0</v>
      </c>
      <c r="AH96" s="558">
        <f t="shared" si="79"/>
        <v>0</v>
      </c>
      <c r="AI96" s="558">
        <f t="shared" si="79"/>
        <v>0</v>
      </c>
      <c r="AJ96" s="558">
        <f t="shared" si="79"/>
        <v>0</v>
      </c>
      <c r="AK96" s="558">
        <f t="shared" si="79"/>
        <v>0</v>
      </c>
      <c r="AL96" s="558">
        <f t="shared" si="79"/>
        <v>0</v>
      </c>
      <c r="AM96" s="558">
        <f t="shared" si="79"/>
        <v>0</v>
      </c>
      <c r="AN96" s="558">
        <f t="shared" si="79"/>
        <v>0</v>
      </c>
      <c r="AO96" s="558">
        <f t="shared" si="79"/>
        <v>0</v>
      </c>
    </row>
    <row r="97" spans="2:41" s="223" customFormat="1" outlineLevel="1">
      <c r="B97" s="224" t="s">
        <v>487</v>
      </c>
      <c r="C97" s="222"/>
      <c r="D97" s="202"/>
      <c r="E97" s="202">
        <f t="shared" ref="E97:AE97" si="80">E60-D60</f>
        <v>0</v>
      </c>
      <c r="F97" s="202">
        <f t="shared" si="80"/>
        <v>0</v>
      </c>
      <c r="G97" s="202">
        <f t="shared" si="80"/>
        <v>100</v>
      </c>
      <c r="H97" s="202">
        <f t="shared" si="80"/>
        <v>0</v>
      </c>
      <c r="I97" s="202">
        <f t="shared" si="80"/>
        <v>0</v>
      </c>
      <c r="J97" s="202">
        <f t="shared" si="80"/>
        <v>0</v>
      </c>
      <c r="K97" s="202">
        <f t="shared" si="80"/>
        <v>0</v>
      </c>
      <c r="L97" s="202">
        <f t="shared" si="80"/>
        <v>0</v>
      </c>
      <c r="M97" s="202">
        <f t="shared" si="80"/>
        <v>0</v>
      </c>
      <c r="N97" s="202">
        <f t="shared" si="80"/>
        <v>0</v>
      </c>
      <c r="O97" s="202">
        <f t="shared" si="80"/>
        <v>0</v>
      </c>
      <c r="P97" s="202">
        <f t="shared" si="80"/>
        <v>0</v>
      </c>
      <c r="Q97" s="202">
        <f t="shared" si="80"/>
        <v>0</v>
      </c>
      <c r="R97" s="202">
        <f t="shared" si="80"/>
        <v>0</v>
      </c>
      <c r="S97" s="202">
        <f t="shared" si="80"/>
        <v>0</v>
      </c>
      <c r="T97" s="558">
        <f t="shared" si="80"/>
        <v>0</v>
      </c>
      <c r="U97" s="558">
        <f t="shared" si="80"/>
        <v>0</v>
      </c>
      <c r="V97" s="558">
        <f t="shared" si="80"/>
        <v>0</v>
      </c>
      <c r="W97" s="558">
        <f t="shared" si="80"/>
        <v>9</v>
      </c>
      <c r="X97" s="558">
        <f t="shared" si="80"/>
        <v>-109</v>
      </c>
      <c r="Y97" s="558">
        <f t="shared" si="80"/>
        <v>0</v>
      </c>
      <c r="Z97" s="558">
        <f t="shared" si="80"/>
        <v>0</v>
      </c>
      <c r="AA97" s="558">
        <f t="shared" si="80"/>
        <v>0</v>
      </c>
      <c r="AB97" s="558">
        <f t="shared" si="80"/>
        <v>0</v>
      </c>
      <c r="AC97" s="558">
        <f t="shared" si="80"/>
        <v>0</v>
      </c>
      <c r="AD97" s="558">
        <f t="shared" si="80"/>
        <v>0</v>
      </c>
      <c r="AE97" s="558">
        <f t="shared" si="80"/>
        <v>0</v>
      </c>
      <c r="AF97" s="558">
        <f t="shared" ref="AF97:AO97" si="81">AF60-AE60</f>
        <v>0</v>
      </c>
      <c r="AG97" s="558">
        <f t="shared" si="81"/>
        <v>0</v>
      </c>
      <c r="AH97" s="558">
        <f t="shared" si="81"/>
        <v>0</v>
      </c>
      <c r="AI97" s="558">
        <f t="shared" si="81"/>
        <v>0</v>
      </c>
      <c r="AJ97" s="558">
        <f t="shared" si="81"/>
        <v>0</v>
      </c>
      <c r="AK97" s="558">
        <f t="shared" si="81"/>
        <v>0</v>
      </c>
      <c r="AL97" s="558">
        <f t="shared" si="81"/>
        <v>0</v>
      </c>
      <c r="AM97" s="558">
        <f t="shared" si="81"/>
        <v>0</v>
      </c>
      <c r="AN97" s="558">
        <f t="shared" si="81"/>
        <v>0</v>
      </c>
      <c r="AO97" s="558">
        <f t="shared" si="81"/>
        <v>0</v>
      </c>
    </row>
    <row r="98" spans="2:41" s="223" customFormat="1" outlineLevel="1">
      <c r="B98" s="224" t="s">
        <v>488</v>
      </c>
      <c r="C98" s="222"/>
      <c r="D98" s="202"/>
      <c r="E98" s="202">
        <f t="shared" ref="E98:AE98" si="82">E6-D6</f>
        <v>0</v>
      </c>
      <c r="F98" s="202">
        <f t="shared" si="82"/>
        <v>0</v>
      </c>
      <c r="G98" s="202">
        <f t="shared" si="82"/>
        <v>0</v>
      </c>
      <c r="H98" s="202">
        <f t="shared" si="82"/>
        <v>0</v>
      </c>
      <c r="I98" s="202">
        <f t="shared" si="82"/>
        <v>0</v>
      </c>
      <c r="J98" s="202">
        <f t="shared" si="82"/>
        <v>0</v>
      </c>
      <c r="K98" s="202">
        <f t="shared" si="82"/>
        <v>0</v>
      </c>
      <c r="L98" s="202">
        <f t="shared" si="82"/>
        <v>0</v>
      </c>
      <c r="M98" s="202">
        <f t="shared" si="82"/>
        <v>0</v>
      </c>
      <c r="N98" s="202">
        <f t="shared" si="82"/>
        <v>0</v>
      </c>
      <c r="O98" s="202">
        <f t="shared" si="82"/>
        <v>998</v>
      </c>
      <c r="P98" s="202">
        <f t="shared" si="82"/>
        <v>0</v>
      </c>
      <c r="Q98" s="202">
        <f t="shared" si="82"/>
        <v>1</v>
      </c>
      <c r="R98" s="202">
        <f t="shared" si="82"/>
        <v>0</v>
      </c>
      <c r="S98" s="202">
        <f t="shared" si="82"/>
        <v>1</v>
      </c>
      <c r="T98" s="558">
        <f t="shared" si="82"/>
        <v>-1000</v>
      </c>
      <c r="U98" s="558">
        <f t="shared" si="82"/>
        <v>0</v>
      </c>
      <c r="V98" s="558">
        <f t="shared" si="82"/>
        <v>0</v>
      </c>
      <c r="W98" s="558">
        <f t="shared" si="82"/>
        <v>0</v>
      </c>
      <c r="X98" s="558">
        <f t="shared" si="82"/>
        <v>0</v>
      </c>
      <c r="Y98" s="558">
        <f t="shared" si="82"/>
        <v>0</v>
      </c>
      <c r="Z98" s="558">
        <f t="shared" si="82"/>
        <v>0</v>
      </c>
      <c r="AA98" s="558">
        <f t="shared" si="82"/>
        <v>0</v>
      </c>
      <c r="AB98" s="558">
        <f t="shared" si="82"/>
        <v>0</v>
      </c>
      <c r="AC98" s="558">
        <f t="shared" si="82"/>
        <v>0</v>
      </c>
      <c r="AD98" s="558">
        <f t="shared" si="82"/>
        <v>0</v>
      </c>
      <c r="AE98" s="558">
        <f t="shared" si="82"/>
        <v>0</v>
      </c>
      <c r="AF98" s="558">
        <f t="shared" ref="AF98:AO98" si="83">AF6-AE6</f>
        <v>0</v>
      </c>
      <c r="AG98" s="558">
        <f t="shared" si="83"/>
        <v>0</v>
      </c>
      <c r="AH98" s="558">
        <f t="shared" si="83"/>
        <v>0</v>
      </c>
      <c r="AI98" s="558">
        <f t="shared" si="83"/>
        <v>0</v>
      </c>
      <c r="AJ98" s="558">
        <f t="shared" si="83"/>
        <v>0</v>
      </c>
      <c r="AK98" s="558">
        <f t="shared" si="83"/>
        <v>0</v>
      </c>
      <c r="AL98" s="558">
        <f t="shared" si="83"/>
        <v>0</v>
      </c>
      <c r="AM98" s="558">
        <f t="shared" si="83"/>
        <v>0</v>
      </c>
      <c r="AN98" s="558">
        <f t="shared" si="83"/>
        <v>0</v>
      </c>
      <c r="AO98" s="558">
        <f t="shared" si="83"/>
        <v>0</v>
      </c>
    </row>
    <row r="99" spans="2:41" s="223" customFormat="1" outlineLevel="1">
      <c r="B99" s="224" t="s">
        <v>489</v>
      </c>
      <c r="C99" s="222"/>
      <c r="D99" s="202"/>
      <c r="E99" s="202">
        <f t="shared" ref="E99:AE99" si="84">E5-D5</f>
        <v>0</v>
      </c>
      <c r="F99" s="202">
        <f t="shared" si="84"/>
        <v>0</v>
      </c>
      <c r="G99" s="202">
        <f t="shared" si="84"/>
        <v>0</v>
      </c>
      <c r="H99" s="202">
        <f t="shared" si="84"/>
        <v>0</v>
      </c>
      <c r="I99" s="202">
        <f t="shared" si="84"/>
        <v>0</v>
      </c>
      <c r="J99" s="202">
        <f t="shared" si="84"/>
        <v>0</v>
      </c>
      <c r="K99" s="202">
        <f t="shared" si="84"/>
        <v>0</v>
      </c>
      <c r="L99" s="202">
        <f t="shared" si="84"/>
        <v>0</v>
      </c>
      <c r="M99" s="202">
        <f t="shared" si="84"/>
        <v>0</v>
      </c>
      <c r="N99" s="202">
        <f t="shared" si="84"/>
        <v>0</v>
      </c>
      <c r="O99" s="202">
        <f t="shared" si="84"/>
        <v>0</v>
      </c>
      <c r="P99" s="202">
        <f t="shared" si="84"/>
        <v>0</v>
      </c>
      <c r="Q99" s="202">
        <f t="shared" si="84"/>
        <v>0</v>
      </c>
      <c r="R99" s="202">
        <f t="shared" si="84"/>
        <v>2000</v>
      </c>
      <c r="S99" s="202">
        <f t="shared" si="84"/>
        <v>-2000</v>
      </c>
      <c r="T99" s="558">
        <f t="shared" si="84"/>
        <v>0</v>
      </c>
      <c r="U99" s="558">
        <f t="shared" si="84"/>
        <v>0</v>
      </c>
      <c r="V99" s="558">
        <f t="shared" si="84"/>
        <v>0</v>
      </c>
      <c r="W99" s="558">
        <f t="shared" si="84"/>
        <v>0</v>
      </c>
      <c r="X99" s="558">
        <f t="shared" si="84"/>
        <v>0</v>
      </c>
      <c r="Y99" s="558">
        <f t="shared" si="84"/>
        <v>0</v>
      </c>
      <c r="Z99" s="558">
        <f t="shared" si="84"/>
        <v>0</v>
      </c>
      <c r="AA99" s="558">
        <f t="shared" si="84"/>
        <v>0</v>
      </c>
      <c r="AB99" s="558">
        <f t="shared" si="84"/>
        <v>0</v>
      </c>
      <c r="AC99" s="558">
        <f t="shared" si="84"/>
        <v>0</v>
      </c>
      <c r="AD99" s="558">
        <f t="shared" si="84"/>
        <v>0</v>
      </c>
      <c r="AE99" s="558">
        <f t="shared" si="84"/>
        <v>0</v>
      </c>
      <c r="AF99" s="558">
        <f t="shared" ref="AF99:AO99" si="85">AF5-AE5</f>
        <v>0</v>
      </c>
      <c r="AG99" s="558">
        <f t="shared" si="85"/>
        <v>0</v>
      </c>
      <c r="AH99" s="558">
        <f t="shared" si="85"/>
        <v>0</v>
      </c>
      <c r="AI99" s="558">
        <f t="shared" si="85"/>
        <v>0</v>
      </c>
      <c r="AJ99" s="558">
        <f t="shared" si="85"/>
        <v>0</v>
      </c>
      <c r="AK99" s="558">
        <f t="shared" si="85"/>
        <v>0</v>
      </c>
      <c r="AL99" s="558">
        <f t="shared" si="85"/>
        <v>0</v>
      </c>
      <c r="AM99" s="558">
        <f t="shared" si="85"/>
        <v>0</v>
      </c>
      <c r="AN99" s="558">
        <f t="shared" si="85"/>
        <v>0</v>
      </c>
      <c r="AO99" s="558">
        <f t="shared" si="85"/>
        <v>0</v>
      </c>
    </row>
    <row r="100" spans="2:41" s="223" customFormat="1" outlineLevel="1">
      <c r="B100" s="211" t="s">
        <v>490</v>
      </c>
      <c r="C100" s="222"/>
      <c r="D100" s="202"/>
      <c r="E100" s="202"/>
      <c r="F100" s="202"/>
      <c r="G100" s="202"/>
      <c r="H100" s="202"/>
      <c r="I100" s="202"/>
      <c r="J100" s="202"/>
      <c r="K100" s="202"/>
      <c r="L100" s="202"/>
      <c r="M100" s="202"/>
      <c r="N100" s="202"/>
      <c r="O100" s="202"/>
      <c r="P100" s="202"/>
      <c r="Q100" s="202"/>
      <c r="R100" s="202">
        <f t="shared" ref="R100:AE100" si="86">R55-Q55</f>
        <v>0</v>
      </c>
      <c r="S100" s="202">
        <f t="shared" si="86"/>
        <v>0</v>
      </c>
      <c r="T100" s="558">
        <f t="shared" si="86"/>
        <v>0</v>
      </c>
      <c r="U100" s="558">
        <f t="shared" si="86"/>
        <v>0</v>
      </c>
      <c r="V100" s="558">
        <f t="shared" si="86"/>
        <v>1244</v>
      </c>
      <c r="W100" s="558">
        <f t="shared" si="86"/>
        <v>0</v>
      </c>
      <c r="X100" s="558">
        <f t="shared" si="86"/>
        <v>0</v>
      </c>
      <c r="Y100" s="558">
        <f t="shared" si="86"/>
        <v>1</v>
      </c>
      <c r="Z100" s="558">
        <f t="shared" si="86"/>
        <v>0</v>
      </c>
      <c r="AA100" s="558">
        <f t="shared" si="86"/>
        <v>-758</v>
      </c>
      <c r="AB100" s="558">
        <f t="shared" si="86"/>
        <v>0</v>
      </c>
      <c r="AC100" s="558">
        <f t="shared" si="86"/>
        <v>0</v>
      </c>
      <c r="AD100" s="558">
        <f t="shared" si="86"/>
        <v>0</v>
      </c>
      <c r="AE100" s="558">
        <f t="shared" si="86"/>
        <v>0</v>
      </c>
      <c r="AF100" s="558">
        <f t="shared" ref="AF100:AO100" si="87">AF55-AE55</f>
        <v>0</v>
      </c>
      <c r="AG100" s="558">
        <f t="shared" si="87"/>
        <v>0</v>
      </c>
      <c r="AH100" s="558">
        <f t="shared" si="87"/>
        <v>0</v>
      </c>
      <c r="AI100" s="558">
        <f t="shared" si="87"/>
        <v>0</v>
      </c>
      <c r="AJ100" s="558">
        <f t="shared" si="87"/>
        <v>0</v>
      </c>
      <c r="AK100" s="558">
        <f t="shared" si="87"/>
        <v>0</v>
      </c>
      <c r="AL100" s="558">
        <f t="shared" si="87"/>
        <v>0</v>
      </c>
      <c r="AM100" s="558">
        <f t="shared" si="87"/>
        <v>0</v>
      </c>
      <c r="AN100" s="558">
        <f t="shared" si="87"/>
        <v>0</v>
      </c>
      <c r="AO100" s="558">
        <f t="shared" si="87"/>
        <v>0</v>
      </c>
    </row>
    <row r="101" spans="2:41" s="223" customFormat="1" outlineLevel="1">
      <c r="B101" s="211" t="s">
        <v>491</v>
      </c>
      <c r="C101" s="222"/>
      <c r="D101" s="202"/>
      <c r="E101" s="202"/>
      <c r="F101" s="202"/>
      <c r="G101" s="202"/>
      <c r="H101" s="202"/>
      <c r="I101" s="202"/>
      <c r="J101" s="202"/>
      <c r="K101" s="202"/>
      <c r="L101" s="202"/>
      <c r="M101" s="202"/>
      <c r="N101" s="202"/>
      <c r="O101" s="202"/>
      <c r="P101" s="202"/>
      <c r="Q101" s="202"/>
      <c r="R101" s="202">
        <f t="shared" ref="R101:AE101" si="88">R32-Q32</f>
        <v>0</v>
      </c>
      <c r="S101" s="202">
        <f t="shared" si="88"/>
        <v>0</v>
      </c>
      <c r="T101" s="558">
        <f t="shared" si="88"/>
        <v>0</v>
      </c>
      <c r="U101" s="558">
        <f t="shared" si="88"/>
        <v>0</v>
      </c>
      <c r="V101" s="558">
        <f t="shared" si="88"/>
        <v>998</v>
      </c>
      <c r="W101" s="558">
        <f t="shared" si="88"/>
        <v>0</v>
      </c>
      <c r="X101" s="558">
        <f t="shared" si="88"/>
        <v>0</v>
      </c>
      <c r="Y101" s="558">
        <f t="shared" si="88"/>
        <v>0</v>
      </c>
      <c r="Z101" s="558">
        <f t="shared" si="88"/>
        <v>1</v>
      </c>
      <c r="AA101" s="558">
        <f t="shared" si="88"/>
        <v>1</v>
      </c>
      <c r="AB101" s="558">
        <f t="shared" si="88"/>
        <v>0</v>
      </c>
      <c r="AC101" s="558">
        <f t="shared" si="88"/>
        <v>0</v>
      </c>
      <c r="AD101" s="558">
        <f t="shared" si="88"/>
        <v>0</v>
      </c>
      <c r="AE101" s="558">
        <f t="shared" si="88"/>
        <v>0</v>
      </c>
      <c r="AF101" s="558">
        <f t="shared" ref="AF101:AO101" si="89">AF32-AE32</f>
        <v>-1000</v>
      </c>
      <c r="AG101" s="558">
        <f t="shared" si="89"/>
        <v>0</v>
      </c>
      <c r="AH101" s="558">
        <f t="shared" si="89"/>
        <v>0</v>
      </c>
      <c r="AI101" s="558">
        <f t="shared" si="89"/>
        <v>0</v>
      </c>
      <c r="AJ101" s="558">
        <f t="shared" si="89"/>
        <v>0</v>
      </c>
      <c r="AK101" s="558">
        <f t="shared" si="89"/>
        <v>0</v>
      </c>
      <c r="AL101" s="558">
        <f t="shared" si="89"/>
        <v>0</v>
      </c>
      <c r="AM101" s="558">
        <f t="shared" si="89"/>
        <v>0</v>
      </c>
      <c r="AN101" s="558">
        <f t="shared" si="89"/>
        <v>0</v>
      </c>
      <c r="AO101" s="558">
        <f t="shared" si="89"/>
        <v>0</v>
      </c>
    </row>
    <row r="102" spans="2:41" s="223" customFormat="1" ht="11.25" customHeight="1" outlineLevel="1">
      <c r="B102" s="211" t="s">
        <v>492</v>
      </c>
      <c r="C102" s="222"/>
      <c r="D102" s="202"/>
      <c r="E102" s="202"/>
      <c r="F102" s="202"/>
      <c r="G102" s="202"/>
      <c r="H102" s="202"/>
      <c r="I102" s="202"/>
      <c r="J102" s="202"/>
      <c r="K102" s="202"/>
      <c r="L102" s="202"/>
      <c r="M102" s="202"/>
      <c r="N102" s="202"/>
      <c r="O102" s="202"/>
      <c r="P102" s="202"/>
      <c r="Q102" s="202"/>
      <c r="R102" s="202">
        <f t="shared" ref="R102:AE102" si="90">R11-Q11</f>
        <v>0</v>
      </c>
      <c r="S102" s="202">
        <f t="shared" si="90"/>
        <v>0</v>
      </c>
      <c r="T102" s="558">
        <f t="shared" si="90"/>
        <v>0</v>
      </c>
      <c r="U102" s="558">
        <f t="shared" si="90"/>
        <v>0</v>
      </c>
      <c r="V102" s="558">
        <f t="shared" si="90"/>
        <v>748</v>
      </c>
      <c r="W102" s="558">
        <f t="shared" si="90"/>
        <v>1</v>
      </c>
      <c r="X102" s="558">
        <f t="shared" si="90"/>
        <v>0</v>
      </c>
      <c r="Y102" s="558">
        <f t="shared" si="90"/>
        <v>0</v>
      </c>
      <c r="Z102" s="558">
        <f t="shared" si="90"/>
        <v>1</v>
      </c>
      <c r="AA102" s="558">
        <f t="shared" si="90"/>
        <v>-750</v>
      </c>
      <c r="AB102" s="558">
        <f t="shared" si="90"/>
        <v>0</v>
      </c>
      <c r="AC102" s="558">
        <f t="shared" si="90"/>
        <v>0</v>
      </c>
      <c r="AD102" s="558">
        <f t="shared" si="90"/>
        <v>0</v>
      </c>
      <c r="AE102" s="558">
        <f t="shared" si="90"/>
        <v>0</v>
      </c>
      <c r="AF102" s="558">
        <f t="shared" ref="AF102:AO102" si="91">AF11-AE11</f>
        <v>0</v>
      </c>
      <c r="AG102" s="558">
        <f t="shared" si="91"/>
        <v>0</v>
      </c>
      <c r="AH102" s="558">
        <f t="shared" si="91"/>
        <v>0</v>
      </c>
      <c r="AI102" s="558">
        <f t="shared" si="91"/>
        <v>0</v>
      </c>
      <c r="AJ102" s="558">
        <f t="shared" si="91"/>
        <v>0</v>
      </c>
      <c r="AK102" s="558">
        <f t="shared" si="91"/>
        <v>0</v>
      </c>
      <c r="AL102" s="558">
        <f t="shared" si="91"/>
        <v>0</v>
      </c>
      <c r="AM102" s="558">
        <f t="shared" si="91"/>
        <v>0</v>
      </c>
      <c r="AN102" s="558">
        <f t="shared" si="91"/>
        <v>0</v>
      </c>
      <c r="AO102" s="558">
        <f t="shared" si="91"/>
        <v>0</v>
      </c>
    </row>
    <row r="103" spans="2:41" s="204" customFormat="1" outlineLevel="1">
      <c r="B103" s="211" t="s">
        <v>493</v>
      </c>
      <c r="C103" s="106"/>
      <c r="D103" s="202"/>
      <c r="E103" s="202"/>
      <c r="F103" s="202"/>
      <c r="G103" s="202"/>
      <c r="H103" s="202"/>
      <c r="I103" s="202"/>
      <c r="J103" s="202"/>
      <c r="K103" s="202"/>
      <c r="L103" s="202"/>
      <c r="M103" s="203"/>
      <c r="N103" s="203"/>
      <c r="O103" s="203"/>
      <c r="P103" s="202"/>
      <c r="Q103" s="202"/>
      <c r="R103" s="202">
        <f t="shared" ref="R103:AE103" si="92">R9-Q9</f>
        <v>0</v>
      </c>
      <c r="S103" s="202">
        <f t="shared" si="92"/>
        <v>0</v>
      </c>
      <c r="T103" s="558">
        <f t="shared" si="92"/>
        <v>0</v>
      </c>
      <c r="U103" s="558">
        <f t="shared" si="92"/>
        <v>0</v>
      </c>
      <c r="V103" s="558">
        <f t="shared" si="92"/>
        <v>1000</v>
      </c>
      <c r="W103" s="558">
        <f t="shared" si="92"/>
        <v>0</v>
      </c>
      <c r="X103" s="558">
        <f t="shared" si="92"/>
        <v>0</v>
      </c>
      <c r="Y103" s="558">
        <f t="shared" si="92"/>
        <v>-1000</v>
      </c>
      <c r="Z103" s="558">
        <f t="shared" si="92"/>
        <v>0</v>
      </c>
      <c r="AA103" s="558">
        <f t="shared" si="92"/>
        <v>0</v>
      </c>
      <c r="AB103" s="558">
        <f t="shared" si="92"/>
        <v>0</v>
      </c>
      <c r="AC103" s="558">
        <f t="shared" si="92"/>
        <v>0</v>
      </c>
      <c r="AD103" s="558">
        <f t="shared" si="92"/>
        <v>0</v>
      </c>
      <c r="AE103" s="558">
        <f t="shared" si="92"/>
        <v>0</v>
      </c>
      <c r="AF103" s="558">
        <f t="shared" ref="AF103:AO103" si="93">AF9-AE9</f>
        <v>0</v>
      </c>
      <c r="AG103" s="558">
        <f t="shared" si="93"/>
        <v>0</v>
      </c>
      <c r="AH103" s="558">
        <f t="shared" si="93"/>
        <v>0</v>
      </c>
      <c r="AI103" s="558">
        <f t="shared" si="93"/>
        <v>0</v>
      </c>
      <c r="AJ103" s="558">
        <f t="shared" si="93"/>
        <v>0</v>
      </c>
      <c r="AK103" s="558">
        <f t="shared" si="93"/>
        <v>0</v>
      </c>
      <c r="AL103" s="558">
        <f t="shared" si="93"/>
        <v>0</v>
      </c>
      <c r="AM103" s="558">
        <f t="shared" si="93"/>
        <v>0</v>
      </c>
      <c r="AN103" s="558">
        <f t="shared" si="93"/>
        <v>0</v>
      </c>
      <c r="AO103" s="558">
        <f t="shared" si="93"/>
        <v>0</v>
      </c>
    </row>
    <row r="104" spans="2:41" s="204" customFormat="1" outlineLevel="1">
      <c r="B104" s="211" t="s">
        <v>494</v>
      </c>
      <c r="C104" s="106"/>
      <c r="D104" s="202"/>
      <c r="E104" s="202"/>
      <c r="F104" s="202"/>
      <c r="G104" s="202"/>
      <c r="H104" s="202"/>
      <c r="I104" s="202"/>
      <c r="J104" s="202"/>
      <c r="K104" s="202"/>
      <c r="L104" s="202"/>
      <c r="M104" s="203"/>
      <c r="N104" s="203"/>
      <c r="O104" s="203"/>
      <c r="P104" s="202"/>
      <c r="Q104" s="202"/>
      <c r="R104" s="202">
        <f t="shared" ref="R104:AE104" si="94">R12-Q12</f>
        <v>0</v>
      </c>
      <c r="S104" s="202">
        <f t="shared" si="94"/>
        <v>0</v>
      </c>
      <c r="T104" s="558">
        <f t="shared" si="94"/>
        <v>0</v>
      </c>
      <c r="U104" s="558">
        <f t="shared" si="94"/>
        <v>0</v>
      </c>
      <c r="V104" s="558">
        <f t="shared" si="94"/>
        <v>999</v>
      </c>
      <c r="W104" s="558">
        <f t="shared" si="94"/>
        <v>0</v>
      </c>
      <c r="X104" s="558">
        <f t="shared" si="94"/>
        <v>0</v>
      </c>
      <c r="Y104" s="558">
        <f t="shared" si="94"/>
        <v>1</v>
      </c>
      <c r="Z104" s="558">
        <f t="shared" si="94"/>
        <v>0</v>
      </c>
      <c r="AA104" s="558">
        <f t="shared" si="94"/>
        <v>-1000</v>
      </c>
      <c r="AB104" s="558">
        <f t="shared" si="94"/>
        <v>0</v>
      </c>
      <c r="AC104" s="558">
        <f t="shared" si="94"/>
        <v>0</v>
      </c>
      <c r="AD104" s="558">
        <f t="shared" si="94"/>
        <v>0</v>
      </c>
      <c r="AE104" s="558">
        <f t="shared" si="94"/>
        <v>0</v>
      </c>
      <c r="AF104" s="558">
        <f t="shared" ref="AF104:AO104" si="95">AF12-AE12</f>
        <v>0</v>
      </c>
      <c r="AG104" s="558">
        <f t="shared" si="95"/>
        <v>0</v>
      </c>
      <c r="AH104" s="558">
        <f t="shared" si="95"/>
        <v>0</v>
      </c>
      <c r="AI104" s="558">
        <f t="shared" si="95"/>
        <v>0</v>
      </c>
      <c r="AJ104" s="558">
        <f t="shared" si="95"/>
        <v>0</v>
      </c>
      <c r="AK104" s="558">
        <f t="shared" si="95"/>
        <v>0</v>
      </c>
      <c r="AL104" s="558">
        <f t="shared" si="95"/>
        <v>0</v>
      </c>
      <c r="AM104" s="558">
        <f t="shared" si="95"/>
        <v>0</v>
      </c>
      <c r="AN104" s="558">
        <f t="shared" si="95"/>
        <v>0</v>
      </c>
      <c r="AO104" s="558">
        <f t="shared" si="95"/>
        <v>0</v>
      </c>
    </row>
    <row r="105" spans="2:41" s="204" customFormat="1" outlineLevel="1">
      <c r="B105" s="211" t="s">
        <v>495</v>
      </c>
      <c r="C105" s="106"/>
      <c r="D105" s="202"/>
      <c r="E105" s="202"/>
      <c r="F105" s="202"/>
      <c r="G105" s="202"/>
      <c r="H105" s="202"/>
      <c r="I105" s="202"/>
      <c r="J105" s="202"/>
      <c r="K105" s="202"/>
      <c r="L105" s="202"/>
      <c r="M105" s="203"/>
      <c r="N105" s="203"/>
      <c r="O105" s="203"/>
      <c r="P105" s="202"/>
      <c r="Q105" s="202"/>
      <c r="R105" s="202">
        <f t="shared" ref="R105:AE105" si="96">R33-Q33</f>
        <v>0</v>
      </c>
      <c r="S105" s="202">
        <f t="shared" si="96"/>
        <v>0</v>
      </c>
      <c r="T105" s="558">
        <f t="shared" si="96"/>
        <v>0</v>
      </c>
      <c r="U105" s="558">
        <f t="shared" si="96"/>
        <v>0</v>
      </c>
      <c r="V105" s="558">
        <f t="shared" si="96"/>
        <v>1745</v>
      </c>
      <c r="W105" s="558">
        <f t="shared" si="96"/>
        <v>0</v>
      </c>
      <c r="X105" s="558">
        <f t="shared" si="96"/>
        <v>1</v>
      </c>
      <c r="Y105" s="558">
        <f t="shared" si="96"/>
        <v>1</v>
      </c>
      <c r="Z105" s="558">
        <f t="shared" si="96"/>
        <v>0</v>
      </c>
      <c r="AA105" s="558">
        <f t="shared" si="96"/>
        <v>3</v>
      </c>
      <c r="AB105" s="558">
        <f t="shared" si="96"/>
        <v>0</v>
      </c>
      <c r="AC105" s="558">
        <f t="shared" si="96"/>
        <v>0</v>
      </c>
      <c r="AD105" s="558">
        <f t="shared" si="96"/>
        <v>0</v>
      </c>
      <c r="AE105" s="558">
        <f t="shared" si="96"/>
        <v>0</v>
      </c>
      <c r="AF105" s="558">
        <f t="shared" ref="AF105:AO105" si="97">AF33-AE33</f>
        <v>-1750</v>
      </c>
      <c r="AG105" s="558">
        <f t="shared" si="97"/>
        <v>0</v>
      </c>
      <c r="AH105" s="558">
        <f t="shared" si="97"/>
        <v>0</v>
      </c>
      <c r="AI105" s="558">
        <f t="shared" si="97"/>
        <v>0</v>
      </c>
      <c r="AJ105" s="558">
        <f t="shared" si="97"/>
        <v>0</v>
      </c>
      <c r="AK105" s="558">
        <f t="shared" si="97"/>
        <v>0</v>
      </c>
      <c r="AL105" s="558">
        <f t="shared" si="97"/>
        <v>0</v>
      </c>
      <c r="AM105" s="558">
        <f t="shared" si="97"/>
        <v>0</v>
      </c>
      <c r="AN105" s="558">
        <f t="shared" si="97"/>
        <v>0</v>
      </c>
      <c r="AO105" s="558">
        <f t="shared" si="97"/>
        <v>0</v>
      </c>
    </row>
    <row r="106" spans="2:41" s="204" customFormat="1" outlineLevel="1">
      <c r="B106" s="564" t="s">
        <v>496</v>
      </c>
      <c r="C106" s="106"/>
      <c r="D106" s="202"/>
      <c r="E106" s="202"/>
      <c r="F106" s="202"/>
      <c r="G106" s="202"/>
      <c r="H106" s="202"/>
      <c r="I106" s="202"/>
      <c r="J106" s="202"/>
      <c r="K106" s="202"/>
      <c r="L106" s="202"/>
      <c r="M106" s="203"/>
      <c r="N106" s="203"/>
      <c r="O106" s="203"/>
      <c r="P106" s="202"/>
      <c r="Q106" s="202"/>
      <c r="R106" s="202">
        <f t="shared" ref="R106:AE106" si="98">R54-Q54</f>
        <v>0</v>
      </c>
      <c r="S106" s="202">
        <f t="shared" si="98"/>
        <v>0</v>
      </c>
      <c r="T106" s="558">
        <f t="shared" si="98"/>
        <v>0</v>
      </c>
      <c r="U106" s="558">
        <f t="shared" si="98"/>
        <v>0</v>
      </c>
      <c r="V106" s="558">
        <f t="shared" si="98"/>
        <v>2232</v>
      </c>
      <c r="W106" s="558">
        <f t="shared" si="98"/>
        <v>0</v>
      </c>
      <c r="X106" s="558">
        <f t="shared" si="98"/>
        <v>1</v>
      </c>
      <c r="Y106" s="558">
        <f t="shared" si="98"/>
        <v>0</v>
      </c>
      <c r="Z106" s="558">
        <f t="shared" si="98"/>
        <v>1</v>
      </c>
      <c r="AA106" s="558">
        <f t="shared" si="98"/>
        <v>-1260</v>
      </c>
      <c r="AB106" s="558">
        <f t="shared" si="98"/>
        <v>0</v>
      </c>
      <c r="AC106" s="558">
        <f t="shared" si="98"/>
        <v>0</v>
      </c>
      <c r="AD106" s="558">
        <f t="shared" si="98"/>
        <v>0</v>
      </c>
      <c r="AE106" s="558">
        <f t="shared" si="98"/>
        <v>0</v>
      </c>
      <c r="AF106" s="558">
        <f t="shared" ref="AF106:AO106" si="99">AF54-AE54</f>
        <v>0</v>
      </c>
      <c r="AG106" s="558">
        <f t="shared" si="99"/>
        <v>0</v>
      </c>
      <c r="AH106" s="558">
        <f t="shared" si="99"/>
        <v>0</v>
      </c>
      <c r="AI106" s="558">
        <f t="shared" si="99"/>
        <v>0</v>
      </c>
      <c r="AJ106" s="558">
        <f t="shared" si="99"/>
        <v>0</v>
      </c>
      <c r="AK106" s="558">
        <f t="shared" si="99"/>
        <v>0</v>
      </c>
      <c r="AL106" s="558">
        <f t="shared" si="99"/>
        <v>0</v>
      </c>
      <c r="AM106" s="558">
        <f t="shared" si="99"/>
        <v>0</v>
      </c>
      <c r="AN106" s="558">
        <f t="shared" si="99"/>
        <v>0</v>
      </c>
      <c r="AO106" s="558">
        <f t="shared" si="99"/>
        <v>0</v>
      </c>
    </row>
    <row r="107" spans="2:41" s="204" customFormat="1" outlineLevel="1">
      <c r="B107" s="211" t="s">
        <v>497</v>
      </c>
      <c r="C107" s="106"/>
      <c r="D107" s="202"/>
      <c r="E107" s="202"/>
      <c r="F107" s="202"/>
      <c r="G107" s="202"/>
      <c r="H107" s="202"/>
      <c r="I107" s="202"/>
      <c r="J107" s="202"/>
      <c r="K107" s="202"/>
      <c r="L107" s="202"/>
      <c r="M107" s="203"/>
      <c r="N107" s="203"/>
      <c r="O107" s="203"/>
      <c r="P107" s="202"/>
      <c r="Q107" s="202"/>
      <c r="R107" s="202">
        <f t="shared" ref="R107:AE107" si="100">R21-Q21</f>
        <v>0</v>
      </c>
      <c r="S107" s="202">
        <f t="shared" si="100"/>
        <v>0</v>
      </c>
      <c r="T107" s="558">
        <f t="shared" si="100"/>
        <v>0</v>
      </c>
      <c r="U107" s="558">
        <f t="shared" si="100"/>
        <v>0</v>
      </c>
      <c r="V107" s="558">
        <f t="shared" si="100"/>
        <v>714</v>
      </c>
      <c r="W107" s="558">
        <f t="shared" si="100"/>
        <v>9</v>
      </c>
      <c r="X107" s="558">
        <f t="shared" si="100"/>
        <v>28</v>
      </c>
      <c r="Y107" s="558">
        <f t="shared" si="100"/>
        <v>-83</v>
      </c>
      <c r="Z107" s="558">
        <f t="shared" si="100"/>
        <v>-70</v>
      </c>
      <c r="AA107" s="558">
        <f t="shared" si="100"/>
        <v>-21</v>
      </c>
      <c r="AB107" s="558">
        <f t="shared" si="100"/>
        <v>76</v>
      </c>
      <c r="AC107" s="558">
        <f t="shared" si="100"/>
        <v>-653</v>
      </c>
      <c r="AD107" s="558">
        <f t="shared" si="100"/>
        <v>0</v>
      </c>
      <c r="AE107" s="558">
        <f t="shared" si="100"/>
        <v>0</v>
      </c>
      <c r="AF107" s="558">
        <f t="shared" ref="AF107:AO107" si="101">AF21-AE21</f>
        <v>0</v>
      </c>
      <c r="AG107" s="558">
        <f t="shared" si="101"/>
        <v>0</v>
      </c>
      <c r="AH107" s="558">
        <f t="shared" si="101"/>
        <v>0</v>
      </c>
      <c r="AI107" s="558">
        <f t="shared" si="101"/>
        <v>0</v>
      </c>
      <c r="AJ107" s="558">
        <f t="shared" si="101"/>
        <v>0</v>
      </c>
      <c r="AK107" s="558">
        <f t="shared" si="101"/>
        <v>0</v>
      </c>
      <c r="AL107" s="558">
        <f t="shared" si="101"/>
        <v>0</v>
      </c>
      <c r="AM107" s="558">
        <f t="shared" si="101"/>
        <v>0</v>
      </c>
      <c r="AN107" s="558">
        <f t="shared" si="101"/>
        <v>0</v>
      </c>
      <c r="AO107" s="558">
        <f t="shared" si="101"/>
        <v>0</v>
      </c>
    </row>
    <row r="108" spans="2:41" s="204" customFormat="1" outlineLevel="1">
      <c r="B108" s="211" t="s">
        <v>498</v>
      </c>
      <c r="C108" s="106"/>
      <c r="D108" s="202"/>
      <c r="E108" s="202"/>
      <c r="F108" s="202"/>
      <c r="G108" s="202"/>
      <c r="H108" s="202"/>
      <c r="I108" s="202"/>
      <c r="J108" s="202"/>
      <c r="K108" s="202"/>
      <c r="L108" s="202"/>
      <c r="M108" s="203"/>
      <c r="N108" s="203"/>
      <c r="O108" s="203"/>
      <c r="P108" s="202"/>
      <c r="Q108" s="202"/>
      <c r="R108" s="202">
        <f t="shared" ref="R108:AE108" si="102">R44-Q44</f>
        <v>0</v>
      </c>
      <c r="S108" s="202">
        <f t="shared" si="102"/>
        <v>0</v>
      </c>
      <c r="T108" s="558">
        <f t="shared" si="102"/>
        <v>0</v>
      </c>
      <c r="U108" s="558">
        <f t="shared" si="102"/>
        <v>0</v>
      </c>
      <c r="V108" s="558">
        <f t="shared" si="102"/>
        <v>739</v>
      </c>
      <c r="W108" s="558">
        <f t="shared" si="102"/>
        <v>24</v>
      </c>
      <c r="X108" s="558">
        <f t="shared" si="102"/>
        <v>18</v>
      </c>
      <c r="Y108" s="558">
        <f t="shared" si="102"/>
        <v>-46</v>
      </c>
      <c r="Z108" s="558">
        <f t="shared" si="102"/>
        <v>-39</v>
      </c>
      <c r="AA108" s="558">
        <f t="shared" si="102"/>
        <v>-110</v>
      </c>
      <c r="AB108" s="558">
        <f>AB44-AA44</f>
        <v>56</v>
      </c>
      <c r="AC108" s="558">
        <f t="shared" si="102"/>
        <v>0</v>
      </c>
      <c r="AD108" s="558">
        <f t="shared" si="102"/>
        <v>0</v>
      </c>
      <c r="AE108" s="558">
        <f t="shared" si="102"/>
        <v>0</v>
      </c>
      <c r="AF108" s="558">
        <f t="shared" ref="AF108:AO108" si="103">AF44-AE44</f>
        <v>0</v>
      </c>
      <c r="AG108" s="558">
        <f t="shared" si="103"/>
        <v>0</v>
      </c>
      <c r="AH108" s="558">
        <f t="shared" si="103"/>
        <v>0</v>
      </c>
      <c r="AI108" s="558">
        <f t="shared" si="103"/>
        <v>0</v>
      </c>
      <c r="AJ108" s="558">
        <f t="shared" si="103"/>
        <v>0</v>
      </c>
      <c r="AK108" s="558">
        <f t="shared" si="103"/>
        <v>-642</v>
      </c>
      <c r="AL108" s="558">
        <f t="shared" si="103"/>
        <v>0</v>
      </c>
      <c r="AM108" s="558">
        <f t="shared" si="103"/>
        <v>0</v>
      </c>
      <c r="AN108" s="558">
        <f t="shared" si="103"/>
        <v>0</v>
      </c>
      <c r="AO108" s="558">
        <f t="shared" si="103"/>
        <v>0</v>
      </c>
    </row>
    <row r="109" spans="2:41" s="204" customFormat="1" outlineLevel="1">
      <c r="B109" s="211" t="s">
        <v>499</v>
      </c>
      <c r="C109" s="106"/>
      <c r="D109" s="202"/>
      <c r="E109" s="202"/>
      <c r="F109" s="202"/>
      <c r="G109" s="202"/>
      <c r="H109" s="202"/>
      <c r="I109" s="202"/>
      <c r="J109" s="202"/>
      <c r="K109" s="202"/>
      <c r="L109" s="202"/>
      <c r="M109" s="203"/>
      <c r="N109" s="203"/>
      <c r="O109" s="203"/>
      <c r="P109" s="202"/>
      <c r="Q109" s="202"/>
      <c r="R109" s="202">
        <f t="shared" ref="R109:AA109" si="104">R16-Q16</f>
        <v>0</v>
      </c>
      <c r="S109" s="202">
        <f t="shared" si="104"/>
        <v>0</v>
      </c>
      <c r="T109" s="558">
        <f t="shared" si="104"/>
        <v>0</v>
      </c>
      <c r="U109" s="558">
        <f t="shared" si="104"/>
        <v>0</v>
      </c>
      <c r="V109" s="558">
        <f t="shared" si="104"/>
        <v>0</v>
      </c>
      <c r="W109" s="558">
        <f t="shared" si="104"/>
        <v>1248</v>
      </c>
      <c r="X109" s="558">
        <f t="shared" si="104"/>
        <v>0</v>
      </c>
      <c r="Y109" s="558">
        <f t="shared" si="104"/>
        <v>1</v>
      </c>
      <c r="Z109" s="558">
        <f t="shared" si="104"/>
        <v>0</v>
      </c>
      <c r="AA109" s="558">
        <f t="shared" si="104"/>
        <v>1</v>
      </c>
      <c r="AB109" s="558">
        <f>AB16-AA16</f>
        <v>-1250</v>
      </c>
      <c r="AC109" s="558">
        <f>AC16-AB16</f>
        <v>0</v>
      </c>
      <c r="AD109" s="558">
        <f>AD16-AC16</f>
        <v>0</v>
      </c>
      <c r="AE109" s="558">
        <f>AE16-AD16</f>
        <v>0</v>
      </c>
      <c r="AF109" s="558">
        <f t="shared" ref="AF109:AO109" si="105">AF16-AE16</f>
        <v>0</v>
      </c>
      <c r="AG109" s="558">
        <f t="shared" si="105"/>
        <v>0</v>
      </c>
      <c r="AH109" s="558">
        <f t="shared" si="105"/>
        <v>0</v>
      </c>
      <c r="AI109" s="558">
        <f t="shared" si="105"/>
        <v>0</v>
      </c>
      <c r="AJ109" s="558">
        <f t="shared" si="105"/>
        <v>0</v>
      </c>
      <c r="AK109" s="558">
        <f t="shared" si="105"/>
        <v>0</v>
      </c>
      <c r="AL109" s="558">
        <f t="shared" si="105"/>
        <v>0</v>
      </c>
      <c r="AM109" s="558">
        <f t="shared" si="105"/>
        <v>0</v>
      </c>
      <c r="AN109" s="558">
        <f t="shared" si="105"/>
        <v>0</v>
      </c>
      <c r="AO109" s="558">
        <f t="shared" si="105"/>
        <v>0</v>
      </c>
    </row>
    <row r="110" spans="2:41" s="204" customFormat="1" outlineLevel="1">
      <c r="B110" s="564" t="s">
        <v>732</v>
      </c>
      <c r="C110" s="106"/>
      <c r="D110" s="202"/>
      <c r="E110" s="202"/>
      <c r="F110" s="202"/>
      <c r="G110" s="202"/>
      <c r="H110" s="202"/>
      <c r="I110" s="202"/>
      <c r="J110" s="202"/>
      <c r="K110" s="202"/>
      <c r="L110" s="202"/>
      <c r="M110" s="203"/>
      <c r="N110" s="203"/>
      <c r="O110" s="203"/>
      <c r="P110" s="202"/>
      <c r="Q110" s="202"/>
      <c r="R110" s="202"/>
      <c r="S110" s="202"/>
      <c r="T110" s="558">
        <f>T29-S29</f>
        <v>0</v>
      </c>
      <c r="U110" s="558">
        <f t="shared" ref="U110:AE110" si="106">U29-T29</f>
        <v>0</v>
      </c>
      <c r="V110" s="558">
        <f t="shared" si="106"/>
        <v>0</v>
      </c>
      <c r="W110" s="558">
        <f t="shared" si="106"/>
        <v>0</v>
      </c>
      <c r="X110" s="558">
        <f t="shared" si="106"/>
        <v>0</v>
      </c>
      <c r="Y110" s="558">
        <f t="shared" si="106"/>
        <v>0</v>
      </c>
      <c r="Z110" s="558">
        <f t="shared" si="106"/>
        <v>750</v>
      </c>
      <c r="AA110" s="558">
        <f t="shared" si="106"/>
        <v>0</v>
      </c>
      <c r="AB110" s="558">
        <f t="shared" si="106"/>
        <v>0</v>
      </c>
      <c r="AC110" s="558">
        <f t="shared" si="106"/>
        <v>0</v>
      </c>
      <c r="AD110" s="558">
        <f t="shared" si="106"/>
        <v>0</v>
      </c>
      <c r="AE110" s="558">
        <f t="shared" si="106"/>
        <v>-750</v>
      </c>
      <c r="AF110" s="558">
        <f t="shared" ref="AF110:AO110" si="107">AF29-AE29</f>
        <v>0</v>
      </c>
      <c r="AG110" s="558">
        <f t="shared" si="107"/>
        <v>0</v>
      </c>
      <c r="AH110" s="558">
        <f t="shared" si="107"/>
        <v>0</v>
      </c>
      <c r="AI110" s="558">
        <f t="shared" si="107"/>
        <v>0</v>
      </c>
      <c r="AJ110" s="558">
        <f t="shared" si="107"/>
        <v>0</v>
      </c>
      <c r="AK110" s="558">
        <f t="shared" si="107"/>
        <v>0</v>
      </c>
      <c r="AL110" s="558">
        <f t="shared" si="107"/>
        <v>0</v>
      </c>
      <c r="AM110" s="558">
        <f t="shared" si="107"/>
        <v>0</v>
      </c>
      <c r="AN110" s="558">
        <f t="shared" si="107"/>
        <v>0</v>
      </c>
      <c r="AO110" s="558">
        <f t="shared" si="107"/>
        <v>0</v>
      </c>
    </row>
    <row r="111" spans="2:41" s="204" customFormat="1" outlineLevel="1">
      <c r="B111" s="564" t="s">
        <v>733</v>
      </c>
      <c r="C111" s="106"/>
      <c r="D111" s="202"/>
      <c r="E111" s="202"/>
      <c r="F111" s="202"/>
      <c r="G111" s="202"/>
      <c r="H111" s="202"/>
      <c r="I111" s="202"/>
      <c r="J111" s="202"/>
      <c r="K111" s="202"/>
      <c r="L111" s="202"/>
      <c r="M111" s="203"/>
      <c r="N111" s="203"/>
      <c r="O111" s="203"/>
      <c r="P111" s="202"/>
      <c r="Q111" s="202"/>
      <c r="R111" s="202"/>
      <c r="S111" s="202"/>
      <c r="T111" s="558">
        <f>T36-S36</f>
        <v>0</v>
      </c>
      <c r="U111" s="558">
        <f t="shared" ref="U111:AE111" si="108">U36-T36</f>
        <v>0</v>
      </c>
      <c r="V111" s="558">
        <f t="shared" si="108"/>
        <v>0</v>
      </c>
      <c r="W111" s="558">
        <f t="shared" si="108"/>
        <v>0</v>
      </c>
      <c r="X111" s="558">
        <f t="shared" si="108"/>
        <v>0</v>
      </c>
      <c r="Y111" s="558">
        <f t="shared" si="108"/>
        <v>0</v>
      </c>
      <c r="Z111" s="558">
        <f t="shared" si="108"/>
        <v>499</v>
      </c>
      <c r="AA111" s="558">
        <f t="shared" si="108"/>
        <v>1</v>
      </c>
      <c r="AB111" s="558">
        <f t="shared" si="108"/>
        <v>0</v>
      </c>
      <c r="AC111" s="558">
        <f t="shared" si="108"/>
        <v>0</v>
      </c>
      <c r="AD111" s="558">
        <f t="shared" si="108"/>
        <v>0</v>
      </c>
      <c r="AE111" s="558">
        <f t="shared" si="108"/>
        <v>0</v>
      </c>
      <c r="AF111" s="558">
        <f t="shared" ref="AF111:AO111" si="109">AF36-AE36</f>
        <v>0</v>
      </c>
      <c r="AG111" s="558">
        <f t="shared" si="109"/>
        <v>-500</v>
      </c>
      <c r="AH111" s="558">
        <f t="shared" si="109"/>
        <v>0</v>
      </c>
      <c r="AI111" s="558">
        <f t="shared" si="109"/>
        <v>0</v>
      </c>
      <c r="AJ111" s="558">
        <f t="shared" si="109"/>
        <v>0</v>
      </c>
      <c r="AK111" s="558">
        <f t="shared" si="109"/>
        <v>0</v>
      </c>
      <c r="AL111" s="558">
        <f t="shared" si="109"/>
        <v>0</v>
      </c>
      <c r="AM111" s="558">
        <f t="shared" si="109"/>
        <v>0</v>
      </c>
      <c r="AN111" s="558">
        <f t="shared" si="109"/>
        <v>0</v>
      </c>
      <c r="AO111" s="558">
        <f t="shared" si="109"/>
        <v>0</v>
      </c>
    </row>
    <row r="112" spans="2:41" s="204" customFormat="1" outlineLevel="1">
      <c r="B112" s="564" t="s">
        <v>734</v>
      </c>
      <c r="C112" s="106"/>
      <c r="D112" s="202"/>
      <c r="E112" s="202"/>
      <c r="F112" s="202"/>
      <c r="G112" s="202"/>
      <c r="H112" s="202"/>
      <c r="I112" s="202"/>
      <c r="J112" s="202"/>
      <c r="K112" s="202"/>
      <c r="L112" s="202"/>
      <c r="M112" s="203"/>
      <c r="N112" s="203"/>
      <c r="O112" s="203"/>
      <c r="P112" s="202"/>
      <c r="Q112" s="202"/>
      <c r="R112" s="202"/>
      <c r="S112" s="202"/>
      <c r="T112" s="558">
        <f>T42-S42</f>
        <v>0</v>
      </c>
      <c r="U112" s="558">
        <f t="shared" ref="U112:AE112" si="110">U42-T42</f>
        <v>0</v>
      </c>
      <c r="V112" s="558">
        <f t="shared" si="110"/>
        <v>0</v>
      </c>
      <c r="W112" s="558">
        <f t="shared" si="110"/>
        <v>0</v>
      </c>
      <c r="X112" s="558">
        <f t="shared" si="110"/>
        <v>0</v>
      </c>
      <c r="Y112" s="558">
        <f t="shared" si="110"/>
        <v>0</v>
      </c>
      <c r="Z112" s="558">
        <f t="shared" si="110"/>
        <v>995</v>
      </c>
      <c r="AA112" s="558">
        <f t="shared" si="110"/>
        <v>5</v>
      </c>
      <c r="AB112" s="558">
        <f t="shared" si="110"/>
        <v>0</v>
      </c>
      <c r="AC112" s="558">
        <f t="shared" si="110"/>
        <v>0</v>
      </c>
      <c r="AD112" s="558">
        <f t="shared" si="110"/>
        <v>0</v>
      </c>
      <c r="AE112" s="558">
        <f t="shared" si="110"/>
        <v>0</v>
      </c>
      <c r="AF112" s="558">
        <f t="shared" ref="AF112:AO112" si="111">AF42-AE42</f>
        <v>0</v>
      </c>
      <c r="AG112" s="558">
        <f t="shared" si="111"/>
        <v>0</v>
      </c>
      <c r="AH112" s="558">
        <f t="shared" si="111"/>
        <v>0</v>
      </c>
      <c r="AI112" s="558">
        <f t="shared" si="111"/>
        <v>0</v>
      </c>
      <c r="AJ112" s="558">
        <f t="shared" si="111"/>
        <v>-1000</v>
      </c>
      <c r="AK112" s="558">
        <f t="shared" si="111"/>
        <v>0</v>
      </c>
      <c r="AL112" s="558">
        <f t="shared" si="111"/>
        <v>0</v>
      </c>
      <c r="AM112" s="558">
        <f t="shared" si="111"/>
        <v>0</v>
      </c>
      <c r="AN112" s="558">
        <f t="shared" si="111"/>
        <v>0</v>
      </c>
      <c r="AO112" s="558">
        <f t="shared" si="111"/>
        <v>0</v>
      </c>
    </row>
    <row r="113" spans="2:41" s="204" customFormat="1" outlineLevel="1">
      <c r="B113" s="564" t="s">
        <v>735</v>
      </c>
      <c r="C113" s="106"/>
      <c r="D113" s="202"/>
      <c r="E113" s="202"/>
      <c r="F113" s="202"/>
      <c r="G113" s="202"/>
      <c r="H113" s="202"/>
      <c r="I113" s="202"/>
      <c r="J113" s="202"/>
      <c r="K113" s="202"/>
      <c r="L113" s="202"/>
      <c r="M113" s="203"/>
      <c r="N113" s="203"/>
      <c r="O113" s="203"/>
      <c r="P113" s="202"/>
      <c r="Q113" s="202"/>
      <c r="R113" s="202"/>
      <c r="S113" s="202"/>
      <c r="T113" s="558">
        <f>T57-S57</f>
        <v>0</v>
      </c>
      <c r="U113" s="558">
        <f t="shared" ref="U113:AE113" si="112">U57-T57</f>
        <v>0</v>
      </c>
      <c r="V113" s="558">
        <f t="shared" si="112"/>
        <v>0</v>
      </c>
      <c r="W113" s="558">
        <f t="shared" si="112"/>
        <v>0</v>
      </c>
      <c r="X113" s="558">
        <f t="shared" si="112"/>
        <v>0</v>
      </c>
      <c r="Y113" s="558">
        <f t="shared" si="112"/>
        <v>0</v>
      </c>
      <c r="Z113" s="558">
        <f t="shared" si="112"/>
        <v>1243</v>
      </c>
      <c r="AA113" s="558">
        <f t="shared" si="112"/>
        <v>1007</v>
      </c>
      <c r="AB113" s="558">
        <f t="shared" si="112"/>
        <v>0</v>
      </c>
      <c r="AC113" s="558">
        <f t="shared" si="112"/>
        <v>0</v>
      </c>
      <c r="AD113" s="558">
        <f t="shared" si="112"/>
        <v>0</v>
      </c>
      <c r="AE113" s="558">
        <f t="shared" si="112"/>
        <v>0</v>
      </c>
      <c r="AF113" s="558">
        <f t="shared" ref="AF113:AO113" si="113">AF57-AE57</f>
        <v>0</v>
      </c>
      <c r="AG113" s="558">
        <f t="shared" si="113"/>
        <v>0</v>
      </c>
      <c r="AH113" s="558">
        <f t="shared" si="113"/>
        <v>0</v>
      </c>
      <c r="AI113" s="558">
        <f t="shared" si="113"/>
        <v>0</v>
      </c>
      <c r="AJ113" s="558">
        <f t="shared" si="113"/>
        <v>0</v>
      </c>
      <c r="AK113" s="558">
        <f t="shared" si="113"/>
        <v>0</v>
      </c>
      <c r="AL113" s="558">
        <f t="shared" si="113"/>
        <v>0</v>
      </c>
      <c r="AM113" s="558">
        <f t="shared" si="113"/>
        <v>0</v>
      </c>
      <c r="AN113" s="558">
        <f t="shared" si="113"/>
        <v>0</v>
      </c>
      <c r="AO113" s="558">
        <f t="shared" si="113"/>
        <v>0</v>
      </c>
    </row>
    <row r="114" spans="2:41" s="204" customFormat="1" outlineLevel="1">
      <c r="B114" s="564" t="s">
        <v>799</v>
      </c>
      <c r="C114" s="106"/>
      <c r="D114" s="202"/>
      <c r="E114" s="202"/>
      <c r="F114" s="202"/>
      <c r="G114" s="202"/>
      <c r="H114" s="202"/>
      <c r="I114" s="202"/>
      <c r="J114" s="202"/>
      <c r="K114" s="202"/>
      <c r="L114" s="202"/>
      <c r="M114" s="203"/>
      <c r="N114" s="203"/>
      <c r="O114" s="203"/>
      <c r="P114" s="202"/>
      <c r="Q114" s="202"/>
      <c r="R114" s="202">
        <f t="shared" ref="R114:AE114" si="114">R35-Q35</f>
        <v>0</v>
      </c>
      <c r="S114" s="202">
        <f t="shared" si="114"/>
        <v>0</v>
      </c>
      <c r="T114" s="558">
        <f t="shared" si="114"/>
        <v>0</v>
      </c>
      <c r="U114" s="558">
        <f t="shared" si="114"/>
        <v>0</v>
      </c>
      <c r="V114" s="558">
        <f t="shared" si="114"/>
        <v>0</v>
      </c>
      <c r="W114" s="558">
        <f t="shared" si="114"/>
        <v>747</v>
      </c>
      <c r="X114" s="558">
        <f t="shared" si="114"/>
        <v>0</v>
      </c>
      <c r="Y114" s="558">
        <f t="shared" si="114"/>
        <v>0</v>
      </c>
      <c r="Z114" s="558">
        <f t="shared" si="114"/>
        <v>1</v>
      </c>
      <c r="AA114" s="558">
        <f t="shared" si="114"/>
        <v>2</v>
      </c>
      <c r="AB114" s="558">
        <f t="shared" si="114"/>
        <v>0</v>
      </c>
      <c r="AC114" s="558">
        <f t="shared" si="114"/>
        <v>0</v>
      </c>
      <c r="AD114" s="558">
        <f t="shared" si="114"/>
        <v>0</v>
      </c>
      <c r="AE114" s="558">
        <f t="shared" si="114"/>
        <v>0</v>
      </c>
      <c r="AF114" s="558">
        <f t="shared" ref="AF114:AO114" si="115">AF35-AE35</f>
        <v>0</v>
      </c>
      <c r="AG114" s="558">
        <f t="shared" si="115"/>
        <v>-750</v>
      </c>
      <c r="AH114" s="558">
        <f t="shared" si="115"/>
        <v>0</v>
      </c>
      <c r="AI114" s="558">
        <f t="shared" si="115"/>
        <v>0</v>
      </c>
      <c r="AJ114" s="558">
        <f t="shared" si="115"/>
        <v>0</v>
      </c>
      <c r="AK114" s="558">
        <f t="shared" si="115"/>
        <v>0</v>
      </c>
      <c r="AL114" s="558">
        <f t="shared" si="115"/>
        <v>0</v>
      </c>
      <c r="AM114" s="558">
        <f t="shared" si="115"/>
        <v>0</v>
      </c>
      <c r="AN114" s="558">
        <f t="shared" si="115"/>
        <v>0</v>
      </c>
      <c r="AO114" s="558">
        <f t="shared" si="115"/>
        <v>0</v>
      </c>
    </row>
    <row r="115" spans="2:41" s="204" customFormat="1" outlineLevel="1">
      <c r="B115" s="211" t="s">
        <v>500</v>
      </c>
      <c r="C115" s="106"/>
      <c r="D115" s="202"/>
      <c r="E115" s="202"/>
      <c r="F115" s="202"/>
      <c r="G115" s="202"/>
      <c r="H115" s="202"/>
      <c r="I115" s="202"/>
      <c r="J115" s="202"/>
      <c r="K115" s="202"/>
      <c r="L115" s="202"/>
      <c r="M115" s="203"/>
      <c r="N115" s="203"/>
      <c r="O115" s="203"/>
      <c r="P115" s="202"/>
      <c r="Q115" s="202"/>
      <c r="R115" s="202">
        <f t="shared" ref="R115:AE115" si="116">R56-Q56</f>
        <v>0</v>
      </c>
      <c r="S115" s="202">
        <f t="shared" si="116"/>
        <v>0</v>
      </c>
      <c r="T115" s="558">
        <f t="shared" si="116"/>
        <v>0</v>
      </c>
      <c r="U115" s="558">
        <f t="shared" si="116"/>
        <v>0</v>
      </c>
      <c r="V115" s="558">
        <f t="shared" si="116"/>
        <v>0</v>
      </c>
      <c r="W115" s="558">
        <f t="shared" si="116"/>
        <v>1000</v>
      </c>
      <c r="X115" s="558">
        <f t="shared" si="116"/>
        <v>0</v>
      </c>
      <c r="Y115" s="558">
        <f t="shared" si="116"/>
        <v>0</v>
      </c>
      <c r="Z115" s="558">
        <f t="shared" si="116"/>
        <v>0</v>
      </c>
      <c r="AA115" s="558">
        <f t="shared" si="116"/>
        <v>-739</v>
      </c>
      <c r="AB115" s="558">
        <f t="shared" si="116"/>
        <v>0</v>
      </c>
      <c r="AC115" s="558">
        <f t="shared" si="116"/>
        <v>0</v>
      </c>
      <c r="AD115" s="558">
        <f t="shared" si="116"/>
        <v>0</v>
      </c>
      <c r="AE115" s="558">
        <f t="shared" si="116"/>
        <v>0</v>
      </c>
      <c r="AF115" s="558">
        <f t="shared" ref="AF115:AO115" si="117">AF56-AE56</f>
        <v>0</v>
      </c>
      <c r="AG115" s="558">
        <f t="shared" si="117"/>
        <v>0</v>
      </c>
      <c r="AH115" s="558">
        <f t="shared" si="117"/>
        <v>0</v>
      </c>
      <c r="AI115" s="558">
        <f t="shared" si="117"/>
        <v>0</v>
      </c>
      <c r="AJ115" s="558">
        <f t="shared" si="117"/>
        <v>0</v>
      </c>
      <c r="AK115" s="558">
        <f t="shared" si="117"/>
        <v>0</v>
      </c>
      <c r="AL115" s="558">
        <f t="shared" si="117"/>
        <v>0</v>
      </c>
      <c r="AM115" s="558">
        <f t="shared" si="117"/>
        <v>0</v>
      </c>
      <c r="AN115" s="558">
        <f t="shared" si="117"/>
        <v>0</v>
      </c>
      <c r="AO115" s="558">
        <f t="shared" si="117"/>
        <v>0</v>
      </c>
    </row>
    <row r="116" spans="2:41" s="204" customFormat="1" outlineLevel="1">
      <c r="B116" s="630" t="s">
        <v>706</v>
      </c>
      <c r="C116" s="106"/>
      <c r="D116" s="202"/>
      <c r="E116" s="202"/>
      <c r="F116" s="202"/>
      <c r="G116" s="202"/>
      <c r="H116" s="202"/>
      <c r="I116" s="202"/>
      <c r="J116" s="202"/>
      <c r="K116" s="202"/>
      <c r="L116" s="202"/>
      <c r="M116" s="203"/>
      <c r="N116" s="203"/>
      <c r="O116" s="203"/>
      <c r="P116" s="202"/>
      <c r="Q116" s="202"/>
      <c r="R116" s="202"/>
      <c r="S116" s="202"/>
      <c r="T116" s="632">
        <f>T14-S14</f>
        <v>0</v>
      </c>
      <c r="U116" s="632">
        <f t="shared" ref="U116:AE116" si="118">U14-T14</f>
        <v>0</v>
      </c>
      <c r="V116" s="632">
        <f t="shared" si="118"/>
        <v>0</v>
      </c>
      <c r="W116" s="632">
        <f t="shared" si="118"/>
        <v>0</v>
      </c>
      <c r="X116" s="632">
        <f t="shared" si="118"/>
        <v>0</v>
      </c>
      <c r="Y116" s="632">
        <f t="shared" si="118"/>
        <v>600</v>
      </c>
      <c r="Z116" s="632">
        <f t="shared" si="118"/>
        <v>0</v>
      </c>
      <c r="AA116" s="632">
        <f t="shared" si="118"/>
        <v>0</v>
      </c>
      <c r="AB116" s="632">
        <f t="shared" si="118"/>
        <v>-600</v>
      </c>
      <c r="AC116" s="632">
        <f t="shared" si="118"/>
        <v>0</v>
      </c>
      <c r="AD116" s="632">
        <f t="shared" si="118"/>
        <v>0</v>
      </c>
      <c r="AE116" s="632">
        <f t="shared" si="118"/>
        <v>0</v>
      </c>
      <c r="AF116" s="558">
        <f t="shared" ref="AF116:AO116" si="119">AF14-AE14</f>
        <v>0</v>
      </c>
      <c r="AG116" s="558">
        <f t="shared" si="119"/>
        <v>0</v>
      </c>
      <c r="AH116" s="558">
        <f t="shared" si="119"/>
        <v>0</v>
      </c>
      <c r="AI116" s="558">
        <f t="shared" si="119"/>
        <v>0</v>
      </c>
      <c r="AJ116" s="558">
        <f t="shared" si="119"/>
        <v>0</v>
      </c>
      <c r="AK116" s="558">
        <f t="shared" si="119"/>
        <v>0</v>
      </c>
      <c r="AL116" s="558">
        <f t="shared" si="119"/>
        <v>0</v>
      </c>
      <c r="AM116" s="558">
        <f t="shared" si="119"/>
        <v>0</v>
      </c>
      <c r="AN116" s="558">
        <f t="shared" si="119"/>
        <v>0</v>
      </c>
      <c r="AO116" s="558">
        <f t="shared" si="119"/>
        <v>0</v>
      </c>
    </row>
    <row r="117" spans="2:41" s="204" customFormat="1" outlineLevel="1">
      <c r="B117" s="630" t="s">
        <v>708</v>
      </c>
      <c r="C117" s="106"/>
      <c r="D117" s="202"/>
      <c r="E117" s="202"/>
      <c r="F117" s="202"/>
      <c r="G117" s="202"/>
      <c r="H117" s="202"/>
      <c r="I117" s="202"/>
      <c r="J117" s="202"/>
      <c r="K117" s="202"/>
      <c r="L117" s="202"/>
      <c r="M117" s="203"/>
      <c r="N117" s="203"/>
      <c r="O117" s="203"/>
      <c r="P117" s="202"/>
      <c r="Q117" s="202"/>
      <c r="R117" s="202"/>
      <c r="S117" s="202"/>
      <c r="T117" s="632">
        <f>T15-S15</f>
        <v>0</v>
      </c>
      <c r="U117" s="632">
        <f t="shared" ref="U117:AE117" si="120">U15-T15</f>
        <v>0</v>
      </c>
      <c r="V117" s="632">
        <f t="shared" si="120"/>
        <v>0</v>
      </c>
      <c r="W117" s="632">
        <f t="shared" si="120"/>
        <v>0</v>
      </c>
      <c r="X117" s="632">
        <f t="shared" si="120"/>
        <v>0</v>
      </c>
      <c r="Y117" s="632">
        <f t="shared" si="120"/>
        <v>849</v>
      </c>
      <c r="Z117" s="632">
        <f t="shared" si="120"/>
        <v>0</v>
      </c>
      <c r="AA117" s="632">
        <f t="shared" si="120"/>
        <v>1</v>
      </c>
      <c r="AB117" s="632">
        <f>AB15-AA15</f>
        <v>-850</v>
      </c>
      <c r="AC117" s="632">
        <f t="shared" si="120"/>
        <v>0</v>
      </c>
      <c r="AD117" s="632">
        <f t="shared" si="120"/>
        <v>0</v>
      </c>
      <c r="AE117" s="632">
        <f t="shared" si="120"/>
        <v>0</v>
      </c>
      <c r="AF117" s="558">
        <f t="shared" ref="AF117:AO117" si="121">AF15-AE15</f>
        <v>0</v>
      </c>
      <c r="AG117" s="558">
        <f t="shared" si="121"/>
        <v>0</v>
      </c>
      <c r="AH117" s="558">
        <f t="shared" si="121"/>
        <v>0</v>
      </c>
      <c r="AI117" s="558">
        <f t="shared" si="121"/>
        <v>0</v>
      </c>
      <c r="AJ117" s="558">
        <f t="shared" si="121"/>
        <v>0</v>
      </c>
      <c r="AK117" s="558">
        <f t="shared" si="121"/>
        <v>0</v>
      </c>
      <c r="AL117" s="558">
        <f t="shared" si="121"/>
        <v>0</v>
      </c>
      <c r="AM117" s="558">
        <f t="shared" si="121"/>
        <v>0</v>
      </c>
      <c r="AN117" s="558">
        <f t="shared" si="121"/>
        <v>0</v>
      </c>
      <c r="AO117" s="558">
        <f t="shared" si="121"/>
        <v>0</v>
      </c>
    </row>
    <row r="118" spans="2:41" s="204" customFormat="1" outlineLevel="1">
      <c r="B118" s="630" t="s">
        <v>707</v>
      </c>
      <c r="C118" s="106"/>
      <c r="D118" s="202"/>
      <c r="E118" s="202"/>
      <c r="F118" s="202"/>
      <c r="G118" s="202"/>
      <c r="H118" s="202"/>
      <c r="I118" s="202"/>
      <c r="J118" s="202"/>
      <c r="K118" s="202"/>
      <c r="L118" s="202"/>
      <c r="M118" s="203"/>
      <c r="N118" s="203"/>
      <c r="O118" s="203"/>
      <c r="P118" s="202"/>
      <c r="Q118" s="202"/>
      <c r="R118" s="202"/>
      <c r="S118" s="202"/>
      <c r="T118" s="632">
        <f>T22-S22</f>
        <v>0</v>
      </c>
      <c r="U118" s="632">
        <f t="shared" ref="U118:AE118" si="122">U22-T22</f>
        <v>0</v>
      </c>
      <c r="V118" s="632">
        <f t="shared" si="122"/>
        <v>0</v>
      </c>
      <c r="W118" s="632">
        <f t="shared" si="122"/>
        <v>0</v>
      </c>
      <c r="X118" s="632">
        <f t="shared" si="122"/>
        <v>0</v>
      </c>
      <c r="Y118" s="632">
        <f t="shared" si="122"/>
        <v>250</v>
      </c>
      <c r="Z118" s="632">
        <f t="shared" si="122"/>
        <v>0</v>
      </c>
      <c r="AA118" s="632">
        <f t="shared" si="122"/>
        <v>0</v>
      </c>
      <c r="AB118" s="632">
        <f t="shared" si="122"/>
        <v>300</v>
      </c>
      <c r="AC118" s="632">
        <f t="shared" si="122"/>
        <v>0</v>
      </c>
      <c r="AD118" s="632">
        <f t="shared" si="122"/>
        <v>-550</v>
      </c>
      <c r="AE118" s="632">
        <f t="shared" si="122"/>
        <v>0</v>
      </c>
      <c r="AF118" s="558">
        <f t="shared" ref="AF118:AO118" si="123">AF22-AE22</f>
        <v>0</v>
      </c>
      <c r="AG118" s="558">
        <f t="shared" si="123"/>
        <v>0</v>
      </c>
      <c r="AH118" s="558">
        <f t="shared" si="123"/>
        <v>0</v>
      </c>
      <c r="AI118" s="558">
        <f t="shared" si="123"/>
        <v>0</v>
      </c>
      <c r="AJ118" s="558">
        <f t="shared" si="123"/>
        <v>0</v>
      </c>
      <c r="AK118" s="558">
        <f t="shared" si="123"/>
        <v>0</v>
      </c>
      <c r="AL118" s="558">
        <f t="shared" si="123"/>
        <v>0</v>
      </c>
      <c r="AM118" s="558">
        <f t="shared" si="123"/>
        <v>0</v>
      </c>
      <c r="AN118" s="558">
        <f t="shared" si="123"/>
        <v>0</v>
      </c>
      <c r="AO118" s="558">
        <f t="shared" si="123"/>
        <v>0</v>
      </c>
    </row>
    <row r="119" spans="2:41" s="204" customFormat="1" outlineLevel="1">
      <c r="B119" s="630" t="s">
        <v>709</v>
      </c>
      <c r="C119" s="106"/>
      <c r="D119" s="202"/>
      <c r="E119" s="202"/>
      <c r="F119" s="202"/>
      <c r="G119" s="202"/>
      <c r="H119" s="202"/>
      <c r="I119" s="202"/>
      <c r="J119" s="202"/>
      <c r="K119" s="202"/>
      <c r="L119" s="202"/>
      <c r="M119" s="203"/>
      <c r="N119" s="203"/>
      <c r="O119" s="203"/>
      <c r="P119" s="202"/>
      <c r="Q119" s="202"/>
      <c r="R119" s="202"/>
      <c r="S119" s="202"/>
      <c r="T119" s="632">
        <f>T23-S23</f>
        <v>0</v>
      </c>
      <c r="U119" s="632">
        <f t="shared" ref="U119:AE119" si="124">U23-T23</f>
        <v>0</v>
      </c>
      <c r="V119" s="632">
        <f t="shared" si="124"/>
        <v>0</v>
      </c>
      <c r="W119" s="632">
        <f t="shared" si="124"/>
        <v>0</v>
      </c>
      <c r="X119" s="632">
        <f t="shared" si="124"/>
        <v>0</v>
      </c>
      <c r="Y119" s="632">
        <f t="shared" si="124"/>
        <v>1398</v>
      </c>
      <c r="Z119" s="632">
        <f t="shared" si="124"/>
        <v>0</v>
      </c>
      <c r="AA119" s="632">
        <f t="shared" si="124"/>
        <v>2</v>
      </c>
      <c r="AB119" s="632">
        <f t="shared" si="124"/>
        <v>0</v>
      </c>
      <c r="AC119" s="632">
        <f t="shared" si="124"/>
        <v>0</v>
      </c>
      <c r="AD119" s="632">
        <f t="shared" si="124"/>
        <v>-1400</v>
      </c>
      <c r="AE119" s="632">
        <f t="shared" si="124"/>
        <v>0</v>
      </c>
      <c r="AF119" s="558">
        <f t="shared" ref="AF119:AO119" si="125">AF23-AE23</f>
        <v>0</v>
      </c>
      <c r="AG119" s="558">
        <f t="shared" si="125"/>
        <v>0</v>
      </c>
      <c r="AH119" s="558">
        <f t="shared" si="125"/>
        <v>0</v>
      </c>
      <c r="AI119" s="558">
        <f t="shared" si="125"/>
        <v>0</v>
      </c>
      <c r="AJ119" s="558">
        <f t="shared" si="125"/>
        <v>0</v>
      </c>
      <c r="AK119" s="558">
        <f t="shared" si="125"/>
        <v>0</v>
      </c>
      <c r="AL119" s="558">
        <f t="shared" si="125"/>
        <v>0</v>
      </c>
      <c r="AM119" s="558">
        <f t="shared" si="125"/>
        <v>0</v>
      </c>
      <c r="AN119" s="558">
        <f t="shared" si="125"/>
        <v>0</v>
      </c>
      <c r="AO119" s="558">
        <f t="shared" si="125"/>
        <v>0</v>
      </c>
    </row>
    <row r="120" spans="2:41" s="204" customFormat="1" outlineLevel="1">
      <c r="B120" s="630" t="s">
        <v>800</v>
      </c>
      <c r="C120" s="106"/>
      <c r="D120" s="202"/>
      <c r="E120" s="202"/>
      <c r="F120" s="202"/>
      <c r="G120" s="202"/>
      <c r="H120" s="202"/>
      <c r="I120" s="202"/>
      <c r="J120" s="202"/>
      <c r="K120" s="202"/>
      <c r="L120" s="202"/>
      <c r="M120" s="203"/>
      <c r="N120" s="203"/>
      <c r="O120" s="203"/>
      <c r="P120" s="202"/>
      <c r="Q120" s="202"/>
      <c r="R120" s="202"/>
      <c r="S120" s="202"/>
      <c r="T120" s="632">
        <f>T41-S41</f>
        <v>0</v>
      </c>
      <c r="U120" s="632">
        <f t="shared" ref="U120:AE120" si="126">U41-T41</f>
        <v>0</v>
      </c>
      <c r="V120" s="632">
        <f t="shared" si="126"/>
        <v>0</v>
      </c>
      <c r="W120" s="632">
        <f t="shared" si="126"/>
        <v>0</v>
      </c>
      <c r="X120" s="632">
        <f t="shared" si="126"/>
        <v>0</v>
      </c>
      <c r="Y120" s="632">
        <f t="shared" si="126"/>
        <v>1398</v>
      </c>
      <c r="Z120" s="632">
        <f t="shared" si="126"/>
        <v>0</v>
      </c>
      <c r="AA120" s="632">
        <f t="shared" si="126"/>
        <v>2</v>
      </c>
      <c r="AB120" s="632">
        <f t="shared" si="126"/>
        <v>0</v>
      </c>
      <c r="AC120" s="632">
        <f t="shared" si="126"/>
        <v>0</v>
      </c>
      <c r="AD120" s="632">
        <f t="shared" si="126"/>
        <v>0</v>
      </c>
      <c r="AE120" s="632">
        <f t="shared" si="126"/>
        <v>0</v>
      </c>
      <c r="AF120" s="558">
        <f t="shared" ref="AF120:AO120" si="127">AF41-AE41</f>
        <v>0</v>
      </c>
      <c r="AG120" s="558">
        <f t="shared" si="127"/>
        <v>0</v>
      </c>
      <c r="AH120" s="558">
        <f t="shared" si="127"/>
        <v>0</v>
      </c>
      <c r="AI120" s="558">
        <f t="shared" si="127"/>
        <v>-1400</v>
      </c>
      <c r="AJ120" s="558">
        <f t="shared" si="127"/>
        <v>0</v>
      </c>
      <c r="AK120" s="558">
        <f t="shared" si="127"/>
        <v>0</v>
      </c>
      <c r="AL120" s="558">
        <f t="shared" si="127"/>
        <v>0</v>
      </c>
      <c r="AM120" s="558">
        <f t="shared" si="127"/>
        <v>0</v>
      </c>
      <c r="AN120" s="558">
        <f t="shared" si="127"/>
        <v>0</v>
      </c>
      <c r="AO120" s="558">
        <f t="shared" si="127"/>
        <v>0</v>
      </c>
    </row>
    <row r="121" spans="2:41" s="223" customFormat="1" outlineLevel="1">
      <c r="B121" s="211" t="str">
        <f>B26</f>
        <v>2.125% bonds due 2019 (EUR denominated)</v>
      </c>
      <c r="C121" s="222"/>
      <c r="D121" s="202"/>
      <c r="E121" s="202"/>
      <c r="F121" s="202"/>
      <c r="G121" s="202"/>
      <c r="H121" s="202"/>
      <c r="I121" s="202"/>
      <c r="J121" s="202"/>
      <c r="K121" s="202"/>
      <c r="L121" s="202"/>
      <c r="M121" s="202"/>
      <c r="N121" s="202"/>
      <c r="O121" s="202"/>
      <c r="P121" s="202"/>
      <c r="Q121" s="202"/>
      <c r="R121" s="202"/>
      <c r="S121" s="202"/>
      <c r="T121" s="558"/>
      <c r="U121" s="558"/>
      <c r="V121" s="558"/>
      <c r="W121" s="558">
        <f t="shared" ref="W121:AE121" si="128">W26-V26</f>
        <v>887</v>
      </c>
      <c r="X121" s="558">
        <f t="shared" si="128"/>
        <v>38</v>
      </c>
      <c r="Y121" s="558">
        <f t="shared" si="128"/>
        <v>-111</v>
      </c>
      <c r="Z121" s="558">
        <f t="shared" si="128"/>
        <v>-83</v>
      </c>
      <c r="AA121" s="558">
        <f t="shared" si="128"/>
        <v>-21</v>
      </c>
      <c r="AB121" s="558">
        <f t="shared" si="128"/>
        <v>100</v>
      </c>
      <c r="AC121" s="558">
        <f t="shared" si="128"/>
        <v>0</v>
      </c>
      <c r="AD121" s="558">
        <f t="shared" si="128"/>
        <v>-810</v>
      </c>
      <c r="AE121" s="558">
        <f t="shared" si="128"/>
        <v>0</v>
      </c>
      <c r="AF121" s="558">
        <f t="shared" ref="AF121:AO121" si="129">AF26-AE26</f>
        <v>0</v>
      </c>
      <c r="AG121" s="558">
        <f t="shared" si="129"/>
        <v>0</v>
      </c>
      <c r="AH121" s="558">
        <f t="shared" si="129"/>
        <v>0</v>
      </c>
      <c r="AI121" s="558">
        <f t="shared" si="129"/>
        <v>0</v>
      </c>
      <c r="AJ121" s="558">
        <f t="shared" si="129"/>
        <v>0</v>
      </c>
      <c r="AK121" s="558">
        <f t="shared" si="129"/>
        <v>0</v>
      </c>
      <c r="AL121" s="558">
        <f t="shared" si="129"/>
        <v>0</v>
      </c>
      <c r="AM121" s="558">
        <f t="shared" si="129"/>
        <v>0</v>
      </c>
      <c r="AN121" s="558">
        <f t="shared" si="129"/>
        <v>0</v>
      </c>
      <c r="AO121" s="558">
        <f t="shared" si="129"/>
        <v>0</v>
      </c>
    </row>
    <row r="122" spans="2:41" s="223" customFormat="1" outlineLevel="1">
      <c r="B122" s="211" t="str">
        <f>B47</f>
        <v>4.000% bonds due 2029 (GBP denominated)</v>
      </c>
      <c r="C122" s="222"/>
      <c r="D122" s="202"/>
      <c r="E122" s="202"/>
      <c r="F122" s="202"/>
      <c r="G122" s="202"/>
      <c r="H122" s="202"/>
      <c r="I122" s="202"/>
      <c r="J122" s="202"/>
      <c r="K122" s="202"/>
      <c r="L122" s="202"/>
      <c r="M122" s="202"/>
      <c r="N122" s="202"/>
      <c r="O122" s="202"/>
      <c r="P122" s="202"/>
      <c r="Q122" s="202"/>
      <c r="R122" s="202"/>
      <c r="S122" s="202"/>
      <c r="T122" s="558"/>
      <c r="U122" s="558"/>
      <c r="V122" s="558"/>
      <c r="W122" s="558">
        <f t="shared" ref="W122:AE122" si="130">W47-V47</f>
        <v>1117</v>
      </c>
      <c r="X122" s="558">
        <f t="shared" si="130"/>
        <v>27</v>
      </c>
      <c r="Y122" s="558">
        <f t="shared" si="130"/>
        <v>-68</v>
      </c>
      <c r="Z122" s="558">
        <f t="shared" si="130"/>
        <v>-58</v>
      </c>
      <c r="AA122" s="558">
        <f t="shared" si="130"/>
        <v>-154</v>
      </c>
      <c r="AB122" s="558">
        <f t="shared" si="130"/>
        <v>82</v>
      </c>
      <c r="AC122" s="558">
        <f t="shared" si="130"/>
        <v>0</v>
      </c>
      <c r="AD122" s="558">
        <f t="shared" si="130"/>
        <v>0</v>
      </c>
      <c r="AE122" s="558">
        <f t="shared" si="130"/>
        <v>0</v>
      </c>
      <c r="AF122" s="558">
        <f t="shared" ref="AF122:AO122" si="131">AF47-AE47</f>
        <v>0</v>
      </c>
      <c r="AG122" s="558">
        <f t="shared" si="131"/>
        <v>0</v>
      </c>
      <c r="AH122" s="558">
        <f t="shared" si="131"/>
        <v>0</v>
      </c>
      <c r="AI122" s="558">
        <f t="shared" si="131"/>
        <v>0</v>
      </c>
      <c r="AJ122" s="558">
        <f t="shared" si="131"/>
        <v>0</v>
      </c>
      <c r="AK122" s="558">
        <f t="shared" si="131"/>
        <v>0</v>
      </c>
      <c r="AL122" s="558">
        <f t="shared" si="131"/>
        <v>0</v>
      </c>
      <c r="AM122" s="558">
        <f t="shared" si="131"/>
        <v>0</v>
      </c>
      <c r="AN122" s="558">
        <f t="shared" si="131"/>
        <v>-946</v>
      </c>
      <c r="AO122" s="558">
        <f t="shared" si="131"/>
        <v>0</v>
      </c>
    </row>
    <row r="123" spans="2:41" s="223" customFormat="1" outlineLevel="1">
      <c r="B123" s="211" t="s">
        <v>544</v>
      </c>
      <c r="C123" s="222"/>
      <c r="D123" s="202"/>
      <c r="E123" s="202"/>
      <c r="F123" s="202"/>
      <c r="G123" s="202"/>
      <c r="H123" s="202"/>
      <c r="I123" s="202"/>
      <c r="J123" s="202"/>
      <c r="K123" s="202"/>
      <c r="L123" s="202"/>
      <c r="M123" s="202"/>
      <c r="N123" s="202"/>
      <c r="O123" s="202"/>
      <c r="P123" s="202"/>
      <c r="Q123" s="202"/>
      <c r="R123" s="202"/>
      <c r="S123" s="202"/>
      <c r="T123" s="558"/>
      <c r="U123" s="558"/>
      <c r="V123" s="558"/>
      <c r="W123" s="558"/>
      <c r="X123" s="558">
        <f t="shared" ref="X123:AE123" si="132">X19-W19</f>
        <v>3100</v>
      </c>
      <c r="Y123" s="558">
        <f t="shared" si="132"/>
        <v>-3100</v>
      </c>
      <c r="Z123" s="558">
        <f t="shared" si="132"/>
        <v>0</v>
      </c>
      <c r="AA123" s="558">
        <f t="shared" si="132"/>
        <v>0</v>
      </c>
      <c r="AB123" s="558">
        <f t="shared" si="132"/>
        <v>0</v>
      </c>
      <c r="AC123" s="558">
        <f t="shared" si="132"/>
        <v>0</v>
      </c>
      <c r="AD123" s="558">
        <f t="shared" si="132"/>
        <v>0</v>
      </c>
      <c r="AE123" s="558">
        <f t="shared" si="132"/>
        <v>0</v>
      </c>
      <c r="AF123" s="558">
        <f t="shared" ref="AF123:AO123" si="133">AF19-AE19</f>
        <v>0</v>
      </c>
      <c r="AG123" s="558">
        <f t="shared" si="133"/>
        <v>0</v>
      </c>
      <c r="AH123" s="558">
        <f t="shared" si="133"/>
        <v>0</v>
      </c>
      <c r="AI123" s="558">
        <f t="shared" si="133"/>
        <v>0</v>
      </c>
      <c r="AJ123" s="558">
        <f t="shared" si="133"/>
        <v>0</v>
      </c>
      <c r="AK123" s="558">
        <f t="shared" si="133"/>
        <v>0</v>
      </c>
      <c r="AL123" s="558">
        <f t="shared" si="133"/>
        <v>0</v>
      </c>
      <c r="AM123" s="558">
        <f t="shared" si="133"/>
        <v>0</v>
      </c>
      <c r="AN123" s="558">
        <f t="shared" si="133"/>
        <v>0</v>
      </c>
      <c r="AO123" s="558">
        <f t="shared" si="133"/>
        <v>0</v>
      </c>
    </row>
    <row r="124" spans="2:41" s="223" customFormat="1" outlineLevel="1">
      <c r="B124" s="564" t="s">
        <v>810</v>
      </c>
      <c r="C124" s="222"/>
      <c r="D124" s="202"/>
      <c r="E124" s="202"/>
      <c r="F124" s="202"/>
      <c r="G124" s="202"/>
      <c r="H124" s="202"/>
      <c r="I124" s="202"/>
      <c r="J124" s="202"/>
      <c r="K124" s="202"/>
      <c r="L124" s="202"/>
      <c r="M124" s="202"/>
      <c r="N124" s="202"/>
      <c r="O124" s="202"/>
      <c r="P124" s="202"/>
      <c r="Q124" s="202"/>
      <c r="R124" s="202"/>
      <c r="S124" s="202"/>
      <c r="T124" s="558"/>
      <c r="U124" s="558"/>
      <c r="V124" s="558"/>
      <c r="W124" s="558"/>
      <c r="X124" s="558"/>
      <c r="Y124" s="558"/>
      <c r="Z124" s="558"/>
      <c r="AA124" s="558">
        <f>AA34-Z34</f>
        <v>750</v>
      </c>
      <c r="AB124" s="558">
        <f t="shared" ref="AB124:AO124" si="134">AB34-AA34</f>
        <v>0</v>
      </c>
      <c r="AC124" s="558">
        <f t="shared" si="134"/>
        <v>0</v>
      </c>
      <c r="AD124" s="558">
        <f t="shared" si="134"/>
        <v>0</v>
      </c>
      <c r="AE124" s="558">
        <f t="shared" si="134"/>
        <v>0</v>
      </c>
      <c r="AF124" s="558">
        <f t="shared" si="134"/>
        <v>-750</v>
      </c>
      <c r="AG124" s="558">
        <f t="shared" si="134"/>
        <v>0</v>
      </c>
      <c r="AH124" s="558">
        <f t="shared" si="134"/>
        <v>0</v>
      </c>
      <c r="AI124" s="558">
        <f t="shared" si="134"/>
        <v>0</v>
      </c>
      <c r="AJ124" s="558">
        <f t="shared" si="134"/>
        <v>0</v>
      </c>
      <c r="AK124" s="558">
        <f t="shared" si="134"/>
        <v>0</v>
      </c>
      <c r="AL124" s="558">
        <f t="shared" si="134"/>
        <v>0</v>
      </c>
      <c r="AM124" s="558">
        <f t="shared" si="134"/>
        <v>0</v>
      </c>
      <c r="AN124" s="558">
        <f t="shared" si="134"/>
        <v>0</v>
      </c>
      <c r="AO124" s="558">
        <f t="shared" si="134"/>
        <v>0</v>
      </c>
    </row>
    <row r="125" spans="2:41" s="223" customFormat="1" outlineLevel="1">
      <c r="B125" s="564" t="s">
        <v>807</v>
      </c>
      <c r="C125" s="222"/>
      <c r="D125" s="202"/>
      <c r="E125" s="202"/>
      <c r="F125" s="202"/>
      <c r="G125" s="202"/>
      <c r="H125" s="202"/>
      <c r="I125" s="202"/>
      <c r="J125" s="202"/>
      <c r="K125" s="202"/>
      <c r="L125" s="202"/>
      <c r="M125" s="202"/>
      <c r="N125" s="202"/>
      <c r="O125" s="202"/>
      <c r="P125" s="202"/>
      <c r="Q125" s="202"/>
      <c r="R125" s="202"/>
      <c r="S125" s="202"/>
      <c r="T125" s="558">
        <f t="shared" ref="T125:AO125" si="135">T37-S37</f>
        <v>0</v>
      </c>
      <c r="U125" s="558">
        <f t="shared" si="135"/>
        <v>0</v>
      </c>
      <c r="V125" s="558">
        <f t="shared" si="135"/>
        <v>0</v>
      </c>
      <c r="W125" s="558">
        <f t="shared" si="135"/>
        <v>0</v>
      </c>
      <c r="X125" s="558">
        <f t="shared" si="135"/>
        <v>0</v>
      </c>
      <c r="Y125" s="558">
        <f t="shared" si="135"/>
        <v>0</v>
      </c>
      <c r="Z125" s="558">
        <f t="shared" si="135"/>
        <v>0</v>
      </c>
      <c r="AA125" s="558">
        <f t="shared" si="135"/>
        <v>1315</v>
      </c>
      <c r="AB125" s="558">
        <f t="shared" si="135"/>
        <v>186</v>
      </c>
      <c r="AC125" s="558">
        <f t="shared" si="135"/>
        <v>0</v>
      </c>
      <c r="AD125" s="558">
        <f t="shared" si="135"/>
        <v>0</v>
      </c>
      <c r="AE125" s="558">
        <f t="shared" si="135"/>
        <v>0</v>
      </c>
      <c r="AF125" s="558">
        <f t="shared" si="135"/>
        <v>0</v>
      </c>
      <c r="AG125" s="558">
        <f t="shared" si="135"/>
        <v>-1501</v>
      </c>
      <c r="AH125" s="558">
        <f t="shared" si="135"/>
        <v>0</v>
      </c>
      <c r="AI125" s="558">
        <f t="shared" si="135"/>
        <v>0</v>
      </c>
      <c r="AJ125" s="558">
        <f t="shared" si="135"/>
        <v>0</v>
      </c>
      <c r="AK125" s="558">
        <f t="shared" si="135"/>
        <v>0</v>
      </c>
      <c r="AL125" s="558">
        <f t="shared" si="135"/>
        <v>0</v>
      </c>
      <c r="AM125" s="558">
        <f t="shared" si="135"/>
        <v>0</v>
      </c>
      <c r="AN125" s="558">
        <f t="shared" si="135"/>
        <v>0</v>
      </c>
      <c r="AO125" s="558">
        <f t="shared" si="135"/>
        <v>0</v>
      </c>
    </row>
    <row r="126" spans="2:41" s="223" customFormat="1" outlineLevel="1">
      <c r="B126" s="564" t="s">
        <v>808</v>
      </c>
      <c r="C126" s="222"/>
      <c r="D126" s="202"/>
      <c r="E126" s="202"/>
      <c r="F126" s="202"/>
      <c r="G126" s="202"/>
      <c r="H126" s="202"/>
      <c r="I126" s="202"/>
      <c r="J126" s="202"/>
      <c r="K126" s="202"/>
      <c r="L126" s="202"/>
      <c r="M126" s="202"/>
      <c r="N126" s="202"/>
      <c r="O126" s="202"/>
      <c r="P126" s="202"/>
      <c r="Q126" s="202"/>
      <c r="R126" s="202"/>
      <c r="S126" s="202"/>
      <c r="T126" s="558">
        <f t="shared" ref="T126:AO126" si="136">T39-S39</f>
        <v>0</v>
      </c>
      <c r="U126" s="558">
        <f t="shared" si="136"/>
        <v>0</v>
      </c>
      <c r="V126" s="558">
        <f t="shared" si="136"/>
        <v>0</v>
      </c>
      <c r="W126" s="558">
        <f t="shared" si="136"/>
        <v>0</v>
      </c>
      <c r="X126" s="558">
        <f t="shared" si="136"/>
        <v>0</v>
      </c>
      <c r="Y126" s="558">
        <f t="shared" si="136"/>
        <v>0</v>
      </c>
      <c r="Z126" s="558">
        <f t="shared" si="136"/>
        <v>0</v>
      </c>
      <c r="AA126" s="558">
        <f t="shared" si="136"/>
        <v>687</v>
      </c>
      <c r="AB126" s="558">
        <f t="shared" si="136"/>
        <v>32</v>
      </c>
      <c r="AC126" s="558">
        <f t="shared" si="136"/>
        <v>0</v>
      </c>
      <c r="AD126" s="558">
        <f t="shared" si="136"/>
        <v>0</v>
      </c>
      <c r="AE126" s="558">
        <f t="shared" si="136"/>
        <v>0</v>
      </c>
      <c r="AF126" s="558">
        <f t="shared" si="136"/>
        <v>0</v>
      </c>
      <c r="AG126" s="558">
        <f t="shared" si="136"/>
        <v>0</v>
      </c>
      <c r="AH126" s="558">
        <f t="shared" si="136"/>
        <v>-719</v>
      </c>
      <c r="AI126" s="558">
        <f t="shared" si="136"/>
        <v>0</v>
      </c>
      <c r="AJ126" s="558">
        <f t="shared" si="136"/>
        <v>0</v>
      </c>
      <c r="AK126" s="558">
        <f t="shared" si="136"/>
        <v>0</v>
      </c>
      <c r="AL126" s="558">
        <f t="shared" si="136"/>
        <v>0</v>
      </c>
      <c r="AM126" s="558">
        <f t="shared" si="136"/>
        <v>0</v>
      </c>
      <c r="AN126" s="558">
        <f t="shared" si="136"/>
        <v>0</v>
      </c>
      <c r="AO126" s="558">
        <f t="shared" si="136"/>
        <v>0</v>
      </c>
    </row>
    <row r="127" spans="2:41" s="223" customFormat="1" outlineLevel="1">
      <c r="B127" s="564" t="s">
        <v>811</v>
      </c>
      <c r="C127" s="222"/>
      <c r="D127" s="202"/>
      <c r="E127" s="202"/>
      <c r="F127" s="202"/>
      <c r="G127" s="202"/>
      <c r="H127" s="202"/>
      <c r="I127" s="202"/>
      <c r="J127" s="202"/>
      <c r="K127" s="202"/>
      <c r="L127" s="202"/>
      <c r="M127" s="202"/>
      <c r="N127" s="202"/>
      <c r="O127" s="202"/>
      <c r="P127" s="202"/>
      <c r="Q127" s="202"/>
      <c r="R127" s="202"/>
      <c r="S127" s="202"/>
      <c r="T127" s="558"/>
      <c r="U127" s="558"/>
      <c r="V127" s="558"/>
      <c r="W127" s="558"/>
      <c r="X127" s="558"/>
      <c r="Y127" s="558"/>
      <c r="Z127" s="558"/>
      <c r="AA127" s="558">
        <f>AA40-Z40</f>
        <v>750</v>
      </c>
      <c r="AB127" s="558">
        <f t="shared" ref="AB127:AO127" si="137">AB40-AA40</f>
        <v>0</v>
      </c>
      <c r="AC127" s="558">
        <f t="shared" si="137"/>
        <v>0</v>
      </c>
      <c r="AD127" s="558">
        <f t="shared" si="137"/>
        <v>0</v>
      </c>
      <c r="AE127" s="558">
        <f t="shared" si="137"/>
        <v>0</v>
      </c>
      <c r="AF127" s="558">
        <f t="shared" si="137"/>
        <v>0</v>
      </c>
      <c r="AG127" s="558">
        <f t="shared" si="137"/>
        <v>0</v>
      </c>
      <c r="AH127" s="558">
        <f t="shared" si="137"/>
        <v>-750</v>
      </c>
      <c r="AI127" s="558">
        <f t="shared" si="137"/>
        <v>0</v>
      </c>
      <c r="AJ127" s="558">
        <f t="shared" si="137"/>
        <v>0</v>
      </c>
      <c r="AK127" s="558">
        <f t="shared" si="137"/>
        <v>0</v>
      </c>
      <c r="AL127" s="558">
        <f t="shared" si="137"/>
        <v>0</v>
      </c>
      <c r="AM127" s="558">
        <f t="shared" si="137"/>
        <v>0</v>
      </c>
      <c r="AN127" s="558">
        <f t="shared" si="137"/>
        <v>0</v>
      </c>
      <c r="AO127" s="558">
        <f t="shared" si="137"/>
        <v>0</v>
      </c>
    </row>
    <row r="128" spans="2:41" s="223" customFormat="1" outlineLevel="1">
      <c r="B128" s="564" t="s">
        <v>809</v>
      </c>
      <c r="C128" s="222"/>
      <c r="D128" s="202"/>
      <c r="E128" s="202"/>
      <c r="F128" s="202"/>
      <c r="G128" s="202"/>
      <c r="H128" s="202"/>
      <c r="I128" s="202"/>
      <c r="J128" s="202"/>
      <c r="K128" s="202"/>
      <c r="L128" s="202"/>
      <c r="M128" s="202"/>
      <c r="N128" s="202"/>
      <c r="O128" s="202"/>
      <c r="P128" s="202"/>
      <c r="Q128" s="202"/>
      <c r="R128" s="202"/>
      <c r="S128" s="202"/>
      <c r="T128" s="558">
        <f t="shared" ref="T128:AO128" si="138">T43-S43</f>
        <v>0</v>
      </c>
      <c r="U128" s="558">
        <f t="shared" si="138"/>
        <v>0</v>
      </c>
      <c r="V128" s="558">
        <f t="shared" si="138"/>
        <v>0</v>
      </c>
      <c r="W128" s="558">
        <f t="shared" si="138"/>
        <v>0</v>
      </c>
      <c r="X128" s="558">
        <f t="shared" si="138"/>
        <v>0</v>
      </c>
      <c r="Y128" s="558">
        <f t="shared" si="138"/>
        <v>0</v>
      </c>
      <c r="Z128" s="558">
        <f t="shared" si="138"/>
        <v>0</v>
      </c>
      <c r="AA128" s="558">
        <f t="shared" si="138"/>
        <v>789</v>
      </c>
      <c r="AB128" s="558">
        <f t="shared" si="138"/>
        <v>112</v>
      </c>
      <c r="AC128" s="558">
        <f t="shared" si="138"/>
        <v>0</v>
      </c>
      <c r="AD128" s="558">
        <f t="shared" si="138"/>
        <v>0</v>
      </c>
      <c r="AE128" s="558">
        <f t="shared" si="138"/>
        <v>0</v>
      </c>
      <c r="AF128" s="558">
        <f t="shared" si="138"/>
        <v>0</v>
      </c>
      <c r="AG128" s="558">
        <f t="shared" si="138"/>
        <v>0</v>
      </c>
      <c r="AH128" s="558">
        <f t="shared" si="138"/>
        <v>0</v>
      </c>
      <c r="AI128" s="558">
        <f t="shared" si="138"/>
        <v>0</v>
      </c>
      <c r="AJ128" s="558">
        <f t="shared" si="138"/>
        <v>0</v>
      </c>
      <c r="AK128" s="558">
        <f t="shared" si="138"/>
        <v>-901</v>
      </c>
      <c r="AL128" s="558">
        <f t="shared" si="138"/>
        <v>0</v>
      </c>
      <c r="AM128" s="558">
        <f t="shared" si="138"/>
        <v>0</v>
      </c>
      <c r="AN128" s="558">
        <f t="shared" si="138"/>
        <v>0</v>
      </c>
      <c r="AO128" s="558">
        <f t="shared" si="138"/>
        <v>0</v>
      </c>
    </row>
    <row r="129" spans="2:41" s="223" customFormat="1" outlineLevel="1">
      <c r="B129" s="564" t="s">
        <v>812</v>
      </c>
      <c r="C129" s="222"/>
      <c r="D129" s="202"/>
      <c r="E129" s="202"/>
      <c r="F129" s="202"/>
      <c r="G129" s="202"/>
      <c r="H129" s="202"/>
      <c r="I129" s="202"/>
      <c r="J129" s="202"/>
      <c r="K129" s="202"/>
      <c r="L129" s="202"/>
      <c r="M129" s="202"/>
      <c r="N129" s="202"/>
      <c r="O129" s="202"/>
      <c r="P129" s="202"/>
      <c r="Q129" s="202"/>
      <c r="R129" s="202"/>
      <c r="S129" s="202"/>
      <c r="T129" s="558"/>
      <c r="U129" s="558"/>
      <c r="V129" s="558"/>
      <c r="W129" s="558"/>
      <c r="X129" s="558"/>
      <c r="Y129" s="558"/>
      <c r="Z129" s="558"/>
      <c r="AA129" s="558">
        <f>AA45-Z45</f>
        <v>1250</v>
      </c>
      <c r="AB129" s="558">
        <f t="shared" ref="AB129:AO129" si="139">AB45-AA45</f>
        <v>0</v>
      </c>
      <c r="AC129" s="558">
        <f t="shared" si="139"/>
        <v>0</v>
      </c>
      <c r="AD129" s="558">
        <f t="shared" si="139"/>
        <v>0</v>
      </c>
      <c r="AE129" s="558">
        <f t="shared" si="139"/>
        <v>0</v>
      </c>
      <c r="AF129" s="558">
        <f t="shared" si="139"/>
        <v>0</v>
      </c>
      <c r="AG129" s="558">
        <f t="shared" si="139"/>
        <v>0</v>
      </c>
      <c r="AH129" s="558">
        <f t="shared" si="139"/>
        <v>0</v>
      </c>
      <c r="AI129" s="558">
        <f t="shared" si="139"/>
        <v>0</v>
      </c>
      <c r="AJ129" s="558">
        <f t="shared" si="139"/>
        <v>0</v>
      </c>
      <c r="AK129" s="558">
        <f t="shared" si="139"/>
        <v>-1250</v>
      </c>
      <c r="AL129" s="558">
        <f t="shared" si="139"/>
        <v>0</v>
      </c>
      <c r="AM129" s="558">
        <f t="shared" si="139"/>
        <v>0</v>
      </c>
      <c r="AN129" s="558">
        <f t="shared" si="139"/>
        <v>0</v>
      </c>
      <c r="AO129" s="558">
        <f t="shared" si="139"/>
        <v>0</v>
      </c>
    </row>
    <row r="130" spans="2:41" s="223" customFormat="1" outlineLevel="1">
      <c r="B130" s="564" t="s">
        <v>805</v>
      </c>
      <c r="C130" s="222"/>
      <c r="D130" s="202"/>
      <c r="E130" s="202"/>
      <c r="F130" s="202"/>
      <c r="G130" s="202"/>
      <c r="H130" s="202"/>
      <c r="I130" s="202"/>
      <c r="J130" s="202"/>
      <c r="K130" s="202"/>
      <c r="L130" s="202"/>
      <c r="M130" s="202"/>
      <c r="N130" s="202"/>
      <c r="O130" s="202"/>
      <c r="P130" s="202"/>
      <c r="Q130" s="202"/>
      <c r="R130" s="202"/>
      <c r="S130" s="202"/>
      <c r="T130" s="558">
        <f t="shared" ref="T130:AO130" si="140">T58-S58</f>
        <v>0</v>
      </c>
      <c r="U130" s="558">
        <f t="shared" si="140"/>
        <v>0</v>
      </c>
      <c r="V130" s="558">
        <f t="shared" si="140"/>
        <v>0</v>
      </c>
      <c r="W130" s="558">
        <f t="shared" si="140"/>
        <v>0</v>
      </c>
      <c r="X130" s="558">
        <f t="shared" si="140"/>
        <v>0</v>
      </c>
      <c r="Y130" s="558">
        <f t="shared" si="140"/>
        <v>0</v>
      </c>
      <c r="Z130" s="558">
        <f t="shared" si="140"/>
        <v>0</v>
      </c>
      <c r="AA130" s="558">
        <f t="shared" si="140"/>
        <v>1415</v>
      </c>
      <c r="AB130" s="558">
        <f t="shared" si="140"/>
        <v>0</v>
      </c>
      <c r="AC130" s="558">
        <f t="shared" si="140"/>
        <v>0</v>
      </c>
      <c r="AD130" s="558">
        <f t="shared" si="140"/>
        <v>0</v>
      </c>
      <c r="AE130" s="558">
        <f t="shared" si="140"/>
        <v>0</v>
      </c>
      <c r="AF130" s="558">
        <f t="shared" si="140"/>
        <v>0</v>
      </c>
      <c r="AG130" s="558">
        <f t="shared" si="140"/>
        <v>0</v>
      </c>
      <c r="AH130" s="558">
        <f t="shared" si="140"/>
        <v>0</v>
      </c>
      <c r="AI130" s="558">
        <f t="shared" si="140"/>
        <v>0</v>
      </c>
      <c r="AJ130" s="558">
        <f t="shared" si="140"/>
        <v>0</v>
      </c>
      <c r="AK130" s="558">
        <f t="shared" si="140"/>
        <v>0</v>
      </c>
      <c r="AL130" s="558">
        <f t="shared" si="140"/>
        <v>0</v>
      </c>
      <c r="AM130" s="558">
        <f t="shared" si="140"/>
        <v>0</v>
      </c>
      <c r="AN130" s="558">
        <f t="shared" si="140"/>
        <v>0</v>
      </c>
      <c r="AO130" s="558">
        <f t="shared" si="140"/>
        <v>0</v>
      </c>
    </row>
    <row r="131" spans="2:41" s="223" customFormat="1" outlineLevel="1">
      <c r="B131" s="564" t="s">
        <v>806</v>
      </c>
      <c r="C131" s="222"/>
      <c r="D131" s="202"/>
      <c r="E131" s="202"/>
      <c r="F131" s="202"/>
      <c r="G131" s="202"/>
      <c r="H131" s="202"/>
      <c r="I131" s="202"/>
      <c r="J131" s="202"/>
      <c r="K131" s="202"/>
      <c r="L131" s="202"/>
      <c r="M131" s="202"/>
      <c r="N131" s="202"/>
      <c r="O131" s="202"/>
      <c r="P131" s="202"/>
      <c r="Q131" s="202"/>
      <c r="R131" s="202"/>
      <c r="S131" s="202"/>
      <c r="T131" s="558">
        <f t="shared" ref="T131:AO131" si="141">T59-S59</f>
        <v>0</v>
      </c>
      <c r="U131" s="558">
        <f t="shared" si="141"/>
        <v>0</v>
      </c>
      <c r="V131" s="558">
        <f t="shared" si="141"/>
        <v>0</v>
      </c>
      <c r="W131" s="558">
        <f t="shared" si="141"/>
        <v>0</v>
      </c>
      <c r="X131" s="558">
        <f t="shared" si="141"/>
        <v>0</v>
      </c>
      <c r="Y131" s="558">
        <f t="shared" si="141"/>
        <v>0</v>
      </c>
      <c r="Z131" s="558">
        <f t="shared" si="141"/>
        <v>0</v>
      </c>
      <c r="AA131" s="558">
        <f t="shared" si="141"/>
        <v>3541</v>
      </c>
      <c r="AB131" s="558">
        <f t="shared" si="141"/>
        <v>0</v>
      </c>
      <c r="AC131" s="558">
        <f t="shared" si="141"/>
        <v>0</v>
      </c>
      <c r="AD131" s="558">
        <f t="shared" si="141"/>
        <v>0</v>
      </c>
      <c r="AE131" s="558">
        <f t="shared" si="141"/>
        <v>0</v>
      </c>
      <c r="AF131" s="558">
        <f t="shared" si="141"/>
        <v>0</v>
      </c>
      <c r="AG131" s="558">
        <f t="shared" si="141"/>
        <v>0</v>
      </c>
      <c r="AH131" s="558">
        <f t="shared" si="141"/>
        <v>0</v>
      </c>
      <c r="AI131" s="558">
        <f t="shared" si="141"/>
        <v>0</v>
      </c>
      <c r="AJ131" s="558">
        <f t="shared" si="141"/>
        <v>0</v>
      </c>
      <c r="AK131" s="558">
        <f t="shared" si="141"/>
        <v>0</v>
      </c>
      <c r="AL131" s="558">
        <f t="shared" si="141"/>
        <v>0</v>
      </c>
      <c r="AM131" s="558">
        <f t="shared" si="141"/>
        <v>0</v>
      </c>
      <c r="AN131" s="558">
        <f t="shared" si="141"/>
        <v>0</v>
      </c>
      <c r="AO131" s="558">
        <f t="shared" si="141"/>
        <v>0</v>
      </c>
    </row>
    <row r="132" spans="2:41" s="223" customFormat="1" outlineLevel="1">
      <c r="B132" s="224" t="s">
        <v>510</v>
      </c>
      <c r="C132" s="222"/>
      <c r="D132" s="202"/>
      <c r="E132" s="202">
        <f t="shared" ref="E132:AO132" si="142">E61-D61</f>
        <v>2.1580000000000155</v>
      </c>
      <c r="F132" s="202">
        <f t="shared" si="142"/>
        <v>-6.2000000000000171</v>
      </c>
      <c r="G132" s="202">
        <f t="shared" si="142"/>
        <v>-100</v>
      </c>
      <c r="H132" s="202">
        <f t="shared" si="142"/>
        <v>81.800000000000011</v>
      </c>
      <c r="I132" s="202">
        <f t="shared" si="142"/>
        <v>-30</v>
      </c>
      <c r="J132" s="202">
        <f t="shared" si="142"/>
        <v>-6</v>
      </c>
      <c r="K132" s="202">
        <f t="shared" si="142"/>
        <v>0</v>
      </c>
      <c r="L132" s="202">
        <f t="shared" si="142"/>
        <v>0</v>
      </c>
      <c r="M132" s="202">
        <f t="shared" si="142"/>
        <v>-123</v>
      </c>
      <c r="N132" s="202">
        <f t="shared" si="142"/>
        <v>80</v>
      </c>
      <c r="O132" s="202">
        <f t="shared" si="142"/>
        <v>20</v>
      </c>
      <c r="P132" s="202">
        <f t="shared" si="142"/>
        <v>0</v>
      </c>
      <c r="Q132" s="202">
        <f t="shared" si="142"/>
        <v>35</v>
      </c>
      <c r="R132" s="202">
        <f t="shared" si="142"/>
        <v>-135</v>
      </c>
      <c r="S132" s="202">
        <f t="shared" si="142"/>
        <v>0</v>
      </c>
      <c r="T132" s="558">
        <f t="shared" si="142"/>
        <v>0</v>
      </c>
      <c r="U132" s="558">
        <f t="shared" si="142"/>
        <v>0</v>
      </c>
      <c r="V132" s="558">
        <f t="shared" si="142"/>
        <v>0</v>
      </c>
      <c r="W132" s="558">
        <f t="shared" si="142"/>
        <v>0</v>
      </c>
      <c r="X132" s="558">
        <f t="shared" si="142"/>
        <v>105</v>
      </c>
      <c r="Y132" s="558">
        <f t="shared" si="142"/>
        <v>-5</v>
      </c>
      <c r="Z132" s="558">
        <f t="shared" si="142"/>
        <v>0</v>
      </c>
      <c r="AA132" s="558">
        <f t="shared" si="142"/>
        <v>0</v>
      </c>
      <c r="AB132" s="558">
        <f t="shared" si="142"/>
        <v>0</v>
      </c>
      <c r="AC132" s="558">
        <f t="shared" si="142"/>
        <v>0</v>
      </c>
      <c r="AD132" s="558">
        <f t="shared" si="142"/>
        <v>0</v>
      </c>
      <c r="AE132" s="558">
        <f t="shared" si="142"/>
        <v>0</v>
      </c>
      <c r="AF132" s="558">
        <f t="shared" si="142"/>
        <v>0</v>
      </c>
      <c r="AG132" s="558">
        <f t="shared" si="142"/>
        <v>0</v>
      </c>
      <c r="AH132" s="558">
        <f t="shared" si="142"/>
        <v>0</v>
      </c>
      <c r="AI132" s="558">
        <f t="shared" si="142"/>
        <v>0</v>
      </c>
      <c r="AJ132" s="558">
        <f t="shared" si="142"/>
        <v>0</v>
      </c>
      <c r="AK132" s="558">
        <f t="shared" si="142"/>
        <v>0</v>
      </c>
      <c r="AL132" s="558">
        <f t="shared" si="142"/>
        <v>0</v>
      </c>
      <c r="AM132" s="558">
        <f t="shared" si="142"/>
        <v>0</v>
      </c>
      <c r="AN132" s="558">
        <f t="shared" si="142"/>
        <v>0</v>
      </c>
      <c r="AO132" s="558">
        <f t="shared" si="142"/>
        <v>0</v>
      </c>
    </row>
    <row r="133" spans="2:41" s="223" customFormat="1" outlineLevel="1">
      <c r="B133" s="224" t="s">
        <v>503</v>
      </c>
      <c r="C133" s="222"/>
      <c r="D133" s="202"/>
      <c r="E133" s="202">
        <f t="shared" ref="E133:AO133" si="143">E20-D20</f>
        <v>0</v>
      </c>
      <c r="F133" s="202">
        <f t="shared" si="143"/>
        <v>0</v>
      </c>
      <c r="G133" s="202">
        <f t="shared" si="143"/>
        <v>0</v>
      </c>
      <c r="H133" s="202">
        <f t="shared" si="143"/>
        <v>0</v>
      </c>
      <c r="I133" s="202">
        <f t="shared" si="143"/>
        <v>0</v>
      </c>
      <c r="J133" s="202">
        <f t="shared" si="143"/>
        <v>0</v>
      </c>
      <c r="K133" s="202">
        <f t="shared" si="143"/>
        <v>0</v>
      </c>
      <c r="L133" s="202">
        <f t="shared" si="143"/>
        <v>0</v>
      </c>
      <c r="M133" s="202">
        <f t="shared" si="143"/>
        <v>0</v>
      </c>
      <c r="N133" s="202">
        <f t="shared" si="143"/>
        <v>0</v>
      </c>
      <c r="O133" s="202">
        <f t="shared" si="143"/>
        <v>0</v>
      </c>
      <c r="P133" s="202">
        <f t="shared" si="143"/>
        <v>0</v>
      </c>
      <c r="Q133" s="202">
        <f t="shared" si="143"/>
        <v>0</v>
      </c>
      <c r="R133" s="202">
        <f t="shared" si="143"/>
        <v>0</v>
      </c>
      <c r="S133" s="202">
        <f t="shared" si="143"/>
        <v>0</v>
      </c>
      <c r="T133" s="558">
        <f t="shared" si="143"/>
        <v>0</v>
      </c>
      <c r="U133" s="558">
        <f t="shared" si="143"/>
        <v>0</v>
      </c>
      <c r="V133" s="558">
        <f t="shared" si="143"/>
        <v>0</v>
      </c>
      <c r="W133" s="558">
        <f t="shared" si="143"/>
        <v>0</v>
      </c>
      <c r="X133" s="558">
        <f t="shared" si="143"/>
        <v>4875</v>
      </c>
      <c r="Y133" s="558">
        <f t="shared" si="143"/>
        <v>-500</v>
      </c>
      <c r="Z133" s="558">
        <f t="shared" si="143"/>
        <v>-2400</v>
      </c>
      <c r="AA133" s="558">
        <f t="shared" si="143"/>
        <v>-1975</v>
      </c>
      <c r="AB133" s="558">
        <f t="shared" si="143"/>
        <v>0</v>
      </c>
      <c r="AC133" s="558">
        <f t="shared" si="143"/>
        <v>0</v>
      </c>
      <c r="AD133" s="558">
        <f t="shared" si="143"/>
        <v>0</v>
      </c>
      <c r="AE133" s="558">
        <f t="shared" si="143"/>
        <v>0</v>
      </c>
      <c r="AF133" s="558">
        <f t="shared" si="143"/>
        <v>0</v>
      </c>
      <c r="AG133" s="558">
        <f t="shared" si="143"/>
        <v>0</v>
      </c>
      <c r="AH133" s="558">
        <f t="shared" si="143"/>
        <v>0</v>
      </c>
      <c r="AI133" s="558">
        <f t="shared" si="143"/>
        <v>0</v>
      </c>
      <c r="AJ133" s="558">
        <f t="shared" si="143"/>
        <v>0</v>
      </c>
      <c r="AK133" s="558">
        <f t="shared" si="143"/>
        <v>0</v>
      </c>
      <c r="AL133" s="558">
        <f t="shared" si="143"/>
        <v>0</v>
      </c>
      <c r="AM133" s="558">
        <f t="shared" si="143"/>
        <v>0</v>
      </c>
      <c r="AN133" s="558">
        <f t="shared" si="143"/>
        <v>0</v>
      </c>
      <c r="AO133" s="558">
        <f t="shared" si="143"/>
        <v>0</v>
      </c>
    </row>
    <row r="134" spans="2:41" s="223" customFormat="1" outlineLevel="1">
      <c r="B134" s="775" t="s">
        <v>924</v>
      </c>
      <c r="C134" s="222"/>
      <c r="D134" s="202"/>
      <c r="E134" s="202"/>
      <c r="F134" s="202"/>
      <c r="G134" s="202"/>
      <c r="H134" s="202"/>
      <c r="I134" s="202"/>
      <c r="J134" s="202"/>
      <c r="K134" s="202"/>
      <c r="L134" s="202"/>
      <c r="M134" s="202"/>
      <c r="N134" s="202"/>
      <c r="O134" s="202"/>
      <c r="P134" s="202"/>
      <c r="Q134" s="202"/>
      <c r="R134" s="202"/>
      <c r="S134" s="202"/>
      <c r="T134" s="558"/>
      <c r="U134" s="558"/>
      <c r="V134" s="558"/>
      <c r="W134" s="558"/>
      <c r="X134" s="558"/>
      <c r="Y134" s="558"/>
      <c r="Z134" s="558"/>
      <c r="AA134" s="558">
        <f>AA13-Z13</f>
        <v>605</v>
      </c>
      <c r="AB134" s="558">
        <f t="shared" ref="AB134:AO134" si="144">AB13-AA13</f>
        <v>-605</v>
      </c>
      <c r="AC134" s="558">
        <f t="shared" si="144"/>
        <v>0</v>
      </c>
      <c r="AD134" s="558">
        <f t="shared" si="144"/>
        <v>0</v>
      </c>
      <c r="AE134" s="558">
        <f t="shared" si="144"/>
        <v>0</v>
      </c>
      <c r="AF134" s="558">
        <f t="shared" si="144"/>
        <v>0</v>
      </c>
      <c r="AG134" s="558">
        <f t="shared" si="144"/>
        <v>0</v>
      </c>
      <c r="AH134" s="558">
        <f t="shared" si="144"/>
        <v>0</v>
      </c>
      <c r="AI134" s="558">
        <f t="shared" si="144"/>
        <v>0</v>
      </c>
      <c r="AJ134" s="558">
        <f t="shared" si="144"/>
        <v>0</v>
      </c>
      <c r="AK134" s="558">
        <f t="shared" si="144"/>
        <v>0</v>
      </c>
      <c r="AL134" s="558">
        <f t="shared" si="144"/>
        <v>0</v>
      </c>
      <c r="AM134" s="558">
        <f t="shared" si="144"/>
        <v>0</v>
      </c>
      <c r="AN134" s="558">
        <f t="shared" si="144"/>
        <v>0</v>
      </c>
      <c r="AO134" s="558">
        <f t="shared" si="144"/>
        <v>0</v>
      </c>
    </row>
    <row r="135" spans="2:41" s="223" customFormat="1" outlineLevel="1">
      <c r="B135" s="564" t="s">
        <v>925</v>
      </c>
      <c r="C135" s="222"/>
      <c r="D135" s="202"/>
      <c r="E135" s="202"/>
      <c r="F135" s="202"/>
      <c r="G135" s="202"/>
      <c r="H135" s="202"/>
      <c r="I135" s="202"/>
      <c r="J135" s="202"/>
      <c r="K135" s="202"/>
      <c r="L135" s="202"/>
      <c r="M135" s="202"/>
      <c r="N135" s="202"/>
      <c r="O135" s="202"/>
      <c r="P135" s="202"/>
      <c r="Q135" s="202"/>
      <c r="R135" s="202"/>
      <c r="S135" s="202"/>
      <c r="T135" s="558"/>
      <c r="U135" s="558"/>
      <c r="V135" s="558"/>
      <c r="W135" s="558"/>
      <c r="X135" s="558"/>
      <c r="Y135" s="558"/>
      <c r="Z135" s="558"/>
      <c r="AA135" s="558"/>
      <c r="AB135" s="558">
        <f>AB62-AA62</f>
        <v>7</v>
      </c>
      <c r="AC135" s="558">
        <f t="shared" ref="AC135:AO135" si="145">AC62-AB62</f>
        <v>929</v>
      </c>
      <c r="AD135" s="558">
        <f t="shared" si="145"/>
        <v>0</v>
      </c>
      <c r="AE135" s="558">
        <f t="shared" si="145"/>
        <v>0</v>
      </c>
      <c r="AF135" s="558">
        <f t="shared" si="145"/>
        <v>0</v>
      </c>
      <c r="AG135" s="558">
        <f t="shared" si="145"/>
        <v>0</v>
      </c>
      <c r="AH135" s="558">
        <f t="shared" si="145"/>
        <v>0</v>
      </c>
      <c r="AI135" s="558">
        <f t="shared" si="145"/>
        <v>0</v>
      </c>
      <c r="AJ135" s="558">
        <f t="shared" si="145"/>
        <v>0</v>
      </c>
      <c r="AK135" s="558">
        <f t="shared" si="145"/>
        <v>0</v>
      </c>
      <c r="AL135" s="558">
        <f t="shared" si="145"/>
        <v>0</v>
      </c>
      <c r="AM135" s="558">
        <f t="shared" si="145"/>
        <v>0</v>
      </c>
      <c r="AN135" s="558">
        <f t="shared" si="145"/>
        <v>0</v>
      </c>
      <c r="AO135" s="558">
        <f t="shared" si="145"/>
        <v>0</v>
      </c>
    </row>
    <row r="136" spans="2:41" s="223" customFormat="1" outlineLevel="1">
      <c r="B136" s="220" t="s">
        <v>511</v>
      </c>
      <c r="C136" s="222"/>
      <c r="D136" s="216"/>
      <c r="E136" s="216">
        <f t="shared" ref="E136:Z136" si="146">SUM(E78:E133)</f>
        <v>2.1580000000000155</v>
      </c>
      <c r="F136" s="216">
        <f t="shared" si="146"/>
        <v>-6.2000000000000171</v>
      </c>
      <c r="G136" s="216">
        <f t="shared" si="146"/>
        <v>0</v>
      </c>
      <c r="H136" s="216">
        <f t="shared" si="146"/>
        <v>81.800000000000011</v>
      </c>
      <c r="I136" s="216">
        <f t="shared" si="146"/>
        <v>-30</v>
      </c>
      <c r="J136" s="216">
        <f t="shared" si="146"/>
        <v>-6</v>
      </c>
      <c r="K136" s="216">
        <f t="shared" si="146"/>
        <v>0</v>
      </c>
      <c r="L136" s="216">
        <f t="shared" si="146"/>
        <v>0</v>
      </c>
      <c r="M136" s="216">
        <f t="shared" si="146"/>
        <v>2947</v>
      </c>
      <c r="N136" s="216">
        <f t="shared" si="146"/>
        <v>-90</v>
      </c>
      <c r="O136" s="216">
        <f t="shared" si="146"/>
        <v>2030</v>
      </c>
      <c r="P136" s="216">
        <f t="shared" si="146"/>
        <v>-1153</v>
      </c>
      <c r="Q136" s="216">
        <f t="shared" si="146"/>
        <v>5055</v>
      </c>
      <c r="R136" s="216">
        <f t="shared" si="146"/>
        <v>2165</v>
      </c>
      <c r="S136" s="216">
        <f t="shared" si="146"/>
        <v>-1825</v>
      </c>
      <c r="T136" s="560">
        <f t="shared" si="146"/>
        <v>1249</v>
      </c>
      <c r="U136" s="560">
        <f t="shared" si="146"/>
        <v>2761</v>
      </c>
      <c r="V136" s="560">
        <f t="shared" si="146"/>
        <v>8066</v>
      </c>
      <c r="W136" s="560">
        <f t="shared" si="146"/>
        <v>5101</v>
      </c>
      <c r="X136" s="560">
        <f t="shared" si="146"/>
        <v>5599</v>
      </c>
      <c r="Y136" s="560">
        <f t="shared" si="146"/>
        <v>-1413</v>
      </c>
      <c r="Z136" s="560">
        <f t="shared" si="146"/>
        <v>841</v>
      </c>
      <c r="AA136" s="560">
        <f>SUM(AA78:AA135)</f>
        <v>3976</v>
      </c>
      <c r="AB136" s="560">
        <f>SUM(AB78:AB135)</f>
        <v>746</v>
      </c>
      <c r="AC136" s="560">
        <f t="shared" ref="AC136:AO136" si="147">SUM(AC78:AC135)</f>
        <v>-224</v>
      </c>
      <c r="AD136" s="560">
        <f t="shared" si="147"/>
        <v>-4460</v>
      </c>
      <c r="AE136" s="560">
        <f t="shared" si="147"/>
        <v>-2950</v>
      </c>
      <c r="AF136" s="560">
        <f t="shared" si="147"/>
        <v>-3500</v>
      </c>
      <c r="AG136" s="560">
        <f t="shared" si="147"/>
        <v>-4251</v>
      </c>
      <c r="AH136" s="560">
        <f t="shared" si="147"/>
        <v>-1469</v>
      </c>
      <c r="AI136" s="560">
        <f t="shared" si="147"/>
        <v>-1400</v>
      </c>
      <c r="AJ136" s="560">
        <f t="shared" si="147"/>
        <v>-1000</v>
      </c>
      <c r="AK136" s="560">
        <f t="shared" si="147"/>
        <v>-2793</v>
      </c>
      <c r="AL136" s="560">
        <f t="shared" si="147"/>
        <v>-1000</v>
      </c>
      <c r="AM136" s="560">
        <f t="shared" si="147"/>
        <v>0</v>
      </c>
      <c r="AN136" s="560">
        <f t="shared" si="147"/>
        <v>-946</v>
      </c>
      <c r="AO136" s="560">
        <f t="shared" si="147"/>
        <v>0</v>
      </c>
    </row>
    <row r="137" spans="2:41" s="223" customFormat="1" outlineLevel="1">
      <c r="B137" s="220" t="s">
        <v>505</v>
      </c>
      <c r="C137" s="222"/>
      <c r="D137" s="202"/>
      <c r="E137" s="202">
        <f>+CF!D41+CF!D42+CF!D43</f>
        <v>0.5</v>
      </c>
      <c r="F137" s="202">
        <f>+CF!E41+CF!E42+CF!E43</f>
        <v>-6.2</v>
      </c>
      <c r="G137" s="202">
        <f>+CF!F41+CF!F42+CF!F43</f>
        <v>0</v>
      </c>
      <c r="H137" s="202">
        <f>+CF!G41+CF!G42+CF!G43</f>
        <v>81.8</v>
      </c>
      <c r="I137" s="202">
        <f>+CF!H41+CF!H42+CF!H43</f>
        <v>-30</v>
      </c>
      <c r="J137" s="202">
        <f>+CF!I41+CF!I42+CF!I43</f>
        <v>0</v>
      </c>
      <c r="K137" s="202">
        <f>+CF!J41+CF!J42+CF!J43</f>
        <v>0</v>
      </c>
      <c r="L137" s="202">
        <f>+CF!K41+CF!K42+CF!K43</f>
        <v>0</v>
      </c>
      <c r="M137" s="202">
        <f>+CF!L41+CF!L42+CF!L43</f>
        <v>2764.7</v>
      </c>
      <c r="N137" s="202">
        <f>+CF!M41+CF!M42+CF!M43</f>
        <v>-123</v>
      </c>
      <c r="O137" s="202">
        <f>+CF!N41+CF!N42+CF!N43</f>
        <v>1989</v>
      </c>
      <c r="P137" s="202">
        <f>+CF!O41+CF!O42+CF!O43</f>
        <v>-1175</v>
      </c>
      <c r="Q137" s="202">
        <f>+CF!P41+CF!P42+CF!P43</f>
        <v>-653</v>
      </c>
      <c r="R137" s="202">
        <f>+CF!Q41+CF!Q42+CF!Q43+CF!Q21</f>
        <v>2142</v>
      </c>
      <c r="S137" s="202">
        <f>+CF!R41+CF!R42+CF!R43+CF!R21</f>
        <v>-1009</v>
      </c>
      <c r="T137" s="558">
        <f>+CF!S41+CF!S42+CF!S43+CF!S21</f>
        <v>980</v>
      </c>
      <c r="U137" s="558">
        <f>+CF!T41+CF!T42+CF!T43+CF!T21</f>
        <v>2471</v>
      </c>
      <c r="V137" s="558">
        <f>+CF!U41+CF!U42+CF!U43+CF!U21</f>
        <v>7887</v>
      </c>
      <c r="W137" s="558">
        <f>+CF!V41+CF!V42+CF!V43+CF!V21</f>
        <v>4810</v>
      </c>
      <c r="X137" s="558">
        <f>+CF!W41+CF!W42+CF!W43+CF!W21</f>
        <v>4683</v>
      </c>
      <c r="Y137" s="558">
        <f>+CF!X41+CF!X42+CF!X43+CF!X21</f>
        <v>-1129</v>
      </c>
      <c r="Z137" s="558">
        <f>+CF!Y41+CF!Y42+CF!Y43+CF!Y21</f>
        <v>1065</v>
      </c>
      <c r="AA137" s="558">
        <f>+CF!Z41+CF!Z42+CF!Z43+CF!Z21</f>
        <v>3593</v>
      </c>
      <c r="AB137" s="558">
        <f>+CF!AA41+CF!AA42+CF!AA43+CF!AA21</f>
        <v>71</v>
      </c>
      <c r="AC137" s="558">
        <f>+CF!AB41+CF!AB42+CF!AB43+CF!AB21</f>
        <v>-224</v>
      </c>
      <c r="AD137" s="558">
        <f>+CF!AC41+CF!AC42+CF!AC43+CF!AC21</f>
        <v>-4460</v>
      </c>
      <c r="AE137" s="558">
        <f>+CF!AD41+CF!AD42+CF!AD43+CF!AD21</f>
        <v>-2950</v>
      </c>
      <c r="AF137" s="558">
        <f>+CF!AE41+CF!AE42+CF!AE43+CF!AE21</f>
        <v>-3500</v>
      </c>
      <c r="AG137" s="558">
        <f>+CF!AF41+CF!AF42+CF!AF43+CF!AF21</f>
        <v>-4251</v>
      </c>
      <c r="AH137" s="558">
        <f>+CF!AG41+CF!AG42+CF!AG43+CF!AG21</f>
        <v>-1469</v>
      </c>
      <c r="AI137" s="558">
        <f>+CF!AH41+CF!AH42+CF!AH43+CF!AH21</f>
        <v>-1400</v>
      </c>
      <c r="AJ137" s="558">
        <f>+CF!AI41+CF!AI42+CF!AI43+CF!AI21</f>
        <v>-1000</v>
      </c>
      <c r="AK137" s="558">
        <f>+CF!AJ41+CF!AJ42+CF!AJ43+CF!AJ21</f>
        <v>-2793</v>
      </c>
      <c r="AL137" s="558">
        <f>+CF!AK41+CF!AK42+CF!AK43+CF!AK21</f>
        <v>-1000</v>
      </c>
      <c r="AM137" s="558">
        <f>+CF!AL41+CF!AL42+CF!AL43+CF!AL21</f>
        <v>0</v>
      </c>
      <c r="AN137" s="558">
        <f>+CF!AM41+CF!AM42+CF!AM43+CF!AM21</f>
        <v>-946</v>
      </c>
      <c r="AO137" s="558">
        <f>+CF!AN41+CF!AN42+CF!AN43+CF!AN21</f>
        <v>0</v>
      </c>
    </row>
    <row r="138" spans="2:41" outlineLevel="1">
      <c r="B138" s="225" t="s">
        <v>188</v>
      </c>
      <c r="D138" s="218"/>
      <c r="E138" s="218">
        <f t="shared" ref="E138:AO138" si="148">E136-E137</f>
        <v>1.6580000000000155</v>
      </c>
      <c r="F138" s="218">
        <f t="shared" si="148"/>
        <v>-1.6875389974302379E-14</v>
      </c>
      <c r="G138" s="218">
        <f t="shared" si="148"/>
        <v>0</v>
      </c>
      <c r="H138" s="218">
        <f t="shared" si="148"/>
        <v>0</v>
      </c>
      <c r="I138" s="218">
        <f t="shared" si="148"/>
        <v>0</v>
      </c>
      <c r="J138" s="218">
        <f t="shared" si="148"/>
        <v>-6</v>
      </c>
      <c r="K138" s="218">
        <f t="shared" si="148"/>
        <v>0</v>
      </c>
      <c r="L138" s="218">
        <f t="shared" si="148"/>
        <v>0</v>
      </c>
      <c r="M138" s="218">
        <f t="shared" si="148"/>
        <v>182.30000000000018</v>
      </c>
      <c r="N138" s="218">
        <f t="shared" si="148"/>
        <v>33</v>
      </c>
      <c r="O138" s="218">
        <f t="shared" si="148"/>
        <v>41</v>
      </c>
      <c r="P138" s="218">
        <f t="shared" si="148"/>
        <v>22</v>
      </c>
      <c r="Q138" s="218">
        <f t="shared" si="148"/>
        <v>5708</v>
      </c>
      <c r="R138" s="218">
        <f t="shared" si="148"/>
        <v>23</v>
      </c>
      <c r="S138" s="218">
        <f t="shared" si="148"/>
        <v>-816</v>
      </c>
      <c r="T138" s="559">
        <f t="shared" si="148"/>
        <v>269</v>
      </c>
      <c r="U138" s="559">
        <f t="shared" si="148"/>
        <v>290</v>
      </c>
      <c r="V138" s="559">
        <f t="shared" si="148"/>
        <v>179</v>
      </c>
      <c r="W138" s="559">
        <f t="shared" si="148"/>
        <v>291</v>
      </c>
      <c r="X138" s="559">
        <f t="shared" si="148"/>
        <v>916</v>
      </c>
      <c r="Y138" s="559">
        <f t="shared" si="148"/>
        <v>-284</v>
      </c>
      <c r="Z138" s="559">
        <f t="shared" si="148"/>
        <v>-224</v>
      </c>
      <c r="AA138" s="559">
        <f t="shared" si="148"/>
        <v>383</v>
      </c>
      <c r="AB138" s="559">
        <f t="shared" si="148"/>
        <v>675</v>
      </c>
      <c r="AC138" s="559">
        <f t="shared" si="148"/>
        <v>0</v>
      </c>
      <c r="AD138" s="559">
        <f t="shared" si="148"/>
        <v>0</v>
      </c>
      <c r="AE138" s="559">
        <f t="shared" si="148"/>
        <v>0</v>
      </c>
      <c r="AF138" s="559">
        <f t="shared" si="148"/>
        <v>0</v>
      </c>
      <c r="AG138" s="559">
        <f t="shared" si="148"/>
        <v>0</v>
      </c>
      <c r="AH138" s="559">
        <f t="shared" si="148"/>
        <v>0</v>
      </c>
      <c r="AI138" s="559">
        <f t="shared" si="148"/>
        <v>0</v>
      </c>
      <c r="AJ138" s="559">
        <f t="shared" si="148"/>
        <v>0</v>
      </c>
      <c r="AK138" s="559">
        <f t="shared" si="148"/>
        <v>0</v>
      </c>
      <c r="AL138" s="559">
        <f t="shared" si="148"/>
        <v>0</v>
      </c>
      <c r="AM138" s="559">
        <f t="shared" si="148"/>
        <v>0</v>
      </c>
      <c r="AN138" s="559">
        <f t="shared" si="148"/>
        <v>0</v>
      </c>
      <c r="AO138" s="559">
        <f t="shared" si="148"/>
        <v>0</v>
      </c>
    </row>
    <row r="139" spans="2:41">
      <c r="B139" s="225"/>
      <c r="D139" s="218"/>
      <c r="E139" s="218"/>
      <c r="F139" s="218"/>
      <c r="G139" s="218"/>
      <c r="H139" s="218"/>
      <c r="I139" s="218"/>
      <c r="J139" s="218"/>
      <c r="K139" s="218"/>
      <c r="L139" s="218"/>
      <c r="M139" s="218"/>
      <c r="N139" s="218"/>
      <c r="O139" s="218"/>
      <c r="P139" s="218"/>
      <c r="Q139" s="218"/>
      <c r="R139" s="218"/>
      <c r="S139" s="218"/>
      <c r="T139" s="559"/>
      <c r="U139" s="559"/>
      <c r="V139" s="559"/>
      <c r="W139" s="559"/>
      <c r="X139" s="559"/>
      <c r="Y139" s="559"/>
      <c r="Z139" s="559"/>
      <c r="AA139" s="559"/>
    </row>
    <row r="140" spans="2:41">
      <c r="B140" s="206" t="s">
        <v>512</v>
      </c>
    </row>
    <row r="141" spans="2:41">
      <c r="B141" s="206"/>
    </row>
    <row r="142" spans="2:41" s="204" customFormat="1" outlineLevel="1">
      <c r="B142" s="226" t="s">
        <v>473</v>
      </c>
      <c r="C142" s="202"/>
      <c r="D142" s="202"/>
      <c r="E142" s="202"/>
      <c r="F142" s="202"/>
      <c r="G142" s="202"/>
      <c r="H142" s="202"/>
      <c r="I142" s="202"/>
      <c r="J142" s="202"/>
      <c r="K142" s="202"/>
      <c r="L142" s="202"/>
      <c r="M142" s="202"/>
      <c r="N142" s="202"/>
      <c r="O142" s="202"/>
      <c r="P142" s="202"/>
      <c r="Q142" s="202"/>
      <c r="R142" s="202"/>
      <c r="S142" s="202"/>
      <c r="T142" s="558"/>
      <c r="U142" s="558"/>
      <c r="V142" s="558"/>
      <c r="W142" s="558"/>
      <c r="X142" s="558"/>
      <c r="Y142" s="558"/>
      <c r="Z142" s="558"/>
      <c r="AA142" s="558"/>
      <c r="AB142" s="558"/>
      <c r="AC142" s="558"/>
      <c r="AD142" s="558"/>
      <c r="AE142" s="558"/>
    </row>
    <row r="143" spans="2:41" s="204" customFormat="1" outlineLevel="1">
      <c r="B143" s="211" t="s">
        <v>513</v>
      </c>
      <c r="C143" s="202"/>
      <c r="D143" s="202"/>
      <c r="E143" s="202"/>
      <c r="F143" s="202"/>
      <c r="G143" s="202"/>
      <c r="H143" s="202"/>
      <c r="I143" s="202"/>
      <c r="J143" s="202"/>
      <c r="K143" s="202"/>
      <c r="L143" s="202"/>
      <c r="M143" s="202"/>
      <c r="N143" s="202"/>
      <c r="O143" s="202"/>
      <c r="P143" s="202"/>
      <c r="Q143" s="202">
        <f>+R143-R144</f>
        <v>1957</v>
      </c>
      <c r="R143" s="202">
        <f>+S143-S144</f>
        <v>2078</v>
      </c>
      <c r="S143" s="202">
        <v>2206</v>
      </c>
      <c r="T143" s="558">
        <v>2342</v>
      </c>
      <c r="U143" s="558">
        <v>2488</v>
      </c>
      <c r="V143" s="558"/>
      <c r="W143" s="558"/>
      <c r="X143" s="558"/>
      <c r="Y143" s="558"/>
      <c r="Z143" s="558"/>
      <c r="AA143" s="558"/>
      <c r="AB143" s="558"/>
      <c r="AC143" s="558"/>
      <c r="AD143" s="558"/>
      <c r="AE143" s="558"/>
    </row>
    <row r="144" spans="2:41" s="204" customFormat="1" outlineLevel="1">
      <c r="B144" s="211" t="s">
        <v>514</v>
      </c>
      <c r="C144" s="202"/>
      <c r="D144" s="202"/>
      <c r="E144" s="202"/>
      <c r="F144" s="202"/>
      <c r="G144" s="202"/>
      <c r="H144" s="202"/>
      <c r="I144" s="202"/>
      <c r="J144" s="202"/>
      <c r="K144" s="202"/>
      <c r="L144" s="202"/>
      <c r="M144" s="202"/>
      <c r="N144" s="202"/>
      <c r="O144" s="202"/>
      <c r="P144" s="202"/>
      <c r="Q144" s="202"/>
      <c r="R144" s="202">
        <v>121</v>
      </c>
      <c r="S144" s="202">
        <v>128</v>
      </c>
      <c r="T144" s="558">
        <v>136</v>
      </c>
      <c r="U144" s="558">
        <v>146</v>
      </c>
      <c r="V144" s="558"/>
      <c r="W144" s="558"/>
      <c r="X144" s="558"/>
      <c r="Y144" s="558"/>
      <c r="Z144" s="558"/>
      <c r="AA144" s="558"/>
      <c r="AB144" s="558"/>
      <c r="AC144" s="558"/>
      <c r="AD144" s="558"/>
      <c r="AE144" s="558"/>
    </row>
    <row r="145" spans="2:41" s="204" customFormat="1" outlineLevel="1">
      <c r="B145" s="211" t="s">
        <v>515</v>
      </c>
      <c r="C145" s="202"/>
      <c r="D145" s="202"/>
      <c r="E145" s="202"/>
      <c r="F145" s="202"/>
      <c r="G145" s="202"/>
      <c r="H145" s="202"/>
      <c r="I145" s="202"/>
      <c r="J145" s="202"/>
      <c r="K145" s="202"/>
      <c r="L145" s="202"/>
      <c r="M145" s="202"/>
      <c r="N145" s="202"/>
      <c r="O145" s="202"/>
      <c r="P145" s="202"/>
      <c r="Q145" s="202">
        <f>+R144+R145</f>
        <v>543</v>
      </c>
      <c r="R145" s="202">
        <f>+S144+S145</f>
        <v>422</v>
      </c>
      <c r="S145" s="202">
        <f>+T144+T145</f>
        <v>294</v>
      </c>
      <c r="T145" s="558">
        <f>+U144+U145</f>
        <v>158</v>
      </c>
      <c r="U145" s="558">
        <v>12</v>
      </c>
      <c r="V145" s="558"/>
      <c r="W145" s="558"/>
      <c r="X145" s="558"/>
      <c r="Y145" s="558"/>
      <c r="Z145" s="558"/>
      <c r="AA145" s="558"/>
      <c r="AB145" s="558"/>
      <c r="AC145" s="558"/>
      <c r="AD145" s="558"/>
      <c r="AE145" s="558"/>
    </row>
    <row r="146" spans="2:41" s="204" customFormat="1" outlineLevel="1">
      <c r="B146" s="211" t="s">
        <v>516</v>
      </c>
      <c r="C146" s="202"/>
      <c r="D146" s="202"/>
      <c r="E146" s="202"/>
      <c r="F146" s="202"/>
      <c r="G146" s="202"/>
      <c r="H146" s="202"/>
      <c r="I146" s="202"/>
      <c r="J146" s="202"/>
      <c r="K146" s="202"/>
      <c r="L146" s="202"/>
      <c r="M146" s="202"/>
      <c r="N146" s="202"/>
      <c r="O146" s="202"/>
      <c r="P146" s="202"/>
      <c r="Q146" s="202"/>
      <c r="R146" s="202">
        <f>+Q143*6.24%</f>
        <v>122.11680000000001</v>
      </c>
      <c r="S146" s="202">
        <f>+R143*6.24%</f>
        <v>129.66720000000001</v>
      </c>
      <c r="T146" s="558">
        <f>+S143*6.24%</f>
        <v>137.65440000000001</v>
      </c>
      <c r="U146" s="558">
        <f>+T143*6.24%</f>
        <v>146.14080000000001</v>
      </c>
      <c r="V146" s="558"/>
      <c r="W146" s="558"/>
      <c r="X146" s="558"/>
      <c r="Y146" s="558"/>
      <c r="Z146" s="558"/>
      <c r="AA146" s="558"/>
      <c r="AB146" s="558"/>
      <c r="AC146" s="558"/>
      <c r="AD146" s="558"/>
      <c r="AE146" s="558"/>
    </row>
    <row r="147" spans="2:41" s="204" customFormat="1" outlineLevel="1">
      <c r="B147" s="211"/>
      <c r="C147" s="202"/>
      <c r="D147" s="202"/>
      <c r="E147" s="202"/>
      <c r="F147" s="202"/>
      <c r="G147" s="202"/>
      <c r="H147" s="202"/>
      <c r="I147" s="202"/>
      <c r="J147" s="202"/>
      <c r="K147" s="202"/>
      <c r="L147" s="202"/>
      <c r="M147" s="202"/>
      <c r="N147" s="202"/>
      <c r="O147" s="202"/>
      <c r="P147" s="202"/>
      <c r="Q147" s="202"/>
      <c r="R147" s="202"/>
      <c r="S147" s="202"/>
      <c r="T147" s="558"/>
      <c r="U147" s="558"/>
      <c r="V147" s="558"/>
      <c r="W147" s="558"/>
      <c r="X147" s="558"/>
      <c r="Y147" s="558"/>
      <c r="Z147" s="558"/>
      <c r="AA147" s="558"/>
      <c r="AB147" s="558"/>
      <c r="AC147" s="558"/>
      <c r="AD147" s="558"/>
      <c r="AE147" s="558"/>
    </row>
    <row r="148" spans="2:41" s="204" customFormat="1" outlineLevel="1">
      <c r="B148" s="226" t="s">
        <v>474</v>
      </c>
      <c r="C148" s="202"/>
      <c r="D148" s="202"/>
      <c r="E148" s="202"/>
      <c r="F148" s="202"/>
      <c r="G148" s="202"/>
      <c r="H148" s="202"/>
      <c r="I148" s="202"/>
      <c r="J148" s="202"/>
      <c r="K148" s="202"/>
      <c r="L148" s="202"/>
      <c r="M148" s="202"/>
      <c r="N148" s="202"/>
      <c r="O148" s="202"/>
      <c r="P148" s="202"/>
      <c r="Q148" s="202"/>
      <c r="R148" s="202"/>
      <c r="S148" s="202"/>
      <c r="T148" s="558"/>
      <c r="U148" s="558"/>
      <c r="V148" s="558"/>
      <c r="W148" s="558"/>
      <c r="X148" s="558"/>
      <c r="Y148" s="558"/>
      <c r="Z148" s="558"/>
      <c r="AA148" s="558"/>
      <c r="AB148" s="558"/>
      <c r="AC148" s="558"/>
      <c r="AD148" s="558"/>
      <c r="AE148" s="558"/>
    </row>
    <row r="149" spans="2:41" s="204" customFormat="1" outlineLevel="1">
      <c r="B149" s="211" t="s">
        <v>513</v>
      </c>
      <c r="C149" s="202"/>
      <c r="D149" s="202"/>
      <c r="E149" s="202"/>
      <c r="F149" s="202"/>
      <c r="G149" s="202"/>
      <c r="H149" s="202"/>
      <c r="I149" s="202"/>
      <c r="J149" s="202"/>
      <c r="K149" s="202"/>
      <c r="L149" s="202"/>
      <c r="M149" s="202"/>
      <c r="N149" s="202"/>
      <c r="O149" s="202"/>
      <c r="P149" s="202"/>
      <c r="Q149" s="202">
        <f>+R149-R150</f>
        <v>1756</v>
      </c>
      <c r="R149" s="202">
        <f>+S149-S150</f>
        <v>1860</v>
      </c>
      <c r="S149" s="202">
        <v>1970</v>
      </c>
      <c r="T149" s="558">
        <v>2088</v>
      </c>
      <c r="U149" s="558">
        <v>2213</v>
      </c>
      <c r="V149" s="558">
        <f>+U149+V150</f>
        <v>2345.2267499999998</v>
      </c>
      <c r="W149" s="558">
        <f>+V149+W150</f>
        <v>2485.351148625</v>
      </c>
      <c r="X149" s="558"/>
      <c r="Y149" s="558"/>
      <c r="Z149" s="558"/>
      <c r="AA149" s="558"/>
      <c r="AB149" s="558"/>
      <c r="AC149" s="558"/>
      <c r="AD149" s="558"/>
      <c r="AE149" s="558"/>
    </row>
    <row r="150" spans="2:41" s="204" customFormat="1" outlineLevel="1">
      <c r="B150" s="211" t="s">
        <v>514</v>
      </c>
      <c r="C150" s="202"/>
      <c r="D150" s="202"/>
      <c r="E150" s="202"/>
      <c r="F150" s="202"/>
      <c r="G150" s="202"/>
      <c r="H150" s="202"/>
      <c r="I150" s="202"/>
      <c r="J150" s="202"/>
      <c r="K150" s="202"/>
      <c r="L150" s="202"/>
      <c r="M150" s="202"/>
      <c r="N150" s="202"/>
      <c r="O150" s="202"/>
      <c r="P150" s="202"/>
      <c r="Q150" s="202"/>
      <c r="R150" s="202">
        <v>104</v>
      </c>
      <c r="S150" s="202">
        <v>110</v>
      </c>
      <c r="T150" s="558">
        <v>118</v>
      </c>
      <c r="U150" s="558">
        <v>125</v>
      </c>
      <c r="V150" s="558">
        <f>+V152-V218</f>
        <v>132.22674999999998</v>
      </c>
      <c r="W150" s="558">
        <f>+W152-W218</f>
        <v>140.12439862499997</v>
      </c>
      <c r="X150" s="558"/>
      <c r="Y150" s="558"/>
      <c r="Z150" s="558"/>
      <c r="AA150" s="558"/>
      <c r="AB150" s="558"/>
      <c r="AC150" s="558"/>
      <c r="AD150" s="558"/>
      <c r="AE150" s="558"/>
    </row>
    <row r="151" spans="2:41" s="204" customFormat="1" outlineLevel="1">
      <c r="B151" s="211" t="s">
        <v>515</v>
      </c>
      <c r="C151" s="202"/>
      <c r="D151" s="202"/>
      <c r="E151" s="202"/>
      <c r="F151" s="202"/>
      <c r="G151" s="202"/>
      <c r="H151" s="202"/>
      <c r="I151" s="202"/>
      <c r="J151" s="202"/>
      <c r="K151" s="202"/>
      <c r="L151" s="202"/>
      <c r="M151" s="202"/>
      <c r="N151" s="202"/>
      <c r="O151" s="202"/>
      <c r="P151" s="202"/>
      <c r="Q151" s="202">
        <f>+R150+R151</f>
        <v>744</v>
      </c>
      <c r="R151" s="202">
        <f>+S150+S151</f>
        <v>640</v>
      </c>
      <c r="S151" s="202">
        <f>+T150+T151</f>
        <v>530</v>
      </c>
      <c r="T151" s="558">
        <f>+U150+U151</f>
        <v>412</v>
      </c>
      <c r="U151" s="558">
        <v>287</v>
      </c>
      <c r="V151" s="558">
        <f>+U151-V150</f>
        <v>154.77325000000002</v>
      </c>
      <c r="W151" s="558">
        <f>+V151-W150</f>
        <v>14.648851375000049</v>
      </c>
      <c r="X151" s="558"/>
      <c r="Y151" s="558"/>
      <c r="Z151" s="558"/>
      <c r="AA151" s="558"/>
      <c r="AB151" s="558"/>
      <c r="AC151" s="558"/>
      <c r="AD151" s="558"/>
      <c r="AE151" s="558"/>
    </row>
    <row r="152" spans="2:41" s="204" customFormat="1" outlineLevel="1">
      <c r="B152" s="211" t="s">
        <v>517</v>
      </c>
      <c r="C152" s="202"/>
      <c r="D152" s="202"/>
      <c r="E152" s="202"/>
      <c r="F152" s="202"/>
      <c r="G152" s="202"/>
      <c r="H152" s="202"/>
      <c r="I152" s="202"/>
      <c r="J152" s="202"/>
      <c r="K152" s="202"/>
      <c r="L152" s="202"/>
      <c r="M152" s="202"/>
      <c r="N152" s="202"/>
      <c r="O152" s="202"/>
      <c r="P152" s="202"/>
      <c r="Q152" s="202"/>
      <c r="R152" s="202">
        <f t="shared" ref="R152:W152" si="149">+Q149*6.35%</f>
        <v>111.506</v>
      </c>
      <c r="S152" s="202">
        <f t="shared" si="149"/>
        <v>118.11</v>
      </c>
      <c r="T152" s="558">
        <f t="shared" si="149"/>
        <v>125.095</v>
      </c>
      <c r="U152" s="558">
        <f t="shared" si="149"/>
        <v>132.58799999999999</v>
      </c>
      <c r="V152" s="558">
        <f t="shared" si="149"/>
        <v>140.52549999999999</v>
      </c>
      <c r="W152" s="558">
        <f t="shared" si="149"/>
        <v>148.92189862499998</v>
      </c>
      <c r="X152" s="558"/>
      <c r="Y152" s="558"/>
      <c r="Z152" s="558"/>
      <c r="AA152" s="558"/>
      <c r="AB152" s="558"/>
      <c r="AC152" s="558"/>
      <c r="AD152" s="558"/>
      <c r="AE152" s="558"/>
    </row>
    <row r="153" spans="2:41" s="204" customFormat="1" outlineLevel="1">
      <c r="B153" s="211"/>
      <c r="C153" s="202"/>
      <c r="D153" s="202"/>
      <c r="E153" s="202"/>
      <c r="F153" s="202"/>
      <c r="G153" s="202"/>
      <c r="H153" s="202"/>
      <c r="I153" s="202"/>
      <c r="J153" s="202"/>
      <c r="K153" s="202"/>
      <c r="L153" s="202"/>
      <c r="M153" s="202"/>
      <c r="N153" s="202"/>
      <c r="O153" s="202"/>
      <c r="P153" s="202"/>
      <c r="Q153" s="202"/>
      <c r="R153" s="202"/>
      <c r="S153" s="202"/>
      <c r="T153" s="558"/>
      <c r="U153" s="558"/>
      <c r="V153" s="558"/>
      <c r="W153" s="558"/>
      <c r="X153" s="558"/>
      <c r="Y153" s="558"/>
      <c r="Z153" s="558"/>
      <c r="AA153" s="558"/>
      <c r="AB153" s="558"/>
      <c r="AC153" s="558"/>
      <c r="AD153" s="558"/>
      <c r="AE153" s="558"/>
    </row>
    <row r="154" spans="2:41" s="204" customFormat="1" outlineLevel="1">
      <c r="B154" s="226" t="s">
        <v>518</v>
      </c>
      <c r="C154" s="202"/>
      <c r="D154" s="202"/>
      <c r="E154" s="202"/>
      <c r="F154" s="202"/>
      <c r="G154" s="202"/>
      <c r="H154" s="202"/>
      <c r="I154" s="202"/>
      <c r="J154" s="202"/>
      <c r="K154" s="202"/>
      <c r="L154" s="202"/>
      <c r="M154" s="202"/>
      <c r="N154" s="202"/>
      <c r="O154" s="202"/>
      <c r="P154" s="202"/>
      <c r="Q154" s="202"/>
      <c r="R154" s="202">
        <f t="shared" ref="R154:W154" si="150">R150+R144</f>
        <v>225</v>
      </c>
      <c r="S154" s="202">
        <f t="shared" si="150"/>
        <v>238</v>
      </c>
      <c r="T154" s="558">
        <f t="shared" si="150"/>
        <v>254</v>
      </c>
      <c r="U154" s="558">
        <f t="shared" si="150"/>
        <v>271</v>
      </c>
      <c r="V154" s="558">
        <f t="shared" si="150"/>
        <v>132.22674999999998</v>
      </c>
      <c r="W154" s="558">
        <f t="shared" si="150"/>
        <v>140.12439862499997</v>
      </c>
      <c r="X154" s="558"/>
      <c r="Y154" s="558"/>
      <c r="Z154" s="558"/>
      <c r="AA154" s="558"/>
      <c r="AB154" s="558"/>
      <c r="AC154" s="558"/>
      <c r="AD154" s="558"/>
      <c r="AE154" s="558"/>
    </row>
    <row r="155" spans="2:41" s="204" customFormat="1">
      <c r="C155" s="202"/>
      <c r="D155" s="202"/>
      <c r="E155" s="202"/>
      <c r="F155" s="202"/>
      <c r="G155" s="202"/>
      <c r="H155" s="202"/>
      <c r="I155" s="202"/>
      <c r="J155" s="202"/>
      <c r="K155" s="202"/>
      <c r="L155" s="202"/>
      <c r="M155" s="202"/>
      <c r="N155" s="202"/>
      <c r="O155" s="202"/>
      <c r="P155" s="202"/>
      <c r="Q155" s="202"/>
      <c r="R155" s="202"/>
      <c r="S155" s="202"/>
      <c r="T155" s="558"/>
      <c r="U155" s="558"/>
      <c r="V155" s="558"/>
      <c r="W155" s="558"/>
      <c r="X155" s="558"/>
      <c r="Y155" s="558"/>
      <c r="Z155" s="558"/>
      <c r="AA155" s="558"/>
      <c r="AB155" s="558"/>
      <c r="AC155" s="558"/>
      <c r="AD155" s="558"/>
      <c r="AE155" s="558"/>
    </row>
    <row r="156" spans="2:41" s="223" customFormat="1">
      <c r="B156" s="167" t="s">
        <v>519</v>
      </c>
      <c r="C156" s="222"/>
      <c r="D156" s="227"/>
      <c r="E156" s="227"/>
      <c r="F156" s="227"/>
      <c r="G156" s="227"/>
      <c r="H156" s="227"/>
      <c r="I156" s="227"/>
      <c r="J156" s="227"/>
      <c r="K156" s="227"/>
      <c r="L156" s="227"/>
      <c r="M156" s="227"/>
      <c r="N156" s="227"/>
      <c r="O156" s="227"/>
      <c r="P156" s="227"/>
      <c r="Q156" s="227"/>
      <c r="R156" s="227"/>
      <c r="S156" s="227"/>
      <c r="T156" s="559"/>
      <c r="U156" s="558"/>
      <c r="V156" s="558"/>
      <c r="W156" s="558"/>
      <c r="X156" s="558"/>
      <c r="Y156" s="558"/>
      <c r="Z156" s="558"/>
      <c r="AA156" s="558"/>
      <c r="AB156" s="558"/>
      <c r="AC156" s="558"/>
      <c r="AD156" s="558"/>
      <c r="AE156" s="558"/>
    </row>
    <row r="157" spans="2:41" s="223" customFormat="1" outlineLevel="1">
      <c r="B157" s="167"/>
      <c r="C157" s="222"/>
      <c r="D157" s="227"/>
      <c r="E157" s="227"/>
      <c r="F157" s="227"/>
      <c r="G157" s="227"/>
      <c r="H157" s="227"/>
      <c r="I157" s="227"/>
      <c r="J157" s="227"/>
      <c r="K157" s="227"/>
      <c r="L157" s="227"/>
      <c r="M157" s="227"/>
      <c r="N157" s="227"/>
      <c r="O157" s="227"/>
      <c r="P157" s="227"/>
      <c r="Q157" s="227"/>
      <c r="R157" s="227"/>
      <c r="S157" s="227"/>
      <c r="T157" s="559"/>
      <c r="U157" s="558"/>
      <c r="V157" s="558"/>
      <c r="W157" s="558"/>
      <c r="X157" s="558"/>
      <c r="Y157" s="558"/>
      <c r="Z157" s="558"/>
      <c r="AA157" s="558"/>
      <c r="AB157" s="558"/>
      <c r="AC157" s="558"/>
      <c r="AD157" s="558"/>
      <c r="AE157" s="558"/>
    </row>
    <row r="158" spans="2:41" s="231" customFormat="1" outlineLevel="1">
      <c r="B158" s="228" t="s">
        <v>473</v>
      </c>
      <c r="C158" s="229"/>
      <c r="D158" s="230"/>
      <c r="E158" s="230"/>
      <c r="F158" s="230"/>
      <c r="G158" s="230"/>
      <c r="H158" s="230"/>
      <c r="I158" s="230"/>
      <c r="J158" s="230"/>
      <c r="K158" s="230"/>
      <c r="L158" s="230"/>
      <c r="M158" s="230"/>
      <c r="N158" s="230"/>
      <c r="O158" s="230"/>
      <c r="P158" s="230"/>
      <c r="Q158" s="230">
        <v>1.25E-3</v>
      </c>
      <c r="R158" s="230">
        <v>1.25E-3</v>
      </c>
      <c r="S158" s="230">
        <v>1.25E-3</v>
      </c>
      <c r="T158" s="565">
        <v>1.25E-3</v>
      </c>
      <c r="U158" s="565">
        <v>1.25E-3</v>
      </c>
      <c r="V158" s="565">
        <v>0</v>
      </c>
      <c r="W158" s="565">
        <f>V158</f>
        <v>0</v>
      </c>
      <c r="X158" s="565">
        <f>W158</f>
        <v>0</v>
      </c>
      <c r="Y158" s="565">
        <f>X158</f>
        <v>0</v>
      </c>
      <c r="Z158" s="565">
        <f>Y158</f>
        <v>0</v>
      </c>
      <c r="AA158" s="565">
        <f>Z158</f>
        <v>0</v>
      </c>
      <c r="AB158" s="565">
        <f t="shared" ref="AB158:AE173" si="151">AA158</f>
        <v>0</v>
      </c>
      <c r="AC158" s="565">
        <f t="shared" si="151"/>
        <v>0</v>
      </c>
      <c r="AD158" s="565">
        <f t="shared" si="151"/>
        <v>0</v>
      </c>
      <c r="AE158" s="565">
        <f t="shared" si="151"/>
        <v>0</v>
      </c>
      <c r="AF158" s="565">
        <f t="shared" ref="AF158:AF184" si="152">AE158</f>
        <v>0</v>
      </c>
      <c r="AG158" s="565">
        <f t="shared" ref="AG158:AG184" si="153">AF158</f>
        <v>0</v>
      </c>
      <c r="AH158" s="565">
        <f t="shared" ref="AH158:AH184" si="154">AG158</f>
        <v>0</v>
      </c>
      <c r="AI158" s="565">
        <f t="shared" ref="AI158:AI184" si="155">AH158</f>
        <v>0</v>
      </c>
      <c r="AJ158" s="565">
        <f t="shared" ref="AJ158:AJ184" si="156">AI158</f>
        <v>0</v>
      </c>
      <c r="AK158" s="565">
        <f t="shared" ref="AK158:AK184" si="157">AJ158</f>
        <v>0</v>
      </c>
      <c r="AL158" s="565">
        <f t="shared" ref="AL158:AL184" si="158">AK158</f>
        <v>0</v>
      </c>
      <c r="AM158" s="565">
        <f t="shared" ref="AM158:AM184" si="159">AL158</f>
        <v>0</v>
      </c>
      <c r="AN158" s="565">
        <f t="shared" ref="AN158:AN184" si="160">AM158</f>
        <v>0</v>
      </c>
      <c r="AO158" s="565">
        <f t="shared" ref="AO158:AO184" si="161">AN158</f>
        <v>0</v>
      </c>
    </row>
    <row r="159" spans="2:41" s="231" customFormat="1" outlineLevel="1">
      <c r="B159" s="228" t="s">
        <v>474</v>
      </c>
      <c r="C159" s="229"/>
      <c r="D159" s="230"/>
      <c r="E159" s="230"/>
      <c r="F159" s="230"/>
      <c r="G159" s="230"/>
      <c r="H159" s="230"/>
      <c r="I159" s="230"/>
      <c r="J159" s="230"/>
      <c r="K159" s="230"/>
      <c r="L159" s="230"/>
      <c r="M159" s="230"/>
      <c r="N159" s="230"/>
      <c r="O159" s="230"/>
      <c r="P159" s="230"/>
      <c r="Q159" s="230">
        <v>3.7499999999999999E-3</v>
      </c>
      <c r="R159" s="230">
        <v>3.7499999999999999E-3</v>
      </c>
      <c r="S159" s="230">
        <v>3.7499999999999999E-3</v>
      </c>
      <c r="T159" s="565">
        <v>3.7499999999999999E-3</v>
      </c>
      <c r="U159" s="565">
        <v>3.7499999999999999E-3</v>
      </c>
      <c r="V159" s="565">
        <f t="shared" ref="V159:V174" si="162">+U159</f>
        <v>3.7499999999999999E-3</v>
      </c>
      <c r="W159" s="565">
        <f t="shared" ref="W159:AA177" si="163">V159</f>
        <v>3.7499999999999999E-3</v>
      </c>
      <c r="X159" s="565">
        <v>0</v>
      </c>
      <c r="Y159" s="565">
        <f t="shared" ref="Y159:AA174" si="164">X159</f>
        <v>0</v>
      </c>
      <c r="Z159" s="565">
        <f t="shared" si="164"/>
        <v>0</v>
      </c>
      <c r="AA159" s="565">
        <f t="shared" si="164"/>
        <v>0</v>
      </c>
      <c r="AB159" s="565">
        <f t="shared" si="151"/>
        <v>0</v>
      </c>
      <c r="AC159" s="565">
        <f t="shared" si="151"/>
        <v>0</v>
      </c>
      <c r="AD159" s="565">
        <f t="shared" si="151"/>
        <v>0</v>
      </c>
      <c r="AE159" s="565">
        <f t="shared" si="151"/>
        <v>0</v>
      </c>
      <c r="AF159" s="565">
        <f t="shared" si="152"/>
        <v>0</v>
      </c>
      <c r="AG159" s="565">
        <f t="shared" si="153"/>
        <v>0</v>
      </c>
      <c r="AH159" s="565">
        <f t="shared" si="154"/>
        <v>0</v>
      </c>
      <c r="AI159" s="565">
        <f t="shared" si="155"/>
        <v>0</v>
      </c>
      <c r="AJ159" s="565">
        <f t="shared" si="156"/>
        <v>0</v>
      </c>
      <c r="AK159" s="565">
        <f t="shared" si="157"/>
        <v>0</v>
      </c>
      <c r="AL159" s="565">
        <f t="shared" si="158"/>
        <v>0</v>
      </c>
      <c r="AM159" s="565">
        <f t="shared" si="159"/>
        <v>0</v>
      </c>
      <c r="AN159" s="565">
        <f t="shared" si="160"/>
        <v>0</v>
      </c>
      <c r="AO159" s="565">
        <f t="shared" si="161"/>
        <v>0</v>
      </c>
    </row>
    <row r="160" spans="2:41" s="231" customFormat="1" outlineLevel="1">
      <c r="B160" s="228" t="s">
        <v>475</v>
      </c>
      <c r="C160" s="229"/>
      <c r="D160" s="230"/>
      <c r="E160" s="230"/>
      <c r="F160" s="230"/>
      <c r="G160" s="230"/>
      <c r="H160" s="230"/>
      <c r="I160" s="230"/>
      <c r="J160" s="230"/>
      <c r="K160" s="230"/>
      <c r="L160" s="230"/>
      <c r="M160" s="230"/>
      <c r="N160" s="230"/>
      <c r="O160" s="230"/>
      <c r="P160" s="230"/>
      <c r="Q160" s="230"/>
      <c r="R160" s="230">
        <v>5.8500000000000003E-2</v>
      </c>
      <c r="S160" s="230">
        <v>5.8500000000000003E-2</v>
      </c>
      <c r="T160" s="565">
        <v>5.8500000000000003E-2</v>
      </c>
      <c r="U160" s="565">
        <v>5.8500000000000003E-2</v>
      </c>
      <c r="V160" s="565">
        <f t="shared" si="162"/>
        <v>5.8500000000000003E-2</v>
      </c>
      <c r="W160" s="565">
        <f t="shared" si="163"/>
        <v>5.8500000000000003E-2</v>
      </c>
      <c r="X160" s="565">
        <f t="shared" si="163"/>
        <v>5.8500000000000003E-2</v>
      </c>
      <c r="Y160" s="565">
        <f t="shared" si="164"/>
        <v>5.8500000000000003E-2</v>
      </c>
      <c r="Z160" s="565">
        <f t="shared" si="164"/>
        <v>5.8500000000000003E-2</v>
      </c>
      <c r="AA160" s="565">
        <f t="shared" si="164"/>
        <v>5.8500000000000003E-2</v>
      </c>
      <c r="AB160" s="565">
        <f t="shared" si="151"/>
        <v>5.8500000000000003E-2</v>
      </c>
      <c r="AC160" s="565">
        <f t="shared" si="151"/>
        <v>5.8500000000000003E-2</v>
      </c>
      <c r="AD160" s="565">
        <f t="shared" si="151"/>
        <v>5.8500000000000003E-2</v>
      </c>
      <c r="AE160" s="565">
        <f t="shared" si="151"/>
        <v>5.8500000000000003E-2</v>
      </c>
      <c r="AF160" s="565">
        <f t="shared" si="152"/>
        <v>5.8500000000000003E-2</v>
      </c>
      <c r="AG160" s="565">
        <f t="shared" si="153"/>
        <v>5.8500000000000003E-2</v>
      </c>
      <c r="AH160" s="565">
        <f t="shared" si="154"/>
        <v>5.8500000000000003E-2</v>
      </c>
      <c r="AI160" s="565">
        <f t="shared" si="155"/>
        <v>5.8500000000000003E-2</v>
      </c>
      <c r="AJ160" s="565">
        <f t="shared" si="156"/>
        <v>5.8500000000000003E-2</v>
      </c>
      <c r="AK160" s="565">
        <f t="shared" si="157"/>
        <v>5.8500000000000003E-2</v>
      </c>
      <c r="AL160" s="565">
        <f t="shared" si="158"/>
        <v>5.8500000000000003E-2</v>
      </c>
      <c r="AM160" s="565">
        <f t="shared" si="159"/>
        <v>5.8500000000000003E-2</v>
      </c>
      <c r="AN160" s="565">
        <f t="shared" si="160"/>
        <v>5.8500000000000003E-2</v>
      </c>
      <c r="AO160" s="565">
        <f t="shared" si="161"/>
        <v>5.8500000000000003E-2</v>
      </c>
    </row>
    <row r="161" spans="2:41" s="231" customFormat="1" outlineLevel="1">
      <c r="B161" s="228" t="s">
        <v>476</v>
      </c>
      <c r="C161" s="229"/>
      <c r="D161" s="230"/>
      <c r="E161" s="230"/>
      <c r="F161" s="230"/>
      <c r="G161" s="230"/>
      <c r="H161" s="230"/>
      <c r="I161" s="230"/>
      <c r="J161" s="230"/>
      <c r="K161" s="230"/>
      <c r="L161" s="230"/>
      <c r="M161" s="230"/>
      <c r="N161" s="230"/>
      <c r="O161" s="230">
        <v>4.8500000000000001E-2</v>
      </c>
      <c r="P161" s="230">
        <v>4.8500000000000001E-2</v>
      </c>
      <c r="Q161" s="230">
        <v>4.8500000000000001E-2</v>
      </c>
      <c r="R161" s="230">
        <v>4.8500000000000001E-2</v>
      </c>
      <c r="S161" s="230">
        <v>4.8500000000000001E-2</v>
      </c>
      <c r="T161" s="565">
        <v>4.8500000000000001E-2</v>
      </c>
      <c r="U161" s="565">
        <v>4.8500000000000001E-2</v>
      </c>
      <c r="V161" s="565">
        <f t="shared" si="162"/>
        <v>4.8500000000000001E-2</v>
      </c>
      <c r="W161" s="565">
        <f t="shared" si="163"/>
        <v>4.8500000000000001E-2</v>
      </c>
      <c r="X161" s="565">
        <f t="shared" si="163"/>
        <v>4.8500000000000001E-2</v>
      </c>
      <c r="Y161" s="565">
        <v>0</v>
      </c>
      <c r="Z161" s="565">
        <f t="shared" si="164"/>
        <v>0</v>
      </c>
      <c r="AA161" s="565">
        <f t="shared" si="164"/>
        <v>0</v>
      </c>
      <c r="AB161" s="565">
        <f t="shared" si="151"/>
        <v>0</v>
      </c>
      <c r="AC161" s="565">
        <f t="shared" si="151"/>
        <v>0</v>
      </c>
      <c r="AD161" s="565">
        <f t="shared" si="151"/>
        <v>0</v>
      </c>
      <c r="AE161" s="565">
        <f t="shared" si="151"/>
        <v>0</v>
      </c>
      <c r="AF161" s="565">
        <f t="shared" si="152"/>
        <v>0</v>
      </c>
      <c r="AG161" s="565">
        <f t="shared" si="153"/>
        <v>0</v>
      </c>
      <c r="AH161" s="565">
        <f t="shared" si="154"/>
        <v>0</v>
      </c>
      <c r="AI161" s="565">
        <f t="shared" si="155"/>
        <v>0</v>
      </c>
      <c r="AJ161" s="565">
        <f t="shared" si="156"/>
        <v>0</v>
      </c>
      <c r="AK161" s="565">
        <f t="shared" si="157"/>
        <v>0</v>
      </c>
      <c r="AL161" s="565">
        <f t="shared" si="158"/>
        <v>0</v>
      </c>
      <c r="AM161" s="565">
        <f t="shared" si="159"/>
        <v>0</v>
      </c>
      <c r="AN161" s="565">
        <f t="shared" si="160"/>
        <v>0</v>
      </c>
      <c r="AO161" s="565">
        <f t="shared" si="161"/>
        <v>0</v>
      </c>
    </row>
    <row r="162" spans="2:41" s="231" customFormat="1" outlineLevel="1">
      <c r="B162" s="228" t="s">
        <v>477</v>
      </c>
      <c r="C162" s="229"/>
      <c r="D162" s="230"/>
      <c r="E162" s="230"/>
      <c r="F162" s="230"/>
      <c r="G162" s="230"/>
      <c r="H162" s="230"/>
      <c r="I162" s="230"/>
      <c r="J162" s="230"/>
      <c r="K162" s="230"/>
      <c r="L162" s="230"/>
      <c r="M162" s="230"/>
      <c r="N162" s="230"/>
      <c r="O162" s="230"/>
      <c r="P162" s="230"/>
      <c r="Q162" s="230"/>
      <c r="R162" s="232"/>
      <c r="S162" s="232"/>
      <c r="T162" s="565">
        <v>5.7000000000000002E-2</v>
      </c>
      <c r="U162" s="565">
        <v>5.7000000000000002E-2</v>
      </c>
      <c r="V162" s="565">
        <f t="shared" si="162"/>
        <v>5.7000000000000002E-2</v>
      </c>
      <c r="W162" s="565">
        <f t="shared" si="163"/>
        <v>5.7000000000000002E-2</v>
      </c>
      <c r="X162" s="565">
        <f t="shared" si="163"/>
        <v>5.7000000000000002E-2</v>
      </c>
      <c r="Y162" s="565">
        <f t="shared" si="163"/>
        <v>5.7000000000000002E-2</v>
      </c>
      <c r="Z162" s="565">
        <f t="shared" si="164"/>
        <v>5.7000000000000002E-2</v>
      </c>
      <c r="AA162" s="565">
        <f t="shared" si="164"/>
        <v>5.7000000000000002E-2</v>
      </c>
      <c r="AB162" s="565">
        <f t="shared" si="151"/>
        <v>5.7000000000000002E-2</v>
      </c>
      <c r="AC162" s="565">
        <f t="shared" si="151"/>
        <v>5.7000000000000002E-2</v>
      </c>
      <c r="AD162" s="565">
        <f t="shared" si="151"/>
        <v>5.7000000000000002E-2</v>
      </c>
      <c r="AE162" s="565">
        <f t="shared" si="151"/>
        <v>5.7000000000000002E-2</v>
      </c>
      <c r="AF162" s="565">
        <f t="shared" si="152"/>
        <v>5.7000000000000002E-2</v>
      </c>
      <c r="AG162" s="565">
        <f t="shared" si="153"/>
        <v>5.7000000000000002E-2</v>
      </c>
      <c r="AH162" s="565">
        <f t="shared" si="154"/>
        <v>5.7000000000000002E-2</v>
      </c>
      <c r="AI162" s="565">
        <f t="shared" si="155"/>
        <v>5.7000000000000002E-2</v>
      </c>
      <c r="AJ162" s="565">
        <f t="shared" si="156"/>
        <v>5.7000000000000002E-2</v>
      </c>
      <c r="AK162" s="565">
        <f t="shared" si="157"/>
        <v>5.7000000000000002E-2</v>
      </c>
      <c r="AL162" s="565">
        <f t="shared" si="158"/>
        <v>5.7000000000000002E-2</v>
      </c>
      <c r="AM162" s="565">
        <f t="shared" si="159"/>
        <v>5.7000000000000002E-2</v>
      </c>
      <c r="AN162" s="565">
        <f t="shared" si="160"/>
        <v>5.7000000000000002E-2</v>
      </c>
      <c r="AO162" s="565">
        <f t="shared" si="161"/>
        <v>5.7000000000000002E-2</v>
      </c>
    </row>
    <row r="163" spans="2:41" s="231" customFormat="1" outlineLevel="1">
      <c r="B163" s="228" t="s">
        <v>478</v>
      </c>
      <c r="C163" s="229"/>
      <c r="D163" s="230"/>
      <c r="E163" s="230"/>
      <c r="F163" s="230"/>
      <c r="G163" s="230"/>
      <c r="H163" s="230"/>
      <c r="I163" s="230"/>
      <c r="J163" s="230"/>
      <c r="K163" s="230"/>
      <c r="L163" s="230"/>
      <c r="M163" s="230"/>
      <c r="N163" s="230"/>
      <c r="O163" s="230"/>
      <c r="P163" s="230"/>
      <c r="Q163" s="230"/>
      <c r="R163" s="232"/>
      <c r="S163" s="232"/>
      <c r="T163" s="565">
        <v>6.4000000000000001E-2</v>
      </c>
      <c r="U163" s="565">
        <v>6.4000000000000001E-2</v>
      </c>
      <c r="V163" s="565">
        <f t="shared" si="162"/>
        <v>6.4000000000000001E-2</v>
      </c>
      <c r="W163" s="565">
        <f t="shared" si="163"/>
        <v>6.4000000000000001E-2</v>
      </c>
      <c r="X163" s="565">
        <f t="shared" si="163"/>
        <v>6.4000000000000001E-2</v>
      </c>
      <c r="Y163" s="565">
        <f t="shared" si="163"/>
        <v>6.4000000000000001E-2</v>
      </c>
      <c r="Z163" s="565">
        <f t="shared" si="164"/>
        <v>6.4000000000000001E-2</v>
      </c>
      <c r="AA163" s="565">
        <f t="shared" si="164"/>
        <v>6.4000000000000001E-2</v>
      </c>
      <c r="AB163" s="565">
        <f t="shared" si="151"/>
        <v>6.4000000000000001E-2</v>
      </c>
      <c r="AC163" s="565">
        <f t="shared" si="151"/>
        <v>6.4000000000000001E-2</v>
      </c>
      <c r="AD163" s="565">
        <f t="shared" si="151"/>
        <v>6.4000000000000001E-2</v>
      </c>
      <c r="AE163" s="565">
        <f t="shared" si="151"/>
        <v>6.4000000000000001E-2</v>
      </c>
      <c r="AF163" s="565">
        <f t="shared" si="152"/>
        <v>6.4000000000000001E-2</v>
      </c>
      <c r="AG163" s="565">
        <f t="shared" si="153"/>
        <v>6.4000000000000001E-2</v>
      </c>
      <c r="AH163" s="565">
        <f t="shared" si="154"/>
        <v>6.4000000000000001E-2</v>
      </c>
      <c r="AI163" s="565">
        <f t="shared" si="155"/>
        <v>6.4000000000000001E-2</v>
      </c>
      <c r="AJ163" s="565">
        <f t="shared" si="156"/>
        <v>6.4000000000000001E-2</v>
      </c>
      <c r="AK163" s="565">
        <f t="shared" si="157"/>
        <v>6.4000000000000001E-2</v>
      </c>
      <c r="AL163" s="565">
        <f t="shared" si="158"/>
        <v>6.4000000000000001E-2</v>
      </c>
      <c r="AM163" s="565">
        <f t="shared" si="159"/>
        <v>6.4000000000000001E-2</v>
      </c>
      <c r="AN163" s="565">
        <f t="shared" si="160"/>
        <v>6.4000000000000001E-2</v>
      </c>
      <c r="AO163" s="565">
        <f t="shared" si="161"/>
        <v>6.4000000000000001E-2</v>
      </c>
    </row>
    <row r="164" spans="2:41" s="231" customFormat="1" ht="11.25" customHeight="1" outlineLevel="1">
      <c r="B164" s="228" t="s">
        <v>479</v>
      </c>
      <c r="C164" s="229"/>
      <c r="D164" s="230"/>
      <c r="E164" s="230"/>
      <c r="F164" s="230"/>
      <c r="G164" s="230"/>
      <c r="H164" s="230"/>
      <c r="I164" s="230"/>
      <c r="J164" s="230"/>
      <c r="K164" s="230"/>
      <c r="L164" s="230"/>
      <c r="M164" s="230"/>
      <c r="N164" s="230"/>
      <c r="O164" s="230"/>
      <c r="P164" s="230"/>
      <c r="Q164" s="230"/>
      <c r="R164" s="232">
        <v>6.3750000000000001E-2</v>
      </c>
      <c r="S164" s="232">
        <v>6.3750000000000001E-2</v>
      </c>
      <c r="T164" s="565">
        <v>6.3750000000000001E-2</v>
      </c>
      <c r="U164" s="565">
        <v>6.3750000000000001E-2</v>
      </c>
      <c r="V164" s="565">
        <f t="shared" si="162"/>
        <v>6.3750000000000001E-2</v>
      </c>
      <c r="W164" s="565">
        <f t="shared" si="163"/>
        <v>6.3750000000000001E-2</v>
      </c>
      <c r="X164" s="565">
        <f t="shared" si="163"/>
        <v>6.3750000000000001E-2</v>
      </c>
      <c r="Y164" s="565">
        <f t="shared" si="163"/>
        <v>6.3750000000000001E-2</v>
      </c>
      <c r="Z164" s="565">
        <f t="shared" si="164"/>
        <v>6.3750000000000001E-2</v>
      </c>
      <c r="AA164" s="565">
        <f t="shared" si="164"/>
        <v>6.3750000000000001E-2</v>
      </c>
      <c r="AB164" s="565">
        <f t="shared" si="151"/>
        <v>6.3750000000000001E-2</v>
      </c>
      <c r="AC164" s="565">
        <f t="shared" si="151"/>
        <v>6.3750000000000001E-2</v>
      </c>
      <c r="AD164" s="565">
        <f t="shared" si="151"/>
        <v>6.3750000000000001E-2</v>
      </c>
      <c r="AE164" s="565">
        <f t="shared" si="151"/>
        <v>6.3750000000000001E-2</v>
      </c>
      <c r="AF164" s="565">
        <f t="shared" si="152"/>
        <v>6.3750000000000001E-2</v>
      </c>
      <c r="AG164" s="565">
        <f t="shared" si="153"/>
        <v>6.3750000000000001E-2</v>
      </c>
      <c r="AH164" s="565">
        <f t="shared" si="154"/>
        <v>6.3750000000000001E-2</v>
      </c>
      <c r="AI164" s="565">
        <f t="shared" si="155"/>
        <v>6.3750000000000001E-2</v>
      </c>
      <c r="AJ164" s="565">
        <f t="shared" si="156"/>
        <v>6.3750000000000001E-2</v>
      </c>
      <c r="AK164" s="565">
        <f t="shared" si="157"/>
        <v>6.3750000000000001E-2</v>
      </c>
      <c r="AL164" s="565">
        <f t="shared" si="158"/>
        <v>6.3750000000000001E-2</v>
      </c>
      <c r="AM164" s="565">
        <f t="shared" si="159"/>
        <v>6.3750000000000001E-2</v>
      </c>
      <c r="AN164" s="565">
        <f t="shared" si="160"/>
        <v>6.3750000000000001E-2</v>
      </c>
      <c r="AO164" s="565">
        <f t="shared" si="161"/>
        <v>6.3750000000000001E-2</v>
      </c>
    </row>
    <row r="165" spans="2:41" s="231" customFormat="1" outlineLevel="1">
      <c r="B165" s="228" t="s">
        <v>480</v>
      </c>
      <c r="C165" s="229"/>
      <c r="D165" s="230"/>
      <c r="E165" s="230"/>
      <c r="F165" s="230"/>
      <c r="G165" s="230"/>
      <c r="H165" s="230"/>
      <c r="I165" s="230"/>
      <c r="J165" s="230"/>
      <c r="K165" s="230"/>
      <c r="L165" s="230"/>
      <c r="M165" s="230"/>
      <c r="N165" s="230"/>
      <c r="O165" s="230"/>
      <c r="P165" s="230"/>
      <c r="Q165" s="230"/>
      <c r="R165" s="232"/>
      <c r="S165" s="232"/>
      <c r="T165" s="565"/>
      <c r="U165" s="565">
        <v>3.4500000000000003E-2</v>
      </c>
      <c r="V165" s="565">
        <f t="shared" si="162"/>
        <v>3.4500000000000003E-2</v>
      </c>
      <c r="W165" s="565">
        <f t="shared" si="163"/>
        <v>3.4500000000000003E-2</v>
      </c>
      <c r="X165" s="565">
        <f t="shared" si="163"/>
        <v>3.4500000000000003E-2</v>
      </c>
      <c r="Y165" s="565">
        <f t="shared" si="163"/>
        <v>3.4500000000000003E-2</v>
      </c>
      <c r="Z165" s="565">
        <f t="shared" si="164"/>
        <v>3.4500000000000003E-2</v>
      </c>
      <c r="AA165" s="565">
        <f t="shared" si="164"/>
        <v>3.4500000000000003E-2</v>
      </c>
      <c r="AB165" s="565">
        <f t="shared" si="151"/>
        <v>3.4500000000000003E-2</v>
      </c>
      <c r="AC165" s="565">
        <f t="shared" si="151"/>
        <v>3.4500000000000003E-2</v>
      </c>
      <c r="AD165" s="565">
        <f t="shared" si="151"/>
        <v>3.4500000000000003E-2</v>
      </c>
      <c r="AE165" s="565">
        <f t="shared" si="151"/>
        <v>3.4500000000000003E-2</v>
      </c>
      <c r="AF165" s="565">
        <f t="shared" si="152"/>
        <v>3.4500000000000003E-2</v>
      </c>
      <c r="AG165" s="565">
        <f t="shared" si="153"/>
        <v>3.4500000000000003E-2</v>
      </c>
      <c r="AH165" s="565">
        <f t="shared" si="154"/>
        <v>3.4500000000000003E-2</v>
      </c>
      <c r="AI165" s="565">
        <f t="shared" si="155"/>
        <v>3.4500000000000003E-2</v>
      </c>
      <c r="AJ165" s="565">
        <f t="shared" si="156"/>
        <v>3.4500000000000003E-2</v>
      </c>
      <c r="AK165" s="565">
        <f t="shared" si="157"/>
        <v>3.4500000000000003E-2</v>
      </c>
      <c r="AL165" s="565">
        <f t="shared" si="158"/>
        <v>3.4500000000000003E-2</v>
      </c>
      <c r="AM165" s="565">
        <f t="shared" si="159"/>
        <v>3.4500000000000003E-2</v>
      </c>
      <c r="AN165" s="565">
        <f t="shared" si="160"/>
        <v>3.4500000000000003E-2</v>
      </c>
      <c r="AO165" s="565">
        <f t="shared" si="161"/>
        <v>3.4500000000000003E-2</v>
      </c>
    </row>
    <row r="166" spans="2:41" s="231" customFormat="1" outlineLevel="1">
      <c r="B166" s="228" t="s">
        <v>481</v>
      </c>
      <c r="C166" s="229"/>
      <c r="D166" s="230"/>
      <c r="E166" s="230"/>
      <c r="F166" s="230"/>
      <c r="G166" s="230"/>
      <c r="H166" s="230"/>
      <c r="I166" s="230"/>
      <c r="J166" s="230"/>
      <c r="K166" s="230"/>
      <c r="L166" s="230"/>
      <c r="M166" s="230"/>
      <c r="N166" s="230"/>
      <c r="O166" s="230"/>
      <c r="P166" s="230"/>
      <c r="Q166" s="230"/>
      <c r="R166" s="232"/>
      <c r="S166" s="232"/>
      <c r="T166" s="565"/>
      <c r="U166" s="565">
        <v>5.7500000000000002E-2</v>
      </c>
      <c r="V166" s="565">
        <f t="shared" si="162"/>
        <v>5.7500000000000002E-2</v>
      </c>
      <c r="W166" s="565">
        <f t="shared" si="163"/>
        <v>5.7500000000000002E-2</v>
      </c>
      <c r="X166" s="565">
        <f t="shared" si="163"/>
        <v>5.7500000000000002E-2</v>
      </c>
      <c r="Y166" s="565">
        <f t="shared" si="163"/>
        <v>5.7500000000000002E-2</v>
      </c>
      <c r="Z166" s="565">
        <f t="shared" si="164"/>
        <v>5.7500000000000002E-2</v>
      </c>
      <c r="AA166" s="565">
        <f t="shared" si="164"/>
        <v>5.7500000000000002E-2</v>
      </c>
      <c r="AB166" s="565">
        <f t="shared" si="151"/>
        <v>5.7500000000000002E-2</v>
      </c>
      <c r="AC166" s="565">
        <f t="shared" si="151"/>
        <v>5.7500000000000002E-2</v>
      </c>
      <c r="AD166" s="565">
        <f t="shared" si="151"/>
        <v>5.7500000000000002E-2</v>
      </c>
      <c r="AE166" s="565">
        <f t="shared" si="151"/>
        <v>5.7500000000000002E-2</v>
      </c>
      <c r="AF166" s="565">
        <f t="shared" si="152"/>
        <v>5.7500000000000002E-2</v>
      </c>
      <c r="AG166" s="565">
        <f t="shared" si="153"/>
        <v>5.7500000000000002E-2</v>
      </c>
      <c r="AH166" s="565">
        <f t="shared" si="154"/>
        <v>5.7500000000000002E-2</v>
      </c>
      <c r="AI166" s="565">
        <f t="shared" si="155"/>
        <v>5.7500000000000002E-2</v>
      </c>
      <c r="AJ166" s="565">
        <f t="shared" si="156"/>
        <v>5.7500000000000002E-2</v>
      </c>
      <c r="AK166" s="565">
        <f t="shared" si="157"/>
        <v>5.7500000000000002E-2</v>
      </c>
      <c r="AL166" s="565">
        <f t="shared" si="158"/>
        <v>5.7500000000000002E-2</v>
      </c>
      <c r="AM166" s="565">
        <f t="shared" si="159"/>
        <v>5.7500000000000002E-2</v>
      </c>
      <c r="AN166" s="565">
        <f t="shared" si="160"/>
        <v>5.7500000000000002E-2</v>
      </c>
      <c r="AO166" s="565">
        <f t="shared" si="161"/>
        <v>5.7500000000000002E-2</v>
      </c>
    </row>
    <row r="167" spans="2:41" s="231" customFormat="1" outlineLevel="1">
      <c r="B167" s="228" t="s">
        <v>482</v>
      </c>
      <c r="C167" s="229"/>
      <c r="D167" s="230"/>
      <c r="E167" s="230"/>
      <c r="F167" s="230"/>
      <c r="G167" s="230"/>
      <c r="H167" s="230"/>
      <c r="I167" s="230"/>
      <c r="J167" s="230"/>
      <c r="K167" s="230"/>
      <c r="L167" s="230"/>
      <c r="M167" s="230"/>
      <c r="N167" s="230"/>
      <c r="O167" s="230"/>
      <c r="P167" s="230"/>
      <c r="Q167" s="230"/>
      <c r="R167" s="232"/>
      <c r="S167" s="232"/>
      <c r="T167" s="565"/>
      <c r="U167" s="565">
        <v>4.9500000000000002E-2</v>
      </c>
      <c r="V167" s="565">
        <f t="shared" si="162"/>
        <v>4.9500000000000002E-2</v>
      </c>
      <c r="W167" s="565">
        <f t="shared" si="163"/>
        <v>4.9500000000000002E-2</v>
      </c>
      <c r="X167" s="565">
        <f t="shared" si="163"/>
        <v>4.9500000000000002E-2</v>
      </c>
      <c r="Y167" s="565">
        <f t="shared" si="163"/>
        <v>4.9500000000000002E-2</v>
      </c>
      <c r="Z167" s="565">
        <f t="shared" si="164"/>
        <v>4.9500000000000002E-2</v>
      </c>
      <c r="AA167" s="565">
        <f t="shared" si="164"/>
        <v>4.9500000000000002E-2</v>
      </c>
      <c r="AB167" s="565">
        <f t="shared" si="151"/>
        <v>4.9500000000000002E-2</v>
      </c>
      <c r="AC167" s="565">
        <f t="shared" si="151"/>
        <v>4.9500000000000002E-2</v>
      </c>
      <c r="AD167" s="565">
        <f t="shared" si="151"/>
        <v>4.9500000000000002E-2</v>
      </c>
      <c r="AE167" s="565">
        <f t="shared" si="151"/>
        <v>4.9500000000000002E-2</v>
      </c>
      <c r="AF167" s="565">
        <f t="shared" si="152"/>
        <v>4.9500000000000002E-2</v>
      </c>
      <c r="AG167" s="565">
        <f t="shared" si="153"/>
        <v>4.9500000000000002E-2</v>
      </c>
      <c r="AH167" s="565">
        <f t="shared" si="154"/>
        <v>4.9500000000000002E-2</v>
      </c>
      <c r="AI167" s="565">
        <f t="shared" si="155"/>
        <v>4.9500000000000002E-2</v>
      </c>
      <c r="AJ167" s="565">
        <f t="shared" si="156"/>
        <v>4.9500000000000002E-2</v>
      </c>
      <c r="AK167" s="565">
        <f t="shared" si="157"/>
        <v>4.9500000000000002E-2</v>
      </c>
      <c r="AL167" s="565">
        <f t="shared" si="158"/>
        <v>4.9500000000000002E-2</v>
      </c>
      <c r="AM167" s="565">
        <f t="shared" si="159"/>
        <v>4.9500000000000002E-2</v>
      </c>
      <c r="AN167" s="565">
        <f t="shared" si="160"/>
        <v>4.9500000000000002E-2</v>
      </c>
      <c r="AO167" s="565">
        <f t="shared" si="161"/>
        <v>4.9500000000000002E-2</v>
      </c>
    </row>
    <row r="168" spans="2:41" s="231" customFormat="1" outlineLevel="1">
      <c r="B168" s="228" t="s">
        <v>483</v>
      </c>
      <c r="C168" s="229"/>
      <c r="D168" s="230"/>
      <c r="E168" s="230"/>
      <c r="F168" s="230"/>
      <c r="G168" s="230"/>
      <c r="H168" s="230"/>
      <c r="I168" s="230"/>
      <c r="J168" s="230"/>
      <c r="K168" s="230"/>
      <c r="L168" s="230"/>
      <c r="M168" s="230"/>
      <c r="N168" s="230"/>
      <c r="O168" s="230"/>
      <c r="P168" s="230"/>
      <c r="Q168" s="230"/>
      <c r="R168" s="232"/>
      <c r="S168" s="232">
        <v>6.1499999999999999E-2</v>
      </c>
      <c r="T168" s="565">
        <v>6.1499999999999999E-2</v>
      </c>
      <c r="U168" s="565">
        <v>6.1499999999999999E-2</v>
      </c>
      <c r="V168" s="565">
        <f t="shared" si="162"/>
        <v>6.1499999999999999E-2</v>
      </c>
      <c r="W168" s="565">
        <f t="shared" si="163"/>
        <v>6.1499999999999999E-2</v>
      </c>
      <c r="X168" s="565">
        <f t="shared" si="163"/>
        <v>6.1499999999999999E-2</v>
      </c>
      <c r="Y168" s="565">
        <f t="shared" si="163"/>
        <v>6.1499999999999999E-2</v>
      </c>
      <c r="Z168" s="565">
        <f t="shared" si="164"/>
        <v>6.1499999999999999E-2</v>
      </c>
      <c r="AA168" s="565">
        <f t="shared" si="164"/>
        <v>6.1499999999999999E-2</v>
      </c>
      <c r="AB168" s="565">
        <f t="shared" si="151"/>
        <v>6.1499999999999999E-2</v>
      </c>
      <c r="AC168" s="565">
        <f t="shared" si="151"/>
        <v>6.1499999999999999E-2</v>
      </c>
      <c r="AD168" s="565">
        <f t="shared" si="151"/>
        <v>6.1499999999999999E-2</v>
      </c>
      <c r="AE168" s="565">
        <f t="shared" si="151"/>
        <v>6.1499999999999999E-2</v>
      </c>
      <c r="AF168" s="565">
        <f t="shared" si="152"/>
        <v>6.1499999999999999E-2</v>
      </c>
      <c r="AG168" s="565">
        <f t="shared" si="153"/>
        <v>6.1499999999999999E-2</v>
      </c>
      <c r="AH168" s="565">
        <f t="shared" si="154"/>
        <v>6.1499999999999999E-2</v>
      </c>
      <c r="AI168" s="565">
        <f t="shared" si="155"/>
        <v>6.1499999999999999E-2</v>
      </c>
      <c r="AJ168" s="565">
        <f t="shared" si="156"/>
        <v>6.1499999999999999E-2</v>
      </c>
      <c r="AK168" s="565">
        <f t="shared" si="157"/>
        <v>6.1499999999999999E-2</v>
      </c>
      <c r="AL168" s="565">
        <f t="shared" si="158"/>
        <v>6.1499999999999999E-2</v>
      </c>
      <c r="AM168" s="565">
        <f t="shared" si="159"/>
        <v>6.1499999999999999E-2</v>
      </c>
      <c r="AN168" s="565">
        <f t="shared" si="160"/>
        <v>6.1499999999999999E-2</v>
      </c>
      <c r="AO168" s="565">
        <f t="shared" si="161"/>
        <v>6.1499999999999999E-2</v>
      </c>
    </row>
    <row r="169" spans="2:41" s="231" customFormat="1" outlineLevel="1">
      <c r="B169" s="228" t="s">
        <v>484</v>
      </c>
      <c r="C169" s="229"/>
      <c r="D169" s="230"/>
      <c r="E169" s="230"/>
      <c r="F169" s="230"/>
      <c r="G169" s="230"/>
      <c r="H169" s="230"/>
      <c r="I169" s="230"/>
      <c r="J169" s="230"/>
      <c r="K169" s="230"/>
      <c r="L169" s="230"/>
      <c r="M169" s="230"/>
      <c r="N169" s="230"/>
      <c r="O169" s="230"/>
      <c r="P169" s="230"/>
      <c r="Q169" s="230"/>
      <c r="R169" s="232"/>
      <c r="S169" s="232">
        <v>6.9000000000000006E-2</v>
      </c>
      <c r="T169" s="565">
        <v>6.9000000000000006E-2</v>
      </c>
      <c r="U169" s="565">
        <v>6.9000000000000006E-2</v>
      </c>
      <c r="V169" s="565">
        <f t="shared" si="162"/>
        <v>6.9000000000000006E-2</v>
      </c>
      <c r="W169" s="565">
        <f t="shared" si="163"/>
        <v>6.9000000000000006E-2</v>
      </c>
      <c r="X169" s="565">
        <f t="shared" si="163"/>
        <v>6.9000000000000006E-2</v>
      </c>
      <c r="Y169" s="565">
        <f t="shared" si="163"/>
        <v>6.9000000000000006E-2</v>
      </c>
      <c r="Z169" s="565">
        <f t="shared" si="164"/>
        <v>6.9000000000000006E-2</v>
      </c>
      <c r="AA169" s="565">
        <f t="shared" si="164"/>
        <v>6.9000000000000006E-2</v>
      </c>
      <c r="AB169" s="565">
        <f t="shared" si="151"/>
        <v>6.9000000000000006E-2</v>
      </c>
      <c r="AC169" s="565">
        <f t="shared" si="151"/>
        <v>6.9000000000000006E-2</v>
      </c>
      <c r="AD169" s="565">
        <f t="shared" si="151"/>
        <v>6.9000000000000006E-2</v>
      </c>
      <c r="AE169" s="565">
        <f t="shared" si="151"/>
        <v>6.9000000000000006E-2</v>
      </c>
      <c r="AF169" s="565">
        <f t="shared" si="152"/>
        <v>6.9000000000000006E-2</v>
      </c>
      <c r="AG169" s="565">
        <f t="shared" si="153"/>
        <v>6.9000000000000006E-2</v>
      </c>
      <c r="AH169" s="565">
        <f t="shared" si="154"/>
        <v>6.9000000000000006E-2</v>
      </c>
      <c r="AI169" s="565">
        <f t="shared" si="155"/>
        <v>6.9000000000000006E-2</v>
      </c>
      <c r="AJ169" s="565">
        <f t="shared" si="156"/>
        <v>6.9000000000000006E-2</v>
      </c>
      <c r="AK169" s="565">
        <f t="shared" si="157"/>
        <v>6.9000000000000006E-2</v>
      </c>
      <c r="AL169" s="565">
        <f t="shared" si="158"/>
        <v>6.9000000000000006E-2</v>
      </c>
      <c r="AM169" s="565">
        <f t="shared" si="159"/>
        <v>6.9000000000000006E-2</v>
      </c>
      <c r="AN169" s="565">
        <f t="shared" si="160"/>
        <v>6.9000000000000006E-2</v>
      </c>
      <c r="AO169" s="565">
        <f t="shared" si="161"/>
        <v>6.9000000000000006E-2</v>
      </c>
    </row>
    <row r="170" spans="2:41" s="231" customFormat="1" outlineLevel="1">
      <c r="B170" s="228" t="s">
        <v>485</v>
      </c>
      <c r="C170" s="229"/>
      <c r="D170" s="230"/>
      <c r="E170" s="230"/>
      <c r="F170" s="230"/>
      <c r="G170" s="230"/>
      <c r="H170" s="230"/>
      <c r="I170" s="230"/>
      <c r="J170" s="230"/>
      <c r="K170" s="230"/>
      <c r="L170" s="230"/>
      <c r="M170" s="230"/>
      <c r="N170" s="230"/>
      <c r="O170" s="230"/>
      <c r="P170" s="230"/>
      <c r="Q170" s="230"/>
      <c r="R170" s="232"/>
      <c r="S170" s="232"/>
      <c r="T170" s="565"/>
      <c r="U170" s="565">
        <v>4.4999999999999998E-2</v>
      </c>
      <c r="V170" s="565">
        <f t="shared" si="162"/>
        <v>4.4999999999999998E-2</v>
      </c>
      <c r="W170" s="565">
        <f t="shared" si="163"/>
        <v>4.4999999999999998E-2</v>
      </c>
      <c r="X170" s="565">
        <f t="shared" si="163"/>
        <v>4.4999999999999998E-2</v>
      </c>
      <c r="Y170" s="565">
        <f t="shared" si="163"/>
        <v>4.4999999999999998E-2</v>
      </c>
      <c r="Z170" s="565">
        <f t="shared" si="164"/>
        <v>4.4999999999999998E-2</v>
      </c>
      <c r="AA170" s="565">
        <f t="shared" si="164"/>
        <v>4.4999999999999998E-2</v>
      </c>
      <c r="AB170" s="565">
        <f t="shared" si="151"/>
        <v>4.4999999999999998E-2</v>
      </c>
      <c r="AC170" s="565">
        <f t="shared" si="151"/>
        <v>4.4999999999999998E-2</v>
      </c>
      <c r="AD170" s="565">
        <f t="shared" si="151"/>
        <v>4.4999999999999998E-2</v>
      </c>
      <c r="AE170" s="565">
        <f t="shared" si="151"/>
        <v>4.4999999999999998E-2</v>
      </c>
      <c r="AF170" s="565">
        <f t="shared" si="152"/>
        <v>4.4999999999999998E-2</v>
      </c>
      <c r="AG170" s="565">
        <f t="shared" si="153"/>
        <v>4.4999999999999998E-2</v>
      </c>
      <c r="AH170" s="565">
        <f t="shared" si="154"/>
        <v>4.4999999999999998E-2</v>
      </c>
      <c r="AI170" s="565">
        <f t="shared" si="155"/>
        <v>4.4999999999999998E-2</v>
      </c>
      <c r="AJ170" s="565">
        <f t="shared" si="156"/>
        <v>4.4999999999999998E-2</v>
      </c>
      <c r="AK170" s="565">
        <f t="shared" si="157"/>
        <v>4.4999999999999998E-2</v>
      </c>
      <c r="AL170" s="565">
        <f t="shared" si="158"/>
        <v>4.4999999999999998E-2</v>
      </c>
      <c r="AM170" s="565">
        <f t="shared" si="159"/>
        <v>4.4999999999999998E-2</v>
      </c>
      <c r="AN170" s="565">
        <f t="shared" si="160"/>
        <v>4.4999999999999998E-2</v>
      </c>
      <c r="AO170" s="565">
        <f t="shared" si="161"/>
        <v>4.4999999999999998E-2</v>
      </c>
    </row>
    <row r="171" spans="2:41" s="231" customFormat="1" outlineLevel="1">
      <c r="B171" s="228" t="s">
        <v>486</v>
      </c>
      <c r="C171" s="229"/>
      <c r="D171" s="230"/>
      <c r="E171" s="230"/>
      <c r="F171" s="230"/>
      <c r="G171" s="230"/>
      <c r="H171" s="230"/>
      <c r="I171" s="230"/>
      <c r="J171" s="230"/>
      <c r="K171" s="230"/>
      <c r="L171" s="230"/>
      <c r="M171" s="230"/>
      <c r="N171" s="230"/>
      <c r="O171" s="230"/>
      <c r="P171" s="230"/>
      <c r="Q171" s="230"/>
      <c r="R171" s="232"/>
      <c r="S171" s="232"/>
      <c r="T171" s="565"/>
      <c r="U171" s="565"/>
      <c r="V171" s="565">
        <f t="shared" si="162"/>
        <v>0</v>
      </c>
      <c r="W171" s="565">
        <f t="shared" si="163"/>
        <v>0</v>
      </c>
      <c r="X171" s="565">
        <f t="shared" si="163"/>
        <v>0</v>
      </c>
      <c r="Y171" s="565">
        <f t="shared" si="163"/>
        <v>0</v>
      </c>
      <c r="Z171" s="565">
        <f t="shared" si="164"/>
        <v>0</v>
      </c>
      <c r="AA171" s="565">
        <f t="shared" si="164"/>
        <v>0</v>
      </c>
      <c r="AB171" s="565">
        <f t="shared" si="151"/>
        <v>0</v>
      </c>
      <c r="AC171" s="565">
        <f t="shared" si="151"/>
        <v>0</v>
      </c>
      <c r="AD171" s="565">
        <f t="shared" si="151"/>
        <v>0</v>
      </c>
      <c r="AE171" s="565">
        <f t="shared" si="151"/>
        <v>0</v>
      </c>
      <c r="AF171" s="565">
        <f t="shared" si="152"/>
        <v>0</v>
      </c>
      <c r="AG171" s="565">
        <f t="shared" si="153"/>
        <v>0</v>
      </c>
      <c r="AH171" s="565">
        <f t="shared" si="154"/>
        <v>0</v>
      </c>
      <c r="AI171" s="565">
        <f t="shared" si="155"/>
        <v>0</v>
      </c>
      <c r="AJ171" s="565">
        <f t="shared" si="156"/>
        <v>0</v>
      </c>
      <c r="AK171" s="565">
        <f t="shared" si="157"/>
        <v>0</v>
      </c>
      <c r="AL171" s="565">
        <f t="shared" si="158"/>
        <v>0</v>
      </c>
      <c r="AM171" s="565">
        <f t="shared" si="159"/>
        <v>0</v>
      </c>
      <c r="AN171" s="565">
        <f t="shared" si="160"/>
        <v>0</v>
      </c>
      <c r="AO171" s="565">
        <f t="shared" si="161"/>
        <v>0</v>
      </c>
    </row>
    <row r="172" spans="2:41" s="231" customFormat="1" ht="11.25" customHeight="1" outlineLevel="1">
      <c r="B172" s="228" t="s">
        <v>487</v>
      </c>
      <c r="C172" s="229"/>
      <c r="D172" s="230"/>
      <c r="E172" s="230">
        <v>8.1250000000000003E-2</v>
      </c>
      <c r="F172" s="230">
        <v>8.1250000000000003E-2</v>
      </c>
      <c r="G172" s="230">
        <v>8.1250000000000003E-2</v>
      </c>
      <c r="H172" s="230">
        <v>8.1250000000000003E-2</v>
      </c>
      <c r="I172" s="230">
        <v>8.1250000000000003E-2</v>
      </c>
      <c r="J172" s="230">
        <v>8.1250000000000003E-2</v>
      </c>
      <c r="K172" s="230">
        <v>8.1250000000000003E-2</v>
      </c>
      <c r="L172" s="230">
        <v>8.1250000000000003E-2</v>
      </c>
      <c r="M172" s="230">
        <v>8.1250000000000003E-2</v>
      </c>
      <c r="N172" s="230">
        <v>8.1250000000000003E-2</v>
      </c>
      <c r="O172" s="230">
        <v>8.1250000000000003E-2</v>
      </c>
      <c r="P172" s="230">
        <v>8.1250000000000003E-2</v>
      </c>
      <c r="Q172" s="230">
        <v>8.1250000000000003E-2</v>
      </c>
      <c r="R172" s="232">
        <v>8.1250000000000003E-2</v>
      </c>
      <c r="S172" s="232">
        <v>8.1250000000000003E-2</v>
      </c>
      <c r="T172" s="565">
        <v>8.1250000000000003E-2</v>
      </c>
      <c r="U172" s="565">
        <v>8.1250000000000003E-2</v>
      </c>
      <c r="V172" s="565">
        <f t="shared" si="162"/>
        <v>8.1250000000000003E-2</v>
      </c>
      <c r="W172" s="565">
        <f t="shared" si="163"/>
        <v>8.1250000000000003E-2</v>
      </c>
      <c r="X172" s="565">
        <f t="shared" si="163"/>
        <v>8.1250000000000003E-2</v>
      </c>
      <c r="Y172" s="565">
        <f t="shared" si="163"/>
        <v>8.1250000000000003E-2</v>
      </c>
      <c r="Z172" s="565">
        <f t="shared" si="164"/>
        <v>8.1250000000000003E-2</v>
      </c>
      <c r="AA172" s="565">
        <f t="shared" si="164"/>
        <v>8.1250000000000003E-2</v>
      </c>
      <c r="AB172" s="565">
        <f t="shared" si="151"/>
        <v>8.1250000000000003E-2</v>
      </c>
      <c r="AC172" s="565">
        <f t="shared" si="151"/>
        <v>8.1250000000000003E-2</v>
      </c>
      <c r="AD172" s="565">
        <f t="shared" si="151"/>
        <v>8.1250000000000003E-2</v>
      </c>
      <c r="AE172" s="565">
        <f t="shared" si="151"/>
        <v>8.1250000000000003E-2</v>
      </c>
      <c r="AF172" s="565">
        <f t="shared" si="152"/>
        <v>8.1250000000000003E-2</v>
      </c>
      <c r="AG172" s="565">
        <f t="shared" si="153"/>
        <v>8.1250000000000003E-2</v>
      </c>
      <c r="AH172" s="565">
        <f t="shared" si="154"/>
        <v>8.1250000000000003E-2</v>
      </c>
      <c r="AI172" s="565">
        <f t="shared" si="155"/>
        <v>8.1250000000000003E-2</v>
      </c>
      <c r="AJ172" s="565">
        <f t="shared" si="156"/>
        <v>8.1250000000000003E-2</v>
      </c>
      <c r="AK172" s="565">
        <f t="shared" si="157"/>
        <v>8.1250000000000003E-2</v>
      </c>
      <c r="AL172" s="565">
        <f t="shared" si="158"/>
        <v>8.1250000000000003E-2</v>
      </c>
      <c r="AM172" s="565">
        <f t="shared" si="159"/>
        <v>8.1250000000000003E-2</v>
      </c>
      <c r="AN172" s="565">
        <f t="shared" si="160"/>
        <v>8.1250000000000003E-2</v>
      </c>
      <c r="AO172" s="565">
        <f t="shared" si="161"/>
        <v>8.1250000000000003E-2</v>
      </c>
    </row>
    <row r="173" spans="2:41" s="231" customFormat="1" outlineLevel="1">
      <c r="B173" s="228" t="s">
        <v>488</v>
      </c>
      <c r="C173" s="229"/>
      <c r="D173" s="230"/>
      <c r="E173" s="230"/>
      <c r="F173" s="230"/>
      <c r="G173" s="230"/>
      <c r="H173" s="230"/>
      <c r="I173" s="230"/>
      <c r="J173" s="230"/>
      <c r="K173" s="230"/>
      <c r="L173" s="230"/>
      <c r="M173" s="230"/>
      <c r="N173" s="230"/>
      <c r="O173" s="230">
        <v>0.04</v>
      </c>
      <c r="P173" s="230">
        <v>0.04</v>
      </c>
      <c r="Q173" s="230">
        <v>0.04</v>
      </c>
      <c r="R173" s="232">
        <v>0.04</v>
      </c>
      <c r="S173" s="232">
        <v>0.04</v>
      </c>
      <c r="T173" s="565"/>
      <c r="U173" s="565"/>
      <c r="V173" s="565">
        <f t="shared" si="162"/>
        <v>0</v>
      </c>
      <c r="W173" s="565">
        <f t="shared" si="163"/>
        <v>0</v>
      </c>
      <c r="X173" s="565">
        <f t="shared" si="163"/>
        <v>0</v>
      </c>
      <c r="Y173" s="565">
        <f t="shared" si="163"/>
        <v>0</v>
      </c>
      <c r="Z173" s="565">
        <f t="shared" si="164"/>
        <v>0</v>
      </c>
      <c r="AA173" s="565">
        <f t="shared" si="164"/>
        <v>0</v>
      </c>
      <c r="AB173" s="565">
        <f t="shared" si="151"/>
        <v>0</v>
      </c>
      <c r="AC173" s="565">
        <f t="shared" si="151"/>
        <v>0</v>
      </c>
      <c r="AD173" s="565">
        <f t="shared" si="151"/>
        <v>0</v>
      </c>
      <c r="AE173" s="565">
        <f t="shared" si="151"/>
        <v>0</v>
      </c>
      <c r="AF173" s="565">
        <f t="shared" si="152"/>
        <v>0</v>
      </c>
      <c r="AG173" s="565">
        <f t="shared" si="153"/>
        <v>0</v>
      </c>
      <c r="AH173" s="565">
        <f t="shared" si="154"/>
        <v>0</v>
      </c>
      <c r="AI173" s="565">
        <f t="shared" si="155"/>
        <v>0</v>
      </c>
      <c r="AJ173" s="565">
        <f t="shared" si="156"/>
        <v>0</v>
      </c>
      <c r="AK173" s="565">
        <f t="shared" si="157"/>
        <v>0</v>
      </c>
      <c r="AL173" s="565">
        <f t="shared" si="158"/>
        <v>0</v>
      </c>
      <c r="AM173" s="565">
        <f t="shared" si="159"/>
        <v>0</v>
      </c>
      <c r="AN173" s="565">
        <f t="shared" si="160"/>
        <v>0</v>
      </c>
      <c r="AO173" s="565">
        <f t="shared" si="161"/>
        <v>0</v>
      </c>
    </row>
    <row r="174" spans="2:41" s="231" customFormat="1" outlineLevel="1">
      <c r="B174" s="228" t="s">
        <v>489</v>
      </c>
      <c r="C174" s="229"/>
      <c r="D174" s="230"/>
      <c r="E174" s="230"/>
      <c r="F174" s="230"/>
      <c r="G174" s="230"/>
      <c r="H174" s="230"/>
      <c r="I174" s="230"/>
      <c r="J174" s="230"/>
      <c r="K174" s="230"/>
      <c r="L174" s="230"/>
      <c r="M174" s="230"/>
      <c r="N174" s="230"/>
      <c r="O174" s="230"/>
      <c r="P174" s="230"/>
      <c r="Q174" s="230"/>
      <c r="R174" s="232">
        <f>AVERAGE(5.42563%, 5.245%,5.275%)+0.08%</f>
        <v>5.3952100000000003E-2</v>
      </c>
      <c r="S174" s="232"/>
      <c r="T174" s="565"/>
      <c r="U174" s="565"/>
      <c r="V174" s="565">
        <f t="shared" si="162"/>
        <v>0</v>
      </c>
      <c r="W174" s="565">
        <f t="shared" si="163"/>
        <v>0</v>
      </c>
      <c r="X174" s="565">
        <f t="shared" si="163"/>
        <v>0</v>
      </c>
      <c r="Y174" s="565">
        <f t="shared" si="163"/>
        <v>0</v>
      </c>
      <c r="Z174" s="565">
        <f t="shared" si="164"/>
        <v>0</v>
      </c>
      <c r="AA174" s="565">
        <f t="shared" si="164"/>
        <v>0</v>
      </c>
      <c r="AB174" s="565">
        <f t="shared" ref="AB174:AB191" si="165">AA174</f>
        <v>0</v>
      </c>
      <c r="AC174" s="565">
        <f t="shared" ref="AC174:AC191" si="166">AB174</f>
        <v>0</v>
      </c>
      <c r="AD174" s="565">
        <f t="shared" ref="AD174:AD191" si="167">AC174</f>
        <v>0</v>
      </c>
      <c r="AE174" s="565">
        <f t="shared" ref="AE174:AE191" si="168">AD174</f>
        <v>0</v>
      </c>
      <c r="AF174" s="565">
        <f t="shared" si="152"/>
        <v>0</v>
      </c>
      <c r="AG174" s="565">
        <f t="shared" si="153"/>
        <v>0</v>
      </c>
      <c r="AH174" s="565">
        <f t="shared" si="154"/>
        <v>0</v>
      </c>
      <c r="AI174" s="565">
        <f t="shared" si="155"/>
        <v>0</v>
      </c>
      <c r="AJ174" s="565">
        <f t="shared" si="156"/>
        <v>0</v>
      </c>
      <c r="AK174" s="565">
        <f t="shared" si="157"/>
        <v>0</v>
      </c>
      <c r="AL174" s="565">
        <f t="shared" si="158"/>
        <v>0</v>
      </c>
      <c r="AM174" s="565">
        <f t="shared" si="159"/>
        <v>0</v>
      </c>
      <c r="AN174" s="565">
        <f t="shared" si="160"/>
        <v>0</v>
      </c>
      <c r="AO174" s="565">
        <f t="shared" si="161"/>
        <v>0</v>
      </c>
    </row>
    <row r="175" spans="2:41" s="231" customFormat="1" outlineLevel="1">
      <c r="B175" s="211" t="s">
        <v>490</v>
      </c>
      <c r="C175" s="229"/>
      <c r="D175" s="230"/>
      <c r="E175" s="230"/>
      <c r="F175" s="230"/>
      <c r="G175" s="230"/>
      <c r="H175" s="230"/>
      <c r="I175" s="230"/>
      <c r="J175" s="230"/>
      <c r="K175" s="230"/>
      <c r="L175" s="230"/>
      <c r="M175" s="230"/>
      <c r="N175" s="230"/>
      <c r="O175" s="230"/>
      <c r="P175" s="230"/>
      <c r="Q175" s="230"/>
      <c r="R175" s="232"/>
      <c r="S175" s="232"/>
      <c r="T175" s="565"/>
      <c r="U175" s="565"/>
      <c r="V175" s="565">
        <v>5.6500000000000002E-2</v>
      </c>
      <c r="W175" s="565">
        <f t="shared" si="163"/>
        <v>5.6500000000000002E-2</v>
      </c>
      <c r="X175" s="565">
        <f t="shared" si="163"/>
        <v>5.6500000000000002E-2</v>
      </c>
      <c r="Y175" s="565">
        <f t="shared" si="163"/>
        <v>5.6500000000000002E-2</v>
      </c>
      <c r="Z175" s="565">
        <f t="shared" si="163"/>
        <v>5.6500000000000002E-2</v>
      </c>
      <c r="AA175" s="565">
        <f t="shared" si="163"/>
        <v>5.6500000000000002E-2</v>
      </c>
      <c r="AB175" s="565">
        <f t="shared" si="165"/>
        <v>5.6500000000000002E-2</v>
      </c>
      <c r="AC175" s="565">
        <f t="shared" si="166"/>
        <v>5.6500000000000002E-2</v>
      </c>
      <c r="AD175" s="565">
        <f t="shared" si="167"/>
        <v>5.6500000000000002E-2</v>
      </c>
      <c r="AE175" s="565">
        <f t="shared" si="168"/>
        <v>5.6500000000000002E-2</v>
      </c>
      <c r="AF175" s="565">
        <f t="shared" si="152"/>
        <v>5.6500000000000002E-2</v>
      </c>
      <c r="AG175" s="565">
        <f t="shared" si="153"/>
        <v>5.6500000000000002E-2</v>
      </c>
      <c r="AH175" s="565">
        <f t="shared" si="154"/>
        <v>5.6500000000000002E-2</v>
      </c>
      <c r="AI175" s="565">
        <f t="shared" si="155"/>
        <v>5.6500000000000002E-2</v>
      </c>
      <c r="AJ175" s="565">
        <f t="shared" si="156"/>
        <v>5.6500000000000002E-2</v>
      </c>
      <c r="AK175" s="565">
        <f t="shared" si="157"/>
        <v>5.6500000000000002E-2</v>
      </c>
      <c r="AL175" s="565">
        <f t="shared" si="158"/>
        <v>5.6500000000000002E-2</v>
      </c>
      <c r="AM175" s="565">
        <f t="shared" si="159"/>
        <v>5.6500000000000002E-2</v>
      </c>
      <c r="AN175" s="565">
        <f t="shared" si="160"/>
        <v>5.6500000000000002E-2</v>
      </c>
      <c r="AO175" s="565">
        <f t="shared" si="161"/>
        <v>5.6500000000000002E-2</v>
      </c>
    </row>
    <row r="176" spans="2:41" s="231" customFormat="1" outlineLevel="1">
      <c r="B176" s="211" t="s">
        <v>491</v>
      </c>
      <c r="C176" s="229"/>
      <c r="D176" s="230"/>
      <c r="E176" s="230"/>
      <c r="F176" s="230"/>
      <c r="G176" s="230"/>
      <c r="H176" s="230"/>
      <c r="I176" s="230"/>
      <c r="J176" s="230"/>
      <c r="K176" s="230"/>
      <c r="L176" s="230"/>
      <c r="M176" s="230"/>
      <c r="N176" s="230"/>
      <c r="O176" s="230"/>
      <c r="P176" s="230"/>
      <c r="Q176" s="230"/>
      <c r="R176" s="232"/>
      <c r="S176" s="232"/>
      <c r="T176" s="565"/>
      <c r="U176" s="565"/>
      <c r="V176" s="565">
        <v>4.1000000000000002E-2</v>
      </c>
      <c r="W176" s="565">
        <f t="shared" si="163"/>
        <v>4.1000000000000002E-2</v>
      </c>
      <c r="X176" s="565">
        <f t="shared" si="163"/>
        <v>4.1000000000000002E-2</v>
      </c>
      <c r="Y176" s="565">
        <f t="shared" si="163"/>
        <v>4.1000000000000002E-2</v>
      </c>
      <c r="Z176" s="565">
        <f t="shared" si="163"/>
        <v>4.1000000000000002E-2</v>
      </c>
      <c r="AA176" s="565">
        <f t="shared" si="163"/>
        <v>4.1000000000000002E-2</v>
      </c>
      <c r="AB176" s="565">
        <f t="shared" si="165"/>
        <v>4.1000000000000002E-2</v>
      </c>
      <c r="AC176" s="565">
        <f t="shared" si="166"/>
        <v>4.1000000000000002E-2</v>
      </c>
      <c r="AD176" s="565">
        <f t="shared" si="167"/>
        <v>4.1000000000000002E-2</v>
      </c>
      <c r="AE176" s="565">
        <f t="shared" si="168"/>
        <v>4.1000000000000002E-2</v>
      </c>
      <c r="AF176" s="565">
        <f t="shared" si="152"/>
        <v>4.1000000000000002E-2</v>
      </c>
      <c r="AG176" s="565">
        <f t="shared" si="153"/>
        <v>4.1000000000000002E-2</v>
      </c>
      <c r="AH176" s="565">
        <f t="shared" si="154"/>
        <v>4.1000000000000002E-2</v>
      </c>
      <c r="AI176" s="565">
        <f t="shared" si="155"/>
        <v>4.1000000000000002E-2</v>
      </c>
      <c r="AJ176" s="565">
        <f t="shared" si="156"/>
        <v>4.1000000000000002E-2</v>
      </c>
      <c r="AK176" s="565">
        <f t="shared" si="157"/>
        <v>4.1000000000000002E-2</v>
      </c>
      <c r="AL176" s="565">
        <f t="shared" si="158"/>
        <v>4.1000000000000002E-2</v>
      </c>
      <c r="AM176" s="565">
        <f t="shared" si="159"/>
        <v>4.1000000000000002E-2</v>
      </c>
      <c r="AN176" s="565">
        <f t="shared" si="160"/>
        <v>4.1000000000000002E-2</v>
      </c>
      <c r="AO176" s="565">
        <f t="shared" si="161"/>
        <v>4.1000000000000002E-2</v>
      </c>
    </row>
    <row r="177" spans="2:41" s="231" customFormat="1" outlineLevel="1">
      <c r="B177" s="211" t="s">
        <v>492</v>
      </c>
      <c r="C177" s="229"/>
      <c r="D177" s="230"/>
      <c r="E177" s="230"/>
      <c r="F177" s="230"/>
      <c r="G177" s="230"/>
      <c r="H177" s="230"/>
      <c r="I177" s="230"/>
      <c r="J177" s="230"/>
      <c r="K177" s="230"/>
      <c r="L177" s="230"/>
      <c r="M177" s="230"/>
      <c r="N177" s="230"/>
      <c r="O177" s="230"/>
      <c r="P177" s="230"/>
      <c r="Q177" s="230"/>
      <c r="R177" s="232"/>
      <c r="S177" s="232"/>
      <c r="T177" s="565"/>
      <c r="U177" s="565"/>
      <c r="V177" s="565">
        <v>2.3E-2</v>
      </c>
      <c r="W177" s="565">
        <f t="shared" si="163"/>
        <v>2.3E-2</v>
      </c>
      <c r="X177" s="565">
        <f t="shared" si="163"/>
        <v>2.3E-2</v>
      </c>
      <c r="Y177" s="565">
        <f t="shared" si="163"/>
        <v>2.3E-2</v>
      </c>
      <c r="Z177" s="565">
        <f t="shared" si="163"/>
        <v>2.3E-2</v>
      </c>
      <c r="AA177" s="565">
        <f t="shared" si="163"/>
        <v>2.3E-2</v>
      </c>
      <c r="AB177" s="565">
        <f t="shared" si="165"/>
        <v>2.3E-2</v>
      </c>
      <c r="AC177" s="565">
        <f t="shared" si="166"/>
        <v>2.3E-2</v>
      </c>
      <c r="AD177" s="565">
        <f t="shared" si="167"/>
        <v>2.3E-2</v>
      </c>
      <c r="AE177" s="565">
        <f t="shared" si="168"/>
        <v>2.3E-2</v>
      </c>
      <c r="AF177" s="565">
        <f t="shared" si="152"/>
        <v>2.3E-2</v>
      </c>
      <c r="AG177" s="565">
        <f t="shared" si="153"/>
        <v>2.3E-2</v>
      </c>
      <c r="AH177" s="565">
        <f t="shared" si="154"/>
        <v>2.3E-2</v>
      </c>
      <c r="AI177" s="565">
        <f t="shared" si="155"/>
        <v>2.3E-2</v>
      </c>
      <c r="AJ177" s="565">
        <f t="shared" si="156"/>
        <v>2.3E-2</v>
      </c>
      <c r="AK177" s="565">
        <f t="shared" si="157"/>
        <v>2.3E-2</v>
      </c>
      <c r="AL177" s="565">
        <f t="shared" si="158"/>
        <v>2.3E-2</v>
      </c>
      <c r="AM177" s="565">
        <f t="shared" si="159"/>
        <v>2.3E-2</v>
      </c>
      <c r="AN177" s="565">
        <f t="shared" si="160"/>
        <v>2.3E-2</v>
      </c>
      <c r="AO177" s="565">
        <f t="shared" si="161"/>
        <v>2.3E-2</v>
      </c>
    </row>
    <row r="178" spans="2:41" s="204" customFormat="1" outlineLevel="1">
      <c r="B178" s="211" t="s">
        <v>493</v>
      </c>
      <c r="C178" s="106"/>
      <c r="D178" s="202"/>
      <c r="E178" s="202"/>
      <c r="F178" s="202"/>
      <c r="G178" s="202"/>
      <c r="H178" s="202"/>
      <c r="I178" s="202"/>
      <c r="J178" s="202"/>
      <c r="K178" s="202"/>
      <c r="L178" s="202"/>
      <c r="M178" s="203"/>
      <c r="N178" s="203"/>
      <c r="O178" s="203"/>
      <c r="P178" s="202"/>
      <c r="Q178" s="202"/>
      <c r="R178" s="232"/>
      <c r="S178" s="232"/>
      <c r="T178" s="565"/>
      <c r="U178" s="565"/>
      <c r="V178" s="565"/>
      <c r="W178" s="565">
        <v>1.8749999999999999E-2</v>
      </c>
      <c r="X178" s="565">
        <f t="shared" ref="X178:AA191" si="169">W178</f>
        <v>1.8749999999999999E-2</v>
      </c>
      <c r="Y178" s="565">
        <f t="shared" si="169"/>
        <v>1.8749999999999999E-2</v>
      </c>
      <c r="Z178" s="565">
        <f t="shared" si="169"/>
        <v>1.8749999999999999E-2</v>
      </c>
      <c r="AA178" s="565">
        <f t="shared" si="169"/>
        <v>1.8749999999999999E-2</v>
      </c>
      <c r="AB178" s="565">
        <f t="shared" si="165"/>
        <v>1.8749999999999999E-2</v>
      </c>
      <c r="AC178" s="565">
        <f t="shared" si="166"/>
        <v>1.8749999999999999E-2</v>
      </c>
      <c r="AD178" s="565">
        <f t="shared" si="167"/>
        <v>1.8749999999999999E-2</v>
      </c>
      <c r="AE178" s="565">
        <f t="shared" si="168"/>
        <v>1.8749999999999999E-2</v>
      </c>
      <c r="AF178" s="565">
        <f>AE178</f>
        <v>1.8749999999999999E-2</v>
      </c>
      <c r="AG178" s="565">
        <f t="shared" si="153"/>
        <v>1.8749999999999999E-2</v>
      </c>
      <c r="AH178" s="565">
        <f t="shared" si="154"/>
        <v>1.8749999999999999E-2</v>
      </c>
      <c r="AI178" s="565">
        <f t="shared" si="155"/>
        <v>1.8749999999999999E-2</v>
      </c>
      <c r="AJ178" s="565">
        <f t="shared" si="156"/>
        <v>1.8749999999999999E-2</v>
      </c>
      <c r="AK178" s="565">
        <f t="shared" si="157"/>
        <v>1.8749999999999999E-2</v>
      </c>
      <c r="AL178" s="565">
        <f t="shared" si="158"/>
        <v>1.8749999999999999E-2</v>
      </c>
      <c r="AM178" s="565">
        <f t="shared" si="159"/>
        <v>1.8749999999999999E-2</v>
      </c>
      <c r="AN178" s="565">
        <f t="shared" si="160"/>
        <v>1.8749999999999999E-2</v>
      </c>
      <c r="AO178" s="565">
        <f t="shared" si="161"/>
        <v>1.8749999999999999E-2</v>
      </c>
    </row>
    <row r="179" spans="2:41" s="204" customFormat="1" outlineLevel="1">
      <c r="B179" s="211" t="s">
        <v>494</v>
      </c>
      <c r="C179" s="106"/>
      <c r="D179" s="202"/>
      <c r="E179" s="202"/>
      <c r="F179" s="202"/>
      <c r="G179" s="202"/>
      <c r="H179" s="202"/>
      <c r="I179" s="202"/>
      <c r="J179" s="202"/>
      <c r="K179" s="202"/>
      <c r="L179" s="202"/>
      <c r="M179" s="203"/>
      <c r="N179" s="203"/>
      <c r="O179" s="203"/>
      <c r="P179" s="202"/>
      <c r="Q179" s="202"/>
      <c r="R179" s="232"/>
      <c r="S179" s="232"/>
      <c r="T179" s="565"/>
      <c r="U179" s="565"/>
      <c r="V179" s="565"/>
      <c r="W179" s="565">
        <v>2.5000000000000001E-2</v>
      </c>
      <c r="X179" s="565">
        <f t="shared" si="169"/>
        <v>2.5000000000000001E-2</v>
      </c>
      <c r="Y179" s="565">
        <f t="shared" si="169"/>
        <v>2.5000000000000001E-2</v>
      </c>
      <c r="Z179" s="565">
        <f t="shared" si="169"/>
        <v>2.5000000000000001E-2</v>
      </c>
      <c r="AA179" s="565">
        <f t="shared" si="169"/>
        <v>2.5000000000000001E-2</v>
      </c>
      <c r="AB179" s="565">
        <f t="shared" si="165"/>
        <v>2.5000000000000001E-2</v>
      </c>
      <c r="AC179" s="565">
        <f t="shared" si="166"/>
        <v>2.5000000000000001E-2</v>
      </c>
      <c r="AD179" s="565">
        <f t="shared" si="167"/>
        <v>2.5000000000000001E-2</v>
      </c>
      <c r="AE179" s="565">
        <f t="shared" si="168"/>
        <v>2.5000000000000001E-2</v>
      </c>
      <c r="AF179" s="565">
        <f t="shared" si="152"/>
        <v>2.5000000000000001E-2</v>
      </c>
      <c r="AG179" s="565">
        <f t="shared" si="153"/>
        <v>2.5000000000000001E-2</v>
      </c>
      <c r="AH179" s="565">
        <f t="shared" si="154"/>
        <v>2.5000000000000001E-2</v>
      </c>
      <c r="AI179" s="565">
        <f t="shared" si="155"/>
        <v>2.5000000000000001E-2</v>
      </c>
      <c r="AJ179" s="565">
        <f t="shared" si="156"/>
        <v>2.5000000000000001E-2</v>
      </c>
      <c r="AK179" s="565">
        <f t="shared" si="157"/>
        <v>2.5000000000000001E-2</v>
      </c>
      <c r="AL179" s="565">
        <f t="shared" si="158"/>
        <v>2.5000000000000001E-2</v>
      </c>
      <c r="AM179" s="565">
        <f t="shared" si="159"/>
        <v>2.5000000000000001E-2</v>
      </c>
      <c r="AN179" s="565">
        <f t="shared" si="160"/>
        <v>2.5000000000000001E-2</v>
      </c>
      <c r="AO179" s="565">
        <f t="shared" si="161"/>
        <v>2.5000000000000001E-2</v>
      </c>
    </row>
    <row r="180" spans="2:41" s="204" customFormat="1" outlineLevel="1">
      <c r="B180" s="211" t="s">
        <v>495</v>
      </c>
      <c r="C180" s="106"/>
      <c r="D180" s="202"/>
      <c r="E180" s="202"/>
      <c r="F180" s="202"/>
      <c r="G180" s="202"/>
      <c r="H180" s="202"/>
      <c r="I180" s="202"/>
      <c r="J180" s="202"/>
      <c r="K180" s="202"/>
      <c r="L180" s="202"/>
      <c r="M180" s="203"/>
      <c r="N180" s="203"/>
      <c r="O180" s="203"/>
      <c r="P180" s="202"/>
      <c r="Q180" s="202"/>
      <c r="R180" s="232"/>
      <c r="S180" s="232"/>
      <c r="T180" s="565"/>
      <c r="U180" s="565"/>
      <c r="V180" s="565"/>
      <c r="W180" s="565">
        <v>3.875E-2</v>
      </c>
      <c r="X180" s="565">
        <f t="shared" si="169"/>
        <v>3.875E-2</v>
      </c>
      <c r="Y180" s="565">
        <f t="shared" si="169"/>
        <v>3.875E-2</v>
      </c>
      <c r="Z180" s="565">
        <f t="shared" si="169"/>
        <v>3.875E-2</v>
      </c>
      <c r="AA180" s="565">
        <f t="shared" si="169"/>
        <v>3.875E-2</v>
      </c>
      <c r="AB180" s="565">
        <f t="shared" si="165"/>
        <v>3.875E-2</v>
      </c>
      <c r="AC180" s="565">
        <f t="shared" si="166"/>
        <v>3.875E-2</v>
      </c>
      <c r="AD180" s="565">
        <f t="shared" si="167"/>
        <v>3.875E-2</v>
      </c>
      <c r="AE180" s="565">
        <f t="shared" si="168"/>
        <v>3.875E-2</v>
      </c>
      <c r="AF180" s="565">
        <f t="shared" si="152"/>
        <v>3.875E-2</v>
      </c>
      <c r="AG180" s="565">
        <f t="shared" si="153"/>
        <v>3.875E-2</v>
      </c>
      <c r="AH180" s="565">
        <f t="shared" si="154"/>
        <v>3.875E-2</v>
      </c>
      <c r="AI180" s="565">
        <f t="shared" si="155"/>
        <v>3.875E-2</v>
      </c>
      <c r="AJ180" s="565">
        <f t="shared" si="156"/>
        <v>3.875E-2</v>
      </c>
      <c r="AK180" s="565">
        <f t="shared" si="157"/>
        <v>3.875E-2</v>
      </c>
      <c r="AL180" s="565">
        <f t="shared" si="158"/>
        <v>3.875E-2</v>
      </c>
      <c r="AM180" s="565">
        <f t="shared" si="159"/>
        <v>3.875E-2</v>
      </c>
      <c r="AN180" s="565">
        <f t="shared" si="160"/>
        <v>3.875E-2</v>
      </c>
      <c r="AO180" s="565">
        <f t="shared" si="161"/>
        <v>3.875E-2</v>
      </c>
    </row>
    <row r="181" spans="2:41" s="204" customFormat="1" outlineLevel="1">
      <c r="B181" s="564" t="s">
        <v>496</v>
      </c>
      <c r="C181" s="106"/>
      <c r="D181" s="202"/>
      <c r="E181" s="202"/>
      <c r="F181" s="202"/>
      <c r="G181" s="202"/>
      <c r="H181" s="202"/>
      <c r="I181" s="202"/>
      <c r="J181" s="202"/>
      <c r="K181" s="202"/>
      <c r="L181" s="202"/>
      <c r="M181" s="203"/>
      <c r="N181" s="203"/>
      <c r="O181" s="203"/>
      <c r="P181" s="202"/>
      <c r="Q181" s="202"/>
      <c r="R181" s="232"/>
      <c r="S181" s="232"/>
      <c r="T181" s="565"/>
      <c r="U181" s="565"/>
      <c r="V181" s="565"/>
      <c r="W181" s="565">
        <v>5.1499999999999997E-2</v>
      </c>
      <c r="X181" s="565">
        <f t="shared" si="169"/>
        <v>5.1499999999999997E-2</v>
      </c>
      <c r="Y181" s="565">
        <f t="shared" si="169"/>
        <v>5.1499999999999997E-2</v>
      </c>
      <c r="Z181" s="565">
        <f t="shared" si="169"/>
        <v>5.1499999999999997E-2</v>
      </c>
      <c r="AA181" s="565">
        <f t="shared" si="169"/>
        <v>5.1499999999999997E-2</v>
      </c>
      <c r="AB181" s="565">
        <f t="shared" si="165"/>
        <v>5.1499999999999997E-2</v>
      </c>
      <c r="AC181" s="565">
        <f t="shared" si="166"/>
        <v>5.1499999999999997E-2</v>
      </c>
      <c r="AD181" s="565">
        <f t="shared" si="167"/>
        <v>5.1499999999999997E-2</v>
      </c>
      <c r="AE181" s="565">
        <f t="shared" si="168"/>
        <v>5.1499999999999997E-2</v>
      </c>
      <c r="AF181" s="565">
        <f t="shared" si="152"/>
        <v>5.1499999999999997E-2</v>
      </c>
      <c r="AG181" s="565">
        <f t="shared" si="153"/>
        <v>5.1499999999999997E-2</v>
      </c>
      <c r="AH181" s="565">
        <f t="shared" si="154"/>
        <v>5.1499999999999997E-2</v>
      </c>
      <c r="AI181" s="565">
        <f t="shared" si="155"/>
        <v>5.1499999999999997E-2</v>
      </c>
      <c r="AJ181" s="565">
        <f t="shared" si="156"/>
        <v>5.1499999999999997E-2</v>
      </c>
      <c r="AK181" s="565">
        <f t="shared" si="157"/>
        <v>5.1499999999999997E-2</v>
      </c>
      <c r="AL181" s="565">
        <f t="shared" si="158"/>
        <v>5.1499999999999997E-2</v>
      </c>
      <c r="AM181" s="565">
        <f t="shared" si="159"/>
        <v>5.1499999999999997E-2</v>
      </c>
      <c r="AN181" s="565">
        <f t="shared" si="160"/>
        <v>5.1499999999999997E-2</v>
      </c>
      <c r="AO181" s="565">
        <f t="shared" si="161"/>
        <v>5.1499999999999997E-2</v>
      </c>
    </row>
    <row r="182" spans="2:41" s="204" customFormat="1" outlineLevel="1">
      <c r="B182" s="211" t="s">
        <v>497</v>
      </c>
      <c r="C182" s="106"/>
      <c r="D182" s="202"/>
      <c r="E182" s="202"/>
      <c r="F182" s="202"/>
      <c r="G182" s="202"/>
      <c r="H182" s="202"/>
      <c r="I182" s="202"/>
      <c r="J182" s="202"/>
      <c r="K182" s="202"/>
      <c r="L182" s="202"/>
      <c r="M182" s="203"/>
      <c r="N182" s="203"/>
      <c r="O182" s="203"/>
      <c r="P182" s="202"/>
      <c r="Q182" s="202"/>
      <c r="R182" s="232"/>
      <c r="S182" s="232"/>
      <c r="T182" s="565"/>
      <c r="U182" s="565"/>
      <c r="V182" s="565"/>
      <c r="W182" s="565">
        <v>4.3749999999999997E-2</v>
      </c>
      <c r="X182" s="565">
        <f t="shared" si="169"/>
        <v>4.3749999999999997E-2</v>
      </c>
      <c r="Y182" s="565">
        <f t="shared" si="169"/>
        <v>4.3749999999999997E-2</v>
      </c>
      <c r="Z182" s="565">
        <f t="shared" si="169"/>
        <v>4.3749999999999997E-2</v>
      </c>
      <c r="AA182" s="565">
        <f t="shared" si="169"/>
        <v>4.3749999999999997E-2</v>
      </c>
      <c r="AB182" s="565">
        <f t="shared" si="165"/>
        <v>4.3749999999999997E-2</v>
      </c>
      <c r="AC182" s="565">
        <f t="shared" si="166"/>
        <v>4.3749999999999997E-2</v>
      </c>
      <c r="AD182" s="565">
        <f t="shared" si="167"/>
        <v>4.3749999999999997E-2</v>
      </c>
      <c r="AE182" s="565">
        <f t="shared" si="168"/>
        <v>4.3749999999999997E-2</v>
      </c>
      <c r="AF182" s="565">
        <f t="shared" si="152"/>
        <v>4.3749999999999997E-2</v>
      </c>
      <c r="AG182" s="565">
        <f t="shared" si="153"/>
        <v>4.3749999999999997E-2</v>
      </c>
      <c r="AH182" s="565">
        <f t="shared" si="154"/>
        <v>4.3749999999999997E-2</v>
      </c>
      <c r="AI182" s="565">
        <f t="shared" si="155"/>
        <v>4.3749999999999997E-2</v>
      </c>
      <c r="AJ182" s="565">
        <f t="shared" si="156"/>
        <v>4.3749999999999997E-2</v>
      </c>
      <c r="AK182" s="565">
        <f t="shared" si="157"/>
        <v>4.3749999999999997E-2</v>
      </c>
      <c r="AL182" s="565">
        <f t="shared" si="158"/>
        <v>4.3749999999999997E-2</v>
      </c>
      <c r="AM182" s="565">
        <f t="shared" si="159"/>
        <v>4.3749999999999997E-2</v>
      </c>
      <c r="AN182" s="565">
        <f t="shared" si="160"/>
        <v>4.3749999999999997E-2</v>
      </c>
      <c r="AO182" s="565">
        <f t="shared" si="161"/>
        <v>4.3749999999999997E-2</v>
      </c>
    </row>
    <row r="183" spans="2:41" s="204" customFormat="1" outlineLevel="1">
      <c r="B183" s="211" t="s">
        <v>498</v>
      </c>
      <c r="C183" s="106"/>
      <c r="D183" s="202"/>
      <c r="E183" s="202"/>
      <c r="F183" s="202"/>
      <c r="G183" s="202"/>
      <c r="H183" s="202"/>
      <c r="I183" s="202"/>
      <c r="J183" s="202"/>
      <c r="K183" s="202"/>
      <c r="L183" s="202"/>
      <c r="M183" s="203"/>
      <c r="N183" s="203"/>
      <c r="O183" s="203"/>
      <c r="P183" s="202"/>
      <c r="Q183" s="202"/>
      <c r="R183" s="232"/>
      <c r="S183" s="232"/>
      <c r="T183" s="565"/>
      <c r="U183" s="565"/>
      <c r="V183" s="565"/>
      <c r="W183" s="565">
        <v>5.5E-2</v>
      </c>
      <c r="X183" s="565">
        <f t="shared" si="169"/>
        <v>5.5E-2</v>
      </c>
      <c r="Y183" s="565">
        <f t="shared" si="169"/>
        <v>5.5E-2</v>
      </c>
      <c r="Z183" s="565">
        <f t="shared" si="169"/>
        <v>5.5E-2</v>
      </c>
      <c r="AA183" s="565">
        <f t="shared" si="169"/>
        <v>5.5E-2</v>
      </c>
      <c r="AB183" s="565">
        <f t="shared" si="165"/>
        <v>5.5E-2</v>
      </c>
      <c r="AC183" s="565">
        <f t="shared" si="166"/>
        <v>5.5E-2</v>
      </c>
      <c r="AD183" s="565">
        <f t="shared" si="167"/>
        <v>5.5E-2</v>
      </c>
      <c r="AE183" s="565">
        <f t="shared" si="168"/>
        <v>5.5E-2</v>
      </c>
      <c r="AF183" s="565">
        <f t="shared" si="152"/>
        <v>5.5E-2</v>
      </c>
      <c r="AG183" s="565">
        <f t="shared" si="153"/>
        <v>5.5E-2</v>
      </c>
      <c r="AH183" s="565">
        <f t="shared" si="154"/>
        <v>5.5E-2</v>
      </c>
      <c r="AI183" s="565">
        <f t="shared" si="155"/>
        <v>5.5E-2</v>
      </c>
      <c r="AJ183" s="565">
        <f t="shared" si="156"/>
        <v>5.5E-2</v>
      </c>
      <c r="AK183" s="565">
        <f t="shared" si="157"/>
        <v>5.5E-2</v>
      </c>
      <c r="AL183" s="565">
        <f t="shared" si="158"/>
        <v>5.5E-2</v>
      </c>
      <c r="AM183" s="565">
        <f t="shared" si="159"/>
        <v>5.5E-2</v>
      </c>
      <c r="AN183" s="565">
        <f t="shared" si="160"/>
        <v>5.5E-2</v>
      </c>
      <c r="AO183" s="565">
        <f t="shared" si="161"/>
        <v>5.5E-2</v>
      </c>
    </row>
    <row r="184" spans="2:41" s="204" customFormat="1" outlineLevel="1">
      <c r="B184" s="211" t="s">
        <v>499</v>
      </c>
      <c r="C184" s="106"/>
      <c r="D184" s="202"/>
      <c r="E184" s="202"/>
      <c r="F184" s="202"/>
      <c r="G184" s="202"/>
      <c r="H184" s="202"/>
      <c r="I184" s="202"/>
      <c r="J184" s="202"/>
      <c r="K184" s="202"/>
      <c r="L184" s="202"/>
      <c r="M184" s="203"/>
      <c r="N184" s="203"/>
      <c r="O184" s="203"/>
      <c r="P184" s="202"/>
      <c r="Q184" s="202"/>
      <c r="R184" s="232"/>
      <c r="S184" s="232"/>
      <c r="T184" s="565"/>
      <c r="U184" s="565"/>
      <c r="V184" s="565"/>
      <c r="W184" s="565">
        <v>2.1250000000000002E-2</v>
      </c>
      <c r="X184" s="565">
        <f t="shared" si="169"/>
        <v>2.1250000000000002E-2</v>
      </c>
      <c r="Y184" s="565">
        <f t="shared" si="169"/>
        <v>2.1250000000000002E-2</v>
      </c>
      <c r="Z184" s="565">
        <f t="shared" si="169"/>
        <v>2.1250000000000002E-2</v>
      </c>
      <c r="AA184" s="565">
        <f t="shared" si="169"/>
        <v>2.1250000000000002E-2</v>
      </c>
      <c r="AB184" s="565">
        <f t="shared" si="165"/>
        <v>2.1250000000000002E-2</v>
      </c>
      <c r="AC184" s="565">
        <f t="shared" si="166"/>
        <v>2.1250000000000002E-2</v>
      </c>
      <c r="AD184" s="565">
        <f t="shared" si="167"/>
        <v>2.1250000000000002E-2</v>
      </c>
      <c r="AE184" s="565">
        <f t="shared" si="168"/>
        <v>2.1250000000000002E-2</v>
      </c>
      <c r="AF184" s="565">
        <f t="shared" si="152"/>
        <v>2.1250000000000002E-2</v>
      </c>
      <c r="AG184" s="565">
        <f t="shared" si="153"/>
        <v>2.1250000000000002E-2</v>
      </c>
      <c r="AH184" s="565">
        <f t="shared" si="154"/>
        <v>2.1250000000000002E-2</v>
      </c>
      <c r="AI184" s="565">
        <f t="shared" si="155"/>
        <v>2.1250000000000002E-2</v>
      </c>
      <c r="AJ184" s="565">
        <f t="shared" si="156"/>
        <v>2.1250000000000002E-2</v>
      </c>
      <c r="AK184" s="565">
        <f t="shared" si="157"/>
        <v>2.1250000000000002E-2</v>
      </c>
      <c r="AL184" s="565">
        <f t="shared" si="158"/>
        <v>2.1250000000000002E-2</v>
      </c>
      <c r="AM184" s="565">
        <f t="shared" si="159"/>
        <v>2.1250000000000002E-2</v>
      </c>
      <c r="AN184" s="565">
        <f t="shared" si="160"/>
        <v>2.1250000000000002E-2</v>
      </c>
      <c r="AO184" s="565">
        <f t="shared" si="161"/>
        <v>2.1250000000000002E-2</v>
      </c>
    </row>
    <row r="185" spans="2:41" s="204" customFormat="1" outlineLevel="1">
      <c r="B185" s="564" t="s">
        <v>732</v>
      </c>
      <c r="C185" s="106"/>
      <c r="D185" s="202"/>
      <c r="E185" s="202"/>
      <c r="F185" s="202"/>
      <c r="G185" s="202"/>
      <c r="H185" s="202"/>
      <c r="I185" s="202"/>
      <c r="J185" s="202"/>
      <c r="K185" s="202"/>
      <c r="L185" s="202"/>
      <c r="M185" s="203"/>
      <c r="N185" s="203"/>
      <c r="O185" s="203"/>
      <c r="P185" s="202"/>
      <c r="Q185" s="202"/>
      <c r="R185" s="232"/>
      <c r="S185" s="232"/>
      <c r="T185" s="565"/>
      <c r="U185" s="565"/>
      <c r="V185" s="565"/>
      <c r="W185" s="565"/>
      <c r="X185" s="565"/>
      <c r="Y185" s="565"/>
      <c r="Z185" s="565">
        <v>2.1250000000000002E-2</v>
      </c>
      <c r="AA185" s="565">
        <f>Z185</f>
        <v>2.1250000000000002E-2</v>
      </c>
      <c r="AB185" s="565">
        <f t="shared" si="165"/>
        <v>2.1250000000000002E-2</v>
      </c>
      <c r="AC185" s="565">
        <f t="shared" si="166"/>
        <v>2.1250000000000002E-2</v>
      </c>
      <c r="AD185" s="565">
        <f t="shared" si="167"/>
        <v>2.1250000000000002E-2</v>
      </c>
      <c r="AE185" s="565">
        <v>0</v>
      </c>
      <c r="AF185" s="565">
        <v>0</v>
      </c>
      <c r="AG185" s="565">
        <v>0</v>
      </c>
      <c r="AH185" s="565">
        <v>0</v>
      </c>
      <c r="AI185" s="565">
        <v>0</v>
      </c>
      <c r="AJ185" s="565">
        <v>0</v>
      </c>
      <c r="AK185" s="565">
        <v>0</v>
      </c>
      <c r="AL185" s="565">
        <v>0</v>
      </c>
      <c r="AM185" s="565">
        <v>0</v>
      </c>
      <c r="AN185" s="565">
        <v>0</v>
      </c>
      <c r="AO185" s="565">
        <v>0</v>
      </c>
    </row>
    <row r="186" spans="2:41" s="204" customFormat="1" outlineLevel="1">
      <c r="B186" s="564" t="s">
        <v>733</v>
      </c>
      <c r="C186" s="106"/>
      <c r="D186" s="202"/>
      <c r="E186" s="202"/>
      <c r="F186" s="202"/>
      <c r="G186" s="202"/>
      <c r="H186" s="202"/>
      <c r="I186" s="202"/>
      <c r="J186" s="202"/>
      <c r="K186" s="202"/>
      <c r="L186" s="202"/>
      <c r="M186" s="203"/>
      <c r="N186" s="203"/>
      <c r="O186" s="203"/>
      <c r="P186" s="202"/>
      <c r="Q186" s="202"/>
      <c r="R186" s="232"/>
      <c r="S186" s="232"/>
      <c r="T186" s="565"/>
      <c r="U186" s="565"/>
      <c r="V186" s="565"/>
      <c r="W186" s="565"/>
      <c r="X186" s="565"/>
      <c r="Y186" s="565"/>
      <c r="Z186" s="565">
        <v>2.7E-2</v>
      </c>
      <c r="AA186" s="565">
        <f>Z186</f>
        <v>2.7E-2</v>
      </c>
      <c r="AB186" s="565">
        <f t="shared" si="165"/>
        <v>2.7E-2</v>
      </c>
      <c r="AC186" s="565">
        <f t="shared" si="166"/>
        <v>2.7E-2</v>
      </c>
      <c r="AD186" s="565">
        <f t="shared" si="167"/>
        <v>2.7E-2</v>
      </c>
      <c r="AE186" s="565">
        <f>AD186</f>
        <v>2.7E-2</v>
      </c>
      <c r="AF186" s="565">
        <f t="shared" ref="AF186:AO186" si="170">AE186</f>
        <v>2.7E-2</v>
      </c>
      <c r="AG186" s="565">
        <f t="shared" si="170"/>
        <v>2.7E-2</v>
      </c>
      <c r="AH186" s="565">
        <f t="shared" si="170"/>
        <v>2.7E-2</v>
      </c>
      <c r="AI186" s="565">
        <f t="shared" si="170"/>
        <v>2.7E-2</v>
      </c>
      <c r="AJ186" s="565">
        <f t="shared" si="170"/>
        <v>2.7E-2</v>
      </c>
      <c r="AK186" s="565">
        <f t="shared" si="170"/>
        <v>2.7E-2</v>
      </c>
      <c r="AL186" s="565">
        <f t="shared" si="170"/>
        <v>2.7E-2</v>
      </c>
      <c r="AM186" s="565">
        <f t="shared" si="170"/>
        <v>2.7E-2</v>
      </c>
      <c r="AN186" s="565">
        <f t="shared" si="170"/>
        <v>2.7E-2</v>
      </c>
      <c r="AO186" s="565">
        <f t="shared" si="170"/>
        <v>2.7E-2</v>
      </c>
    </row>
    <row r="187" spans="2:41" s="204" customFormat="1" outlineLevel="1">
      <c r="B187" s="564" t="s">
        <v>734</v>
      </c>
      <c r="C187" s="106"/>
      <c r="D187" s="202"/>
      <c r="E187" s="202"/>
      <c r="F187" s="202"/>
      <c r="G187" s="202"/>
      <c r="H187" s="202"/>
      <c r="I187" s="202"/>
      <c r="J187" s="202"/>
      <c r="K187" s="202"/>
      <c r="L187" s="202"/>
      <c r="M187" s="203"/>
      <c r="N187" s="203"/>
      <c r="O187" s="203"/>
      <c r="P187" s="202"/>
      <c r="Q187" s="202"/>
      <c r="R187" s="232"/>
      <c r="S187" s="232"/>
      <c r="T187" s="565"/>
      <c r="U187" s="565"/>
      <c r="V187" s="565"/>
      <c r="W187" s="565"/>
      <c r="X187" s="565"/>
      <c r="Y187" s="565"/>
      <c r="Z187" s="565">
        <v>3.125E-2</v>
      </c>
      <c r="AA187" s="565">
        <f>Z187</f>
        <v>3.125E-2</v>
      </c>
      <c r="AB187" s="565">
        <f t="shared" si="165"/>
        <v>3.125E-2</v>
      </c>
      <c r="AC187" s="565">
        <f t="shared" si="166"/>
        <v>3.125E-2</v>
      </c>
      <c r="AD187" s="565">
        <f t="shared" si="167"/>
        <v>3.125E-2</v>
      </c>
      <c r="AE187" s="565">
        <f>AD187</f>
        <v>3.125E-2</v>
      </c>
      <c r="AF187" s="565">
        <f t="shared" ref="AF187:AO191" si="171">AE187</f>
        <v>3.125E-2</v>
      </c>
      <c r="AG187" s="565">
        <f t="shared" si="171"/>
        <v>3.125E-2</v>
      </c>
      <c r="AH187" s="565">
        <f t="shared" si="171"/>
        <v>3.125E-2</v>
      </c>
      <c r="AI187" s="565">
        <f t="shared" si="171"/>
        <v>3.125E-2</v>
      </c>
      <c r="AJ187" s="565">
        <f t="shared" si="171"/>
        <v>3.125E-2</v>
      </c>
      <c r="AK187" s="565">
        <f t="shared" si="171"/>
        <v>3.125E-2</v>
      </c>
      <c r="AL187" s="565">
        <f t="shared" si="171"/>
        <v>3.125E-2</v>
      </c>
      <c r="AM187" s="565">
        <f t="shared" si="171"/>
        <v>3.125E-2</v>
      </c>
      <c r="AN187" s="565">
        <f t="shared" si="171"/>
        <v>3.125E-2</v>
      </c>
      <c r="AO187" s="565">
        <f t="shared" si="171"/>
        <v>3.125E-2</v>
      </c>
    </row>
    <row r="188" spans="2:41" s="204" customFormat="1" outlineLevel="1">
      <c r="B188" s="564" t="s">
        <v>735</v>
      </c>
      <c r="C188" s="106"/>
      <c r="D188" s="202"/>
      <c r="E188" s="202"/>
      <c r="F188" s="202"/>
      <c r="G188" s="202"/>
      <c r="H188" s="202"/>
      <c r="I188" s="202"/>
      <c r="J188" s="202"/>
      <c r="K188" s="202"/>
      <c r="L188" s="202"/>
      <c r="M188" s="203"/>
      <c r="N188" s="203"/>
      <c r="O188" s="203"/>
      <c r="P188" s="202"/>
      <c r="Q188" s="202"/>
      <c r="R188" s="232"/>
      <c r="S188" s="232"/>
      <c r="T188" s="565"/>
      <c r="U188" s="565"/>
      <c r="V188" s="565"/>
      <c r="W188" s="565"/>
      <c r="X188" s="565"/>
      <c r="Y188" s="565"/>
      <c r="Z188" s="565">
        <v>4.3999999999999997E-2</v>
      </c>
      <c r="AA188" s="565">
        <f>Z188</f>
        <v>4.3999999999999997E-2</v>
      </c>
      <c r="AB188" s="565">
        <f t="shared" si="165"/>
        <v>4.3999999999999997E-2</v>
      </c>
      <c r="AC188" s="565">
        <f t="shared" si="166"/>
        <v>4.3999999999999997E-2</v>
      </c>
      <c r="AD188" s="565">
        <f t="shared" si="167"/>
        <v>4.3999999999999997E-2</v>
      </c>
      <c r="AE188" s="565">
        <f>AD188</f>
        <v>4.3999999999999997E-2</v>
      </c>
      <c r="AF188" s="565">
        <f t="shared" si="171"/>
        <v>4.3999999999999997E-2</v>
      </c>
      <c r="AG188" s="565">
        <f t="shared" si="171"/>
        <v>4.3999999999999997E-2</v>
      </c>
      <c r="AH188" s="565">
        <f t="shared" si="171"/>
        <v>4.3999999999999997E-2</v>
      </c>
      <c r="AI188" s="565">
        <f t="shared" si="171"/>
        <v>4.3999999999999997E-2</v>
      </c>
      <c r="AJ188" s="565">
        <f t="shared" si="171"/>
        <v>4.3999999999999997E-2</v>
      </c>
      <c r="AK188" s="565">
        <f t="shared" si="171"/>
        <v>4.3999999999999997E-2</v>
      </c>
      <c r="AL188" s="565">
        <f t="shared" si="171"/>
        <v>4.3999999999999997E-2</v>
      </c>
      <c r="AM188" s="565">
        <f t="shared" si="171"/>
        <v>4.3999999999999997E-2</v>
      </c>
      <c r="AN188" s="565">
        <f t="shared" si="171"/>
        <v>4.3999999999999997E-2</v>
      </c>
      <c r="AO188" s="565">
        <f t="shared" si="171"/>
        <v>4.3999999999999997E-2</v>
      </c>
    </row>
    <row r="189" spans="2:41" s="204" customFormat="1" outlineLevel="1">
      <c r="B189" s="564" t="s">
        <v>799</v>
      </c>
      <c r="C189" s="106"/>
      <c r="D189" s="202"/>
      <c r="E189" s="202"/>
      <c r="F189" s="202"/>
      <c r="G189" s="202"/>
      <c r="H189" s="202"/>
      <c r="I189" s="202"/>
      <c r="J189" s="202"/>
      <c r="K189" s="202"/>
      <c r="L189" s="202"/>
      <c r="M189" s="203"/>
      <c r="N189" s="203"/>
      <c r="O189" s="203"/>
      <c r="P189" s="202"/>
      <c r="Q189" s="202"/>
      <c r="R189" s="232"/>
      <c r="S189" s="232"/>
      <c r="T189" s="565"/>
      <c r="U189" s="565"/>
      <c r="V189" s="565"/>
      <c r="W189" s="565">
        <v>3.6249999999999998E-2</v>
      </c>
      <c r="X189" s="565">
        <f t="shared" si="169"/>
        <v>3.6249999999999998E-2</v>
      </c>
      <c r="Y189" s="565">
        <f t="shared" si="169"/>
        <v>3.6249999999999998E-2</v>
      </c>
      <c r="Z189" s="565">
        <f t="shared" si="169"/>
        <v>3.6249999999999998E-2</v>
      </c>
      <c r="AA189" s="565">
        <f t="shared" si="169"/>
        <v>3.6249999999999998E-2</v>
      </c>
      <c r="AB189" s="565">
        <f t="shared" si="165"/>
        <v>3.6249999999999998E-2</v>
      </c>
      <c r="AC189" s="565">
        <f t="shared" si="166"/>
        <v>3.6249999999999998E-2</v>
      </c>
      <c r="AD189" s="565">
        <f t="shared" si="167"/>
        <v>3.6249999999999998E-2</v>
      </c>
      <c r="AE189" s="565">
        <f t="shared" si="168"/>
        <v>3.6249999999999998E-2</v>
      </c>
      <c r="AF189" s="565">
        <f t="shared" si="171"/>
        <v>3.6249999999999998E-2</v>
      </c>
      <c r="AG189" s="565">
        <f t="shared" si="171"/>
        <v>3.6249999999999998E-2</v>
      </c>
      <c r="AH189" s="565">
        <f t="shared" si="171"/>
        <v>3.6249999999999998E-2</v>
      </c>
      <c r="AI189" s="565">
        <f t="shared" si="171"/>
        <v>3.6249999999999998E-2</v>
      </c>
      <c r="AJ189" s="565">
        <f t="shared" si="171"/>
        <v>3.6249999999999998E-2</v>
      </c>
      <c r="AK189" s="565">
        <f t="shared" si="171"/>
        <v>3.6249999999999998E-2</v>
      </c>
      <c r="AL189" s="565">
        <f t="shared" si="171"/>
        <v>3.6249999999999998E-2</v>
      </c>
      <c r="AM189" s="565">
        <f t="shared" si="171"/>
        <v>3.6249999999999998E-2</v>
      </c>
      <c r="AN189" s="565">
        <f t="shared" si="171"/>
        <v>3.6249999999999998E-2</v>
      </c>
      <c r="AO189" s="565">
        <f t="shared" si="171"/>
        <v>3.6249999999999998E-2</v>
      </c>
    </row>
    <row r="190" spans="2:41" s="204" customFormat="1" outlineLevel="1">
      <c r="B190" s="211" t="s">
        <v>500</v>
      </c>
      <c r="C190" s="106"/>
      <c r="D190" s="202"/>
      <c r="E190" s="202"/>
      <c r="F190" s="202"/>
      <c r="G190" s="202"/>
      <c r="H190" s="202"/>
      <c r="I190" s="202"/>
      <c r="J190" s="202"/>
      <c r="K190" s="202"/>
      <c r="L190" s="202"/>
      <c r="M190" s="203"/>
      <c r="N190" s="203"/>
      <c r="O190" s="203"/>
      <c r="P190" s="202"/>
      <c r="Q190" s="202"/>
      <c r="R190" s="232"/>
      <c r="S190" s="232"/>
      <c r="T190" s="565"/>
      <c r="U190" s="565"/>
      <c r="V190" s="565"/>
      <c r="W190" s="565">
        <v>5.3749999999999999E-2</v>
      </c>
      <c r="X190" s="565">
        <f t="shared" si="169"/>
        <v>5.3749999999999999E-2</v>
      </c>
      <c r="Y190" s="565">
        <f t="shared" si="169"/>
        <v>5.3749999999999999E-2</v>
      </c>
      <c r="Z190" s="565">
        <f t="shared" si="169"/>
        <v>5.3749999999999999E-2</v>
      </c>
      <c r="AA190" s="565">
        <f t="shared" si="169"/>
        <v>5.3749999999999999E-2</v>
      </c>
      <c r="AB190" s="565">
        <f t="shared" si="165"/>
        <v>5.3749999999999999E-2</v>
      </c>
      <c r="AC190" s="565">
        <f t="shared" si="166"/>
        <v>5.3749999999999999E-2</v>
      </c>
      <c r="AD190" s="565">
        <f t="shared" si="167"/>
        <v>5.3749999999999999E-2</v>
      </c>
      <c r="AE190" s="565">
        <f t="shared" si="168"/>
        <v>5.3749999999999999E-2</v>
      </c>
      <c r="AF190" s="565">
        <f t="shared" si="171"/>
        <v>5.3749999999999999E-2</v>
      </c>
      <c r="AG190" s="565">
        <f t="shared" si="171"/>
        <v>5.3749999999999999E-2</v>
      </c>
      <c r="AH190" s="565">
        <f t="shared" si="171"/>
        <v>5.3749999999999999E-2</v>
      </c>
      <c r="AI190" s="565">
        <f t="shared" si="171"/>
        <v>5.3749999999999999E-2</v>
      </c>
      <c r="AJ190" s="565">
        <f t="shared" si="171"/>
        <v>5.3749999999999999E-2</v>
      </c>
      <c r="AK190" s="565">
        <f t="shared" si="171"/>
        <v>5.3749999999999999E-2</v>
      </c>
      <c r="AL190" s="565">
        <f t="shared" si="171"/>
        <v>5.3749999999999999E-2</v>
      </c>
      <c r="AM190" s="565">
        <f t="shared" si="171"/>
        <v>5.3749999999999999E-2</v>
      </c>
      <c r="AN190" s="565">
        <f t="shared" si="171"/>
        <v>5.3749999999999999E-2</v>
      </c>
      <c r="AO190" s="565">
        <f t="shared" si="171"/>
        <v>5.3749999999999999E-2</v>
      </c>
    </row>
    <row r="191" spans="2:41" s="204" customFormat="1" outlineLevel="1">
      <c r="B191" s="630" t="s">
        <v>706</v>
      </c>
      <c r="C191" s="106"/>
      <c r="D191" s="202"/>
      <c r="E191" s="202"/>
      <c r="F191" s="202"/>
      <c r="G191" s="202"/>
      <c r="H191" s="202"/>
      <c r="I191" s="202"/>
      <c r="J191" s="202"/>
      <c r="K191" s="202"/>
      <c r="L191" s="202"/>
      <c r="M191" s="203"/>
      <c r="N191" s="203"/>
      <c r="O191" s="203"/>
      <c r="P191" s="202"/>
      <c r="Q191" s="202"/>
      <c r="R191" s="232"/>
      <c r="S191" s="232"/>
      <c r="T191" s="565"/>
      <c r="U191" s="565"/>
      <c r="V191" s="565"/>
      <c r="W191" s="232"/>
      <c r="X191" s="565"/>
      <c r="Y191" s="635">
        <f>0.23%+0.38%</f>
        <v>6.0999999999999995E-3</v>
      </c>
      <c r="Z191" s="633">
        <f>Y191</f>
        <v>6.0999999999999995E-3</v>
      </c>
      <c r="AA191" s="634">
        <f t="shared" si="169"/>
        <v>6.0999999999999995E-3</v>
      </c>
      <c r="AB191" s="634">
        <f t="shared" si="165"/>
        <v>6.0999999999999995E-3</v>
      </c>
      <c r="AC191" s="634">
        <f t="shared" si="166"/>
        <v>6.0999999999999995E-3</v>
      </c>
      <c r="AD191" s="634">
        <f t="shared" si="167"/>
        <v>6.0999999999999995E-3</v>
      </c>
      <c r="AE191" s="634">
        <f t="shared" si="168"/>
        <v>6.0999999999999995E-3</v>
      </c>
      <c r="AF191" s="565">
        <f t="shared" si="171"/>
        <v>6.0999999999999995E-3</v>
      </c>
      <c r="AG191" s="565">
        <f t="shared" si="171"/>
        <v>6.0999999999999995E-3</v>
      </c>
      <c r="AH191" s="565">
        <f t="shared" si="171"/>
        <v>6.0999999999999995E-3</v>
      </c>
      <c r="AI191" s="565">
        <f t="shared" si="171"/>
        <v>6.0999999999999995E-3</v>
      </c>
      <c r="AJ191" s="565">
        <f t="shared" si="171"/>
        <v>6.0999999999999995E-3</v>
      </c>
      <c r="AK191" s="565">
        <f t="shared" si="171"/>
        <v>6.0999999999999995E-3</v>
      </c>
      <c r="AL191" s="565">
        <f t="shared" si="171"/>
        <v>6.0999999999999995E-3</v>
      </c>
      <c r="AM191" s="565">
        <f t="shared" si="171"/>
        <v>6.0999999999999995E-3</v>
      </c>
      <c r="AN191" s="565">
        <f t="shared" si="171"/>
        <v>6.0999999999999995E-3</v>
      </c>
      <c r="AO191" s="565">
        <f t="shared" si="171"/>
        <v>6.0999999999999995E-3</v>
      </c>
    </row>
    <row r="192" spans="2:41" s="204" customFormat="1" outlineLevel="1">
      <c r="B192" s="630" t="s">
        <v>708</v>
      </c>
      <c r="C192" s="106"/>
      <c r="D192" s="202"/>
      <c r="E192" s="202"/>
      <c r="F192" s="202"/>
      <c r="G192" s="202"/>
      <c r="H192" s="202"/>
      <c r="I192" s="202"/>
      <c r="J192" s="202"/>
      <c r="K192" s="202"/>
      <c r="L192" s="202"/>
      <c r="M192" s="203"/>
      <c r="N192" s="203"/>
      <c r="O192" s="203"/>
      <c r="P192" s="202"/>
      <c r="Q192" s="202"/>
      <c r="R192" s="232"/>
      <c r="S192" s="232"/>
      <c r="T192" s="565"/>
      <c r="U192" s="565"/>
      <c r="V192" s="565"/>
      <c r="W192" s="565"/>
      <c r="X192" s="565"/>
      <c r="Y192" s="634">
        <v>1.2500000000000001E-2</v>
      </c>
      <c r="Z192" s="634">
        <v>1.2500000000000001E-2</v>
      </c>
      <c r="AA192" s="634">
        <v>1.2500000000000001E-2</v>
      </c>
      <c r="AB192" s="634">
        <v>1.2500000000000001E-2</v>
      </c>
      <c r="AC192" s="634">
        <v>1.2500000000000001E-2</v>
      </c>
      <c r="AD192" s="634">
        <v>1.2500000000000001E-2</v>
      </c>
      <c r="AE192" s="634">
        <v>1.2500000000000001E-2</v>
      </c>
      <c r="AF192" s="565">
        <v>1.2500000000000001E-2</v>
      </c>
      <c r="AG192" s="565">
        <v>1.2500000000000001E-2</v>
      </c>
      <c r="AH192" s="565">
        <v>1.2500000000000001E-2</v>
      </c>
      <c r="AI192" s="565">
        <v>1.2500000000000001E-2</v>
      </c>
      <c r="AJ192" s="565">
        <v>1.2500000000000001E-2</v>
      </c>
      <c r="AK192" s="565">
        <v>1.2500000000000001E-2</v>
      </c>
      <c r="AL192" s="565">
        <v>1.2500000000000001E-2</v>
      </c>
      <c r="AM192" s="565">
        <v>1.2500000000000001E-2</v>
      </c>
      <c r="AN192" s="565">
        <v>1.2500000000000001E-2</v>
      </c>
      <c r="AO192" s="565">
        <v>1.2500000000000001E-2</v>
      </c>
    </row>
    <row r="193" spans="2:41" s="204" customFormat="1" outlineLevel="1">
      <c r="B193" s="630" t="s">
        <v>707</v>
      </c>
      <c r="C193" s="106"/>
      <c r="D193" s="202"/>
      <c r="E193" s="202"/>
      <c r="F193" s="202"/>
      <c r="G193" s="202"/>
      <c r="H193" s="202"/>
      <c r="I193" s="202"/>
      <c r="J193" s="202"/>
      <c r="K193" s="202"/>
      <c r="L193" s="202"/>
      <c r="M193" s="203"/>
      <c r="N193" s="203"/>
      <c r="O193" s="203"/>
      <c r="P193" s="202"/>
      <c r="Q193" s="202"/>
      <c r="R193" s="232"/>
      <c r="S193" s="232"/>
      <c r="T193" s="565"/>
      <c r="U193" s="565"/>
      <c r="V193" s="565"/>
      <c r="W193" s="565"/>
      <c r="X193" s="565"/>
      <c r="Y193" s="635">
        <f>0.23%+0.6%</f>
        <v>8.3000000000000001E-3</v>
      </c>
      <c r="Z193" s="634">
        <f t="shared" ref="Z193:AO193" si="172">Y193</f>
        <v>8.3000000000000001E-3</v>
      </c>
      <c r="AA193" s="634">
        <f t="shared" si="172"/>
        <v>8.3000000000000001E-3</v>
      </c>
      <c r="AB193" s="634">
        <f t="shared" si="172"/>
        <v>8.3000000000000001E-3</v>
      </c>
      <c r="AC193" s="634">
        <f t="shared" si="172"/>
        <v>8.3000000000000001E-3</v>
      </c>
      <c r="AD193" s="634">
        <f t="shared" si="172"/>
        <v>8.3000000000000001E-3</v>
      </c>
      <c r="AE193" s="634">
        <f t="shared" si="172"/>
        <v>8.3000000000000001E-3</v>
      </c>
      <c r="AF193" s="565">
        <f t="shared" si="172"/>
        <v>8.3000000000000001E-3</v>
      </c>
      <c r="AG193" s="565">
        <f t="shared" si="172"/>
        <v>8.3000000000000001E-3</v>
      </c>
      <c r="AH193" s="565">
        <f t="shared" si="172"/>
        <v>8.3000000000000001E-3</v>
      </c>
      <c r="AI193" s="565">
        <f t="shared" si="172"/>
        <v>8.3000000000000001E-3</v>
      </c>
      <c r="AJ193" s="565">
        <f t="shared" si="172"/>
        <v>8.3000000000000001E-3</v>
      </c>
      <c r="AK193" s="565">
        <f t="shared" si="172"/>
        <v>8.3000000000000001E-3</v>
      </c>
      <c r="AL193" s="565">
        <f t="shared" si="172"/>
        <v>8.3000000000000001E-3</v>
      </c>
      <c r="AM193" s="565">
        <f t="shared" si="172"/>
        <v>8.3000000000000001E-3</v>
      </c>
      <c r="AN193" s="565">
        <f t="shared" si="172"/>
        <v>8.3000000000000001E-3</v>
      </c>
      <c r="AO193" s="565">
        <f t="shared" si="172"/>
        <v>8.3000000000000001E-3</v>
      </c>
    </row>
    <row r="194" spans="2:41" s="204" customFormat="1" outlineLevel="1">
      <c r="B194" s="630" t="s">
        <v>709</v>
      </c>
      <c r="C194" s="106"/>
      <c r="D194" s="202"/>
      <c r="E194" s="202"/>
      <c r="F194" s="202"/>
      <c r="G194" s="202"/>
      <c r="H194" s="202"/>
      <c r="I194" s="202"/>
      <c r="J194" s="202"/>
      <c r="K194" s="202"/>
      <c r="L194" s="202"/>
      <c r="M194" s="203"/>
      <c r="N194" s="203"/>
      <c r="O194" s="203"/>
      <c r="P194" s="202"/>
      <c r="Q194" s="202"/>
      <c r="R194" s="232"/>
      <c r="S194" s="232"/>
      <c r="T194" s="565"/>
      <c r="U194" s="565"/>
      <c r="V194" s="565"/>
      <c r="W194" s="565"/>
      <c r="X194" s="565"/>
      <c r="Y194" s="634">
        <v>2.1999999999999999E-2</v>
      </c>
      <c r="Z194" s="634">
        <v>2.1999999999999999E-2</v>
      </c>
      <c r="AA194" s="634">
        <v>2.1999999999999999E-2</v>
      </c>
      <c r="AB194" s="634">
        <v>2.1999999999999999E-2</v>
      </c>
      <c r="AC194" s="634">
        <v>2.1999999999999999E-2</v>
      </c>
      <c r="AD194" s="634">
        <v>2.1999999999999999E-2</v>
      </c>
      <c r="AE194" s="634">
        <v>2.1999999999999999E-2</v>
      </c>
      <c r="AF194" s="565">
        <v>2.1999999999999999E-2</v>
      </c>
      <c r="AG194" s="565">
        <v>2.1999999999999999E-2</v>
      </c>
      <c r="AH194" s="565">
        <v>2.1999999999999999E-2</v>
      </c>
      <c r="AI194" s="565">
        <v>2.1999999999999999E-2</v>
      </c>
      <c r="AJ194" s="565">
        <v>2.1999999999999999E-2</v>
      </c>
      <c r="AK194" s="565">
        <v>2.1999999999999999E-2</v>
      </c>
      <c r="AL194" s="565">
        <v>2.1999999999999999E-2</v>
      </c>
      <c r="AM194" s="565">
        <v>2.1999999999999999E-2</v>
      </c>
      <c r="AN194" s="565">
        <v>2.1999999999999999E-2</v>
      </c>
      <c r="AO194" s="565">
        <v>2.1999999999999999E-2</v>
      </c>
    </row>
    <row r="195" spans="2:41" s="204" customFormat="1" outlineLevel="1">
      <c r="B195" s="630" t="s">
        <v>800</v>
      </c>
      <c r="C195" s="106"/>
      <c r="D195" s="202"/>
      <c r="E195" s="202"/>
      <c r="F195" s="202"/>
      <c r="G195" s="202"/>
      <c r="H195" s="202"/>
      <c r="I195" s="202"/>
      <c r="J195" s="202"/>
      <c r="K195" s="202"/>
      <c r="L195" s="202"/>
      <c r="M195" s="203"/>
      <c r="N195" s="203"/>
      <c r="O195" s="203"/>
      <c r="P195" s="202"/>
      <c r="Q195" s="202"/>
      <c r="R195" s="232"/>
      <c r="S195" s="232"/>
      <c r="T195" s="565"/>
      <c r="U195" s="565"/>
      <c r="V195" s="565"/>
      <c r="W195" s="565"/>
      <c r="X195" s="565"/>
      <c r="Y195" s="634">
        <v>3.6249999999999998E-2</v>
      </c>
      <c r="Z195" s="634">
        <v>3.6249999999999998E-2</v>
      </c>
      <c r="AA195" s="634">
        <v>3.6249999999999998E-2</v>
      </c>
      <c r="AB195" s="634">
        <v>3.6249999999999998E-2</v>
      </c>
      <c r="AC195" s="634">
        <v>3.6249999999999998E-2</v>
      </c>
      <c r="AD195" s="634">
        <v>3.6249999999999998E-2</v>
      </c>
      <c r="AE195" s="634">
        <v>3.6249999999999998E-2</v>
      </c>
      <c r="AF195" s="565">
        <v>3.6249999999999998E-2</v>
      </c>
      <c r="AG195" s="565">
        <v>3.6249999999999998E-2</v>
      </c>
      <c r="AH195" s="565">
        <v>3.6249999999999998E-2</v>
      </c>
      <c r="AI195" s="565">
        <v>3.6249999999999998E-2</v>
      </c>
      <c r="AJ195" s="565">
        <v>3.6249999999999998E-2</v>
      </c>
      <c r="AK195" s="565">
        <v>3.6249999999999998E-2</v>
      </c>
      <c r="AL195" s="565">
        <v>3.6249999999999998E-2</v>
      </c>
      <c r="AM195" s="565">
        <v>3.6249999999999998E-2</v>
      </c>
      <c r="AN195" s="565">
        <v>3.6249999999999998E-2</v>
      </c>
      <c r="AO195" s="565">
        <v>3.6249999999999998E-2</v>
      </c>
    </row>
    <row r="196" spans="2:41" s="231" customFormat="1" outlineLevel="1">
      <c r="B196" s="211" t="str">
        <f>B26</f>
        <v>2.125% bonds due 2019 (EUR denominated)</v>
      </c>
      <c r="C196" s="229"/>
      <c r="D196" s="230"/>
      <c r="E196" s="230"/>
      <c r="F196" s="230"/>
      <c r="G196" s="230"/>
      <c r="H196" s="230"/>
      <c r="I196" s="230"/>
      <c r="J196" s="230"/>
      <c r="K196" s="230"/>
      <c r="L196" s="230"/>
      <c r="M196" s="230"/>
      <c r="N196" s="230"/>
      <c r="O196" s="230"/>
      <c r="P196" s="230"/>
      <c r="Q196" s="230"/>
      <c r="R196" s="232"/>
      <c r="S196" s="232"/>
      <c r="T196" s="565"/>
      <c r="U196" s="565"/>
      <c r="V196" s="565"/>
      <c r="W196" s="565">
        <v>2.1250000000000002E-2</v>
      </c>
      <c r="X196" s="565">
        <v>2.1250000000000002E-2</v>
      </c>
      <c r="Y196" s="565">
        <v>2.1250000000000002E-2</v>
      </c>
      <c r="Z196" s="565">
        <v>2.1250000000000002E-2</v>
      </c>
      <c r="AA196" s="565">
        <v>2.1250000000000002E-2</v>
      </c>
      <c r="AB196" s="565">
        <v>2.1250000000000002E-2</v>
      </c>
      <c r="AC196" s="565">
        <v>2.1250000000000002E-2</v>
      </c>
      <c r="AD196" s="565">
        <v>2.1250000000000002E-2</v>
      </c>
      <c r="AE196" s="565">
        <v>2.1250000000000002E-2</v>
      </c>
      <c r="AF196" s="565">
        <v>2.1250000000000002E-2</v>
      </c>
      <c r="AG196" s="565">
        <v>2.1250000000000002E-2</v>
      </c>
      <c r="AH196" s="565">
        <v>2.1250000000000002E-2</v>
      </c>
      <c r="AI196" s="565">
        <v>2.1250000000000002E-2</v>
      </c>
      <c r="AJ196" s="565">
        <v>2.1250000000000002E-2</v>
      </c>
      <c r="AK196" s="565">
        <v>2.1250000000000002E-2</v>
      </c>
      <c r="AL196" s="565">
        <v>2.1250000000000002E-2</v>
      </c>
      <c r="AM196" s="565">
        <v>2.1250000000000002E-2</v>
      </c>
      <c r="AN196" s="565">
        <v>2.1250000000000002E-2</v>
      </c>
      <c r="AO196" s="565">
        <v>2.1250000000000002E-2</v>
      </c>
    </row>
    <row r="197" spans="2:41" s="231" customFormat="1" outlineLevel="1">
      <c r="B197" s="211" t="str">
        <f>B47</f>
        <v>4.000% bonds due 2029 (GBP denominated)</v>
      </c>
      <c r="C197" s="229"/>
      <c r="D197" s="230"/>
      <c r="E197" s="230"/>
      <c r="F197" s="230"/>
      <c r="G197" s="230"/>
      <c r="H197" s="230"/>
      <c r="I197" s="230"/>
      <c r="J197" s="230"/>
      <c r="K197" s="230"/>
      <c r="L197" s="230"/>
      <c r="M197" s="230"/>
      <c r="N197" s="230"/>
      <c r="O197" s="230"/>
      <c r="P197" s="230"/>
      <c r="Q197" s="230"/>
      <c r="R197" s="232"/>
      <c r="S197" s="232"/>
      <c r="T197" s="565"/>
      <c r="U197" s="565"/>
      <c r="V197" s="565"/>
      <c r="W197" s="565">
        <v>0.04</v>
      </c>
      <c r="X197" s="565">
        <v>0.04</v>
      </c>
      <c r="Y197" s="565">
        <v>0.04</v>
      </c>
      <c r="Z197" s="565">
        <v>0.04</v>
      </c>
      <c r="AA197" s="565">
        <v>0.04</v>
      </c>
      <c r="AB197" s="565">
        <v>0.04</v>
      </c>
      <c r="AC197" s="565">
        <v>0.04</v>
      </c>
      <c r="AD197" s="565">
        <v>0.04</v>
      </c>
      <c r="AE197" s="565">
        <v>0.04</v>
      </c>
      <c r="AF197" s="565">
        <v>0.04</v>
      </c>
      <c r="AG197" s="565">
        <v>0.04</v>
      </c>
      <c r="AH197" s="565">
        <v>0.04</v>
      </c>
      <c r="AI197" s="565">
        <v>0.04</v>
      </c>
      <c r="AJ197" s="565">
        <v>0.04</v>
      </c>
      <c r="AK197" s="565">
        <v>0.04</v>
      </c>
      <c r="AL197" s="565">
        <v>0.04</v>
      </c>
      <c r="AM197" s="565">
        <v>0.04</v>
      </c>
      <c r="AN197" s="565">
        <v>0.04</v>
      </c>
      <c r="AO197" s="565">
        <v>0.04</v>
      </c>
    </row>
    <row r="198" spans="2:41" s="231" customFormat="1" outlineLevel="1">
      <c r="B198" s="211" t="s">
        <v>544</v>
      </c>
      <c r="C198" s="229"/>
      <c r="D198" s="230"/>
      <c r="E198" s="230"/>
      <c r="F198" s="230"/>
      <c r="G198" s="230"/>
      <c r="H198" s="230"/>
      <c r="I198" s="230"/>
      <c r="J198" s="230"/>
      <c r="K198" s="230"/>
      <c r="L198" s="230"/>
      <c r="M198" s="230"/>
      <c r="N198" s="230"/>
      <c r="O198" s="230"/>
      <c r="P198" s="230"/>
      <c r="Q198" s="230"/>
      <c r="R198" s="232"/>
      <c r="S198" s="232"/>
      <c r="T198" s="565"/>
      <c r="U198" s="565"/>
      <c r="V198" s="565"/>
      <c r="W198" s="565"/>
      <c r="X198" s="565">
        <f>1.1%+0.5%</f>
        <v>1.6E-2</v>
      </c>
      <c r="Y198" s="565">
        <f t="shared" ref="Y198:AO198" si="173">1.1%+0.5%</f>
        <v>1.6E-2</v>
      </c>
      <c r="Z198" s="565">
        <f t="shared" si="173"/>
        <v>1.6E-2</v>
      </c>
      <c r="AA198" s="565">
        <f t="shared" si="173"/>
        <v>1.6E-2</v>
      </c>
      <c r="AB198" s="565">
        <f t="shared" si="173"/>
        <v>1.6E-2</v>
      </c>
      <c r="AC198" s="565">
        <f t="shared" si="173"/>
        <v>1.6E-2</v>
      </c>
      <c r="AD198" s="565">
        <f t="shared" si="173"/>
        <v>1.6E-2</v>
      </c>
      <c r="AE198" s="565">
        <f t="shared" si="173"/>
        <v>1.6E-2</v>
      </c>
      <c r="AF198" s="565">
        <f t="shared" si="173"/>
        <v>1.6E-2</v>
      </c>
      <c r="AG198" s="565">
        <f t="shared" si="173"/>
        <v>1.6E-2</v>
      </c>
      <c r="AH198" s="565">
        <f t="shared" si="173"/>
        <v>1.6E-2</v>
      </c>
      <c r="AI198" s="565">
        <f t="shared" si="173"/>
        <v>1.6E-2</v>
      </c>
      <c r="AJ198" s="565">
        <f t="shared" si="173"/>
        <v>1.6E-2</v>
      </c>
      <c r="AK198" s="565">
        <f t="shared" si="173"/>
        <v>1.6E-2</v>
      </c>
      <c r="AL198" s="565">
        <f t="shared" si="173"/>
        <v>1.6E-2</v>
      </c>
      <c r="AM198" s="565">
        <f t="shared" si="173"/>
        <v>1.6E-2</v>
      </c>
      <c r="AN198" s="565">
        <f t="shared" si="173"/>
        <v>1.6E-2</v>
      </c>
      <c r="AO198" s="565">
        <f t="shared" si="173"/>
        <v>1.6E-2</v>
      </c>
    </row>
    <row r="199" spans="2:41" s="231" customFormat="1" outlineLevel="1">
      <c r="B199" s="564" t="s">
        <v>810</v>
      </c>
      <c r="C199" s="229"/>
      <c r="D199" s="230"/>
      <c r="E199" s="230"/>
      <c r="F199" s="230"/>
      <c r="G199" s="230"/>
      <c r="H199" s="230"/>
      <c r="I199" s="230"/>
      <c r="J199" s="230"/>
      <c r="K199" s="230"/>
      <c r="L199" s="230"/>
      <c r="M199" s="230"/>
      <c r="N199" s="230"/>
      <c r="O199" s="230"/>
      <c r="P199" s="230"/>
      <c r="Q199" s="230"/>
      <c r="R199" s="232"/>
      <c r="S199" s="232"/>
      <c r="T199" s="565"/>
      <c r="U199" s="565"/>
      <c r="V199" s="565"/>
      <c r="W199" s="565"/>
      <c r="X199" s="565"/>
      <c r="Y199" s="565"/>
      <c r="Z199" s="565"/>
      <c r="AA199" s="565">
        <v>1.8499999999999999E-2</v>
      </c>
      <c r="AB199" s="565">
        <f t="shared" ref="AB199:AB206" si="174">AA199</f>
        <v>1.8499999999999999E-2</v>
      </c>
      <c r="AC199" s="565">
        <f t="shared" ref="AC199:AO199" si="175">AB199</f>
        <v>1.8499999999999999E-2</v>
      </c>
      <c r="AD199" s="565">
        <f t="shared" si="175"/>
        <v>1.8499999999999999E-2</v>
      </c>
      <c r="AE199" s="565">
        <f t="shared" si="175"/>
        <v>1.8499999999999999E-2</v>
      </c>
      <c r="AF199" s="565">
        <f t="shared" si="175"/>
        <v>1.8499999999999999E-2</v>
      </c>
      <c r="AG199" s="565">
        <f t="shared" si="175"/>
        <v>1.8499999999999999E-2</v>
      </c>
      <c r="AH199" s="565">
        <f t="shared" si="175"/>
        <v>1.8499999999999999E-2</v>
      </c>
      <c r="AI199" s="565">
        <f t="shared" si="175"/>
        <v>1.8499999999999999E-2</v>
      </c>
      <c r="AJ199" s="565">
        <f t="shared" si="175"/>
        <v>1.8499999999999999E-2</v>
      </c>
      <c r="AK199" s="565">
        <f t="shared" si="175"/>
        <v>1.8499999999999999E-2</v>
      </c>
      <c r="AL199" s="565">
        <f t="shared" si="175"/>
        <v>1.8499999999999999E-2</v>
      </c>
      <c r="AM199" s="565">
        <f t="shared" si="175"/>
        <v>1.8499999999999999E-2</v>
      </c>
      <c r="AN199" s="565">
        <f t="shared" si="175"/>
        <v>1.8499999999999999E-2</v>
      </c>
      <c r="AO199" s="565">
        <f t="shared" si="175"/>
        <v>1.8499999999999999E-2</v>
      </c>
    </row>
    <row r="200" spans="2:41" s="231" customFormat="1" outlineLevel="1">
      <c r="B200" s="564" t="s">
        <v>807</v>
      </c>
      <c r="C200" s="229"/>
      <c r="D200" s="230"/>
      <c r="E200" s="230"/>
      <c r="F200" s="230"/>
      <c r="G200" s="230"/>
      <c r="H200" s="230"/>
      <c r="I200" s="230"/>
      <c r="J200" s="230"/>
      <c r="K200" s="230"/>
      <c r="L200" s="230"/>
      <c r="M200" s="230"/>
      <c r="N200" s="230"/>
      <c r="O200" s="230"/>
      <c r="P200" s="230"/>
      <c r="Q200" s="230"/>
      <c r="R200" s="232"/>
      <c r="S200" s="232"/>
      <c r="T200" s="565"/>
      <c r="U200" s="565"/>
      <c r="V200" s="565"/>
      <c r="W200" s="565"/>
      <c r="X200" s="565"/>
      <c r="Y200" s="565"/>
      <c r="Z200" s="565"/>
      <c r="AA200" s="565">
        <v>1.2500000000000001E-2</v>
      </c>
      <c r="AB200" s="565">
        <f t="shared" si="174"/>
        <v>1.2500000000000001E-2</v>
      </c>
      <c r="AC200" s="565">
        <f t="shared" ref="AC200:AO200" si="176">AB200</f>
        <v>1.2500000000000001E-2</v>
      </c>
      <c r="AD200" s="565">
        <f t="shared" si="176"/>
        <v>1.2500000000000001E-2</v>
      </c>
      <c r="AE200" s="565">
        <f t="shared" si="176"/>
        <v>1.2500000000000001E-2</v>
      </c>
      <c r="AF200" s="565">
        <f t="shared" si="176"/>
        <v>1.2500000000000001E-2</v>
      </c>
      <c r="AG200" s="565">
        <f t="shared" si="176"/>
        <v>1.2500000000000001E-2</v>
      </c>
      <c r="AH200" s="565">
        <f t="shared" si="176"/>
        <v>1.2500000000000001E-2</v>
      </c>
      <c r="AI200" s="565">
        <f t="shared" si="176"/>
        <v>1.2500000000000001E-2</v>
      </c>
      <c r="AJ200" s="565">
        <f t="shared" si="176"/>
        <v>1.2500000000000001E-2</v>
      </c>
      <c r="AK200" s="565">
        <f t="shared" si="176"/>
        <v>1.2500000000000001E-2</v>
      </c>
      <c r="AL200" s="565">
        <f t="shared" si="176"/>
        <v>1.2500000000000001E-2</v>
      </c>
      <c r="AM200" s="565">
        <f t="shared" si="176"/>
        <v>1.2500000000000001E-2</v>
      </c>
      <c r="AN200" s="565">
        <f t="shared" si="176"/>
        <v>1.2500000000000001E-2</v>
      </c>
      <c r="AO200" s="565">
        <f t="shared" si="176"/>
        <v>1.2500000000000001E-2</v>
      </c>
    </row>
    <row r="201" spans="2:41" s="231" customFormat="1" outlineLevel="1">
      <c r="B201" s="564" t="s">
        <v>808</v>
      </c>
      <c r="C201" s="229"/>
      <c r="D201" s="230"/>
      <c r="E201" s="230"/>
      <c r="F201" s="230"/>
      <c r="G201" s="230"/>
      <c r="H201" s="230"/>
      <c r="I201" s="230"/>
      <c r="J201" s="230"/>
      <c r="K201" s="230"/>
      <c r="L201" s="230"/>
      <c r="M201" s="230"/>
      <c r="N201" s="230"/>
      <c r="O201" s="230"/>
      <c r="P201" s="230"/>
      <c r="Q201" s="230"/>
      <c r="R201" s="232"/>
      <c r="S201" s="232"/>
      <c r="T201" s="565"/>
      <c r="U201" s="565"/>
      <c r="V201" s="565"/>
      <c r="W201" s="565"/>
      <c r="X201" s="565"/>
      <c r="Y201" s="565"/>
      <c r="Z201" s="565"/>
      <c r="AA201" s="565">
        <v>4.1000000000000003E-3</v>
      </c>
      <c r="AB201" s="565">
        <f t="shared" si="174"/>
        <v>4.1000000000000003E-3</v>
      </c>
      <c r="AC201" s="565">
        <f t="shared" ref="AC201:AO202" si="177">AB201</f>
        <v>4.1000000000000003E-3</v>
      </c>
      <c r="AD201" s="565">
        <f t="shared" si="177"/>
        <v>4.1000000000000003E-3</v>
      </c>
      <c r="AE201" s="565">
        <f t="shared" si="177"/>
        <v>4.1000000000000003E-3</v>
      </c>
      <c r="AF201" s="565">
        <f t="shared" si="177"/>
        <v>4.1000000000000003E-3</v>
      </c>
      <c r="AG201" s="565">
        <f t="shared" si="177"/>
        <v>4.1000000000000003E-3</v>
      </c>
      <c r="AH201" s="565">
        <f t="shared" si="177"/>
        <v>4.1000000000000003E-3</v>
      </c>
      <c r="AI201" s="565">
        <f t="shared" si="177"/>
        <v>4.1000000000000003E-3</v>
      </c>
      <c r="AJ201" s="565">
        <f t="shared" si="177"/>
        <v>4.1000000000000003E-3</v>
      </c>
      <c r="AK201" s="565">
        <f t="shared" si="177"/>
        <v>4.1000000000000003E-3</v>
      </c>
      <c r="AL201" s="565">
        <f t="shared" si="177"/>
        <v>4.1000000000000003E-3</v>
      </c>
      <c r="AM201" s="565">
        <f t="shared" si="177"/>
        <v>4.1000000000000003E-3</v>
      </c>
      <c r="AN201" s="565">
        <f t="shared" si="177"/>
        <v>4.1000000000000003E-3</v>
      </c>
      <c r="AO201" s="565">
        <f t="shared" si="177"/>
        <v>4.1000000000000003E-3</v>
      </c>
    </row>
    <row r="202" spans="2:41" s="231" customFormat="1" outlineLevel="1">
      <c r="B202" s="564" t="s">
        <v>811</v>
      </c>
      <c r="C202" s="229"/>
      <c r="D202" s="230"/>
      <c r="E202" s="230"/>
      <c r="F202" s="230"/>
      <c r="G202" s="230"/>
      <c r="H202" s="230"/>
      <c r="I202" s="230"/>
      <c r="J202" s="230"/>
      <c r="K202" s="230"/>
      <c r="L202" s="230"/>
      <c r="M202" s="230"/>
      <c r="N202" s="230"/>
      <c r="O202" s="230"/>
      <c r="P202" s="230"/>
      <c r="Q202" s="230"/>
      <c r="R202" s="232"/>
      <c r="S202" s="232"/>
      <c r="T202" s="565"/>
      <c r="U202" s="565"/>
      <c r="V202" s="565"/>
      <c r="W202" s="565"/>
      <c r="X202" s="565"/>
      <c r="Y202" s="565"/>
      <c r="Z202" s="565"/>
      <c r="AA202" s="565">
        <v>2.2499999999999999E-2</v>
      </c>
      <c r="AB202" s="565">
        <f t="shared" si="174"/>
        <v>2.2499999999999999E-2</v>
      </c>
      <c r="AC202" s="565">
        <f t="shared" si="177"/>
        <v>2.2499999999999999E-2</v>
      </c>
      <c r="AD202" s="565">
        <f t="shared" si="177"/>
        <v>2.2499999999999999E-2</v>
      </c>
      <c r="AE202" s="565">
        <f t="shared" si="177"/>
        <v>2.2499999999999999E-2</v>
      </c>
      <c r="AF202" s="565">
        <f t="shared" si="177"/>
        <v>2.2499999999999999E-2</v>
      </c>
      <c r="AG202" s="565">
        <f t="shared" si="177"/>
        <v>2.2499999999999999E-2</v>
      </c>
      <c r="AH202" s="565">
        <f t="shared" si="177"/>
        <v>2.2499999999999999E-2</v>
      </c>
      <c r="AI202" s="565">
        <f t="shared" si="177"/>
        <v>2.2499999999999999E-2</v>
      </c>
      <c r="AJ202" s="565">
        <f t="shared" si="177"/>
        <v>2.2499999999999999E-2</v>
      </c>
      <c r="AK202" s="565">
        <f t="shared" si="177"/>
        <v>2.2499999999999999E-2</v>
      </c>
      <c r="AL202" s="565">
        <f t="shared" si="177"/>
        <v>2.2499999999999999E-2</v>
      </c>
      <c r="AM202" s="565">
        <f t="shared" si="177"/>
        <v>2.2499999999999999E-2</v>
      </c>
      <c r="AN202" s="565">
        <f t="shared" si="177"/>
        <v>2.2499999999999999E-2</v>
      </c>
      <c r="AO202" s="565">
        <f t="shared" si="177"/>
        <v>2.2499999999999999E-2</v>
      </c>
    </row>
    <row r="203" spans="2:41" s="231" customFormat="1" outlineLevel="1">
      <c r="B203" s="564" t="s">
        <v>809</v>
      </c>
      <c r="C203" s="229"/>
      <c r="D203" s="230"/>
      <c r="E203" s="230"/>
      <c r="F203" s="230"/>
      <c r="G203" s="230"/>
      <c r="H203" s="230"/>
      <c r="I203" s="230"/>
      <c r="J203" s="230"/>
      <c r="K203" s="230"/>
      <c r="L203" s="230"/>
      <c r="M203" s="230"/>
      <c r="N203" s="230"/>
      <c r="O203" s="230"/>
      <c r="P203" s="230"/>
      <c r="Q203" s="230"/>
      <c r="R203" s="232"/>
      <c r="S203" s="232"/>
      <c r="T203" s="565"/>
      <c r="U203" s="565"/>
      <c r="V203" s="565"/>
      <c r="W203" s="565"/>
      <c r="X203" s="565"/>
      <c r="Y203" s="565"/>
      <c r="Z203" s="565"/>
      <c r="AA203" s="565">
        <v>0.02</v>
      </c>
      <c r="AB203" s="565">
        <f t="shared" si="174"/>
        <v>0.02</v>
      </c>
      <c r="AC203" s="565">
        <f t="shared" ref="AC203:AO204" si="178">AB203</f>
        <v>0.02</v>
      </c>
      <c r="AD203" s="565">
        <f t="shared" si="178"/>
        <v>0.02</v>
      </c>
      <c r="AE203" s="565">
        <f t="shared" si="178"/>
        <v>0.02</v>
      </c>
      <c r="AF203" s="565">
        <f t="shared" si="178"/>
        <v>0.02</v>
      </c>
      <c r="AG203" s="565">
        <f t="shared" si="178"/>
        <v>0.02</v>
      </c>
      <c r="AH203" s="565">
        <f t="shared" si="178"/>
        <v>0.02</v>
      </c>
      <c r="AI203" s="565">
        <f t="shared" si="178"/>
        <v>0.02</v>
      </c>
      <c r="AJ203" s="565">
        <f t="shared" si="178"/>
        <v>0.02</v>
      </c>
      <c r="AK203" s="565">
        <f t="shared" si="178"/>
        <v>0.02</v>
      </c>
      <c r="AL203" s="565">
        <f t="shared" si="178"/>
        <v>0.02</v>
      </c>
      <c r="AM203" s="565">
        <f t="shared" si="178"/>
        <v>0.02</v>
      </c>
      <c r="AN203" s="565">
        <f t="shared" si="178"/>
        <v>0.02</v>
      </c>
      <c r="AO203" s="565">
        <f t="shared" si="178"/>
        <v>0.02</v>
      </c>
    </row>
    <row r="204" spans="2:41" s="231" customFormat="1" outlineLevel="1">
      <c r="B204" s="564" t="s">
        <v>812</v>
      </c>
      <c r="C204" s="229"/>
      <c r="D204" s="230"/>
      <c r="E204" s="230"/>
      <c r="F204" s="230"/>
      <c r="G204" s="230"/>
      <c r="H204" s="230"/>
      <c r="I204" s="230"/>
      <c r="J204" s="230"/>
      <c r="K204" s="230"/>
      <c r="L204" s="230"/>
      <c r="M204" s="230"/>
      <c r="N204" s="230"/>
      <c r="O204" s="230"/>
      <c r="P204" s="230"/>
      <c r="Q204" s="230"/>
      <c r="R204" s="232"/>
      <c r="S204" s="232"/>
      <c r="T204" s="565"/>
      <c r="U204" s="565"/>
      <c r="V204" s="565"/>
      <c r="W204" s="565"/>
      <c r="X204" s="565"/>
      <c r="Y204" s="565"/>
      <c r="Z204" s="565"/>
      <c r="AA204" s="565">
        <v>2.5999999999999999E-2</v>
      </c>
      <c r="AB204" s="565">
        <f t="shared" si="174"/>
        <v>2.5999999999999999E-2</v>
      </c>
      <c r="AC204" s="565">
        <f t="shared" si="178"/>
        <v>2.5999999999999999E-2</v>
      </c>
      <c r="AD204" s="565">
        <f t="shared" si="178"/>
        <v>2.5999999999999999E-2</v>
      </c>
      <c r="AE204" s="565">
        <f t="shared" si="178"/>
        <v>2.5999999999999999E-2</v>
      </c>
      <c r="AF204" s="565">
        <f t="shared" si="178"/>
        <v>2.5999999999999999E-2</v>
      </c>
      <c r="AG204" s="565">
        <f t="shared" si="178"/>
        <v>2.5999999999999999E-2</v>
      </c>
      <c r="AH204" s="565">
        <f t="shared" si="178"/>
        <v>2.5999999999999999E-2</v>
      </c>
      <c r="AI204" s="565">
        <f t="shared" si="178"/>
        <v>2.5999999999999999E-2</v>
      </c>
      <c r="AJ204" s="565">
        <f t="shared" si="178"/>
        <v>2.5999999999999999E-2</v>
      </c>
      <c r="AK204" s="565">
        <f t="shared" si="178"/>
        <v>2.5999999999999999E-2</v>
      </c>
      <c r="AL204" s="565">
        <f t="shared" si="178"/>
        <v>2.5999999999999999E-2</v>
      </c>
      <c r="AM204" s="565">
        <f t="shared" si="178"/>
        <v>2.5999999999999999E-2</v>
      </c>
      <c r="AN204" s="565">
        <f t="shared" si="178"/>
        <v>2.5999999999999999E-2</v>
      </c>
      <c r="AO204" s="565">
        <f t="shared" si="178"/>
        <v>2.5999999999999999E-2</v>
      </c>
    </row>
    <row r="205" spans="2:41" s="231" customFormat="1" outlineLevel="1">
      <c r="B205" s="564" t="s">
        <v>805</v>
      </c>
      <c r="C205" s="229"/>
      <c r="D205" s="230"/>
      <c r="E205" s="230"/>
      <c r="F205" s="230"/>
      <c r="G205" s="230"/>
      <c r="H205" s="230"/>
      <c r="I205" s="230"/>
      <c r="J205" s="230"/>
      <c r="K205" s="230"/>
      <c r="L205" s="230"/>
      <c r="M205" s="230"/>
      <c r="N205" s="230"/>
      <c r="O205" s="230"/>
      <c r="P205" s="230"/>
      <c r="Q205" s="230"/>
      <c r="R205" s="232"/>
      <c r="S205" s="232"/>
      <c r="T205" s="565"/>
      <c r="U205" s="565"/>
      <c r="V205" s="565"/>
      <c r="W205" s="565"/>
      <c r="X205" s="565"/>
      <c r="Y205" s="565"/>
      <c r="Z205" s="565"/>
      <c r="AA205" s="565">
        <v>4.5629999999999997E-2</v>
      </c>
      <c r="AB205" s="565">
        <f t="shared" si="174"/>
        <v>4.5629999999999997E-2</v>
      </c>
      <c r="AC205" s="565">
        <f t="shared" ref="AC205:AO205" si="179">AB205</f>
        <v>4.5629999999999997E-2</v>
      </c>
      <c r="AD205" s="565">
        <f t="shared" si="179"/>
        <v>4.5629999999999997E-2</v>
      </c>
      <c r="AE205" s="565">
        <f t="shared" si="179"/>
        <v>4.5629999999999997E-2</v>
      </c>
      <c r="AF205" s="565">
        <f t="shared" si="179"/>
        <v>4.5629999999999997E-2</v>
      </c>
      <c r="AG205" s="565">
        <f t="shared" si="179"/>
        <v>4.5629999999999997E-2</v>
      </c>
      <c r="AH205" s="565">
        <f t="shared" si="179"/>
        <v>4.5629999999999997E-2</v>
      </c>
      <c r="AI205" s="565">
        <f t="shared" si="179"/>
        <v>4.5629999999999997E-2</v>
      </c>
      <c r="AJ205" s="565">
        <f t="shared" si="179"/>
        <v>4.5629999999999997E-2</v>
      </c>
      <c r="AK205" s="565">
        <f t="shared" si="179"/>
        <v>4.5629999999999997E-2</v>
      </c>
      <c r="AL205" s="565">
        <f t="shared" si="179"/>
        <v>4.5629999999999997E-2</v>
      </c>
      <c r="AM205" s="565">
        <f t="shared" si="179"/>
        <v>4.5629999999999997E-2</v>
      </c>
      <c r="AN205" s="565">
        <f t="shared" si="179"/>
        <v>4.5629999999999997E-2</v>
      </c>
      <c r="AO205" s="565">
        <f t="shared" si="179"/>
        <v>4.5629999999999997E-2</v>
      </c>
    </row>
    <row r="206" spans="2:41" s="231" customFormat="1" outlineLevel="1">
      <c r="B206" s="564" t="s">
        <v>806</v>
      </c>
      <c r="C206" s="229"/>
      <c r="D206" s="230"/>
      <c r="E206" s="230"/>
      <c r="F206" s="230"/>
      <c r="G206" s="230"/>
      <c r="H206" s="230"/>
      <c r="I206" s="230"/>
      <c r="J206" s="230"/>
      <c r="K206" s="230"/>
      <c r="L206" s="230"/>
      <c r="M206" s="230"/>
      <c r="N206" s="230"/>
      <c r="O206" s="230"/>
      <c r="P206" s="230"/>
      <c r="Q206" s="230"/>
      <c r="R206" s="232"/>
      <c r="S206" s="232"/>
      <c r="T206" s="565"/>
      <c r="U206" s="565"/>
      <c r="V206" s="565"/>
      <c r="W206" s="565"/>
      <c r="X206" s="565"/>
      <c r="Y206" s="565"/>
      <c r="Z206" s="565"/>
      <c r="AA206" s="565">
        <v>4.6629999999999998E-2</v>
      </c>
      <c r="AB206" s="565">
        <f t="shared" si="174"/>
        <v>4.6629999999999998E-2</v>
      </c>
      <c r="AC206" s="565">
        <f t="shared" ref="AC206:AO207" si="180">AB206</f>
        <v>4.6629999999999998E-2</v>
      </c>
      <c r="AD206" s="565">
        <f t="shared" si="180"/>
        <v>4.6629999999999998E-2</v>
      </c>
      <c r="AE206" s="565">
        <f t="shared" si="180"/>
        <v>4.6629999999999998E-2</v>
      </c>
      <c r="AF206" s="565">
        <f t="shared" si="180"/>
        <v>4.6629999999999998E-2</v>
      </c>
      <c r="AG206" s="565">
        <f t="shared" si="180"/>
        <v>4.6629999999999998E-2</v>
      </c>
      <c r="AH206" s="565">
        <f t="shared" si="180"/>
        <v>4.6629999999999998E-2</v>
      </c>
      <c r="AI206" s="565">
        <f t="shared" si="180"/>
        <v>4.6629999999999998E-2</v>
      </c>
      <c r="AJ206" s="565">
        <f t="shared" si="180"/>
        <v>4.6629999999999998E-2</v>
      </c>
      <c r="AK206" s="565">
        <f t="shared" si="180"/>
        <v>4.6629999999999998E-2</v>
      </c>
      <c r="AL206" s="565">
        <f t="shared" si="180"/>
        <v>4.6629999999999998E-2</v>
      </c>
      <c r="AM206" s="565">
        <f t="shared" si="180"/>
        <v>4.6629999999999998E-2</v>
      </c>
      <c r="AN206" s="565">
        <f t="shared" si="180"/>
        <v>4.6629999999999998E-2</v>
      </c>
      <c r="AO206" s="565">
        <f t="shared" si="180"/>
        <v>4.6629999999999998E-2</v>
      </c>
    </row>
    <row r="207" spans="2:41" s="231" customFormat="1" outlineLevel="1">
      <c r="B207" s="807" t="s">
        <v>945</v>
      </c>
      <c r="C207" s="229"/>
      <c r="D207" s="230"/>
      <c r="E207" s="230"/>
      <c r="F207" s="230"/>
      <c r="G207" s="230"/>
      <c r="H207" s="230"/>
      <c r="I207" s="230"/>
      <c r="J207" s="230"/>
      <c r="K207" s="230"/>
      <c r="L207" s="230"/>
      <c r="M207" s="230"/>
      <c r="N207" s="230"/>
      <c r="O207" s="230"/>
      <c r="P207" s="230"/>
      <c r="Q207" s="230"/>
      <c r="R207" s="232"/>
      <c r="S207" s="232"/>
      <c r="T207" s="565"/>
      <c r="U207" s="565"/>
      <c r="V207" s="565"/>
      <c r="W207" s="565"/>
      <c r="X207" s="565"/>
      <c r="Y207" s="565"/>
      <c r="Z207" s="565"/>
      <c r="AA207" s="565"/>
      <c r="AB207" s="565">
        <v>1.9E-2</v>
      </c>
      <c r="AC207" s="565">
        <f>AB207</f>
        <v>1.9E-2</v>
      </c>
      <c r="AD207" s="565">
        <f t="shared" si="180"/>
        <v>1.9E-2</v>
      </c>
      <c r="AE207" s="565">
        <f t="shared" si="180"/>
        <v>1.9E-2</v>
      </c>
      <c r="AF207" s="565">
        <f t="shared" si="180"/>
        <v>1.9E-2</v>
      </c>
      <c r="AG207" s="565">
        <f t="shared" si="180"/>
        <v>1.9E-2</v>
      </c>
      <c r="AH207" s="565">
        <f t="shared" si="180"/>
        <v>1.9E-2</v>
      </c>
      <c r="AI207" s="565">
        <f t="shared" si="180"/>
        <v>1.9E-2</v>
      </c>
      <c r="AJ207" s="565">
        <f t="shared" si="180"/>
        <v>1.9E-2</v>
      </c>
      <c r="AK207" s="565">
        <f t="shared" si="180"/>
        <v>1.9E-2</v>
      </c>
      <c r="AL207" s="565">
        <f t="shared" si="180"/>
        <v>1.9E-2</v>
      </c>
      <c r="AM207" s="565">
        <f t="shared" si="180"/>
        <v>1.9E-2</v>
      </c>
      <c r="AN207" s="565">
        <f t="shared" si="180"/>
        <v>1.9E-2</v>
      </c>
      <c r="AO207" s="565">
        <f t="shared" si="180"/>
        <v>1.9E-2</v>
      </c>
    </row>
    <row r="208" spans="2:41" s="231" customFormat="1" outlineLevel="1">
      <c r="B208" s="807" t="s">
        <v>946</v>
      </c>
      <c r="C208" s="229"/>
      <c r="D208" s="230"/>
      <c r="E208" s="230"/>
      <c r="F208" s="230"/>
      <c r="G208" s="230"/>
      <c r="H208" s="230"/>
      <c r="I208" s="230"/>
      <c r="J208" s="230"/>
      <c r="K208" s="230"/>
      <c r="L208" s="230"/>
      <c r="M208" s="230"/>
      <c r="N208" s="230"/>
      <c r="O208" s="230"/>
      <c r="P208" s="230"/>
      <c r="Q208" s="230"/>
      <c r="R208" s="232"/>
      <c r="S208" s="232"/>
      <c r="T208" s="565"/>
      <c r="U208" s="565"/>
      <c r="V208" s="565"/>
      <c r="W208" s="565"/>
      <c r="X208" s="565"/>
      <c r="Y208" s="565"/>
      <c r="Z208" s="565"/>
      <c r="AA208" s="565"/>
      <c r="AB208" s="565">
        <v>1.4999999999999999E-2</v>
      </c>
      <c r="AC208" s="565">
        <f t="shared" ref="AC208:AO211" si="181">AB208</f>
        <v>1.4999999999999999E-2</v>
      </c>
      <c r="AD208" s="565">
        <f t="shared" si="181"/>
        <v>1.4999999999999999E-2</v>
      </c>
      <c r="AE208" s="565">
        <f t="shared" si="181"/>
        <v>1.4999999999999999E-2</v>
      </c>
      <c r="AF208" s="565">
        <f t="shared" si="181"/>
        <v>1.4999999999999999E-2</v>
      </c>
      <c r="AG208" s="565">
        <f t="shared" si="181"/>
        <v>1.4999999999999999E-2</v>
      </c>
      <c r="AH208" s="565">
        <f t="shared" si="181"/>
        <v>1.4999999999999999E-2</v>
      </c>
      <c r="AI208" s="565">
        <f t="shared" si="181"/>
        <v>1.4999999999999999E-2</v>
      </c>
      <c r="AJ208" s="565">
        <f t="shared" si="181"/>
        <v>1.4999999999999999E-2</v>
      </c>
      <c r="AK208" s="565">
        <f t="shared" si="181"/>
        <v>1.4999999999999999E-2</v>
      </c>
      <c r="AL208" s="565">
        <f t="shared" si="181"/>
        <v>1.4999999999999999E-2</v>
      </c>
      <c r="AM208" s="565">
        <f t="shared" si="181"/>
        <v>1.4999999999999999E-2</v>
      </c>
      <c r="AN208" s="565">
        <f t="shared" si="181"/>
        <v>1.4999999999999999E-2</v>
      </c>
      <c r="AO208" s="565">
        <f t="shared" si="181"/>
        <v>1.4999999999999999E-2</v>
      </c>
    </row>
    <row r="209" spans="2:41" s="231" customFormat="1" outlineLevel="1">
      <c r="B209" s="807" t="s">
        <v>947</v>
      </c>
      <c r="C209" s="229"/>
      <c r="D209" s="230"/>
      <c r="E209" s="230"/>
      <c r="F209" s="230"/>
      <c r="G209" s="230"/>
      <c r="H209" s="230"/>
      <c r="I209" s="230"/>
      <c r="J209" s="230"/>
      <c r="K209" s="230"/>
      <c r="L209" s="230"/>
      <c r="M209" s="230"/>
      <c r="N209" s="230"/>
      <c r="O209" s="230"/>
      <c r="P209" s="230"/>
      <c r="Q209" s="230"/>
      <c r="R209" s="232"/>
      <c r="S209" s="232"/>
      <c r="T209" s="565"/>
      <c r="U209" s="565"/>
      <c r="V209" s="565"/>
      <c r="W209" s="565"/>
      <c r="X209" s="565"/>
      <c r="Y209" s="565"/>
      <c r="Z209" s="565"/>
      <c r="AA209" s="565"/>
      <c r="AB209" s="565">
        <v>2.1999999999999999E-2</v>
      </c>
      <c r="AC209" s="565">
        <f t="shared" si="181"/>
        <v>2.1999999999999999E-2</v>
      </c>
      <c r="AD209" s="565">
        <f t="shared" si="181"/>
        <v>2.1999999999999999E-2</v>
      </c>
      <c r="AE209" s="565">
        <f t="shared" si="181"/>
        <v>2.1999999999999999E-2</v>
      </c>
      <c r="AF209" s="565">
        <f t="shared" si="181"/>
        <v>2.1999999999999999E-2</v>
      </c>
      <c r="AG209" s="565">
        <f t="shared" si="181"/>
        <v>2.1999999999999999E-2</v>
      </c>
      <c r="AH209" s="565">
        <f t="shared" si="181"/>
        <v>2.1999999999999999E-2</v>
      </c>
      <c r="AI209" s="565">
        <f t="shared" si="181"/>
        <v>2.1999999999999999E-2</v>
      </c>
      <c r="AJ209" s="565">
        <f t="shared" si="181"/>
        <v>2.1999999999999999E-2</v>
      </c>
      <c r="AK209" s="565">
        <f t="shared" si="181"/>
        <v>2.1999999999999999E-2</v>
      </c>
      <c r="AL209" s="565">
        <f t="shared" si="181"/>
        <v>2.1999999999999999E-2</v>
      </c>
      <c r="AM209" s="565">
        <f t="shared" si="181"/>
        <v>2.1999999999999999E-2</v>
      </c>
      <c r="AN209" s="565">
        <f t="shared" si="181"/>
        <v>2.1999999999999999E-2</v>
      </c>
      <c r="AO209" s="565">
        <f t="shared" si="181"/>
        <v>2.1999999999999999E-2</v>
      </c>
    </row>
    <row r="210" spans="2:41" s="231" customFormat="1" outlineLevel="1">
      <c r="B210" s="807" t="s">
        <v>949</v>
      </c>
      <c r="C210" s="229"/>
      <c r="D210" s="230"/>
      <c r="E210" s="230"/>
      <c r="F210" s="230"/>
      <c r="G210" s="230"/>
      <c r="H210" s="230"/>
      <c r="I210" s="230"/>
      <c r="J210" s="230"/>
      <c r="K210" s="230"/>
      <c r="L210" s="230"/>
      <c r="M210" s="230"/>
      <c r="N210" s="230"/>
      <c r="O210" s="230"/>
      <c r="P210" s="230"/>
      <c r="Q210" s="230"/>
      <c r="R210" s="232"/>
      <c r="S210" s="232"/>
      <c r="T210" s="565"/>
      <c r="U210" s="565"/>
      <c r="V210" s="565"/>
      <c r="W210" s="565"/>
      <c r="X210" s="565"/>
      <c r="Y210" s="565"/>
      <c r="Z210" s="565"/>
      <c r="AA210" s="565"/>
      <c r="AB210" s="565">
        <v>3.2000000000000001E-2</v>
      </c>
      <c r="AC210" s="565">
        <f t="shared" si="181"/>
        <v>3.2000000000000001E-2</v>
      </c>
      <c r="AD210" s="565">
        <f t="shared" si="181"/>
        <v>3.2000000000000001E-2</v>
      </c>
      <c r="AE210" s="565">
        <f t="shared" si="181"/>
        <v>3.2000000000000001E-2</v>
      </c>
      <c r="AF210" s="565">
        <f t="shared" si="181"/>
        <v>3.2000000000000001E-2</v>
      </c>
      <c r="AG210" s="565">
        <f t="shared" si="181"/>
        <v>3.2000000000000001E-2</v>
      </c>
      <c r="AH210" s="565">
        <f t="shared" si="181"/>
        <v>3.2000000000000001E-2</v>
      </c>
      <c r="AI210" s="565">
        <f t="shared" si="181"/>
        <v>3.2000000000000001E-2</v>
      </c>
      <c r="AJ210" s="565">
        <f t="shared" si="181"/>
        <v>3.2000000000000001E-2</v>
      </c>
      <c r="AK210" s="565">
        <f t="shared" si="181"/>
        <v>3.2000000000000001E-2</v>
      </c>
      <c r="AL210" s="565">
        <f t="shared" si="181"/>
        <v>3.2000000000000001E-2</v>
      </c>
      <c r="AM210" s="565">
        <f t="shared" si="181"/>
        <v>3.2000000000000001E-2</v>
      </c>
      <c r="AN210" s="565">
        <f t="shared" si="181"/>
        <v>3.2000000000000001E-2</v>
      </c>
      <c r="AO210" s="565">
        <f t="shared" si="181"/>
        <v>3.2000000000000001E-2</v>
      </c>
    </row>
    <row r="211" spans="2:41" s="231" customFormat="1" outlineLevel="1">
      <c r="B211" s="807" t="s">
        <v>948</v>
      </c>
      <c r="C211" s="229"/>
      <c r="D211" s="230"/>
      <c r="E211" s="230"/>
      <c r="F211" s="230"/>
      <c r="G211" s="230"/>
      <c r="H211" s="230"/>
      <c r="I211" s="230"/>
      <c r="J211" s="230"/>
      <c r="K211" s="230"/>
      <c r="L211" s="230"/>
      <c r="M211" s="230"/>
      <c r="N211" s="230"/>
      <c r="O211" s="230"/>
      <c r="P211" s="230"/>
      <c r="Q211" s="230"/>
      <c r="R211" s="232"/>
      <c r="S211" s="232"/>
      <c r="T211" s="565"/>
      <c r="U211" s="565"/>
      <c r="V211" s="565"/>
      <c r="W211" s="565"/>
      <c r="X211" s="565"/>
      <c r="Y211" s="565"/>
      <c r="Z211" s="565"/>
      <c r="AA211" s="565"/>
      <c r="AB211" s="565">
        <v>2.6499999999999999E-2</v>
      </c>
      <c r="AC211" s="565">
        <f t="shared" si="181"/>
        <v>2.6499999999999999E-2</v>
      </c>
      <c r="AD211" s="565">
        <f t="shared" si="181"/>
        <v>2.6499999999999999E-2</v>
      </c>
      <c r="AE211" s="565">
        <f t="shared" si="181"/>
        <v>2.6499999999999999E-2</v>
      </c>
      <c r="AF211" s="565">
        <f t="shared" si="181"/>
        <v>2.6499999999999999E-2</v>
      </c>
      <c r="AG211" s="565">
        <f t="shared" si="181"/>
        <v>2.6499999999999999E-2</v>
      </c>
      <c r="AH211" s="565">
        <f t="shared" si="181"/>
        <v>2.6499999999999999E-2</v>
      </c>
      <c r="AI211" s="565">
        <f t="shared" si="181"/>
        <v>2.6499999999999999E-2</v>
      </c>
      <c r="AJ211" s="565">
        <f t="shared" si="181"/>
        <v>2.6499999999999999E-2</v>
      </c>
      <c r="AK211" s="565">
        <f t="shared" si="181"/>
        <v>2.6499999999999999E-2</v>
      </c>
      <c r="AL211" s="565">
        <f t="shared" si="181"/>
        <v>2.6499999999999999E-2</v>
      </c>
      <c r="AM211" s="565">
        <f t="shared" si="181"/>
        <v>2.6499999999999999E-2</v>
      </c>
      <c r="AN211" s="565">
        <f t="shared" si="181"/>
        <v>2.6499999999999999E-2</v>
      </c>
      <c r="AO211" s="565">
        <f t="shared" si="181"/>
        <v>2.6499999999999999E-2</v>
      </c>
    </row>
    <row r="212" spans="2:41" s="231" customFormat="1" outlineLevel="1">
      <c r="B212" s="228" t="s">
        <v>502</v>
      </c>
      <c r="C212" s="229"/>
      <c r="D212" s="230"/>
      <c r="E212" s="230">
        <v>0.05</v>
      </c>
      <c r="F212" s="230">
        <v>0.05</v>
      </c>
      <c r="G212" s="230">
        <v>0.05</v>
      </c>
      <c r="H212" s="230">
        <v>0.05</v>
      </c>
      <c r="I212" s="230">
        <v>0.05</v>
      </c>
      <c r="J212" s="230">
        <v>0.05</v>
      </c>
      <c r="K212" s="230">
        <v>0.05</v>
      </c>
      <c r="L212" s="230">
        <v>0.05</v>
      </c>
      <c r="M212" s="230">
        <v>0.05</v>
      </c>
      <c r="N212" s="230">
        <v>0.05</v>
      </c>
      <c r="O212" s="230">
        <v>0.05</v>
      </c>
      <c r="P212" s="230">
        <v>0.05</v>
      </c>
      <c r="Q212" s="230">
        <v>0.05</v>
      </c>
      <c r="R212" s="232"/>
      <c r="S212" s="232"/>
      <c r="T212" s="565"/>
      <c r="U212" s="565"/>
      <c r="V212" s="565"/>
      <c r="W212" s="565">
        <v>0.05</v>
      </c>
      <c r="X212" s="565">
        <v>0.05</v>
      </c>
      <c r="Y212" s="565">
        <v>0.05</v>
      </c>
      <c r="Z212" s="565">
        <v>0.05</v>
      </c>
      <c r="AA212" s="565">
        <v>0.05</v>
      </c>
      <c r="AB212" s="565">
        <v>0.05</v>
      </c>
      <c r="AC212" s="565">
        <v>0.05</v>
      </c>
      <c r="AD212" s="565">
        <v>0.05</v>
      </c>
      <c r="AE212" s="565">
        <v>0.05</v>
      </c>
      <c r="AF212" s="565">
        <v>0.05</v>
      </c>
      <c r="AG212" s="565">
        <v>0.05</v>
      </c>
      <c r="AH212" s="565">
        <v>0.05</v>
      </c>
      <c r="AI212" s="565">
        <v>0.05</v>
      </c>
      <c r="AJ212" s="565">
        <v>0.05</v>
      </c>
      <c r="AK212" s="565">
        <v>0.05</v>
      </c>
      <c r="AL212" s="565">
        <v>0.05</v>
      </c>
      <c r="AM212" s="565">
        <v>0.05</v>
      </c>
      <c r="AN212" s="565">
        <v>0.05</v>
      </c>
      <c r="AO212" s="565">
        <v>0.05</v>
      </c>
    </row>
    <row r="213" spans="2:41" s="231" customFormat="1" outlineLevel="1">
      <c r="B213" s="228" t="s">
        <v>503</v>
      </c>
      <c r="C213" s="229"/>
      <c r="D213" s="230"/>
      <c r="E213" s="230"/>
      <c r="F213" s="230"/>
      <c r="G213" s="230"/>
      <c r="H213" s="230"/>
      <c r="I213" s="230"/>
      <c r="J213" s="230"/>
      <c r="K213" s="230"/>
      <c r="L213" s="230"/>
      <c r="M213" s="230"/>
      <c r="N213" s="230"/>
      <c r="O213" s="230"/>
      <c r="P213" s="230"/>
      <c r="Q213" s="230"/>
      <c r="R213" s="232"/>
      <c r="S213" s="232"/>
      <c r="T213" s="565"/>
      <c r="U213" s="565"/>
      <c r="V213" s="565"/>
      <c r="W213" s="565"/>
      <c r="X213" s="565">
        <f>1%+0.5%</f>
        <v>1.4999999999999999E-2</v>
      </c>
      <c r="Y213" s="565">
        <f t="shared" ref="Y213:AE213" si="182">X213</f>
        <v>1.4999999999999999E-2</v>
      </c>
      <c r="Z213" s="565">
        <f t="shared" si="182"/>
        <v>1.4999999999999999E-2</v>
      </c>
      <c r="AA213" s="565">
        <f t="shared" si="182"/>
        <v>1.4999999999999999E-2</v>
      </c>
      <c r="AB213" s="565">
        <f t="shared" si="182"/>
        <v>1.4999999999999999E-2</v>
      </c>
      <c r="AC213" s="565">
        <f t="shared" si="182"/>
        <v>1.4999999999999999E-2</v>
      </c>
      <c r="AD213" s="565">
        <f t="shared" si="182"/>
        <v>1.4999999999999999E-2</v>
      </c>
      <c r="AE213" s="565">
        <f t="shared" si="182"/>
        <v>1.4999999999999999E-2</v>
      </c>
      <c r="AF213" s="565">
        <f t="shared" ref="AF213:AO213" si="183">AE213</f>
        <v>1.4999999999999999E-2</v>
      </c>
      <c r="AG213" s="565">
        <f t="shared" si="183"/>
        <v>1.4999999999999999E-2</v>
      </c>
      <c r="AH213" s="565">
        <f t="shared" si="183"/>
        <v>1.4999999999999999E-2</v>
      </c>
      <c r="AI213" s="565">
        <f t="shared" si="183"/>
        <v>1.4999999999999999E-2</v>
      </c>
      <c r="AJ213" s="565">
        <f t="shared" si="183"/>
        <v>1.4999999999999999E-2</v>
      </c>
      <c r="AK213" s="565">
        <f t="shared" si="183"/>
        <v>1.4999999999999999E-2</v>
      </c>
      <c r="AL213" s="565">
        <f t="shared" si="183"/>
        <v>1.4999999999999999E-2</v>
      </c>
      <c r="AM213" s="565">
        <f t="shared" si="183"/>
        <v>1.4999999999999999E-2</v>
      </c>
      <c r="AN213" s="565">
        <f t="shared" si="183"/>
        <v>1.4999999999999999E-2</v>
      </c>
      <c r="AO213" s="565">
        <f t="shared" si="183"/>
        <v>1.4999999999999999E-2</v>
      </c>
    </row>
    <row r="214" spans="2:41" s="231" customFormat="1">
      <c r="B214" s="228"/>
      <c r="C214" s="229"/>
      <c r="D214" s="230"/>
      <c r="E214" s="230"/>
      <c r="F214" s="230"/>
      <c r="G214" s="230"/>
      <c r="H214" s="230"/>
      <c r="I214" s="230"/>
      <c r="J214" s="230"/>
      <c r="K214" s="230"/>
      <c r="L214" s="230"/>
      <c r="M214" s="230"/>
      <c r="N214" s="230"/>
      <c r="O214" s="230"/>
      <c r="P214" s="230"/>
      <c r="Q214" s="230"/>
      <c r="R214" s="230"/>
      <c r="S214" s="230"/>
      <c r="T214" s="559"/>
      <c r="U214" s="559"/>
      <c r="V214" s="559"/>
      <c r="W214" s="559"/>
      <c r="X214" s="559"/>
      <c r="Y214" s="559"/>
      <c r="Z214" s="559"/>
      <c r="AA214" s="559"/>
      <c r="AB214" s="558"/>
      <c r="AC214" s="558"/>
      <c r="AD214" s="558"/>
      <c r="AE214" s="558"/>
    </row>
    <row r="215" spans="2:41">
      <c r="B215" s="167" t="s">
        <v>520</v>
      </c>
      <c r="D215" s="210"/>
      <c r="E215" s="210"/>
      <c r="F215" s="210"/>
      <c r="G215" s="210"/>
      <c r="H215" s="210"/>
      <c r="I215" s="210"/>
      <c r="J215" s="210"/>
      <c r="K215" s="210"/>
      <c r="L215" s="210"/>
      <c r="M215" s="210"/>
      <c r="N215" s="210"/>
      <c r="O215" s="210"/>
      <c r="P215" s="210"/>
      <c r="Q215" s="210"/>
      <c r="R215" s="210"/>
      <c r="S215" s="210"/>
    </row>
    <row r="216" spans="2:41" outlineLevel="1">
      <c r="B216" s="225"/>
      <c r="D216" s="210"/>
      <c r="E216" s="210"/>
      <c r="F216" s="210"/>
      <c r="G216" s="210"/>
      <c r="H216" s="210"/>
      <c r="I216" s="210"/>
      <c r="J216" s="210"/>
      <c r="K216" s="210"/>
      <c r="L216" s="210"/>
      <c r="M216" s="210"/>
      <c r="N216" s="210"/>
      <c r="O216" s="210"/>
      <c r="P216" s="210"/>
      <c r="Q216" s="210"/>
      <c r="R216" s="210"/>
      <c r="S216" s="210"/>
    </row>
    <row r="217" spans="2:41" s="204" customFormat="1" outlineLevel="1">
      <c r="B217" s="211" t="s">
        <v>473</v>
      </c>
      <c r="C217" s="202"/>
      <c r="D217" s="202"/>
      <c r="E217" s="202">
        <f t="shared" ref="E217:X217" si="184">D7*E158</f>
        <v>0</v>
      </c>
      <c r="F217" s="202">
        <f t="shared" si="184"/>
        <v>0</v>
      </c>
      <c r="G217" s="202">
        <f t="shared" si="184"/>
        <v>0</v>
      </c>
      <c r="H217" s="202">
        <f t="shared" si="184"/>
        <v>0</v>
      </c>
      <c r="I217" s="202">
        <f t="shared" si="184"/>
        <v>0</v>
      </c>
      <c r="J217" s="202">
        <f t="shared" si="184"/>
        <v>0</v>
      </c>
      <c r="K217" s="202">
        <f t="shared" si="184"/>
        <v>0</v>
      </c>
      <c r="L217" s="202">
        <f t="shared" si="184"/>
        <v>0</v>
      </c>
      <c r="M217" s="202">
        <f t="shared" si="184"/>
        <v>0</v>
      </c>
      <c r="N217" s="202">
        <f t="shared" si="184"/>
        <v>0</v>
      </c>
      <c r="O217" s="202">
        <f t="shared" si="184"/>
        <v>0</v>
      </c>
      <c r="P217" s="202">
        <f t="shared" si="184"/>
        <v>0</v>
      </c>
      <c r="Q217" s="202">
        <f t="shared" si="184"/>
        <v>0</v>
      </c>
      <c r="R217" s="202">
        <f t="shared" si="184"/>
        <v>3.125</v>
      </c>
      <c r="S217" s="202">
        <f t="shared" si="184"/>
        <v>3.125</v>
      </c>
      <c r="T217" s="558">
        <f t="shared" si="184"/>
        <v>2.7574999999999998</v>
      </c>
      <c r="U217" s="558">
        <f t="shared" si="184"/>
        <v>2.9275000000000002</v>
      </c>
      <c r="V217" s="558">
        <f t="shared" si="184"/>
        <v>0</v>
      </c>
      <c r="W217" s="558">
        <f t="shared" si="184"/>
        <v>0</v>
      </c>
      <c r="X217" s="558">
        <f t="shared" si="184"/>
        <v>0</v>
      </c>
      <c r="Y217" s="558">
        <f t="shared" ref="Y217:AO217" si="185">Y7*Y158</f>
        <v>0</v>
      </c>
      <c r="Z217" s="558">
        <f t="shared" si="185"/>
        <v>0</v>
      </c>
      <c r="AA217" s="558">
        <f t="shared" si="185"/>
        <v>0</v>
      </c>
      <c r="AB217" s="558">
        <f t="shared" si="185"/>
        <v>0</v>
      </c>
      <c r="AC217" s="558">
        <f t="shared" si="185"/>
        <v>0</v>
      </c>
      <c r="AD217" s="558">
        <f t="shared" si="185"/>
        <v>0</v>
      </c>
      <c r="AE217" s="558">
        <f t="shared" si="185"/>
        <v>0</v>
      </c>
      <c r="AF217" s="558">
        <f t="shared" si="185"/>
        <v>0</v>
      </c>
      <c r="AG217" s="558">
        <f t="shared" si="185"/>
        <v>0</v>
      </c>
      <c r="AH217" s="558">
        <f t="shared" si="185"/>
        <v>0</v>
      </c>
      <c r="AI217" s="558">
        <f t="shared" si="185"/>
        <v>0</v>
      </c>
      <c r="AJ217" s="558">
        <f t="shared" si="185"/>
        <v>0</v>
      </c>
      <c r="AK217" s="558">
        <f t="shared" si="185"/>
        <v>0</v>
      </c>
      <c r="AL217" s="558">
        <f t="shared" si="185"/>
        <v>0</v>
      </c>
      <c r="AM217" s="558">
        <f t="shared" si="185"/>
        <v>0</v>
      </c>
      <c r="AN217" s="558">
        <f t="shared" si="185"/>
        <v>0</v>
      </c>
      <c r="AO217" s="558">
        <f t="shared" si="185"/>
        <v>0</v>
      </c>
    </row>
    <row r="218" spans="2:41" s="204" customFormat="1" outlineLevel="1">
      <c r="B218" s="211" t="s">
        <v>474</v>
      </c>
      <c r="C218" s="202"/>
      <c r="D218" s="202"/>
      <c r="E218" s="202">
        <f t="shared" ref="E218:X218" si="186">D8*E159</f>
        <v>0</v>
      </c>
      <c r="F218" s="202">
        <f t="shared" si="186"/>
        <v>0</v>
      </c>
      <c r="G218" s="202">
        <f t="shared" si="186"/>
        <v>0</v>
      </c>
      <c r="H218" s="202">
        <f t="shared" si="186"/>
        <v>0</v>
      </c>
      <c r="I218" s="202">
        <f t="shared" si="186"/>
        <v>0</v>
      </c>
      <c r="J218" s="202">
        <f t="shared" si="186"/>
        <v>0</v>
      </c>
      <c r="K218" s="202">
        <f t="shared" si="186"/>
        <v>0</v>
      </c>
      <c r="L218" s="202">
        <f t="shared" si="186"/>
        <v>0</v>
      </c>
      <c r="M218" s="202">
        <f t="shared" si="186"/>
        <v>0</v>
      </c>
      <c r="N218" s="202">
        <f t="shared" si="186"/>
        <v>0</v>
      </c>
      <c r="O218" s="202">
        <f t="shared" si="186"/>
        <v>0</v>
      </c>
      <c r="P218" s="202">
        <f t="shared" si="186"/>
        <v>0</v>
      </c>
      <c r="Q218" s="202">
        <f t="shared" si="186"/>
        <v>0</v>
      </c>
      <c r="R218" s="202">
        <f t="shared" si="186"/>
        <v>9.375</v>
      </c>
      <c r="S218" s="202">
        <f t="shared" si="186"/>
        <v>9.375</v>
      </c>
      <c r="T218" s="558">
        <f t="shared" si="186"/>
        <v>7.3874999999999993</v>
      </c>
      <c r="U218" s="558">
        <f t="shared" si="186"/>
        <v>7.83</v>
      </c>
      <c r="V218" s="558">
        <f t="shared" si="186"/>
        <v>8.2987500000000001</v>
      </c>
      <c r="W218" s="558">
        <f t="shared" si="186"/>
        <v>8.7974999999999994</v>
      </c>
      <c r="X218" s="558">
        <f t="shared" si="186"/>
        <v>0</v>
      </c>
      <c r="Y218" s="558">
        <f t="shared" ref="Y218:AO218" si="187">Y8*Y159</f>
        <v>0</v>
      </c>
      <c r="Z218" s="558">
        <f t="shared" si="187"/>
        <v>0</v>
      </c>
      <c r="AA218" s="558">
        <f t="shared" si="187"/>
        <v>0</v>
      </c>
      <c r="AB218" s="558">
        <f t="shared" si="187"/>
        <v>0</v>
      </c>
      <c r="AC218" s="558">
        <f t="shared" si="187"/>
        <v>0</v>
      </c>
      <c r="AD218" s="558">
        <f t="shared" si="187"/>
        <v>0</v>
      </c>
      <c r="AE218" s="558">
        <f t="shared" si="187"/>
        <v>0</v>
      </c>
      <c r="AF218" s="558">
        <f t="shared" si="187"/>
        <v>0</v>
      </c>
      <c r="AG218" s="558">
        <f t="shared" si="187"/>
        <v>0</v>
      </c>
      <c r="AH218" s="558">
        <f t="shared" si="187"/>
        <v>0</v>
      </c>
      <c r="AI218" s="558">
        <f t="shared" si="187"/>
        <v>0</v>
      </c>
      <c r="AJ218" s="558">
        <f t="shared" si="187"/>
        <v>0</v>
      </c>
      <c r="AK218" s="558">
        <f t="shared" si="187"/>
        <v>0</v>
      </c>
      <c r="AL218" s="558">
        <f t="shared" si="187"/>
        <v>0</v>
      </c>
      <c r="AM218" s="558">
        <f t="shared" si="187"/>
        <v>0</v>
      </c>
      <c r="AN218" s="558">
        <f t="shared" si="187"/>
        <v>0</v>
      </c>
      <c r="AO218" s="558">
        <f t="shared" si="187"/>
        <v>0</v>
      </c>
    </row>
    <row r="219" spans="2:41" s="204" customFormat="1" outlineLevel="1">
      <c r="B219" s="211" t="s">
        <v>475</v>
      </c>
      <c r="C219" s="202"/>
      <c r="D219" s="202"/>
      <c r="E219" s="202">
        <f t="shared" ref="E219:X219" si="188">D17*E160</f>
        <v>0</v>
      </c>
      <c r="F219" s="202">
        <f t="shared" si="188"/>
        <v>0</v>
      </c>
      <c r="G219" s="202">
        <f t="shared" si="188"/>
        <v>0</v>
      </c>
      <c r="H219" s="202">
        <f t="shared" si="188"/>
        <v>0</v>
      </c>
      <c r="I219" s="202">
        <f t="shared" si="188"/>
        <v>0</v>
      </c>
      <c r="J219" s="202">
        <f t="shared" si="188"/>
        <v>0</v>
      </c>
      <c r="K219" s="202">
        <f t="shared" si="188"/>
        <v>0</v>
      </c>
      <c r="L219" s="202">
        <f t="shared" si="188"/>
        <v>0</v>
      </c>
      <c r="M219" s="202">
        <f t="shared" si="188"/>
        <v>0</v>
      </c>
      <c r="N219" s="202">
        <f t="shared" si="188"/>
        <v>0</v>
      </c>
      <c r="O219" s="202">
        <f t="shared" si="188"/>
        <v>0</v>
      </c>
      <c r="P219" s="202">
        <f t="shared" si="188"/>
        <v>0</v>
      </c>
      <c r="Q219" s="202">
        <f t="shared" si="188"/>
        <v>0</v>
      </c>
      <c r="R219" s="202">
        <f t="shared" si="188"/>
        <v>0</v>
      </c>
      <c r="S219" s="202">
        <f t="shared" si="188"/>
        <v>64.291499999999999</v>
      </c>
      <c r="T219" s="558">
        <f t="shared" si="188"/>
        <v>64.291499999999999</v>
      </c>
      <c r="U219" s="558">
        <f t="shared" si="188"/>
        <v>64.291499999999999</v>
      </c>
      <c r="V219" s="558">
        <f t="shared" si="188"/>
        <v>64.291499999999999</v>
      </c>
      <c r="W219" s="558">
        <f t="shared" si="188"/>
        <v>64.291499999999999</v>
      </c>
      <c r="X219" s="558">
        <f t="shared" si="188"/>
        <v>64.291499999999999</v>
      </c>
      <c r="Y219" s="558">
        <f t="shared" ref="Y219:AO219" si="189">Y17*Y160</f>
        <v>64.350000000000009</v>
      </c>
      <c r="Z219" s="558">
        <f t="shared" si="189"/>
        <v>64.350000000000009</v>
      </c>
      <c r="AA219" s="558">
        <f t="shared" si="189"/>
        <v>64.350000000000009</v>
      </c>
      <c r="AB219" s="558">
        <f t="shared" si="189"/>
        <v>0</v>
      </c>
      <c r="AC219" s="558">
        <f t="shared" si="189"/>
        <v>0</v>
      </c>
      <c r="AD219" s="558">
        <f t="shared" si="189"/>
        <v>0</v>
      </c>
      <c r="AE219" s="558">
        <f t="shared" si="189"/>
        <v>0</v>
      </c>
      <c r="AF219" s="558">
        <f t="shared" si="189"/>
        <v>0</v>
      </c>
      <c r="AG219" s="558">
        <f t="shared" si="189"/>
        <v>0</v>
      </c>
      <c r="AH219" s="558">
        <f t="shared" si="189"/>
        <v>0</v>
      </c>
      <c r="AI219" s="558">
        <f t="shared" si="189"/>
        <v>0</v>
      </c>
      <c r="AJ219" s="558">
        <f t="shared" si="189"/>
        <v>0</v>
      </c>
      <c r="AK219" s="558">
        <f t="shared" si="189"/>
        <v>0</v>
      </c>
      <c r="AL219" s="558">
        <f t="shared" si="189"/>
        <v>0</v>
      </c>
      <c r="AM219" s="558">
        <f t="shared" si="189"/>
        <v>0</v>
      </c>
      <c r="AN219" s="558">
        <f t="shared" si="189"/>
        <v>0</v>
      </c>
      <c r="AO219" s="558">
        <f t="shared" si="189"/>
        <v>0</v>
      </c>
    </row>
    <row r="220" spans="2:41" s="204" customFormat="1" outlineLevel="1">
      <c r="B220" s="211" t="s">
        <v>476</v>
      </c>
      <c r="C220" s="202"/>
      <c r="D220" s="202"/>
      <c r="E220" s="202">
        <f t="shared" ref="E220:X220" si="190">D10*E161</f>
        <v>0</v>
      </c>
      <c r="F220" s="202">
        <f t="shared" si="190"/>
        <v>0</v>
      </c>
      <c r="G220" s="202">
        <f t="shared" si="190"/>
        <v>0</v>
      </c>
      <c r="H220" s="202">
        <f t="shared" si="190"/>
        <v>0</v>
      </c>
      <c r="I220" s="202">
        <f t="shared" si="190"/>
        <v>0</v>
      </c>
      <c r="J220" s="202">
        <f t="shared" si="190"/>
        <v>0</v>
      </c>
      <c r="K220" s="202">
        <f t="shared" si="190"/>
        <v>0</v>
      </c>
      <c r="L220" s="202">
        <f t="shared" si="190"/>
        <v>0</v>
      </c>
      <c r="M220" s="202">
        <f t="shared" si="190"/>
        <v>0</v>
      </c>
      <c r="N220" s="202">
        <f t="shared" si="190"/>
        <v>0</v>
      </c>
      <c r="O220" s="202">
        <f t="shared" si="190"/>
        <v>0</v>
      </c>
      <c r="P220" s="202">
        <f t="shared" si="190"/>
        <v>48.5</v>
      </c>
      <c r="Q220" s="202">
        <f t="shared" si="190"/>
        <v>48.5</v>
      </c>
      <c r="R220" s="202">
        <f t="shared" si="190"/>
        <v>48.5</v>
      </c>
      <c r="S220" s="202">
        <f t="shared" si="190"/>
        <v>48.5</v>
      </c>
      <c r="T220" s="558">
        <f t="shared" si="190"/>
        <v>48.5</v>
      </c>
      <c r="U220" s="558">
        <f t="shared" si="190"/>
        <v>48.5</v>
      </c>
      <c r="V220" s="558">
        <f t="shared" si="190"/>
        <v>48.5</v>
      </c>
      <c r="W220" s="558">
        <f t="shared" si="190"/>
        <v>48.5</v>
      </c>
      <c r="X220" s="558">
        <f t="shared" si="190"/>
        <v>48.5</v>
      </c>
      <c r="Y220" s="558">
        <f t="shared" ref="Y220:AO220" si="191">Y10*Y161</f>
        <v>0</v>
      </c>
      <c r="Z220" s="558">
        <f t="shared" si="191"/>
        <v>0</v>
      </c>
      <c r="AA220" s="558">
        <f t="shared" si="191"/>
        <v>0</v>
      </c>
      <c r="AB220" s="558">
        <f t="shared" si="191"/>
        <v>0</v>
      </c>
      <c r="AC220" s="558">
        <f t="shared" si="191"/>
        <v>0</v>
      </c>
      <c r="AD220" s="558">
        <f t="shared" si="191"/>
        <v>0</v>
      </c>
      <c r="AE220" s="558">
        <f t="shared" si="191"/>
        <v>0</v>
      </c>
      <c r="AF220" s="558">
        <f t="shared" si="191"/>
        <v>0</v>
      </c>
      <c r="AG220" s="558">
        <f t="shared" si="191"/>
        <v>0</v>
      </c>
      <c r="AH220" s="558">
        <f t="shared" si="191"/>
        <v>0</v>
      </c>
      <c r="AI220" s="558">
        <f t="shared" si="191"/>
        <v>0</v>
      </c>
      <c r="AJ220" s="558">
        <f t="shared" si="191"/>
        <v>0</v>
      </c>
      <c r="AK220" s="558">
        <f t="shared" si="191"/>
        <v>0</v>
      </c>
      <c r="AL220" s="558">
        <f t="shared" si="191"/>
        <v>0</v>
      </c>
      <c r="AM220" s="558">
        <f t="shared" si="191"/>
        <v>0</v>
      </c>
      <c r="AN220" s="558">
        <f t="shared" si="191"/>
        <v>0</v>
      </c>
      <c r="AO220" s="558">
        <f t="shared" si="191"/>
        <v>0</v>
      </c>
    </row>
    <row r="221" spans="2:41" s="204" customFormat="1" outlineLevel="1">
      <c r="B221" s="211" t="s">
        <v>477</v>
      </c>
      <c r="C221" s="202"/>
      <c r="D221" s="202"/>
      <c r="E221" s="202">
        <f t="shared" ref="E221:X221" si="192">D24*E162</f>
        <v>0</v>
      </c>
      <c r="F221" s="202">
        <f t="shared" si="192"/>
        <v>0</v>
      </c>
      <c r="G221" s="202">
        <f t="shared" si="192"/>
        <v>0</v>
      </c>
      <c r="H221" s="202">
        <f t="shared" si="192"/>
        <v>0</v>
      </c>
      <c r="I221" s="202">
        <f t="shared" si="192"/>
        <v>0</v>
      </c>
      <c r="J221" s="202">
        <f t="shared" si="192"/>
        <v>0</v>
      </c>
      <c r="K221" s="202">
        <f t="shared" si="192"/>
        <v>0</v>
      </c>
      <c r="L221" s="202">
        <f t="shared" si="192"/>
        <v>0</v>
      </c>
      <c r="M221" s="202">
        <f t="shared" si="192"/>
        <v>0</v>
      </c>
      <c r="N221" s="202">
        <f t="shared" si="192"/>
        <v>0</v>
      </c>
      <c r="O221" s="202">
        <f t="shared" si="192"/>
        <v>0</v>
      </c>
      <c r="P221" s="202">
        <f t="shared" si="192"/>
        <v>0</v>
      </c>
      <c r="Q221" s="202">
        <f t="shared" si="192"/>
        <v>0</v>
      </c>
      <c r="R221" s="202">
        <f t="shared" si="192"/>
        <v>0</v>
      </c>
      <c r="S221" s="202">
        <f t="shared" si="192"/>
        <v>0</v>
      </c>
      <c r="T221" s="558">
        <f t="shared" si="192"/>
        <v>0</v>
      </c>
      <c r="U221" s="558">
        <f t="shared" si="192"/>
        <v>56.886000000000003</v>
      </c>
      <c r="V221" s="558">
        <f t="shared" si="192"/>
        <v>56.886000000000003</v>
      </c>
      <c r="W221" s="558">
        <f t="shared" si="192"/>
        <v>56.886000000000003</v>
      </c>
      <c r="X221" s="558">
        <f t="shared" si="192"/>
        <v>56.943000000000005</v>
      </c>
      <c r="Y221" s="558">
        <f t="shared" ref="Y221:AO221" si="193">Y24*Y162</f>
        <v>56.943000000000005</v>
      </c>
      <c r="Z221" s="558">
        <f t="shared" si="193"/>
        <v>56.943000000000005</v>
      </c>
      <c r="AA221" s="558">
        <f t="shared" si="193"/>
        <v>57</v>
      </c>
      <c r="AB221" s="558">
        <f t="shared" si="193"/>
        <v>57</v>
      </c>
      <c r="AC221" s="558">
        <f t="shared" si="193"/>
        <v>57</v>
      </c>
      <c r="AD221" s="558">
        <f t="shared" si="193"/>
        <v>0</v>
      </c>
      <c r="AE221" s="558">
        <f t="shared" si="193"/>
        <v>0</v>
      </c>
      <c r="AF221" s="558">
        <f t="shared" si="193"/>
        <v>0</v>
      </c>
      <c r="AG221" s="558">
        <f t="shared" si="193"/>
        <v>0</v>
      </c>
      <c r="AH221" s="558">
        <f t="shared" si="193"/>
        <v>0</v>
      </c>
      <c r="AI221" s="558">
        <f t="shared" si="193"/>
        <v>0</v>
      </c>
      <c r="AJ221" s="558">
        <f t="shared" si="193"/>
        <v>0</v>
      </c>
      <c r="AK221" s="558">
        <f t="shared" si="193"/>
        <v>0</v>
      </c>
      <c r="AL221" s="558">
        <f t="shared" si="193"/>
        <v>0</v>
      </c>
      <c r="AM221" s="558">
        <f t="shared" si="193"/>
        <v>0</v>
      </c>
      <c r="AN221" s="558">
        <f t="shared" si="193"/>
        <v>0</v>
      </c>
      <c r="AO221" s="558">
        <f t="shared" si="193"/>
        <v>0</v>
      </c>
    </row>
    <row r="222" spans="2:41" s="204" customFormat="1" outlineLevel="1">
      <c r="B222" s="211" t="s">
        <v>478</v>
      </c>
      <c r="C222" s="202"/>
      <c r="D222" s="202"/>
      <c r="E222" s="202">
        <f t="shared" ref="E222:X222" si="194">D51*E163</f>
        <v>0</v>
      </c>
      <c r="F222" s="202">
        <f t="shared" si="194"/>
        <v>0</v>
      </c>
      <c r="G222" s="202">
        <f t="shared" si="194"/>
        <v>0</v>
      </c>
      <c r="H222" s="202">
        <f t="shared" si="194"/>
        <v>0</v>
      </c>
      <c r="I222" s="202">
        <f t="shared" si="194"/>
        <v>0</v>
      </c>
      <c r="J222" s="202">
        <f t="shared" si="194"/>
        <v>0</v>
      </c>
      <c r="K222" s="202">
        <f t="shared" si="194"/>
        <v>0</v>
      </c>
      <c r="L222" s="202">
        <f t="shared" si="194"/>
        <v>0</v>
      </c>
      <c r="M222" s="202">
        <f t="shared" si="194"/>
        <v>0</v>
      </c>
      <c r="N222" s="202">
        <f t="shared" si="194"/>
        <v>0</v>
      </c>
      <c r="O222" s="202">
        <f t="shared" si="194"/>
        <v>0</v>
      </c>
      <c r="P222" s="202">
        <f t="shared" si="194"/>
        <v>0</v>
      </c>
      <c r="Q222" s="202">
        <f t="shared" si="194"/>
        <v>0</v>
      </c>
      <c r="R222" s="202">
        <f t="shared" si="194"/>
        <v>0</v>
      </c>
      <c r="S222" s="202">
        <f t="shared" si="194"/>
        <v>0</v>
      </c>
      <c r="T222" s="558">
        <f t="shared" si="194"/>
        <v>0</v>
      </c>
      <c r="U222" s="558">
        <f t="shared" si="194"/>
        <v>63.68</v>
      </c>
      <c r="V222" s="558">
        <f t="shared" si="194"/>
        <v>63.744</v>
      </c>
      <c r="W222" s="558">
        <f t="shared" si="194"/>
        <v>63.744</v>
      </c>
      <c r="X222" s="558">
        <f t="shared" si="194"/>
        <v>63.744</v>
      </c>
      <c r="Y222" s="558">
        <f t="shared" ref="Y222:AO222" si="195">Y51*Y163</f>
        <v>63.744</v>
      </c>
      <c r="Z222" s="558">
        <f t="shared" si="195"/>
        <v>63.744</v>
      </c>
      <c r="AA222" s="558">
        <f t="shared" si="195"/>
        <v>29.824000000000002</v>
      </c>
      <c r="AB222" s="558">
        <f t="shared" si="195"/>
        <v>29.824000000000002</v>
      </c>
      <c r="AC222" s="558">
        <f t="shared" si="195"/>
        <v>29.824000000000002</v>
      </c>
      <c r="AD222" s="558">
        <f t="shared" si="195"/>
        <v>29.824000000000002</v>
      </c>
      <c r="AE222" s="558">
        <f t="shared" si="195"/>
        <v>29.824000000000002</v>
      </c>
      <c r="AF222" s="558">
        <f t="shared" si="195"/>
        <v>29.824000000000002</v>
      </c>
      <c r="AG222" s="558">
        <f t="shared" si="195"/>
        <v>29.824000000000002</v>
      </c>
      <c r="AH222" s="558">
        <f t="shared" si="195"/>
        <v>29.824000000000002</v>
      </c>
      <c r="AI222" s="558">
        <f t="shared" si="195"/>
        <v>29.824000000000002</v>
      </c>
      <c r="AJ222" s="558">
        <f t="shared" si="195"/>
        <v>29.824000000000002</v>
      </c>
      <c r="AK222" s="558">
        <f t="shared" si="195"/>
        <v>29.824000000000002</v>
      </c>
      <c r="AL222" s="558">
        <f t="shared" si="195"/>
        <v>29.824000000000002</v>
      </c>
      <c r="AM222" s="558">
        <f t="shared" si="195"/>
        <v>29.824000000000002</v>
      </c>
      <c r="AN222" s="558">
        <f t="shared" si="195"/>
        <v>29.824000000000002</v>
      </c>
      <c r="AO222" s="558">
        <f t="shared" si="195"/>
        <v>29.824000000000002</v>
      </c>
    </row>
    <row r="223" spans="2:41" s="204" customFormat="1" outlineLevel="1">
      <c r="B223" s="211" t="s">
        <v>479</v>
      </c>
      <c r="C223" s="202"/>
      <c r="D223" s="202"/>
      <c r="E223" s="202">
        <f t="shared" ref="E223:X223" si="196">D49*E164</f>
        <v>0</v>
      </c>
      <c r="F223" s="202">
        <f t="shared" si="196"/>
        <v>0</v>
      </c>
      <c r="G223" s="202">
        <f t="shared" si="196"/>
        <v>0</v>
      </c>
      <c r="H223" s="202">
        <f t="shared" si="196"/>
        <v>0</v>
      </c>
      <c r="I223" s="202">
        <f t="shared" si="196"/>
        <v>0</v>
      </c>
      <c r="J223" s="202">
        <f t="shared" si="196"/>
        <v>0</v>
      </c>
      <c r="K223" s="202">
        <f t="shared" si="196"/>
        <v>0</v>
      </c>
      <c r="L223" s="202">
        <f t="shared" si="196"/>
        <v>0</v>
      </c>
      <c r="M223" s="202">
        <f t="shared" si="196"/>
        <v>0</v>
      </c>
      <c r="N223" s="202">
        <f t="shared" si="196"/>
        <v>0</v>
      </c>
      <c r="O223" s="202">
        <f t="shared" si="196"/>
        <v>0</v>
      </c>
      <c r="P223" s="202">
        <f t="shared" si="196"/>
        <v>0</v>
      </c>
      <c r="Q223" s="202">
        <f t="shared" si="196"/>
        <v>0</v>
      </c>
      <c r="R223" s="202">
        <f t="shared" si="196"/>
        <v>0</v>
      </c>
      <c r="S223" s="202">
        <f t="shared" si="196"/>
        <v>57.311250000000001</v>
      </c>
      <c r="T223" s="558">
        <f t="shared" si="196"/>
        <v>57.311250000000001</v>
      </c>
      <c r="U223" s="558">
        <f t="shared" si="196"/>
        <v>57.311250000000001</v>
      </c>
      <c r="V223" s="558">
        <f t="shared" si="196"/>
        <v>57.311250000000001</v>
      </c>
      <c r="W223" s="558">
        <f t="shared" si="196"/>
        <v>57.311250000000001</v>
      </c>
      <c r="X223" s="558">
        <f t="shared" si="196"/>
        <v>57.311250000000001</v>
      </c>
      <c r="Y223" s="558">
        <f t="shared" ref="Y223:AO223" si="197">Y49*Y164</f>
        <v>57.311250000000001</v>
      </c>
      <c r="Z223" s="558">
        <f t="shared" si="197"/>
        <v>57.311250000000001</v>
      </c>
      <c r="AA223" s="558">
        <f t="shared" si="197"/>
        <v>35.19</v>
      </c>
      <c r="AB223" s="558">
        <f t="shared" si="197"/>
        <v>35.19</v>
      </c>
      <c r="AC223" s="558">
        <f t="shared" si="197"/>
        <v>35.19</v>
      </c>
      <c r="AD223" s="558">
        <f t="shared" si="197"/>
        <v>35.19</v>
      </c>
      <c r="AE223" s="558">
        <f t="shared" si="197"/>
        <v>35.19</v>
      </c>
      <c r="AF223" s="558">
        <f t="shared" si="197"/>
        <v>35.19</v>
      </c>
      <c r="AG223" s="558">
        <f t="shared" si="197"/>
        <v>35.19</v>
      </c>
      <c r="AH223" s="558">
        <f t="shared" si="197"/>
        <v>35.19</v>
      </c>
      <c r="AI223" s="558">
        <f t="shared" si="197"/>
        <v>35.19</v>
      </c>
      <c r="AJ223" s="558">
        <f t="shared" si="197"/>
        <v>35.19</v>
      </c>
      <c r="AK223" s="558">
        <f t="shared" si="197"/>
        <v>35.19</v>
      </c>
      <c r="AL223" s="558">
        <f t="shared" si="197"/>
        <v>35.19</v>
      </c>
      <c r="AM223" s="558">
        <f t="shared" si="197"/>
        <v>35.19</v>
      </c>
      <c r="AN223" s="558">
        <f t="shared" si="197"/>
        <v>35.19</v>
      </c>
      <c r="AO223" s="558">
        <f t="shared" si="197"/>
        <v>35.19</v>
      </c>
    </row>
    <row r="224" spans="2:41" s="204" customFormat="1" outlineLevel="1">
      <c r="B224" s="211" t="s">
        <v>480</v>
      </c>
      <c r="C224" s="202"/>
      <c r="D224" s="202"/>
      <c r="E224" s="202">
        <f t="shared" ref="E224:X224" si="198">D28*E165</f>
        <v>0</v>
      </c>
      <c r="F224" s="202">
        <f t="shared" si="198"/>
        <v>0</v>
      </c>
      <c r="G224" s="202">
        <f t="shared" si="198"/>
        <v>0</v>
      </c>
      <c r="H224" s="202">
        <f t="shared" si="198"/>
        <v>0</v>
      </c>
      <c r="I224" s="202">
        <f t="shared" si="198"/>
        <v>0</v>
      </c>
      <c r="J224" s="202">
        <f t="shared" si="198"/>
        <v>0</v>
      </c>
      <c r="K224" s="202">
        <f t="shared" si="198"/>
        <v>0</v>
      </c>
      <c r="L224" s="202">
        <f t="shared" si="198"/>
        <v>0</v>
      </c>
      <c r="M224" s="202">
        <f t="shared" si="198"/>
        <v>0</v>
      </c>
      <c r="N224" s="202">
        <f t="shared" si="198"/>
        <v>0</v>
      </c>
      <c r="O224" s="202">
        <f t="shared" si="198"/>
        <v>0</v>
      </c>
      <c r="P224" s="202">
        <f t="shared" si="198"/>
        <v>0</v>
      </c>
      <c r="Q224" s="202">
        <f t="shared" si="198"/>
        <v>0</v>
      </c>
      <c r="R224" s="202">
        <f t="shared" si="198"/>
        <v>0</v>
      </c>
      <c r="S224" s="202">
        <f t="shared" si="198"/>
        <v>0</v>
      </c>
      <c r="T224" s="558">
        <f t="shared" si="198"/>
        <v>0</v>
      </c>
      <c r="U224" s="558">
        <f t="shared" si="198"/>
        <v>0</v>
      </c>
      <c r="V224" s="558">
        <f t="shared" si="198"/>
        <v>30.946500000000004</v>
      </c>
      <c r="W224" s="558">
        <f t="shared" si="198"/>
        <v>30.946500000000004</v>
      </c>
      <c r="X224" s="558">
        <f t="shared" si="198"/>
        <v>30.946500000000004</v>
      </c>
      <c r="Y224" s="558">
        <f t="shared" ref="Y224:AO224" si="199">Y28*Y165</f>
        <v>30.981000000000002</v>
      </c>
      <c r="Z224" s="558">
        <f t="shared" si="199"/>
        <v>30.981000000000002</v>
      </c>
      <c r="AA224" s="558">
        <f t="shared" si="199"/>
        <v>31.050000000000004</v>
      </c>
      <c r="AB224" s="558">
        <f t="shared" si="199"/>
        <v>31.050000000000004</v>
      </c>
      <c r="AC224" s="558">
        <f t="shared" si="199"/>
        <v>31.050000000000004</v>
      </c>
      <c r="AD224" s="558">
        <f t="shared" si="199"/>
        <v>31.050000000000004</v>
      </c>
      <c r="AE224" s="558">
        <f t="shared" si="199"/>
        <v>0</v>
      </c>
      <c r="AF224" s="558">
        <f t="shared" si="199"/>
        <v>0</v>
      </c>
      <c r="AG224" s="558">
        <f t="shared" si="199"/>
        <v>0</v>
      </c>
      <c r="AH224" s="558">
        <f t="shared" si="199"/>
        <v>0</v>
      </c>
      <c r="AI224" s="558">
        <f t="shared" si="199"/>
        <v>0</v>
      </c>
      <c r="AJ224" s="558">
        <f t="shared" si="199"/>
        <v>0</v>
      </c>
      <c r="AK224" s="558">
        <f t="shared" si="199"/>
        <v>0</v>
      </c>
      <c r="AL224" s="558">
        <f t="shared" si="199"/>
        <v>0</v>
      </c>
      <c r="AM224" s="558">
        <f t="shared" si="199"/>
        <v>0</v>
      </c>
      <c r="AN224" s="558">
        <f t="shared" si="199"/>
        <v>0</v>
      </c>
      <c r="AO224" s="558">
        <f t="shared" si="199"/>
        <v>0</v>
      </c>
    </row>
    <row r="225" spans="2:41" s="204" customFormat="1" outlineLevel="1">
      <c r="B225" s="211" t="s">
        <v>481</v>
      </c>
      <c r="C225" s="202"/>
      <c r="D225" s="202"/>
      <c r="E225" s="202">
        <f t="shared" ref="E225:X225" si="200">D52*E166</f>
        <v>0</v>
      </c>
      <c r="F225" s="202">
        <f t="shared" si="200"/>
        <v>0</v>
      </c>
      <c r="G225" s="202">
        <f t="shared" si="200"/>
        <v>0</v>
      </c>
      <c r="H225" s="202">
        <f t="shared" si="200"/>
        <v>0</v>
      </c>
      <c r="I225" s="202">
        <f t="shared" si="200"/>
        <v>0</v>
      </c>
      <c r="J225" s="202">
        <f t="shared" si="200"/>
        <v>0</v>
      </c>
      <c r="K225" s="202">
        <f t="shared" si="200"/>
        <v>0</v>
      </c>
      <c r="L225" s="202">
        <f t="shared" si="200"/>
        <v>0</v>
      </c>
      <c r="M225" s="202">
        <f t="shared" si="200"/>
        <v>0</v>
      </c>
      <c r="N225" s="202">
        <f t="shared" si="200"/>
        <v>0</v>
      </c>
      <c r="O225" s="202">
        <f t="shared" si="200"/>
        <v>0</v>
      </c>
      <c r="P225" s="202">
        <f t="shared" si="200"/>
        <v>0</v>
      </c>
      <c r="Q225" s="202">
        <f t="shared" si="200"/>
        <v>0</v>
      </c>
      <c r="R225" s="202">
        <f t="shared" si="200"/>
        <v>0</v>
      </c>
      <c r="S225" s="202">
        <f t="shared" si="200"/>
        <v>0</v>
      </c>
      <c r="T225" s="558">
        <f t="shared" si="200"/>
        <v>0</v>
      </c>
      <c r="U225" s="558">
        <f t="shared" si="200"/>
        <v>0</v>
      </c>
      <c r="V225" s="558">
        <f t="shared" si="200"/>
        <v>40.020000000000003</v>
      </c>
      <c r="W225" s="558">
        <f t="shared" si="200"/>
        <v>40.077500000000001</v>
      </c>
      <c r="X225" s="558">
        <f t="shared" si="200"/>
        <v>40.077500000000001</v>
      </c>
      <c r="Y225" s="558">
        <f t="shared" ref="Y225:AO225" si="201">Y52*Y166</f>
        <v>40.077500000000001</v>
      </c>
      <c r="Z225" s="558">
        <f t="shared" si="201"/>
        <v>40.077500000000001</v>
      </c>
      <c r="AA225" s="558">
        <f t="shared" si="201"/>
        <v>23.69</v>
      </c>
      <c r="AB225" s="558">
        <f t="shared" si="201"/>
        <v>23.69</v>
      </c>
      <c r="AC225" s="558">
        <f t="shared" si="201"/>
        <v>23.69</v>
      </c>
      <c r="AD225" s="558">
        <f t="shared" si="201"/>
        <v>23.69</v>
      </c>
      <c r="AE225" s="558">
        <f t="shared" si="201"/>
        <v>23.69</v>
      </c>
      <c r="AF225" s="558">
        <f t="shared" si="201"/>
        <v>23.69</v>
      </c>
      <c r="AG225" s="558">
        <f t="shared" si="201"/>
        <v>23.69</v>
      </c>
      <c r="AH225" s="558">
        <f t="shared" si="201"/>
        <v>23.69</v>
      </c>
      <c r="AI225" s="558">
        <f t="shared" si="201"/>
        <v>23.69</v>
      </c>
      <c r="AJ225" s="558">
        <f t="shared" si="201"/>
        <v>23.69</v>
      </c>
      <c r="AK225" s="558">
        <f t="shared" si="201"/>
        <v>23.69</v>
      </c>
      <c r="AL225" s="558">
        <f t="shared" si="201"/>
        <v>23.69</v>
      </c>
      <c r="AM225" s="558">
        <f t="shared" si="201"/>
        <v>23.69</v>
      </c>
      <c r="AN225" s="558">
        <f t="shared" si="201"/>
        <v>23.69</v>
      </c>
      <c r="AO225" s="558">
        <f t="shared" si="201"/>
        <v>23.69</v>
      </c>
    </row>
    <row r="226" spans="2:41" s="204" customFormat="1" outlineLevel="1">
      <c r="B226" s="211" t="s">
        <v>482</v>
      </c>
      <c r="C226" s="202"/>
      <c r="D226" s="202"/>
      <c r="E226" s="202">
        <f t="shared" ref="E226:X226" si="202">D53*E167</f>
        <v>0</v>
      </c>
      <c r="F226" s="202">
        <f t="shared" si="202"/>
        <v>0</v>
      </c>
      <c r="G226" s="202">
        <f t="shared" si="202"/>
        <v>0</v>
      </c>
      <c r="H226" s="202">
        <f t="shared" si="202"/>
        <v>0</v>
      </c>
      <c r="I226" s="202">
        <f t="shared" si="202"/>
        <v>0</v>
      </c>
      <c r="J226" s="202">
        <f t="shared" si="202"/>
        <v>0</v>
      </c>
      <c r="K226" s="202">
        <f t="shared" si="202"/>
        <v>0</v>
      </c>
      <c r="L226" s="202">
        <f t="shared" si="202"/>
        <v>0</v>
      </c>
      <c r="M226" s="202">
        <f t="shared" si="202"/>
        <v>0</v>
      </c>
      <c r="N226" s="202">
        <f t="shared" si="202"/>
        <v>0</v>
      </c>
      <c r="O226" s="202">
        <f t="shared" si="202"/>
        <v>0</v>
      </c>
      <c r="P226" s="202">
        <f t="shared" si="202"/>
        <v>0</v>
      </c>
      <c r="Q226" s="202">
        <f t="shared" si="202"/>
        <v>0</v>
      </c>
      <c r="R226" s="202">
        <f t="shared" si="202"/>
        <v>0</v>
      </c>
      <c r="S226" s="202">
        <f t="shared" si="202"/>
        <v>0</v>
      </c>
      <c r="T226" s="558">
        <f t="shared" si="202"/>
        <v>0</v>
      </c>
      <c r="U226" s="558">
        <f t="shared" si="202"/>
        <v>0</v>
      </c>
      <c r="V226" s="558">
        <f t="shared" si="202"/>
        <v>29.452500000000001</v>
      </c>
      <c r="W226" s="558">
        <f t="shared" si="202"/>
        <v>29.452500000000001</v>
      </c>
      <c r="X226" s="558">
        <f t="shared" si="202"/>
        <v>29.452500000000001</v>
      </c>
      <c r="Y226" s="558">
        <f t="shared" ref="Y226:AO226" si="203">Y53*Y167</f>
        <v>29.502000000000002</v>
      </c>
      <c r="Z226" s="558">
        <f t="shared" si="203"/>
        <v>29.502000000000002</v>
      </c>
      <c r="AA226" s="558">
        <f t="shared" si="203"/>
        <v>29.700000000000003</v>
      </c>
      <c r="AB226" s="558">
        <f t="shared" si="203"/>
        <v>29.700000000000003</v>
      </c>
      <c r="AC226" s="558">
        <f t="shared" si="203"/>
        <v>29.700000000000003</v>
      </c>
      <c r="AD226" s="558">
        <f t="shared" si="203"/>
        <v>29.700000000000003</v>
      </c>
      <c r="AE226" s="558">
        <f t="shared" si="203"/>
        <v>29.700000000000003</v>
      </c>
      <c r="AF226" s="558">
        <f t="shared" si="203"/>
        <v>29.700000000000003</v>
      </c>
      <c r="AG226" s="558">
        <f t="shared" si="203"/>
        <v>29.700000000000003</v>
      </c>
      <c r="AH226" s="558">
        <f t="shared" si="203"/>
        <v>29.700000000000003</v>
      </c>
      <c r="AI226" s="558">
        <f t="shared" si="203"/>
        <v>29.700000000000003</v>
      </c>
      <c r="AJ226" s="558">
        <f t="shared" si="203"/>
        <v>29.700000000000003</v>
      </c>
      <c r="AK226" s="558">
        <f t="shared" si="203"/>
        <v>29.700000000000003</v>
      </c>
      <c r="AL226" s="558">
        <f t="shared" si="203"/>
        <v>29.700000000000003</v>
      </c>
      <c r="AM226" s="558">
        <f t="shared" si="203"/>
        <v>29.700000000000003</v>
      </c>
      <c r="AN226" s="558">
        <f t="shared" si="203"/>
        <v>29.700000000000003</v>
      </c>
      <c r="AO226" s="558">
        <f t="shared" si="203"/>
        <v>29.700000000000003</v>
      </c>
    </row>
    <row r="227" spans="2:41" s="204" customFormat="1" outlineLevel="1">
      <c r="B227" s="211" t="s">
        <v>483</v>
      </c>
      <c r="C227" s="202"/>
      <c r="D227" s="202"/>
      <c r="E227" s="202">
        <f t="shared" ref="E227:X227" si="204">D18*E168</f>
        <v>0</v>
      </c>
      <c r="F227" s="202">
        <f t="shared" si="204"/>
        <v>0</v>
      </c>
      <c r="G227" s="202">
        <f t="shared" si="204"/>
        <v>0</v>
      </c>
      <c r="H227" s="202">
        <f t="shared" si="204"/>
        <v>0</v>
      </c>
      <c r="I227" s="202">
        <f t="shared" si="204"/>
        <v>0</v>
      </c>
      <c r="J227" s="202">
        <f t="shared" si="204"/>
        <v>0</v>
      </c>
      <c r="K227" s="202">
        <f t="shared" si="204"/>
        <v>0</v>
      </c>
      <c r="L227" s="202">
        <f t="shared" si="204"/>
        <v>0</v>
      </c>
      <c r="M227" s="202">
        <f t="shared" si="204"/>
        <v>0</v>
      </c>
      <c r="N227" s="202">
        <f t="shared" si="204"/>
        <v>0</v>
      </c>
      <c r="O227" s="202">
        <f t="shared" si="204"/>
        <v>0</v>
      </c>
      <c r="P227" s="202">
        <f t="shared" si="204"/>
        <v>0</v>
      </c>
      <c r="Q227" s="202">
        <f t="shared" si="204"/>
        <v>0</v>
      </c>
      <c r="R227" s="202">
        <f t="shared" si="204"/>
        <v>0</v>
      </c>
      <c r="S227" s="202">
        <f t="shared" si="204"/>
        <v>0</v>
      </c>
      <c r="T227" s="558">
        <f t="shared" si="204"/>
        <v>30.688500000000001</v>
      </c>
      <c r="U227" s="558">
        <f t="shared" si="204"/>
        <v>30.688500000000001</v>
      </c>
      <c r="V227" s="558">
        <f t="shared" si="204"/>
        <v>30.688500000000001</v>
      </c>
      <c r="W227" s="558">
        <f t="shared" si="204"/>
        <v>30.688500000000001</v>
      </c>
      <c r="X227" s="558">
        <f t="shared" si="204"/>
        <v>30.688500000000001</v>
      </c>
      <c r="Y227" s="558">
        <f t="shared" ref="Y227:AO227" si="205">Y18*Y168</f>
        <v>30.75</v>
      </c>
      <c r="Z227" s="558">
        <f t="shared" si="205"/>
        <v>30.75</v>
      </c>
      <c r="AA227" s="558">
        <f t="shared" si="205"/>
        <v>30.75</v>
      </c>
      <c r="AB227" s="558">
        <f t="shared" si="205"/>
        <v>30.75</v>
      </c>
      <c r="AC227" s="558">
        <f t="shared" si="205"/>
        <v>0</v>
      </c>
      <c r="AD227" s="558">
        <f t="shared" si="205"/>
        <v>0</v>
      </c>
      <c r="AE227" s="558">
        <f t="shared" si="205"/>
        <v>0</v>
      </c>
      <c r="AF227" s="558">
        <f t="shared" si="205"/>
        <v>0</v>
      </c>
      <c r="AG227" s="558">
        <f t="shared" si="205"/>
        <v>0</v>
      </c>
      <c r="AH227" s="558">
        <f t="shared" si="205"/>
        <v>0</v>
      </c>
      <c r="AI227" s="558">
        <f t="shared" si="205"/>
        <v>0</v>
      </c>
      <c r="AJ227" s="558">
        <f t="shared" si="205"/>
        <v>0</v>
      </c>
      <c r="AK227" s="558">
        <f t="shared" si="205"/>
        <v>0</v>
      </c>
      <c r="AL227" s="558">
        <f t="shared" si="205"/>
        <v>0</v>
      </c>
      <c r="AM227" s="558">
        <f t="shared" si="205"/>
        <v>0</v>
      </c>
      <c r="AN227" s="558">
        <f t="shared" si="205"/>
        <v>0</v>
      </c>
      <c r="AO227" s="558">
        <f t="shared" si="205"/>
        <v>0</v>
      </c>
    </row>
    <row r="228" spans="2:41" s="204" customFormat="1" outlineLevel="1">
      <c r="B228" s="211" t="s">
        <v>484</v>
      </c>
      <c r="C228" s="202"/>
      <c r="D228" s="202"/>
      <c r="E228" s="202">
        <f t="shared" ref="E228:X228" si="206">D50*E169</f>
        <v>0</v>
      </c>
      <c r="F228" s="202">
        <f t="shared" si="206"/>
        <v>0</v>
      </c>
      <c r="G228" s="202">
        <f t="shared" si="206"/>
        <v>0</v>
      </c>
      <c r="H228" s="202">
        <f t="shared" si="206"/>
        <v>0</v>
      </c>
      <c r="I228" s="202">
        <f t="shared" si="206"/>
        <v>0</v>
      </c>
      <c r="J228" s="202">
        <f t="shared" si="206"/>
        <v>0</v>
      </c>
      <c r="K228" s="202">
        <f t="shared" si="206"/>
        <v>0</v>
      </c>
      <c r="L228" s="202">
        <f t="shared" si="206"/>
        <v>0</v>
      </c>
      <c r="M228" s="202">
        <f t="shared" si="206"/>
        <v>0</v>
      </c>
      <c r="N228" s="202">
        <f t="shared" si="206"/>
        <v>0</v>
      </c>
      <c r="O228" s="202">
        <f t="shared" si="206"/>
        <v>0</v>
      </c>
      <c r="P228" s="202">
        <f t="shared" si="206"/>
        <v>0</v>
      </c>
      <c r="Q228" s="202">
        <f t="shared" si="206"/>
        <v>0</v>
      </c>
      <c r="R228" s="202">
        <f t="shared" si="206"/>
        <v>0</v>
      </c>
      <c r="S228" s="202">
        <f t="shared" si="206"/>
        <v>0</v>
      </c>
      <c r="T228" s="558">
        <f t="shared" si="206"/>
        <v>34.362000000000002</v>
      </c>
      <c r="U228" s="558">
        <f t="shared" si="206"/>
        <v>34.431000000000004</v>
      </c>
      <c r="V228" s="558">
        <f t="shared" si="206"/>
        <v>34.431000000000004</v>
      </c>
      <c r="W228" s="558">
        <f t="shared" si="206"/>
        <v>34.431000000000004</v>
      </c>
      <c r="X228" s="558">
        <f t="shared" si="206"/>
        <v>34.431000000000004</v>
      </c>
      <c r="Y228" s="558">
        <f t="shared" ref="Y228:AO228" si="207">Y50*Y169</f>
        <v>34.431000000000004</v>
      </c>
      <c r="Z228" s="558">
        <f t="shared" si="207"/>
        <v>34.431000000000004</v>
      </c>
      <c r="AA228" s="558">
        <f t="shared" si="207"/>
        <v>20.079000000000001</v>
      </c>
      <c r="AB228" s="558">
        <f t="shared" si="207"/>
        <v>20.079000000000001</v>
      </c>
      <c r="AC228" s="558">
        <f t="shared" si="207"/>
        <v>20.079000000000001</v>
      </c>
      <c r="AD228" s="558">
        <f t="shared" si="207"/>
        <v>20.079000000000001</v>
      </c>
      <c r="AE228" s="558">
        <f t="shared" si="207"/>
        <v>20.079000000000001</v>
      </c>
      <c r="AF228" s="558">
        <f t="shared" si="207"/>
        <v>20.079000000000001</v>
      </c>
      <c r="AG228" s="558">
        <f t="shared" si="207"/>
        <v>20.079000000000001</v>
      </c>
      <c r="AH228" s="558">
        <f t="shared" si="207"/>
        <v>20.079000000000001</v>
      </c>
      <c r="AI228" s="558">
        <f t="shared" si="207"/>
        <v>20.079000000000001</v>
      </c>
      <c r="AJ228" s="558">
        <f t="shared" si="207"/>
        <v>20.079000000000001</v>
      </c>
      <c r="AK228" s="558">
        <f t="shared" si="207"/>
        <v>20.079000000000001</v>
      </c>
      <c r="AL228" s="558">
        <f t="shared" si="207"/>
        <v>20.079000000000001</v>
      </c>
      <c r="AM228" s="558">
        <f t="shared" si="207"/>
        <v>20.079000000000001</v>
      </c>
      <c r="AN228" s="558">
        <f t="shared" si="207"/>
        <v>20.079000000000001</v>
      </c>
      <c r="AO228" s="558">
        <f t="shared" si="207"/>
        <v>20.079000000000001</v>
      </c>
    </row>
    <row r="229" spans="2:41" s="204" customFormat="1" outlineLevel="1">
      <c r="B229" s="211" t="s">
        <v>485</v>
      </c>
      <c r="C229" s="202"/>
      <c r="D229" s="202"/>
      <c r="E229" s="202">
        <f t="shared" ref="E229:X229" si="208">D27*E170</f>
        <v>0</v>
      </c>
      <c r="F229" s="202">
        <f t="shared" si="208"/>
        <v>0</v>
      </c>
      <c r="G229" s="202">
        <f t="shared" si="208"/>
        <v>0</v>
      </c>
      <c r="H229" s="202">
        <f t="shared" si="208"/>
        <v>0</v>
      </c>
      <c r="I229" s="202">
        <f t="shared" si="208"/>
        <v>0</v>
      </c>
      <c r="J229" s="202">
        <f t="shared" si="208"/>
        <v>0</v>
      </c>
      <c r="K229" s="202">
        <f t="shared" si="208"/>
        <v>0</v>
      </c>
      <c r="L229" s="202">
        <f t="shared" si="208"/>
        <v>0</v>
      </c>
      <c r="M229" s="202">
        <f t="shared" si="208"/>
        <v>0</v>
      </c>
      <c r="N229" s="202">
        <f t="shared" si="208"/>
        <v>0</v>
      </c>
      <c r="O229" s="202">
        <f t="shared" si="208"/>
        <v>0</v>
      </c>
      <c r="P229" s="202">
        <f t="shared" si="208"/>
        <v>0</v>
      </c>
      <c r="Q229" s="202">
        <f t="shared" si="208"/>
        <v>0</v>
      </c>
      <c r="R229" s="202">
        <f t="shared" si="208"/>
        <v>0</v>
      </c>
      <c r="S229" s="202">
        <f t="shared" si="208"/>
        <v>0</v>
      </c>
      <c r="T229" s="558">
        <f t="shared" si="208"/>
        <v>0</v>
      </c>
      <c r="U229" s="558">
        <f t="shared" si="208"/>
        <v>0</v>
      </c>
      <c r="V229" s="558">
        <f t="shared" si="208"/>
        <v>13.5</v>
      </c>
      <c r="W229" s="558">
        <f t="shared" si="208"/>
        <v>13.5</v>
      </c>
      <c r="X229" s="558">
        <f t="shared" si="208"/>
        <v>13.5</v>
      </c>
      <c r="Y229" s="558">
        <f t="shared" ref="Y229:AO229" si="209">Y27*Y170</f>
        <v>13.5</v>
      </c>
      <c r="Z229" s="558">
        <f t="shared" si="209"/>
        <v>13.5</v>
      </c>
      <c r="AA229" s="558">
        <f t="shared" si="209"/>
        <v>13.5</v>
      </c>
      <c r="AB229" s="558">
        <f t="shared" si="209"/>
        <v>13.5</v>
      </c>
      <c r="AC229" s="558">
        <f t="shared" si="209"/>
        <v>13.5</v>
      </c>
      <c r="AD229" s="558">
        <f t="shared" si="209"/>
        <v>13.5</v>
      </c>
      <c r="AE229" s="558">
        <f t="shared" si="209"/>
        <v>0</v>
      </c>
      <c r="AF229" s="558">
        <f t="shared" si="209"/>
        <v>0</v>
      </c>
      <c r="AG229" s="558">
        <f t="shared" si="209"/>
        <v>0</v>
      </c>
      <c r="AH229" s="558">
        <f t="shared" si="209"/>
        <v>0</v>
      </c>
      <c r="AI229" s="558">
        <f t="shared" si="209"/>
        <v>0</v>
      </c>
      <c r="AJ229" s="558">
        <f t="shared" si="209"/>
        <v>0</v>
      </c>
      <c r="AK229" s="558">
        <f t="shared" si="209"/>
        <v>0</v>
      </c>
      <c r="AL229" s="558">
        <f t="shared" si="209"/>
        <v>0</v>
      </c>
      <c r="AM229" s="558">
        <f t="shared" si="209"/>
        <v>0</v>
      </c>
      <c r="AN229" s="558">
        <f t="shared" si="209"/>
        <v>0</v>
      </c>
      <c r="AO229" s="558">
        <f t="shared" si="209"/>
        <v>0</v>
      </c>
    </row>
    <row r="230" spans="2:41" s="204" customFormat="1" outlineLevel="1">
      <c r="B230" s="211" t="s">
        <v>486</v>
      </c>
      <c r="C230" s="202"/>
      <c r="D230" s="202"/>
      <c r="E230" s="202">
        <f t="shared" ref="E230:X230" si="210">D48*E171</f>
        <v>0</v>
      </c>
      <c r="F230" s="202">
        <f t="shared" si="210"/>
        <v>0</v>
      </c>
      <c r="G230" s="202">
        <f t="shared" si="210"/>
        <v>0</v>
      </c>
      <c r="H230" s="202">
        <f t="shared" si="210"/>
        <v>0</v>
      </c>
      <c r="I230" s="202">
        <f t="shared" si="210"/>
        <v>0</v>
      </c>
      <c r="J230" s="202">
        <f t="shared" si="210"/>
        <v>0</v>
      </c>
      <c r="K230" s="202">
        <f t="shared" si="210"/>
        <v>0</v>
      </c>
      <c r="L230" s="202">
        <f t="shared" si="210"/>
        <v>0</v>
      </c>
      <c r="M230" s="202">
        <f t="shared" si="210"/>
        <v>0</v>
      </c>
      <c r="N230" s="202">
        <f t="shared" si="210"/>
        <v>0</v>
      </c>
      <c r="O230" s="202">
        <f t="shared" si="210"/>
        <v>0</v>
      </c>
      <c r="P230" s="202">
        <f t="shared" si="210"/>
        <v>0</v>
      </c>
      <c r="Q230" s="202">
        <f t="shared" si="210"/>
        <v>0</v>
      </c>
      <c r="R230" s="202">
        <f t="shared" si="210"/>
        <v>0</v>
      </c>
      <c r="S230" s="202">
        <f t="shared" si="210"/>
        <v>0</v>
      </c>
      <c r="T230" s="558">
        <f t="shared" si="210"/>
        <v>0</v>
      </c>
      <c r="U230" s="558">
        <f t="shared" si="210"/>
        <v>0</v>
      </c>
      <c r="V230" s="558">
        <f t="shared" si="210"/>
        <v>0</v>
      </c>
      <c r="W230" s="558">
        <f t="shared" si="210"/>
        <v>0</v>
      </c>
      <c r="X230" s="558">
        <f t="shared" si="210"/>
        <v>0</v>
      </c>
      <c r="Y230" s="558">
        <f t="shared" ref="Y230:AO230" si="211">Y48*Y171</f>
        <v>0</v>
      </c>
      <c r="Z230" s="558">
        <f t="shared" si="211"/>
        <v>0</v>
      </c>
      <c r="AA230" s="558">
        <f t="shared" si="211"/>
        <v>0</v>
      </c>
      <c r="AB230" s="558">
        <f t="shared" si="211"/>
        <v>0</v>
      </c>
      <c r="AC230" s="558">
        <f t="shared" si="211"/>
        <v>0</v>
      </c>
      <c r="AD230" s="558">
        <f t="shared" si="211"/>
        <v>0</v>
      </c>
      <c r="AE230" s="558">
        <f t="shared" si="211"/>
        <v>0</v>
      </c>
      <c r="AF230" s="558">
        <f t="shared" si="211"/>
        <v>0</v>
      </c>
      <c r="AG230" s="558">
        <f t="shared" si="211"/>
        <v>0</v>
      </c>
      <c r="AH230" s="558">
        <f t="shared" si="211"/>
        <v>0</v>
      </c>
      <c r="AI230" s="558">
        <f t="shared" si="211"/>
        <v>0</v>
      </c>
      <c r="AJ230" s="558">
        <f t="shared" si="211"/>
        <v>0</v>
      </c>
      <c r="AK230" s="558">
        <f t="shared" si="211"/>
        <v>0</v>
      </c>
      <c r="AL230" s="558">
        <f t="shared" si="211"/>
        <v>0</v>
      </c>
      <c r="AM230" s="558">
        <f t="shared" si="211"/>
        <v>0</v>
      </c>
      <c r="AN230" s="558">
        <f t="shared" si="211"/>
        <v>0</v>
      </c>
      <c r="AO230" s="558">
        <f t="shared" si="211"/>
        <v>0</v>
      </c>
    </row>
    <row r="231" spans="2:41" s="204" customFormat="1" outlineLevel="1">
      <c r="B231" s="211" t="s">
        <v>487</v>
      </c>
      <c r="C231" s="202"/>
      <c r="D231" s="202"/>
      <c r="E231" s="202">
        <f t="shared" ref="E231:X231" si="212">D60*E172</f>
        <v>0</v>
      </c>
      <c r="F231" s="202">
        <f t="shared" si="212"/>
        <v>0</v>
      </c>
      <c r="G231" s="202">
        <f t="shared" si="212"/>
        <v>0</v>
      </c>
      <c r="H231" s="202">
        <f t="shared" si="212"/>
        <v>8.125</v>
      </c>
      <c r="I231" s="202">
        <f t="shared" si="212"/>
        <v>8.125</v>
      </c>
      <c r="J231" s="202">
        <f t="shared" si="212"/>
        <v>8.125</v>
      </c>
      <c r="K231" s="202">
        <f t="shared" si="212"/>
        <v>8.125</v>
      </c>
      <c r="L231" s="202">
        <f t="shared" si="212"/>
        <v>8.125</v>
      </c>
      <c r="M231" s="202">
        <f t="shared" si="212"/>
        <v>8.125</v>
      </c>
      <c r="N231" s="202">
        <f t="shared" si="212"/>
        <v>8.125</v>
      </c>
      <c r="O231" s="202">
        <f t="shared" si="212"/>
        <v>8.125</v>
      </c>
      <c r="P231" s="202">
        <f t="shared" si="212"/>
        <v>8.125</v>
      </c>
      <c r="Q231" s="202">
        <f t="shared" si="212"/>
        <v>8.125</v>
      </c>
      <c r="R231" s="202">
        <f t="shared" si="212"/>
        <v>8.125</v>
      </c>
      <c r="S231" s="202">
        <f t="shared" si="212"/>
        <v>8.125</v>
      </c>
      <c r="T231" s="558">
        <f t="shared" si="212"/>
        <v>8.125</v>
      </c>
      <c r="U231" s="558">
        <f t="shared" si="212"/>
        <v>8.125</v>
      </c>
      <c r="V231" s="558">
        <f t="shared" si="212"/>
        <v>8.125</v>
      </c>
      <c r="W231" s="558">
        <f t="shared" si="212"/>
        <v>8.125</v>
      </c>
      <c r="X231" s="558">
        <f t="shared" si="212"/>
        <v>8.8562500000000011</v>
      </c>
      <c r="Y231" s="558">
        <f t="shared" ref="Y231:AO231" si="213">Y60*Y172</f>
        <v>0</v>
      </c>
      <c r="Z231" s="558">
        <f t="shared" si="213"/>
        <v>0</v>
      </c>
      <c r="AA231" s="558">
        <f t="shared" si="213"/>
        <v>0</v>
      </c>
      <c r="AB231" s="558">
        <f t="shared" si="213"/>
        <v>0</v>
      </c>
      <c r="AC231" s="558">
        <f t="shared" si="213"/>
        <v>0</v>
      </c>
      <c r="AD231" s="558">
        <f t="shared" si="213"/>
        <v>0</v>
      </c>
      <c r="AE231" s="558">
        <f t="shared" si="213"/>
        <v>0</v>
      </c>
      <c r="AF231" s="558">
        <f t="shared" si="213"/>
        <v>0</v>
      </c>
      <c r="AG231" s="558">
        <f t="shared" si="213"/>
        <v>0</v>
      </c>
      <c r="AH231" s="558">
        <f t="shared" si="213"/>
        <v>0</v>
      </c>
      <c r="AI231" s="558">
        <f t="shared" si="213"/>
        <v>0</v>
      </c>
      <c r="AJ231" s="558">
        <f t="shared" si="213"/>
        <v>0</v>
      </c>
      <c r="AK231" s="558">
        <f t="shared" si="213"/>
        <v>0</v>
      </c>
      <c r="AL231" s="558">
        <f t="shared" si="213"/>
        <v>0</v>
      </c>
      <c r="AM231" s="558">
        <f t="shared" si="213"/>
        <v>0</v>
      </c>
      <c r="AN231" s="558">
        <f t="shared" si="213"/>
        <v>0</v>
      </c>
      <c r="AO231" s="558">
        <f t="shared" si="213"/>
        <v>0</v>
      </c>
    </row>
    <row r="232" spans="2:41" s="204" customFormat="1" outlineLevel="1">
      <c r="B232" s="211" t="s">
        <v>488</v>
      </c>
      <c r="C232" s="202"/>
      <c r="D232" s="202"/>
      <c r="E232" s="202">
        <f t="shared" ref="E232:X232" si="214">D6*E173</f>
        <v>0</v>
      </c>
      <c r="F232" s="202">
        <f t="shared" si="214"/>
        <v>0</v>
      </c>
      <c r="G232" s="202">
        <f t="shared" si="214"/>
        <v>0</v>
      </c>
      <c r="H232" s="202">
        <f t="shared" si="214"/>
        <v>0</v>
      </c>
      <c r="I232" s="202">
        <f t="shared" si="214"/>
        <v>0</v>
      </c>
      <c r="J232" s="202">
        <f t="shared" si="214"/>
        <v>0</v>
      </c>
      <c r="K232" s="202">
        <f t="shared" si="214"/>
        <v>0</v>
      </c>
      <c r="L232" s="202">
        <f t="shared" si="214"/>
        <v>0</v>
      </c>
      <c r="M232" s="202">
        <f t="shared" si="214"/>
        <v>0</v>
      </c>
      <c r="N232" s="202">
        <f t="shared" si="214"/>
        <v>0</v>
      </c>
      <c r="O232" s="202">
        <f t="shared" si="214"/>
        <v>0</v>
      </c>
      <c r="P232" s="202">
        <f t="shared" si="214"/>
        <v>39.92</v>
      </c>
      <c r="Q232" s="202">
        <f t="shared" si="214"/>
        <v>39.92</v>
      </c>
      <c r="R232" s="202">
        <f t="shared" si="214"/>
        <v>39.96</v>
      </c>
      <c r="S232" s="202">
        <f t="shared" si="214"/>
        <v>39.96</v>
      </c>
      <c r="T232" s="558">
        <f t="shared" si="214"/>
        <v>0</v>
      </c>
      <c r="U232" s="558">
        <f t="shared" si="214"/>
        <v>0</v>
      </c>
      <c r="V232" s="558">
        <f t="shared" si="214"/>
        <v>0</v>
      </c>
      <c r="W232" s="558">
        <f t="shared" si="214"/>
        <v>0</v>
      </c>
      <c r="X232" s="558">
        <f t="shared" si="214"/>
        <v>0</v>
      </c>
      <c r="Y232" s="558">
        <f t="shared" ref="Y232:AO232" si="215">Y6*Y173</f>
        <v>0</v>
      </c>
      <c r="Z232" s="558">
        <f t="shared" si="215"/>
        <v>0</v>
      </c>
      <c r="AA232" s="558">
        <f t="shared" si="215"/>
        <v>0</v>
      </c>
      <c r="AB232" s="558">
        <f t="shared" si="215"/>
        <v>0</v>
      </c>
      <c r="AC232" s="558">
        <f t="shared" si="215"/>
        <v>0</v>
      </c>
      <c r="AD232" s="558">
        <f t="shared" si="215"/>
        <v>0</v>
      </c>
      <c r="AE232" s="558">
        <f t="shared" si="215"/>
        <v>0</v>
      </c>
      <c r="AF232" s="558">
        <f t="shared" si="215"/>
        <v>0</v>
      </c>
      <c r="AG232" s="558">
        <f t="shared" si="215"/>
        <v>0</v>
      </c>
      <c r="AH232" s="558">
        <f t="shared" si="215"/>
        <v>0</v>
      </c>
      <c r="AI232" s="558">
        <f t="shared" si="215"/>
        <v>0</v>
      </c>
      <c r="AJ232" s="558">
        <f t="shared" si="215"/>
        <v>0</v>
      </c>
      <c r="AK232" s="558">
        <f t="shared" si="215"/>
        <v>0</v>
      </c>
      <c r="AL232" s="558">
        <f t="shared" si="215"/>
        <v>0</v>
      </c>
      <c r="AM232" s="558">
        <f t="shared" si="215"/>
        <v>0</v>
      </c>
      <c r="AN232" s="558">
        <f t="shared" si="215"/>
        <v>0</v>
      </c>
      <c r="AO232" s="558">
        <f t="shared" si="215"/>
        <v>0</v>
      </c>
    </row>
    <row r="233" spans="2:41" s="204" customFormat="1" outlineLevel="1">
      <c r="B233" s="211" t="s">
        <v>489</v>
      </c>
      <c r="C233" s="202"/>
      <c r="D233" s="202"/>
      <c r="E233" s="202">
        <f t="shared" ref="E233:X233" si="216">D5*E174</f>
        <v>0</v>
      </c>
      <c r="F233" s="202">
        <f t="shared" si="216"/>
        <v>0</v>
      </c>
      <c r="G233" s="202">
        <f t="shared" si="216"/>
        <v>0</v>
      </c>
      <c r="H233" s="202">
        <f t="shared" si="216"/>
        <v>0</v>
      </c>
      <c r="I233" s="202">
        <f t="shared" si="216"/>
        <v>0</v>
      </c>
      <c r="J233" s="202">
        <f t="shared" si="216"/>
        <v>0</v>
      </c>
      <c r="K233" s="202">
        <f t="shared" si="216"/>
        <v>0</v>
      </c>
      <c r="L233" s="202">
        <f t="shared" si="216"/>
        <v>0</v>
      </c>
      <c r="M233" s="202">
        <f t="shared" si="216"/>
        <v>0</v>
      </c>
      <c r="N233" s="202">
        <f t="shared" si="216"/>
        <v>0</v>
      </c>
      <c r="O233" s="202">
        <f t="shared" si="216"/>
        <v>0</v>
      </c>
      <c r="P233" s="202">
        <f t="shared" si="216"/>
        <v>0</v>
      </c>
      <c r="Q233" s="202">
        <f t="shared" si="216"/>
        <v>0</v>
      </c>
      <c r="R233" s="202">
        <f t="shared" si="216"/>
        <v>0</v>
      </c>
      <c r="S233" s="202">
        <f t="shared" si="216"/>
        <v>0</v>
      </c>
      <c r="T233" s="558">
        <f t="shared" si="216"/>
        <v>0</v>
      </c>
      <c r="U233" s="558">
        <f t="shared" si="216"/>
        <v>0</v>
      </c>
      <c r="V233" s="558">
        <f t="shared" si="216"/>
        <v>0</v>
      </c>
      <c r="W233" s="558">
        <f t="shared" si="216"/>
        <v>0</v>
      </c>
      <c r="X233" s="558">
        <f t="shared" si="216"/>
        <v>0</v>
      </c>
      <c r="Y233" s="558">
        <f t="shared" ref="Y233:AO233" si="217">Y5*Y174</f>
        <v>0</v>
      </c>
      <c r="Z233" s="558">
        <f t="shared" si="217"/>
        <v>0</v>
      </c>
      <c r="AA233" s="558">
        <f t="shared" si="217"/>
        <v>0</v>
      </c>
      <c r="AB233" s="558">
        <f t="shared" si="217"/>
        <v>0</v>
      </c>
      <c r="AC233" s="558">
        <f t="shared" si="217"/>
        <v>0</v>
      </c>
      <c r="AD233" s="558">
        <f t="shared" si="217"/>
        <v>0</v>
      </c>
      <c r="AE233" s="558">
        <f t="shared" si="217"/>
        <v>0</v>
      </c>
      <c r="AF233" s="558">
        <f t="shared" si="217"/>
        <v>0</v>
      </c>
      <c r="AG233" s="558">
        <f t="shared" si="217"/>
        <v>0</v>
      </c>
      <c r="AH233" s="558">
        <f t="shared" si="217"/>
        <v>0</v>
      </c>
      <c r="AI233" s="558">
        <f t="shared" si="217"/>
        <v>0</v>
      </c>
      <c r="AJ233" s="558">
        <f t="shared" si="217"/>
        <v>0</v>
      </c>
      <c r="AK233" s="558">
        <f t="shared" si="217"/>
        <v>0</v>
      </c>
      <c r="AL233" s="558">
        <f t="shared" si="217"/>
        <v>0</v>
      </c>
      <c r="AM233" s="558">
        <f t="shared" si="217"/>
        <v>0</v>
      </c>
      <c r="AN233" s="558">
        <f t="shared" si="217"/>
        <v>0</v>
      </c>
      <c r="AO233" s="558">
        <f t="shared" si="217"/>
        <v>0</v>
      </c>
    </row>
    <row r="234" spans="2:41" s="204" customFormat="1" outlineLevel="1">
      <c r="B234" s="211" t="s">
        <v>490</v>
      </c>
      <c r="C234" s="202"/>
      <c r="D234" s="202"/>
      <c r="E234" s="202"/>
      <c r="F234" s="202"/>
      <c r="G234" s="202"/>
      <c r="H234" s="202"/>
      <c r="I234" s="202"/>
      <c r="J234" s="202"/>
      <c r="K234" s="202"/>
      <c r="L234" s="202"/>
      <c r="M234" s="202"/>
      <c r="N234" s="202"/>
      <c r="O234" s="202"/>
      <c r="P234" s="202"/>
      <c r="Q234" s="202"/>
      <c r="R234" s="202">
        <f>Q55*R175</f>
        <v>0</v>
      </c>
      <c r="S234" s="202">
        <f>R55*S175</f>
        <v>0</v>
      </c>
      <c r="T234" s="558">
        <f>S55*T175</f>
        <v>0</v>
      </c>
      <c r="U234" s="558">
        <f>T55*U175</f>
        <v>0</v>
      </c>
      <c r="V234" s="558">
        <f>V55*V175*0.5</f>
        <v>35.143000000000001</v>
      </c>
      <c r="W234" s="558">
        <f>V55*W175</f>
        <v>70.286000000000001</v>
      </c>
      <c r="X234" s="558">
        <f>W55*X175</f>
        <v>70.286000000000001</v>
      </c>
      <c r="Y234" s="558">
        <f t="shared" ref="Y234:AO234" si="218">Y55*Y175</f>
        <v>70.342500000000001</v>
      </c>
      <c r="Z234" s="558">
        <f t="shared" si="218"/>
        <v>70.342500000000001</v>
      </c>
      <c r="AA234" s="558">
        <f t="shared" si="218"/>
        <v>27.515499999999999</v>
      </c>
      <c r="AB234" s="558">
        <f t="shared" si="218"/>
        <v>27.515499999999999</v>
      </c>
      <c r="AC234" s="558">
        <f t="shared" si="218"/>
        <v>27.515499999999999</v>
      </c>
      <c r="AD234" s="558">
        <f t="shared" si="218"/>
        <v>27.515499999999999</v>
      </c>
      <c r="AE234" s="558">
        <f t="shared" si="218"/>
        <v>27.515499999999999</v>
      </c>
      <c r="AF234" s="558">
        <f t="shared" si="218"/>
        <v>27.515499999999999</v>
      </c>
      <c r="AG234" s="558">
        <f t="shared" si="218"/>
        <v>27.515499999999999</v>
      </c>
      <c r="AH234" s="558">
        <f t="shared" si="218"/>
        <v>27.515499999999999</v>
      </c>
      <c r="AI234" s="558">
        <f t="shared" si="218"/>
        <v>27.515499999999999</v>
      </c>
      <c r="AJ234" s="558">
        <f t="shared" si="218"/>
        <v>27.515499999999999</v>
      </c>
      <c r="AK234" s="558">
        <f t="shared" si="218"/>
        <v>27.515499999999999</v>
      </c>
      <c r="AL234" s="558">
        <f t="shared" si="218"/>
        <v>27.515499999999999</v>
      </c>
      <c r="AM234" s="558">
        <f t="shared" si="218"/>
        <v>27.515499999999999</v>
      </c>
      <c r="AN234" s="558">
        <f t="shared" si="218"/>
        <v>27.515499999999999</v>
      </c>
      <c r="AO234" s="558">
        <f t="shared" si="218"/>
        <v>27.515499999999999</v>
      </c>
    </row>
    <row r="235" spans="2:41" s="204" customFormat="1" outlineLevel="1">
      <c r="B235" s="211" t="s">
        <v>491</v>
      </c>
      <c r="C235" s="202"/>
      <c r="D235" s="202"/>
      <c r="E235" s="202"/>
      <c r="F235" s="202"/>
      <c r="G235" s="202"/>
      <c r="H235" s="202"/>
      <c r="I235" s="202"/>
      <c r="J235" s="202"/>
      <c r="K235" s="202"/>
      <c r="L235" s="202"/>
      <c r="M235" s="202"/>
      <c r="N235" s="202"/>
      <c r="O235" s="202"/>
      <c r="P235" s="202"/>
      <c r="Q235" s="202"/>
      <c r="R235" s="202">
        <f>Q32*R176</f>
        <v>0</v>
      </c>
      <c r="S235" s="202">
        <f>R32*S176</f>
        <v>0</v>
      </c>
      <c r="T235" s="558">
        <f>S32*T176</f>
        <v>0</v>
      </c>
      <c r="U235" s="558">
        <f>T32*U176</f>
        <v>0</v>
      </c>
      <c r="V235" s="558">
        <f>V32*V176*0.5</f>
        <v>20.459</v>
      </c>
      <c r="W235" s="558">
        <f>V32*W176</f>
        <v>40.917999999999999</v>
      </c>
      <c r="X235" s="558">
        <f>W32*X176</f>
        <v>40.917999999999999</v>
      </c>
      <c r="Y235" s="558">
        <f t="shared" ref="Y235:AO235" si="219">Y32*Y176</f>
        <v>40.917999999999999</v>
      </c>
      <c r="Z235" s="558">
        <f t="shared" si="219"/>
        <v>40.959000000000003</v>
      </c>
      <c r="AA235" s="558">
        <f t="shared" si="219"/>
        <v>41</v>
      </c>
      <c r="AB235" s="558">
        <f t="shared" si="219"/>
        <v>41</v>
      </c>
      <c r="AC235" s="558">
        <f t="shared" si="219"/>
        <v>41</v>
      </c>
      <c r="AD235" s="558">
        <f t="shared" si="219"/>
        <v>41</v>
      </c>
      <c r="AE235" s="558">
        <f t="shared" si="219"/>
        <v>41</v>
      </c>
      <c r="AF235" s="558">
        <f t="shared" si="219"/>
        <v>0</v>
      </c>
      <c r="AG235" s="558">
        <f t="shared" si="219"/>
        <v>0</v>
      </c>
      <c r="AH235" s="558">
        <f t="shared" si="219"/>
        <v>0</v>
      </c>
      <c r="AI235" s="558">
        <f t="shared" si="219"/>
        <v>0</v>
      </c>
      <c r="AJ235" s="558">
        <f t="shared" si="219"/>
        <v>0</v>
      </c>
      <c r="AK235" s="558">
        <f t="shared" si="219"/>
        <v>0</v>
      </c>
      <c r="AL235" s="558">
        <f t="shared" si="219"/>
        <v>0</v>
      </c>
      <c r="AM235" s="558">
        <f t="shared" si="219"/>
        <v>0</v>
      </c>
      <c r="AN235" s="558">
        <f t="shared" si="219"/>
        <v>0</v>
      </c>
      <c r="AO235" s="558">
        <f t="shared" si="219"/>
        <v>0</v>
      </c>
    </row>
    <row r="236" spans="2:41" s="204" customFormat="1" outlineLevel="1">
      <c r="B236" s="211" t="s">
        <v>492</v>
      </c>
      <c r="C236" s="202"/>
      <c r="D236" s="202"/>
      <c r="E236" s="202"/>
      <c r="F236" s="202"/>
      <c r="G236" s="202"/>
      <c r="H236" s="202"/>
      <c r="I236" s="202"/>
      <c r="J236" s="202"/>
      <c r="K236" s="202"/>
      <c r="L236" s="202"/>
      <c r="M236" s="202"/>
      <c r="N236" s="202"/>
      <c r="O236" s="202"/>
      <c r="P236" s="202"/>
      <c r="Q236" s="202"/>
      <c r="R236" s="202">
        <f>Q11*R177</f>
        <v>0</v>
      </c>
      <c r="S236" s="202">
        <f>R11*S177</f>
        <v>0</v>
      </c>
      <c r="T236" s="558">
        <f>S11*T177</f>
        <v>0</v>
      </c>
      <c r="U236" s="558">
        <f>T11*U177</f>
        <v>0</v>
      </c>
      <c r="V236" s="558">
        <f>V11*V177*0.5</f>
        <v>8.6020000000000003</v>
      </c>
      <c r="W236" s="558">
        <f>V11*W177</f>
        <v>17.204000000000001</v>
      </c>
      <c r="X236" s="558">
        <f>W11*X177</f>
        <v>17.227</v>
      </c>
      <c r="Y236" s="558">
        <f t="shared" ref="Y236:AO236" si="220">Y11*Y177</f>
        <v>17.227</v>
      </c>
      <c r="Z236" s="558">
        <f t="shared" si="220"/>
        <v>17.25</v>
      </c>
      <c r="AA236" s="558">
        <f t="shared" si="220"/>
        <v>0</v>
      </c>
      <c r="AB236" s="558">
        <f t="shared" si="220"/>
        <v>0</v>
      </c>
      <c r="AC236" s="558">
        <f t="shared" si="220"/>
        <v>0</v>
      </c>
      <c r="AD236" s="558">
        <f t="shared" si="220"/>
        <v>0</v>
      </c>
      <c r="AE236" s="558">
        <f t="shared" si="220"/>
        <v>0</v>
      </c>
      <c r="AF236" s="558">
        <f t="shared" si="220"/>
        <v>0</v>
      </c>
      <c r="AG236" s="558">
        <f t="shared" si="220"/>
        <v>0</v>
      </c>
      <c r="AH236" s="558">
        <f t="shared" si="220"/>
        <v>0</v>
      </c>
      <c r="AI236" s="558">
        <f t="shared" si="220"/>
        <v>0</v>
      </c>
      <c r="AJ236" s="558">
        <f t="shared" si="220"/>
        <v>0</v>
      </c>
      <c r="AK236" s="558">
        <f t="shared" si="220"/>
        <v>0</v>
      </c>
      <c r="AL236" s="558">
        <f t="shared" si="220"/>
        <v>0</v>
      </c>
      <c r="AM236" s="558">
        <f t="shared" si="220"/>
        <v>0</v>
      </c>
      <c r="AN236" s="558">
        <f t="shared" si="220"/>
        <v>0</v>
      </c>
      <c r="AO236" s="558">
        <f t="shared" si="220"/>
        <v>0</v>
      </c>
    </row>
    <row r="237" spans="2:41" s="204" customFormat="1" outlineLevel="1">
      <c r="B237" s="211" t="s">
        <v>493</v>
      </c>
      <c r="C237" s="106"/>
      <c r="D237" s="202"/>
      <c r="E237" s="202"/>
      <c r="F237" s="202"/>
      <c r="G237" s="202"/>
      <c r="H237" s="202"/>
      <c r="I237" s="202"/>
      <c r="J237" s="202"/>
      <c r="K237" s="202"/>
      <c r="L237" s="202"/>
      <c r="M237" s="203"/>
      <c r="N237" s="203"/>
      <c r="O237" s="203"/>
      <c r="P237" s="202"/>
      <c r="Q237" s="202"/>
      <c r="R237" s="202">
        <f t="shared" ref="R237:X237" si="221">Q9*R178</f>
        <v>0</v>
      </c>
      <c r="S237" s="202">
        <f t="shared" si="221"/>
        <v>0</v>
      </c>
      <c r="T237" s="558">
        <f t="shared" si="221"/>
        <v>0</v>
      </c>
      <c r="U237" s="558">
        <f t="shared" si="221"/>
        <v>0</v>
      </c>
      <c r="V237" s="558">
        <f t="shared" si="221"/>
        <v>0</v>
      </c>
      <c r="W237" s="558">
        <f t="shared" si="221"/>
        <v>18.75</v>
      </c>
      <c r="X237" s="558">
        <f t="shared" si="221"/>
        <v>18.75</v>
      </c>
      <c r="Y237" s="558">
        <f t="shared" ref="Y237:AO237" si="222">Y9*Y178</f>
        <v>0</v>
      </c>
      <c r="Z237" s="558">
        <f t="shared" si="222"/>
        <v>0</v>
      </c>
      <c r="AA237" s="558">
        <f t="shared" si="222"/>
        <v>0</v>
      </c>
      <c r="AB237" s="558">
        <f t="shared" si="222"/>
        <v>0</v>
      </c>
      <c r="AC237" s="558">
        <f t="shared" si="222"/>
        <v>0</v>
      </c>
      <c r="AD237" s="558">
        <f t="shared" si="222"/>
        <v>0</v>
      </c>
      <c r="AE237" s="558">
        <f t="shared" si="222"/>
        <v>0</v>
      </c>
      <c r="AF237" s="558">
        <f t="shared" si="222"/>
        <v>0</v>
      </c>
      <c r="AG237" s="558">
        <f t="shared" si="222"/>
        <v>0</v>
      </c>
      <c r="AH237" s="558">
        <f t="shared" si="222"/>
        <v>0</v>
      </c>
      <c r="AI237" s="558">
        <f t="shared" si="222"/>
        <v>0</v>
      </c>
      <c r="AJ237" s="558">
        <f t="shared" si="222"/>
        <v>0</v>
      </c>
      <c r="AK237" s="558">
        <f t="shared" si="222"/>
        <v>0</v>
      </c>
      <c r="AL237" s="558">
        <f t="shared" si="222"/>
        <v>0</v>
      </c>
      <c r="AM237" s="558">
        <f t="shared" si="222"/>
        <v>0</v>
      </c>
      <c r="AN237" s="558">
        <f t="shared" si="222"/>
        <v>0</v>
      </c>
      <c r="AO237" s="558">
        <f t="shared" si="222"/>
        <v>0</v>
      </c>
    </row>
    <row r="238" spans="2:41" s="204" customFormat="1" outlineLevel="1">
      <c r="B238" s="211" t="s">
        <v>494</v>
      </c>
      <c r="C238" s="106"/>
      <c r="D238" s="202"/>
      <c r="E238" s="202"/>
      <c r="F238" s="202"/>
      <c r="G238" s="202"/>
      <c r="H238" s="202"/>
      <c r="I238" s="202"/>
      <c r="J238" s="202"/>
      <c r="K238" s="202"/>
      <c r="L238" s="202"/>
      <c r="M238" s="203"/>
      <c r="N238" s="203"/>
      <c r="O238" s="203"/>
      <c r="P238" s="202"/>
      <c r="Q238" s="202"/>
      <c r="R238" s="202">
        <f t="shared" ref="R238:X238" si="223">Q12*R179</f>
        <v>0</v>
      </c>
      <c r="S238" s="202">
        <f t="shared" si="223"/>
        <v>0</v>
      </c>
      <c r="T238" s="558">
        <f t="shared" si="223"/>
        <v>0</v>
      </c>
      <c r="U238" s="558">
        <f t="shared" si="223"/>
        <v>0</v>
      </c>
      <c r="V238" s="558">
        <f t="shared" si="223"/>
        <v>0</v>
      </c>
      <c r="W238" s="558">
        <f t="shared" si="223"/>
        <v>24.975000000000001</v>
      </c>
      <c r="X238" s="558">
        <f t="shared" si="223"/>
        <v>24.975000000000001</v>
      </c>
      <c r="Y238" s="558">
        <f t="shared" ref="Y238:AO238" si="224">Y12*Y179</f>
        <v>25</v>
      </c>
      <c r="Z238" s="558">
        <f t="shared" si="224"/>
        <v>25</v>
      </c>
      <c r="AA238" s="558">
        <f t="shared" si="224"/>
        <v>0</v>
      </c>
      <c r="AB238" s="558">
        <f t="shared" si="224"/>
        <v>0</v>
      </c>
      <c r="AC238" s="558">
        <f t="shared" si="224"/>
        <v>0</v>
      </c>
      <c r="AD238" s="558">
        <f t="shared" si="224"/>
        <v>0</v>
      </c>
      <c r="AE238" s="558">
        <f t="shared" si="224"/>
        <v>0</v>
      </c>
      <c r="AF238" s="558">
        <f t="shared" si="224"/>
        <v>0</v>
      </c>
      <c r="AG238" s="558">
        <f t="shared" si="224"/>
        <v>0</v>
      </c>
      <c r="AH238" s="558">
        <f t="shared" si="224"/>
        <v>0</v>
      </c>
      <c r="AI238" s="558">
        <f t="shared" si="224"/>
        <v>0</v>
      </c>
      <c r="AJ238" s="558">
        <f t="shared" si="224"/>
        <v>0</v>
      </c>
      <c r="AK238" s="558">
        <f t="shared" si="224"/>
        <v>0</v>
      </c>
      <c r="AL238" s="558">
        <f t="shared" si="224"/>
        <v>0</v>
      </c>
      <c r="AM238" s="558">
        <f t="shared" si="224"/>
        <v>0</v>
      </c>
      <c r="AN238" s="558">
        <f t="shared" si="224"/>
        <v>0</v>
      </c>
      <c r="AO238" s="558">
        <f t="shared" si="224"/>
        <v>0</v>
      </c>
    </row>
    <row r="239" spans="2:41" s="204" customFormat="1" outlineLevel="1">
      <c r="B239" s="564" t="s">
        <v>732</v>
      </c>
      <c r="C239" s="106"/>
      <c r="D239" s="202"/>
      <c r="E239" s="202"/>
      <c r="F239" s="202"/>
      <c r="G239" s="202"/>
      <c r="H239" s="202"/>
      <c r="I239" s="202"/>
      <c r="J239" s="202"/>
      <c r="K239" s="202"/>
      <c r="L239" s="202"/>
      <c r="M239" s="203"/>
      <c r="N239" s="203"/>
      <c r="O239" s="203"/>
      <c r="P239" s="202"/>
      <c r="Q239" s="202"/>
      <c r="R239" s="202"/>
      <c r="S239" s="202"/>
      <c r="T239" s="558">
        <f t="shared" ref="T239:AO239" si="225">T185*T29</f>
        <v>0</v>
      </c>
      <c r="U239" s="558">
        <f t="shared" si="225"/>
        <v>0</v>
      </c>
      <c r="V239" s="558">
        <f t="shared" si="225"/>
        <v>0</v>
      </c>
      <c r="W239" s="558">
        <f t="shared" si="225"/>
        <v>0</v>
      </c>
      <c r="X239" s="558">
        <f t="shared" si="225"/>
        <v>0</v>
      </c>
      <c r="Y239" s="558">
        <f t="shared" si="225"/>
        <v>0</v>
      </c>
      <c r="Z239" s="558">
        <f t="shared" si="225"/>
        <v>15.937500000000002</v>
      </c>
      <c r="AA239" s="558">
        <f t="shared" si="225"/>
        <v>15.937500000000002</v>
      </c>
      <c r="AB239" s="558">
        <f t="shared" si="225"/>
        <v>15.937500000000002</v>
      </c>
      <c r="AC239" s="558">
        <f t="shared" si="225"/>
        <v>15.937500000000002</v>
      </c>
      <c r="AD239" s="558">
        <f t="shared" si="225"/>
        <v>15.937500000000002</v>
      </c>
      <c r="AE239" s="558">
        <f t="shared" si="225"/>
        <v>0</v>
      </c>
      <c r="AF239" s="558">
        <f t="shared" si="225"/>
        <v>0</v>
      </c>
      <c r="AG239" s="558">
        <f t="shared" si="225"/>
        <v>0</v>
      </c>
      <c r="AH239" s="558">
        <f t="shared" si="225"/>
        <v>0</v>
      </c>
      <c r="AI239" s="558">
        <f t="shared" si="225"/>
        <v>0</v>
      </c>
      <c r="AJ239" s="558">
        <f t="shared" si="225"/>
        <v>0</v>
      </c>
      <c r="AK239" s="558">
        <f t="shared" si="225"/>
        <v>0</v>
      </c>
      <c r="AL239" s="558">
        <f t="shared" si="225"/>
        <v>0</v>
      </c>
      <c r="AM239" s="558">
        <f t="shared" si="225"/>
        <v>0</v>
      </c>
      <c r="AN239" s="558">
        <f t="shared" si="225"/>
        <v>0</v>
      </c>
      <c r="AO239" s="558">
        <f t="shared" si="225"/>
        <v>0</v>
      </c>
    </row>
    <row r="240" spans="2:41" s="204" customFormat="1" outlineLevel="1">
      <c r="B240" s="564" t="s">
        <v>733</v>
      </c>
      <c r="C240" s="106"/>
      <c r="D240" s="202"/>
      <c r="E240" s="202"/>
      <c r="F240" s="202"/>
      <c r="G240" s="202"/>
      <c r="H240" s="202"/>
      <c r="I240" s="202"/>
      <c r="J240" s="202"/>
      <c r="K240" s="202"/>
      <c r="L240" s="202"/>
      <c r="M240" s="203"/>
      <c r="N240" s="203"/>
      <c r="O240" s="203"/>
      <c r="P240" s="202"/>
      <c r="Q240" s="202"/>
      <c r="R240" s="202"/>
      <c r="S240" s="202"/>
      <c r="T240" s="558">
        <f t="shared" ref="T240:AO240" si="226">T186*T36</f>
        <v>0</v>
      </c>
      <c r="U240" s="558">
        <f t="shared" si="226"/>
        <v>0</v>
      </c>
      <c r="V240" s="558">
        <f t="shared" si="226"/>
        <v>0</v>
      </c>
      <c r="W240" s="558">
        <f t="shared" si="226"/>
        <v>0</v>
      </c>
      <c r="X240" s="558">
        <f t="shared" si="226"/>
        <v>0</v>
      </c>
      <c r="Y240" s="558">
        <f t="shared" si="226"/>
        <v>0</v>
      </c>
      <c r="Z240" s="558">
        <f t="shared" si="226"/>
        <v>13.472999999999999</v>
      </c>
      <c r="AA240" s="558">
        <f t="shared" si="226"/>
        <v>13.5</v>
      </c>
      <c r="AB240" s="558">
        <f t="shared" si="226"/>
        <v>13.5</v>
      </c>
      <c r="AC240" s="558">
        <f t="shared" si="226"/>
        <v>13.5</v>
      </c>
      <c r="AD240" s="558">
        <f t="shared" si="226"/>
        <v>13.5</v>
      </c>
      <c r="AE240" s="558">
        <f t="shared" si="226"/>
        <v>13.5</v>
      </c>
      <c r="AF240" s="558">
        <f t="shared" si="226"/>
        <v>13.5</v>
      </c>
      <c r="AG240" s="558">
        <f t="shared" si="226"/>
        <v>0</v>
      </c>
      <c r="AH240" s="558">
        <f t="shared" si="226"/>
        <v>0</v>
      </c>
      <c r="AI240" s="558">
        <f t="shared" si="226"/>
        <v>0</v>
      </c>
      <c r="AJ240" s="558">
        <f t="shared" si="226"/>
        <v>0</v>
      </c>
      <c r="AK240" s="558">
        <f t="shared" si="226"/>
        <v>0</v>
      </c>
      <c r="AL240" s="558">
        <f t="shared" si="226"/>
        <v>0</v>
      </c>
      <c r="AM240" s="558">
        <f t="shared" si="226"/>
        <v>0</v>
      </c>
      <c r="AN240" s="558">
        <f t="shared" si="226"/>
        <v>0</v>
      </c>
      <c r="AO240" s="558">
        <f t="shared" si="226"/>
        <v>0</v>
      </c>
    </row>
    <row r="241" spans="2:41" s="204" customFormat="1" outlineLevel="1">
      <c r="B241" s="564" t="s">
        <v>734</v>
      </c>
      <c r="C241" s="106"/>
      <c r="D241" s="202"/>
      <c r="E241" s="202"/>
      <c r="F241" s="202"/>
      <c r="G241" s="202"/>
      <c r="H241" s="202"/>
      <c r="I241" s="202"/>
      <c r="J241" s="202"/>
      <c r="K241" s="202"/>
      <c r="L241" s="202"/>
      <c r="M241" s="203"/>
      <c r="N241" s="203"/>
      <c r="O241" s="203"/>
      <c r="P241" s="202"/>
      <c r="Q241" s="202"/>
      <c r="R241" s="202"/>
      <c r="S241" s="202"/>
      <c r="T241" s="558">
        <f t="shared" ref="T241:AO241" si="227">T187*T42</f>
        <v>0</v>
      </c>
      <c r="U241" s="558">
        <f t="shared" si="227"/>
        <v>0</v>
      </c>
      <c r="V241" s="558">
        <f t="shared" si="227"/>
        <v>0</v>
      </c>
      <c r="W241" s="558">
        <f t="shared" si="227"/>
        <v>0</v>
      </c>
      <c r="X241" s="558">
        <f t="shared" si="227"/>
        <v>0</v>
      </c>
      <c r="Y241" s="558">
        <f t="shared" si="227"/>
        <v>0</v>
      </c>
      <c r="Z241" s="558">
        <f t="shared" si="227"/>
        <v>31.09375</v>
      </c>
      <c r="AA241" s="558">
        <f t="shared" si="227"/>
        <v>31.25</v>
      </c>
      <c r="AB241" s="558">
        <f t="shared" si="227"/>
        <v>31.25</v>
      </c>
      <c r="AC241" s="558">
        <f t="shared" si="227"/>
        <v>31.25</v>
      </c>
      <c r="AD241" s="558">
        <f t="shared" si="227"/>
        <v>31.25</v>
      </c>
      <c r="AE241" s="558">
        <f t="shared" si="227"/>
        <v>31.25</v>
      </c>
      <c r="AF241" s="558">
        <f t="shared" si="227"/>
        <v>31.25</v>
      </c>
      <c r="AG241" s="558">
        <f t="shared" si="227"/>
        <v>31.25</v>
      </c>
      <c r="AH241" s="558">
        <f t="shared" si="227"/>
        <v>31.25</v>
      </c>
      <c r="AI241" s="558">
        <f t="shared" si="227"/>
        <v>31.25</v>
      </c>
      <c r="AJ241" s="558">
        <f t="shared" si="227"/>
        <v>0</v>
      </c>
      <c r="AK241" s="558">
        <f t="shared" si="227"/>
        <v>0</v>
      </c>
      <c r="AL241" s="558">
        <f t="shared" si="227"/>
        <v>0</v>
      </c>
      <c r="AM241" s="558">
        <f t="shared" si="227"/>
        <v>0</v>
      </c>
      <c r="AN241" s="558">
        <f t="shared" si="227"/>
        <v>0</v>
      </c>
      <c r="AO241" s="558">
        <f t="shared" si="227"/>
        <v>0</v>
      </c>
    </row>
    <row r="242" spans="2:41" s="204" customFormat="1" outlineLevel="1">
      <c r="B242" s="564" t="s">
        <v>735</v>
      </c>
      <c r="C242" s="106"/>
      <c r="D242" s="202"/>
      <c r="E242" s="202"/>
      <c r="F242" s="202"/>
      <c r="G242" s="202"/>
      <c r="H242" s="202"/>
      <c r="I242" s="202"/>
      <c r="J242" s="202"/>
      <c r="K242" s="202"/>
      <c r="L242" s="202"/>
      <c r="M242" s="203"/>
      <c r="N242" s="203"/>
      <c r="O242" s="203"/>
      <c r="P242" s="202"/>
      <c r="Q242" s="202"/>
      <c r="R242" s="202"/>
      <c r="S242" s="202"/>
      <c r="T242" s="558">
        <f t="shared" ref="T242:AO242" si="228">T188*T57</f>
        <v>0</v>
      </c>
      <c r="U242" s="558">
        <f t="shared" si="228"/>
        <v>0</v>
      </c>
      <c r="V242" s="558">
        <f t="shared" si="228"/>
        <v>0</v>
      </c>
      <c r="W242" s="558">
        <f t="shared" si="228"/>
        <v>0</v>
      </c>
      <c r="X242" s="558">
        <f t="shared" si="228"/>
        <v>0</v>
      </c>
      <c r="Y242" s="558">
        <f t="shared" si="228"/>
        <v>0</v>
      </c>
      <c r="Z242" s="558">
        <f t="shared" si="228"/>
        <v>54.692</v>
      </c>
      <c r="AA242" s="558">
        <f t="shared" si="228"/>
        <v>99</v>
      </c>
      <c r="AB242" s="558">
        <f t="shared" si="228"/>
        <v>99</v>
      </c>
      <c r="AC242" s="558">
        <f t="shared" si="228"/>
        <v>99</v>
      </c>
      <c r="AD242" s="558">
        <f t="shared" si="228"/>
        <v>99</v>
      </c>
      <c r="AE242" s="558">
        <f t="shared" si="228"/>
        <v>99</v>
      </c>
      <c r="AF242" s="558">
        <f t="shared" si="228"/>
        <v>99</v>
      </c>
      <c r="AG242" s="558">
        <f t="shared" si="228"/>
        <v>99</v>
      </c>
      <c r="AH242" s="558">
        <f t="shared" si="228"/>
        <v>99</v>
      </c>
      <c r="AI242" s="558">
        <f t="shared" si="228"/>
        <v>99</v>
      </c>
      <c r="AJ242" s="558">
        <f t="shared" si="228"/>
        <v>99</v>
      </c>
      <c r="AK242" s="558">
        <f t="shared" si="228"/>
        <v>99</v>
      </c>
      <c r="AL242" s="558">
        <f t="shared" si="228"/>
        <v>99</v>
      </c>
      <c r="AM242" s="558">
        <f t="shared" si="228"/>
        <v>99</v>
      </c>
      <c r="AN242" s="558">
        <f t="shared" si="228"/>
        <v>99</v>
      </c>
      <c r="AO242" s="558">
        <f t="shared" si="228"/>
        <v>99</v>
      </c>
    </row>
    <row r="243" spans="2:41" s="204" customFormat="1" outlineLevel="1">
      <c r="B243" s="211" t="s">
        <v>495</v>
      </c>
      <c r="C243" s="106"/>
      <c r="D243" s="202"/>
      <c r="E243" s="202"/>
      <c r="F243" s="202"/>
      <c r="G243" s="202"/>
      <c r="H243" s="202"/>
      <c r="I243" s="202"/>
      <c r="J243" s="202"/>
      <c r="K243" s="202"/>
      <c r="L243" s="202"/>
      <c r="M243" s="203"/>
      <c r="N243" s="203"/>
      <c r="O243" s="203"/>
      <c r="P243" s="202"/>
      <c r="Q243" s="202"/>
      <c r="R243" s="202">
        <f t="shared" ref="R243:X243" si="229">Q33*R180</f>
        <v>0</v>
      </c>
      <c r="S243" s="202">
        <f t="shared" si="229"/>
        <v>0</v>
      </c>
      <c r="T243" s="558">
        <f t="shared" si="229"/>
        <v>0</v>
      </c>
      <c r="U243" s="558">
        <f t="shared" si="229"/>
        <v>0</v>
      </c>
      <c r="V243" s="558">
        <f t="shared" si="229"/>
        <v>0</v>
      </c>
      <c r="W243" s="558">
        <f t="shared" si="229"/>
        <v>67.618750000000006</v>
      </c>
      <c r="X243" s="558">
        <f t="shared" si="229"/>
        <v>67.618750000000006</v>
      </c>
      <c r="Y243" s="558">
        <f t="shared" ref="Y243:AO243" si="230">Y33*Y180</f>
        <v>67.696250000000006</v>
      </c>
      <c r="Z243" s="558">
        <f t="shared" si="230"/>
        <v>67.696250000000006</v>
      </c>
      <c r="AA243" s="558">
        <f t="shared" si="230"/>
        <v>67.8125</v>
      </c>
      <c r="AB243" s="558">
        <f t="shared" si="230"/>
        <v>67.8125</v>
      </c>
      <c r="AC243" s="558">
        <f t="shared" si="230"/>
        <v>67.8125</v>
      </c>
      <c r="AD243" s="558">
        <f t="shared" si="230"/>
        <v>67.8125</v>
      </c>
      <c r="AE243" s="558">
        <f t="shared" si="230"/>
        <v>67.8125</v>
      </c>
      <c r="AF243" s="558">
        <f t="shared" si="230"/>
        <v>0</v>
      </c>
      <c r="AG243" s="558">
        <f t="shared" si="230"/>
        <v>0</v>
      </c>
      <c r="AH243" s="558">
        <f t="shared" si="230"/>
        <v>0</v>
      </c>
      <c r="AI243" s="558">
        <f t="shared" si="230"/>
        <v>0</v>
      </c>
      <c r="AJ243" s="558">
        <f t="shared" si="230"/>
        <v>0</v>
      </c>
      <c r="AK243" s="558">
        <f t="shared" si="230"/>
        <v>0</v>
      </c>
      <c r="AL243" s="558">
        <f t="shared" si="230"/>
        <v>0</v>
      </c>
      <c r="AM243" s="558">
        <f t="shared" si="230"/>
        <v>0</v>
      </c>
      <c r="AN243" s="558">
        <f t="shared" si="230"/>
        <v>0</v>
      </c>
      <c r="AO243" s="558">
        <f t="shared" si="230"/>
        <v>0</v>
      </c>
    </row>
    <row r="244" spans="2:41" s="204" customFormat="1" outlineLevel="1">
      <c r="B244" s="564" t="s">
        <v>496</v>
      </c>
      <c r="C244" s="106"/>
      <c r="D244" s="202"/>
      <c r="E244" s="202"/>
      <c r="F244" s="202"/>
      <c r="G244" s="202"/>
      <c r="H244" s="202"/>
      <c r="I244" s="202"/>
      <c r="J244" s="202"/>
      <c r="K244" s="202"/>
      <c r="L244" s="202"/>
      <c r="M244" s="203"/>
      <c r="N244" s="203"/>
      <c r="O244" s="203"/>
      <c r="P244" s="202"/>
      <c r="Q244" s="202"/>
      <c r="R244" s="202">
        <f t="shared" ref="R244:X244" si="231">Q54*R181</f>
        <v>0</v>
      </c>
      <c r="S244" s="202">
        <f t="shared" si="231"/>
        <v>0</v>
      </c>
      <c r="T244" s="558">
        <f t="shared" si="231"/>
        <v>0</v>
      </c>
      <c r="U244" s="558">
        <f t="shared" si="231"/>
        <v>0</v>
      </c>
      <c r="V244" s="558">
        <f t="shared" si="231"/>
        <v>0</v>
      </c>
      <c r="W244" s="558">
        <f t="shared" si="231"/>
        <v>114.94799999999999</v>
      </c>
      <c r="X244" s="558">
        <f t="shared" si="231"/>
        <v>114.94799999999999</v>
      </c>
      <c r="Y244" s="558">
        <f t="shared" ref="Y244:AO244" si="232">Y54*Y181</f>
        <v>114.9995</v>
      </c>
      <c r="Z244" s="558">
        <f t="shared" si="232"/>
        <v>115.05099999999999</v>
      </c>
      <c r="AA244" s="558">
        <f t="shared" si="232"/>
        <v>50.160999999999994</v>
      </c>
      <c r="AB244" s="558">
        <f t="shared" si="232"/>
        <v>50.160999999999994</v>
      </c>
      <c r="AC244" s="558">
        <f t="shared" si="232"/>
        <v>50.160999999999994</v>
      </c>
      <c r="AD244" s="558">
        <f t="shared" si="232"/>
        <v>50.160999999999994</v>
      </c>
      <c r="AE244" s="558">
        <f t="shared" si="232"/>
        <v>50.160999999999994</v>
      </c>
      <c r="AF244" s="558">
        <f t="shared" si="232"/>
        <v>50.160999999999994</v>
      </c>
      <c r="AG244" s="558">
        <f t="shared" si="232"/>
        <v>50.160999999999994</v>
      </c>
      <c r="AH244" s="558">
        <f t="shared" si="232"/>
        <v>50.160999999999994</v>
      </c>
      <c r="AI244" s="558">
        <f t="shared" si="232"/>
        <v>50.160999999999994</v>
      </c>
      <c r="AJ244" s="558">
        <f t="shared" si="232"/>
        <v>50.160999999999994</v>
      </c>
      <c r="AK244" s="558">
        <f t="shared" si="232"/>
        <v>50.160999999999994</v>
      </c>
      <c r="AL244" s="558">
        <f t="shared" si="232"/>
        <v>50.160999999999994</v>
      </c>
      <c r="AM244" s="558">
        <f t="shared" si="232"/>
        <v>50.160999999999994</v>
      </c>
      <c r="AN244" s="558">
        <f t="shared" si="232"/>
        <v>50.160999999999994</v>
      </c>
      <c r="AO244" s="558">
        <f t="shared" si="232"/>
        <v>50.160999999999994</v>
      </c>
    </row>
    <row r="245" spans="2:41" s="204" customFormat="1" outlineLevel="1">
      <c r="B245" s="211" t="s">
        <v>497</v>
      </c>
      <c r="C245" s="106"/>
      <c r="D245" s="202"/>
      <c r="E245" s="202"/>
      <c r="F245" s="202"/>
      <c r="G245" s="202"/>
      <c r="H245" s="202"/>
      <c r="I245" s="202"/>
      <c r="J245" s="202"/>
      <c r="K245" s="202"/>
      <c r="L245" s="202"/>
      <c r="M245" s="203"/>
      <c r="N245" s="203"/>
      <c r="O245" s="203"/>
      <c r="P245" s="202"/>
      <c r="Q245" s="202"/>
      <c r="R245" s="202">
        <f t="shared" ref="R245:X245" si="233">Q21*R182</f>
        <v>0</v>
      </c>
      <c r="S245" s="202">
        <f t="shared" si="233"/>
        <v>0</v>
      </c>
      <c r="T245" s="558">
        <f t="shared" si="233"/>
        <v>0</v>
      </c>
      <c r="U245" s="558">
        <f t="shared" si="233"/>
        <v>0</v>
      </c>
      <c r="V245" s="558">
        <f t="shared" si="233"/>
        <v>0</v>
      </c>
      <c r="W245" s="558">
        <f t="shared" si="233"/>
        <v>31.237499999999997</v>
      </c>
      <c r="X245" s="558">
        <f t="shared" si="233"/>
        <v>31.631249999999998</v>
      </c>
      <c r="Y245" s="558">
        <f t="shared" ref="Y245:AO245" si="234">Y21*Y182</f>
        <v>29.224999999999998</v>
      </c>
      <c r="Z245" s="558">
        <f t="shared" si="234"/>
        <v>26.162499999999998</v>
      </c>
      <c r="AA245" s="558">
        <f t="shared" si="234"/>
        <v>25.243749999999999</v>
      </c>
      <c r="AB245" s="558">
        <f t="shared" si="234"/>
        <v>28.568749999999998</v>
      </c>
      <c r="AC245" s="558">
        <f t="shared" si="234"/>
        <v>0</v>
      </c>
      <c r="AD245" s="558">
        <f t="shared" si="234"/>
        <v>0</v>
      </c>
      <c r="AE245" s="558">
        <f t="shared" si="234"/>
        <v>0</v>
      </c>
      <c r="AF245" s="558">
        <f t="shared" si="234"/>
        <v>0</v>
      </c>
      <c r="AG245" s="558">
        <f t="shared" si="234"/>
        <v>0</v>
      </c>
      <c r="AH245" s="558">
        <f t="shared" si="234"/>
        <v>0</v>
      </c>
      <c r="AI245" s="558">
        <f t="shared" si="234"/>
        <v>0</v>
      </c>
      <c r="AJ245" s="558">
        <f t="shared" si="234"/>
        <v>0</v>
      </c>
      <c r="AK245" s="558">
        <f t="shared" si="234"/>
        <v>0</v>
      </c>
      <c r="AL245" s="558">
        <f t="shared" si="234"/>
        <v>0</v>
      </c>
      <c r="AM245" s="558">
        <f t="shared" si="234"/>
        <v>0</v>
      </c>
      <c r="AN245" s="558">
        <f t="shared" si="234"/>
        <v>0</v>
      </c>
      <c r="AO245" s="558">
        <f t="shared" si="234"/>
        <v>0</v>
      </c>
    </row>
    <row r="246" spans="2:41" s="204" customFormat="1" outlineLevel="1">
      <c r="B246" s="211" t="s">
        <v>498</v>
      </c>
      <c r="C246" s="106"/>
      <c r="D246" s="202"/>
      <c r="E246" s="202"/>
      <c r="F246" s="202"/>
      <c r="G246" s="202"/>
      <c r="H246" s="202"/>
      <c r="I246" s="202"/>
      <c r="J246" s="202"/>
      <c r="K246" s="202"/>
      <c r="L246" s="202"/>
      <c r="M246" s="203"/>
      <c r="N246" s="203"/>
      <c r="O246" s="203"/>
      <c r="P246" s="202"/>
      <c r="Q246" s="202"/>
      <c r="R246" s="202">
        <f t="shared" ref="R246:X246" si="235">Q44*R183</f>
        <v>0</v>
      </c>
      <c r="S246" s="202">
        <f t="shared" si="235"/>
        <v>0</v>
      </c>
      <c r="T246" s="558">
        <f t="shared" si="235"/>
        <v>0</v>
      </c>
      <c r="U246" s="558">
        <f t="shared" si="235"/>
        <v>0</v>
      </c>
      <c r="V246" s="558">
        <f t="shared" si="235"/>
        <v>0</v>
      </c>
      <c r="W246" s="558">
        <f t="shared" si="235"/>
        <v>40.645000000000003</v>
      </c>
      <c r="X246" s="558">
        <f t="shared" si="235"/>
        <v>41.965000000000003</v>
      </c>
      <c r="Y246" s="558">
        <f t="shared" ref="Y246:AO246" si="236">Y44*Y183</f>
        <v>40.424999999999997</v>
      </c>
      <c r="Z246" s="558">
        <f t="shared" si="236"/>
        <v>38.28</v>
      </c>
      <c r="AA246" s="558">
        <f t="shared" si="236"/>
        <v>32.229999999999997</v>
      </c>
      <c r="AB246" s="558">
        <f t="shared" si="236"/>
        <v>35.31</v>
      </c>
      <c r="AC246" s="558">
        <f t="shared" si="236"/>
        <v>35.31</v>
      </c>
      <c r="AD246" s="558">
        <f t="shared" si="236"/>
        <v>35.31</v>
      </c>
      <c r="AE246" s="558">
        <f t="shared" si="236"/>
        <v>35.31</v>
      </c>
      <c r="AF246" s="558">
        <f t="shared" si="236"/>
        <v>35.31</v>
      </c>
      <c r="AG246" s="558">
        <f t="shared" si="236"/>
        <v>35.31</v>
      </c>
      <c r="AH246" s="558">
        <f t="shared" si="236"/>
        <v>35.31</v>
      </c>
      <c r="AI246" s="558">
        <f t="shared" si="236"/>
        <v>35.31</v>
      </c>
      <c r="AJ246" s="558">
        <f t="shared" si="236"/>
        <v>35.31</v>
      </c>
      <c r="AK246" s="558">
        <f t="shared" si="236"/>
        <v>0</v>
      </c>
      <c r="AL246" s="558">
        <f t="shared" si="236"/>
        <v>0</v>
      </c>
      <c r="AM246" s="558">
        <f t="shared" si="236"/>
        <v>0</v>
      </c>
      <c r="AN246" s="558">
        <f t="shared" si="236"/>
        <v>0</v>
      </c>
      <c r="AO246" s="558">
        <f t="shared" si="236"/>
        <v>0</v>
      </c>
    </row>
    <row r="247" spans="2:41" s="204" customFormat="1" outlineLevel="1">
      <c r="B247" s="211" t="s">
        <v>499</v>
      </c>
      <c r="C247" s="106"/>
      <c r="D247" s="202"/>
      <c r="E247" s="202"/>
      <c r="F247" s="202"/>
      <c r="G247" s="202"/>
      <c r="H247" s="202"/>
      <c r="I247" s="202"/>
      <c r="J247" s="202"/>
      <c r="K247" s="202"/>
      <c r="L247" s="202"/>
      <c r="M247" s="203"/>
      <c r="N247" s="203"/>
      <c r="O247" s="203"/>
      <c r="P247" s="202"/>
      <c r="Q247" s="238"/>
      <c r="R247" s="202">
        <f>Q16*R184</f>
        <v>0</v>
      </c>
      <c r="S247" s="202">
        <f>R16*S184</f>
        <v>0</v>
      </c>
      <c r="T247" s="558">
        <f>S16*T184</f>
        <v>0</v>
      </c>
      <c r="U247" s="558">
        <f>T16*U184</f>
        <v>0</v>
      </c>
      <c r="V247" s="558">
        <f>U16*V184</f>
        <v>0</v>
      </c>
      <c r="W247" s="558">
        <f>5/8*X247</f>
        <v>16.575000000000003</v>
      </c>
      <c r="X247" s="558">
        <f>W16*X184</f>
        <v>26.520000000000003</v>
      </c>
      <c r="Y247" s="558">
        <f t="shared" ref="Y247:AO247" si="237">Y16*Y184</f>
        <v>26.541250000000002</v>
      </c>
      <c r="Z247" s="558">
        <f t="shared" si="237"/>
        <v>26.541250000000002</v>
      </c>
      <c r="AA247" s="558">
        <f t="shared" si="237"/>
        <v>26.562500000000004</v>
      </c>
      <c r="AB247" s="558">
        <f t="shared" si="237"/>
        <v>0</v>
      </c>
      <c r="AC247" s="558">
        <f t="shared" si="237"/>
        <v>0</v>
      </c>
      <c r="AD247" s="558">
        <f t="shared" si="237"/>
        <v>0</v>
      </c>
      <c r="AE247" s="558">
        <f t="shared" si="237"/>
        <v>0</v>
      </c>
      <c r="AF247" s="558">
        <f t="shared" si="237"/>
        <v>0</v>
      </c>
      <c r="AG247" s="558">
        <f t="shared" si="237"/>
        <v>0</v>
      </c>
      <c r="AH247" s="558">
        <f t="shared" si="237"/>
        <v>0</v>
      </c>
      <c r="AI247" s="558">
        <f t="shared" si="237"/>
        <v>0</v>
      </c>
      <c r="AJ247" s="558">
        <f t="shared" si="237"/>
        <v>0</v>
      </c>
      <c r="AK247" s="558">
        <f t="shared" si="237"/>
        <v>0</v>
      </c>
      <c r="AL247" s="558">
        <f t="shared" si="237"/>
        <v>0</v>
      </c>
      <c r="AM247" s="558">
        <f t="shared" si="237"/>
        <v>0</v>
      </c>
      <c r="AN247" s="558">
        <f t="shared" si="237"/>
        <v>0</v>
      </c>
      <c r="AO247" s="558">
        <f t="shared" si="237"/>
        <v>0</v>
      </c>
    </row>
    <row r="248" spans="2:41" s="204" customFormat="1" outlineLevel="1">
      <c r="B248" s="564" t="s">
        <v>799</v>
      </c>
      <c r="C248" s="106"/>
      <c r="D248" s="202"/>
      <c r="E248" s="202"/>
      <c r="F248" s="202"/>
      <c r="G248" s="202"/>
      <c r="H248" s="202"/>
      <c r="I248" s="202"/>
      <c r="J248" s="202"/>
      <c r="K248" s="202"/>
      <c r="L248" s="202"/>
      <c r="M248" s="203"/>
      <c r="N248" s="203"/>
      <c r="O248" s="203"/>
      <c r="P248" s="202"/>
      <c r="Q248" s="202"/>
      <c r="R248" s="202">
        <f>Q35*R189</f>
        <v>0</v>
      </c>
      <c r="S248" s="202">
        <f>R35*S189</f>
        <v>0</v>
      </c>
      <c r="T248" s="558">
        <f>S35*T189</f>
        <v>0</v>
      </c>
      <c r="U248" s="558">
        <f>T35*U189</f>
        <v>0</v>
      </c>
      <c r="V248" s="558">
        <f>U35*V189</f>
        <v>0</v>
      </c>
      <c r="W248" s="558">
        <f>5/8*X248</f>
        <v>16.924218750000001</v>
      </c>
      <c r="X248" s="558">
        <f>W35*X189</f>
        <v>27.078749999999999</v>
      </c>
      <c r="Y248" s="558">
        <f t="shared" ref="Y248:AO248" si="238">Y35*Y189</f>
        <v>27.078749999999999</v>
      </c>
      <c r="Z248" s="558">
        <f t="shared" si="238"/>
        <v>27.114999999999998</v>
      </c>
      <c r="AA248" s="558">
        <f t="shared" si="238"/>
        <v>27.187499999999996</v>
      </c>
      <c r="AB248" s="558">
        <f t="shared" si="238"/>
        <v>27.187499999999996</v>
      </c>
      <c r="AC248" s="558">
        <f t="shared" si="238"/>
        <v>27.187499999999996</v>
      </c>
      <c r="AD248" s="558">
        <f t="shared" si="238"/>
        <v>27.187499999999996</v>
      </c>
      <c r="AE248" s="558">
        <f t="shared" si="238"/>
        <v>27.187499999999996</v>
      </c>
      <c r="AF248" s="558">
        <f t="shared" si="238"/>
        <v>27.187499999999996</v>
      </c>
      <c r="AG248" s="558">
        <f t="shared" si="238"/>
        <v>0</v>
      </c>
      <c r="AH248" s="558">
        <f t="shared" si="238"/>
        <v>0</v>
      </c>
      <c r="AI248" s="558">
        <f t="shared" si="238"/>
        <v>0</v>
      </c>
      <c r="AJ248" s="558">
        <f t="shared" si="238"/>
        <v>0</v>
      </c>
      <c r="AK248" s="558">
        <f t="shared" si="238"/>
        <v>0</v>
      </c>
      <c r="AL248" s="558">
        <f t="shared" si="238"/>
        <v>0</v>
      </c>
      <c r="AM248" s="558">
        <f t="shared" si="238"/>
        <v>0</v>
      </c>
      <c r="AN248" s="558">
        <f t="shared" si="238"/>
        <v>0</v>
      </c>
      <c r="AO248" s="558">
        <f t="shared" si="238"/>
        <v>0</v>
      </c>
    </row>
    <row r="249" spans="2:41" s="204" customFormat="1" outlineLevel="1">
      <c r="B249" s="211" t="s">
        <v>500</v>
      </c>
      <c r="C249" s="106"/>
      <c r="D249" s="202"/>
      <c r="E249" s="202"/>
      <c r="F249" s="202"/>
      <c r="G249" s="202"/>
      <c r="H249" s="202"/>
      <c r="I249" s="202"/>
      <c r="J249" s="202"/>
      <c r="K249" s="202"/>
      <c r="L249" s="202"/>
      <c r="M249" s="203"/>
      <c r="N249" s="203"/>
      <c r="O249" s="203"/>
      <c r="P249" s="202"/>
      <c r="Q249" s="202"/>
      <c r="R249" s="202">
        <f>Q56*R190</f>
        <v>0</v>
      </c>
      <c r="S249" s="202">
        <f>R56*S190</f>
        <v>0</v>
      </c>
      <c r="T249" s="558">
        <f>S56*T190</f>
        <v>0</v>
      </c>
      <c r="U249" s="558">
        <f>T56*U190</f>
        <v>0</v>
      </c>
      <c r="V249" s="558">
        <f>U56*V190</f>
        <v>0</v>
      </c>
      <c r="W249" s="558">
        <f>5/8*X249</f>
        <v>33.59375</v>
      </c>
      <c r="X249" s="558">
        <f>W56*X190</f>
        <v>53.75</v>
      </c>
      <c r="Y249" s="558">
        <f t="shared" ref="Y249:AO249" si="239">Y56*Y190</f>
        <v>53.75</v>
      </c>
      <c r="Z249" s="558">
        <f t="shared" si="239"/>
        <v>53.75</v>
      </c>
      <c r="AA249" s="558">
        <f t="shared" si="239"/>
        <v>14.02875</v>
      </c>
      <c r="AB249" s="558">
        <f t="shared" si="239"/>
        <v>14.02875</v>
      </c>
      <c r="AC249" s="558">
        <f t="shared" si="239"/>
        <v>14.02875</v>
      </c>
      <c r="AD249" s="558">
        <f t="shared" si="239"/>
        <v>14.02875</v>
      </c>
      <c r="AE249" s="558">
        <f t="shared" si="239"/>
        <v>14.02875</v>
      </c>
      <c r="AF249" s="558">
        <f t="shared" si="239"/>
        <v>14.02875</v>
      </c>
      <c r="AG249" s="558">
        <f t="shared" si="239"/>
        <v>14.02875</v>
      </c>
      <c r="AH249" s="558">
        <f t="shared" si="239"/>
        <v>14.02875</v>
      </c>
      <c r="AI249" s="558">
        <f t="shared" si="239"/>
        <v>14.02875</v>
      </c>
      <c r="AJ249" s="558">
        <f t="shared" si="239"/>
        <v>14.02875</v>
      </c>
      <c r="AK249" s="558">
        <f t="shared" si="239"/>
        <v>14.02875</v>
      </c>
      <c r="AL249" s="558">
        <f t="shared" si="239"/>
        <v>14.02875</v>
      </c>
      <c r="AM249" s="558">
        <f t="shared" si="239"/>
        <v>14.02875</v>
      </c>
      <c r="AN249" s="558">
        <f t="shared" si="239"/>
        <v>14.02875</v>
      </c>
      <c r="AO249" s="558">
        <f t="shared" si="239"/>
        <v>14.02875</v>
      </c>
    </row>
    <row r="250" spans="2:41" s="204" customFormat="1" outlineLevel="1">
      <c r="B250" s="630" t="s">
        <v>706</v>
      </c>
      <c r="C250" s="106"/>
      <c r="D250" s="202"/>
      <c r="E250" s="202"/>
      <c r="F250" s="202"/>
      <c r="G250" s="202"/>
      <c r="H250" s="202"/>
      <c r="I250" s="202"/>
      <c r="J250" s="202"/>
      <c r="K250" s="202"/>
      <c r="L250" s="202"/>
      <c r="M250" s="203"/>
      <c r="N250" s="203"/>
      <c r="O250" s="203"/>
      <c r="P250" s="202"/>
      <c r="Q250" s="202"/>
      <c r="R250" s="202"/>
      <c r="S250" s="202"/>
      <c r="T250" s="558"/>
      <c r="U250" s="558"/>
      <c r="V250" s="558"/>
      <c r="W250" s="558"/>
      <c r="X250" s="558"/>
      <c r="Y250" s="632">
        <f>Y14*Y191*3/4</f>
        <v>2.7449999999999997</v>
      </c>
      <c r="Z250" s="632">
        <f t="shared" ref="Z250:AO250" si="240">Z14*Z191</f>
        <v>3.6599999999999997</v>
      </c>
      <c r="AA250" s="632">
        <f t="shared" si="240"/>
        <v>3.6599999999999997</v>
      </c>
      <c r="AB250" s="632">
        <f t="shared" si="240"/>
        <v>0</v>
      </c>
      <c r="AC250" s="632">
        <f t="shared" si="240"/>
        <v>0</v>
      </c>
      <c r="AD250" s="632">
        <f t="shared" si="240"/>
        <v>0</v>
      </c>
      <c r="AE250" s="632">
        <f t="shared" si="240"/>
        <v>0</v>
      </c>
      <c r="AF250" s="558">
        <f t="shared" si="240"/>
        <v>0</v>
      </c>
      <c r="AG250" s="558">
        <f t="shared" si="240"/>
        <v>0</v>
      </c>
      <c r="AH250" s="558">
        <f t="shared" si="240"/>
        <v>0</v>
      </c>
      <c r="AI250" s="558">
        <f t="shared" si="240"/>
        <v>0</v>
      </c>
      <c r="AJ250" s="558">
        <f t="shared" si="240"/>
        <v>0</v>
      </c>
      <c r="AK250" s="558">
        <f t="shared" si="240"/>
        <v>0</v>
      </c>
      <c r="AL250" s="558">
        <f t="shared" si="240"/>
        <v>0</v>
      </c>
      <c r="AM250" s="558">
        <f t="shared" si="240"/>
        <v>0</v>
      </c>
      <c r="AN250" s="558">
        <f t="shared" si="240"/>
        <v>0</v>
      </c>
      <c r="AO250" s="558">
        <f t="shared" si="240"/>
        <v>0</v>
      </c>
    </row>
    <row r="251" spans="2:41" s="204" customFormat="1" outlineLevel="1">
      <c r="B251" s="630" t="s">
        <v>708</v>
      </c>
      <c r="C251" s="106"/>
      <c r="D251" s="202"/>
      <c r="E251" s="202"/>
      <c r="F251" s="202"/>
      <c r="G251" s="202"/>
      <c r="H251" s="202"/>
      <c r="I251" s="202"/>
      <c r="J251" s="202"/>
      <c r="K251" s="202"/>
      <c r="L251" s="202"/>
      <c r="M251" s="203"/>
      <c r="N251" s="203"/>
      <c r="O251" s="203"/>
      <c r="P251" s="202"/>
      <c r="Q251" s="202"/>
      <c r="R251" s="202"/>
      <c r="S251" s="202"/>
      <c r="T251" s="558"/>
      <c r="U251" s="558"/>
      <c r="V251" s="558"/>
      <c r="W251" s="558"/>
      <c r="X251" s="558"/>
      <c r="Y251" s="632">
        <f>Y15*Y192*3/4</f>
        <v>7.9593750000000005</v>
      </c>
      <c r="Z251" s="632">
        <f t="shared" ref="Z251:AO251" si="241">Z15*Z192</f>
        <v>10.612500000000001</v>
      </c>
      <c r="AA251" s="632">
        <f t="shared" si="241"/>
        <v>10.625</v>
      </c>
      <c r="AB251" s="632">
        <f t="shared" si="241"/>
        <v>0</v>
      </c>
      <c r="AC251" s="632">
        <f t="shared" si="241"/>
        <v>0</v>
      </c>
      <c r="AD251" s="632">
        <f t="shared" si="241"/>
        <v>0</v>
      </c>
      <c r="AE251" s="632">
        <f t="shared" si="241"/>
        <v>0</v>
      </c>
      <c r="AF251" s="558">
        <f t="shared" si="241"/>
        <v>0</v>
      </c>
      <c r="AG251" s="558">
        <f t="shared" si="241"/>
        <v>0</v>
      </c>
      <c r="AH251" s="558">
        <f t="shared" si="241"/>
        <v>0</v>
      </c>
      <c r="AI251" s="558">
        <f t="shared" si="241"/>
        <v>0</v>
      </c>
      <c r="AJ251" s="558">
        <f t="shared" si="241"/>
        <v>0</v>
      </c>
      <c r="AK251" s="558">
        <f t="shared" si="241"/>
        <v>0</v>
      </c>
      <c r="AL251" s="558">
        <f t="shared" si="241"/>
        <v>0</v>
      </c>
      <c r="AM251" s="558">
        <f t="shared" si="241"/>
        <v>0</v>
      </c>
      <c r="AN251" s="558">
        <f t="shared" si="241"/>
        <v>0</v>
      </c>
      <c r="AO251" s="558">
        <f t="shared" si="241"/>
        <v>0</v>
      </c>
    </row>
    <row r="252" spans="2:41" s="204" customFormat="1" outlineLevel="1">
      <c r="B252" s="630" t="s">
        <v>707</v>
      </c>
      <c r="C252" s="106"/>
      <c r="D252" s="202"/>
      <c r="E252" s="202"/>
      <c r="F252" s="202"/>
      <c r="G252" s="202"/>
      <c r="H252" s="202"/>
      <c r="I252" s="202"/>
      <c r="J252" s="202"/>
      <c r="K252" s="202"/>
      <c r="L252" s="202"/>
      <c r="M252" s="203"/>
      <c r="N252" s="203"/>
      <c r="O252" s="203"/>
      <c r="P252" s="202"/>
      <c r="Q252" s="202"/>
      <c r="R252" s="202"/>
      <c r="S252" s="202"/>
      <c r="T252" s="558"/>
      <c r="U252" s="558"/>
      <c r="V252" s="558"/>
      <c r="W252" s="558"/>
      <c r="X252" s="558"/>
      <c r="Y252" s="632">
        <f>Y22*Y193*3/4</f>
        <v>1.5562500000000001</v>
      </c>
      <c r="Z252" s="632">
        <f t="shared" ref="Z252:AO252" si="242">Z22*Z193</f>
        <v>2.0750000000000002</v>
      </c>
      <c r="AA252" s="632">
        <f t="shared" si="242"/>
        <v>2.0750000000000002</v>
      </c>
      <c r="AB252" s="632">
        <f t="shared" si="242"/>
        <v>4.5650000000000004</v>
      </c>
      <c r="AC252" s="632">
        <f t="shared" si="242"/>
        <v>4.5650000000000004</v>
      </c>
      <c r="AD252" s="632">
        <f t="shared" si="242"/>
        <v>0</v>
      </c>
      <c r="AE252" s="632">
        <f t="shared" si="242"/>
        <v>0</v>
      </c>
      <c r="AF252" s="558">
        <f t="shared" si="242"/>
        <v>0</v>
      </c>
      <c r="AG252" s="558">
        <f t="shared" si="242"/>
        <v>0</v>
      </c>
      <c r="AH252" s="558">
        <f t="shared" si="242"/>
        <v>0</v>
      </c>
      <c r="AI252" s="558">
        <f t="shared" si="242"/>
        <v>0</v>
      </c>
      <c r="AJ252" s="558">
        <f t="shared" si="242"/>
        <v>0</v>
      </c>
      <c r="AK252" s="558">
        <f t="shared" si="242"/>
        <v>0</v>
      </c>
      <c r="AL252" s="558">
        <f t="shared" si="242"/>
        <v>0</v>
      </c>
      <c r="AM252" s="558">
        <f t="shared" si="242"/>
        <v>0</v>
      </c>
      <c r="AN252" s="558">
        <f t="shared" si="242"/>
        <v>0</v>
      </c>
      <c r="AO252" s="558">
        <f t="shared" si="242"/>
        <v>0</v>
      </c>
    </row>
    <row r="253" spans="2:41" s="204" customFormat="1" outlineLevel="1">
      <c r="B253" s="630" t="s">
        <v>709</v>
      </c>
      <c r="C253" s="106"/>
      <c r="D253" s="202"/>
      <c r="E253" s="202"/>
      <c r="F253" s="202"/>
      <c r="G253" s="202"/>
      <c r="H253" s="202"/>
      <c r="I253" s="202"/>
      <c r="J253" s="202"/>
      <c r="K253" s="202"/>
      <c r="L253" s="202"/>
      <c r="M253" s="203"/>
      <c r="N253" s="203"/>
      <c r="O253" s="203"/>
      <c r="P253" s="202"/>
      <c r="Q253" s="202"/>
      <c r="R253" s="202"/>
      <c r="S253" s="202"/>
      <c r="T253" s="558"/>
      <c r="U253" s="558"/>
      <c r="V253" s="558"/>
      <c r="W253" s="558"/>
      <c r="X253" s="558"/>
      <c r="Y253" s="632">
        <f>Y23*Y194*3/4</f>
        <v>23.066999999999997</v>
      </c>
      <c r="Z253" s="632">
        <f t="shared" ref="Z253:AO253" si="243">Z23*Z194</f>
        <v>30.755999999999997</v>
      </c>
      <c r="AA253" s="632">
        <f t="shared" si="243"/>
        <v>30.799999999999997</v>
      </c>
      <c r="AB253" s="632">
        <f t="shared" si="243"/>
        <v>30.799999999999997</v>
      </c>
      <c r="AC253" s="632">
        <f t="shared" si="243"/>
        <v>30.799999999999997</v>
      </c>
      <c r="AD253" s="632">
        <f t="shared" si="243"/>
        <v>0</v>
      </c>
      <c r="AE253" s="632">
        <f t="shared" si="243"/>
        <v>0</v>
      </c>
      <c r="AF253" s="558">
        <f t="shared" si="243"/>
        <v>0</v>
      </c>
      <c r="AG253" s="558">
        <f t="shared" si="243"/>
        <v>0</v>
      </c>
      <c r="AH253" s="558">
        <f t="shared" si="243"/>
        <v>0</v>
      </c>
      <c r="AI253" s="558">
        <f t="shared" si="243"/>
        <v>0</v>
      </c>
      <c r="AJ253" s="558">
        <f t="shared" si="243"/>
        <v>0</v>
      </c>
      <c r="AK253" s="558">
        <f t="shared" si="243"/>
        <v>0</v>
      </c>
      <c r="AL253" s="558">
        <f t="shared" si="243"/>
        <v>0</v>
      </c>
      <c r="AM253" s="558">
        <f t="shared" si="243"/>
        <v>0</v>
      </c>
      <c r="AN253" s="558">
        <f t="shared" si="243"/>
        <v>0</v>
      </c>
      <c r="AO253" s="558">
        <f t="shared" si="243"/>
        <v>0</v>
      </c>
    </row>
    <row r="254" spans="2:41" s="204" customFormat="1" outlineLevel="1">
      <c r="B254" s="630" t="s">
        <v>800</v>
      </c>
      <c r="C254" s="106"/>
      <c r="D254" s="202"/>
      <c r="E254" s="202"/>
      <c r="F254" s="202"/>
      <c r="G254" s="202"/>
      <c r="H254" s="202"/>
      <c r="I254" s="202"/>
      <c r="J254" s="202"/>
      <c r="K254" s="202"/>
      <c r="L254" s="202"/>
      <c r="M254" s="203"/>
      <c r="N254" s="203"/>
      <c r="O254" s="203"/>
      <c r="P254" s="202"/>
      <c r="Q254" s="202"/>
      <c r="R254" s="202"/>
      <c r="S254" s="202"/>
      <c r="T254" s="558"/>
      <c r="U254" s="558"/>
      <c r="V254" s="558"/>
      <c r="W254" s="558"/>
      <c r="X254" s="558"/>
      <c r="Y254" s="632">
        <f>Y41*Y195*3/4</f>
        <v>38.008124999999993</v>
      </c>
      <c r="Z254" s="632">
        <f t="shared" ref="Z254:AO254" si="244">Z41*Z195</f>
        <v>50.677499999999995</v>
      </c>
      <c r="AA254" s="632">
        <f t="shared" si="244"/>
        <v>50.75</v>
      </c>
      <c r="AB254" s="632">
        <f t="shared" si="244"/>
        <v>50.75</v>
      </c>
      <c r="AC254" s="632">
        <f t="shared" si="244"/>
        <v>50.75</v>
      </c>
      <c r="AD254" s="632">
        <f t="shared" si="244"/>
        <v>50.75</v>
      </c>
      <c r="AE254" s="632">
        <f t="shared" si="244"/>
        <v>50.75</v>
      </c>
      <c r="AF254" s="558">
        <f t="shared" si="244"/>
        <v>50.75</v>
      </c>
      <c r="AG254" s="558">
        <f t="shared" si="244"/>
        <v>50.75</v>
      </c>
      <c r="AH254" s="558">
        <f t="shared" si="244"/>
        <v>50.75</v>
      </c>
      <c r="AI254" s="558">
        <f t="shared" si="244"/>
        <v>0</v>
      </c>
      <c r="AJ254" s="558">
        <f t="shared" si="244"/>
        <v>0</v>
      </c>
      <c r="AK254" s="558">
        <f t="shared" si="244"/>
        <v>0</v>
      </c>
      <c r="AL254" s="558">
        <f t="shared" si="244"/>
        <v>0</v>
      </c>
      <c r="AM254" s="558">
        <f t="shared" si="244"/>
        <v>0</v>
      </c>
      <c r="AN254" s="558">
        <f t="shared" si="244"/>
        <v>0</v>
      </c>
      <c r="AO254" s="558">
        <f t="shared" si="244"/>
        <v>0</v>
      </c>
    </row>
    <row r="255" spans="2:41" s="204" customFormat="1" outlineLevel="1">
      <c r="B255" s="211" t="str">
        <f>B26</f>
        <v>2.125% bonds due 2019 (EUR denominated)</v>
      </c>
      <c r="C255" s="202"/>
      <c r="D255" s="202"/>
      <c r="E255" s="202"/>
      <c r="F255" s="202"/>
      <c r="G255" s="202"/>
      <c r="H255" s="202"/>
      <c r="I255" s="202"/>
      <c r="J255" s="202"/>
      <c r="K255" s="202"/>
      <c r="L255" s="202"/>
      <c r="M255" s="202"/>
      <c r="N255" s="202"/>
      <c r="O255" s="202"/>
      <c r="P255" s="202"/>
      <c r="Q255" s="202"/>
      <c r="R255" s="202"/>
      <c r="S255" s="202"/>
      <c r="T255" s="558"/>
      <c r="U255" s="558"/>
      <c r="V255" s="558"/>
      <c r="W255" s="558">
        <f>X255*12/52</f>
        <v>4.3497115384615395</v>
      </c>
      <c r="X255" s="558">
        <f>W26*X196</f>
        <v>18.848750000000003</v>
      </c>
      <c r="Y255" s="558">
        <f t="shared" ref="Y255:AO255" si="245">Y26*Y196</f>
        <v>17.297500000000003</v>
      </c>
      <c r="Z255" s="558">
        <f t="shared" si="245"/>
        <v>15.533750000000001</v>
      </c>
      <c r="AA255" s="558">
        <f t="shared" si="245"/>
        <v>15.0875</v>
      </c>
      <c r="AB255" s="558">
        <f t="shared" si="245"/>
        <v>17.212500000000002</v>
      </c>
      <c r="AC255" s="558">
        <f t="shared" si="245"/>
        <v>17.212500000000002</v>
      </c>
      <c r="AD255" s="558">
        <f t="shared" si="245"/>
        <v>0</v>
      </c>
      <c r="AE255" s="558">
        <f t="shared" si="245"/>
        <v>0</v>
      </c>
      <c r="AF255" s="558">
        <f t="shared" si="245"/>
        <v>0</v>
      </c>
      <c r="AG255" s="558">
        <f t="shared" si="245"/>
        <v>0</v>
      </c>
      <c r="AH255" s="558">
        <f t="shared" si="245"/>
        <v>0</v>
      </c>
      <c r="AI255" s="558">
        <f t="shared" si="245"/>
        <v>0</v>
      </c>
      <c r="AJ255" s="558">
        <f t="shared" si="245"/>
        <v>0</v>
      </c>
      <c r="AK255" s="558">
        <f t="shared" si="245"/>
        <v>0</v>
      </c>
      <c r="AL255" s="558">
        <f t="shared" si="245"/>
        <v>0</v>
      </c>
      <c r="AM255" s="558">
        <f t="shared" si="245"/>
        <v>0</v>
      </c>
      <c r="AN255" s="558">
        <f t="shared" si="245"/>
        <v>0</v>
      </c>
      <c r="AO255" s="558">
        <f t="shared" si="245"/>
        <v>0</v>
      </c>
    </row>
    <row r="256" spans="2:41" s="204" customFormat="1" outlineLevel="1">
      <c r="B256" s="211" t="str">
        <f>B47</f>
        <v>4.000% bonds due 2029 (GBP denominated)</v>
      </c>
      <c r="C256" s="202"/>
      <c r="D256" s="202"/>
      <c r="E256" s="202"/>
      <c r="F256" s="202"/>
      <c r="G256" s="202"/>
      <c r="H256" s="202"/>
      <c r="I256" s="202"/>
      <c r="J256" s="202"/>
      <c r="K256" s="202"/>
      <c r="L256" s="202"/>
      <c r="M256" s="202"/>
      <c r="N256" s="202"/>
      <c r="O256" s="202"/>
      <c r="P256" s="202"/>
      <c r="Q256" s="202"/>
      <c r="R256" s="202"/>
      <c r="S256" s="202"/>
      <c r="T256" s="558"/>
      <c r="U256" s="558"/>
      <c r="V256" s="558"/>
      <c r="W256" s="558">
        <f>X256*12/52</f>
        <v>10.31076923076923</v>
      </c>
      <c r="X256" s="558">
        <f>W47*X197</f>
        <v>44.68</v>
      </c>
      <c r="Y256" s="558">
        <f t="shared" ref="Y256:AO256" si="246">Y47*Y197</f>
        <v>43.04</v>
      </c>
      <c r="Z256" s="558">
        <f t="shared" si="246"/>
        <v>40.72</v>
      </c>
      <c r="AA256" s="558">
        <f t="shared" si="246"/>
        <v>34.56</v>
      </c>
      <c r="AB256" s="558">
        <f t="shared" si="246"/>
        <v>37.840000000000003</v>
      </c>
      <c r="AC256" s="558">
        <f t="shared" si="246"/>
        <v>37.840000000000003</v>
      </c>
      <c r="AD256" s="558">
        <f t="shared" si="246"/>
        <v>37.840000000000003</v>
      </c>
      <c r="AE256" s="558">
        <f t="shared" si="246"/>
        <v>37.840000000000003</v>
      </c>
      <c r="AF256" s="558">
        <f t="shared" si="246"/>
        <v>37.840000000000003</v>
      </c>
      <c r="AG256" s="558">
        <f t="shared" si="246"/>
        <v>37.840000000000003</v>
      </c>
      <c r="AH256" s="558">
        <f t="shared" si="246"/>
        <v>37.840000000000003</v>
      </c>
      <c r="AI256" s="558">
        <f t="shared" si="246"/>
        <v>37.840000000000003</v>
      </c>
      <c r="AJ256" s="558">
        <f t="shared" si="246"/>
        <v>37.840000000000003</v>
      </c>
      <c r="AK256" s="558">
        <f t="shared" si="246"/>
        <v>37.840000000000003</v>
      </c>
      <c r="AL256" s="558">
        <f t="shared" si="246"/>
        <v>37.840000000000003</v>
      </c>
      <c r="AM256" s="558">
        <f t="shared" si="246"/>
        <v>37.840000000000003</v>
      </c>
      <c r="AN256" s="558">
        <f t="shared" si="246"/>
        <v>0</v>
      </c>
      <c r="AO256" s="558">
        <f t="shared" si="246"/>
        <v>0</v>
      </c>
    </row>
    <row r="257" spans="2:41" s="204" customFormat="1" outlineLevel="1">
      <c r="B257" s="211" t="s">
        <v>544</v>
      </c>
      <c r="C257" s="202"/>
      <c r="D257" s="202"/>
      <c r="E257" s="202"/>
      <c r="F257" s="202"/>
      <c r="G257" s="202"/>
      <c r="H257" s="202"/>
      <c r="I257" s="202"/>
      <c r="J257" s="202"/>
      <c r="K257" s="202"/>
      <c r="L257" s="202"/>
      <c r="M257" s="202"/>
      <c r="N257" s="202"/>
      <c r="O257" s="202"/>
      <c r="P257" s="202"/>
      <c r="Q257" s="202"/>
      <c r="R257" s="202"/>
      <c r="S257" s="202"/>
      <c r="T257" s="558"/>
      <c r="U257" s="558"/>
      <c r="V257" s="558"/>
      <c r="W257" s="558"/>
      <c r="X257" s="558">
        <f>W19*X198</f>
        <v>0</v>
      </c>
      <c r="Y257" s="558">
        <f>X19*Y198*1/4</f>
        <v>12.4</v>
      </c>
      <c r="Z257" s="558">
        <f t="shared" ref="Z257:AO257" si="247">Z19*Z198</f>
        <v>0</v>
      </c>
      <c r="AA257" s="558">
        <f t="shared" si="247"/>
        <v>0</v>
      </c>
      <c r="AB257" s="558">
        <f t="shared" si="247"/>
        <v>0</v>
      </c>
      <c r="AC257" s="558">
        <f t="shared" si="247"/>
        <v>0</v>
      </c>
      <c r="AD257" s="558">
        <f t="shared" si="247"/>
        <v>0</v>
      </c>
      <c r="AE257" s="558">
        <f t="shared" si="247"/>
        <v>0</v>
      </c>
      <c r="AF257" s="558">
        <f t="shared" si="247"/>
        <v>0</v>
      </c>
      <c r="AG257" s="558">
        <f t="shared" si="247"/>
        <v>0</v>
      </c>
      <c r="AH257" s="558">
        <f t="shared" si="247"/>
        <v>0</v>
      </c>
      <c r="AI257" s="558">
        <f t="shared" si="247"/>
        <v>0</v>
      </c>
      <c r="AJ257" s="558">
        <f t="shared" si="247"/>
        <v>0</v>
      </c>
      <c r="AK257" s="558">
        <f t="shared" si="247"/>
        <v>0</v>
      </c>
      <c r="AL257" s="558">
        <f t="shared" si="247"/>
        <v>0</v>
      </c>
      <c r="AM257" s="558">
        <f t="shared" si="247"/>
        <v>0</v>
      </c>
      <c r="AN257" s="558">
        <f t="shared" si="247"/>
        <v>0</v>
      </c>
      <c r="AO257" s="558">
        <f t="shared" si="247"/>
        <v>0</v>
      </c>
    </row>
    <row r="258" spans="2:41" s="204" customFormat="1" outlineLevel="1">
      <c r="B258" s="564" t="s">
        <v>810</v>
      </c>
      <c r="C258" s="202"/>
      <c r="D258" s="202"/>
      <c r="E258" s="202"/>
      <c r="F258" s="202"/>
      <c r="G258" s="202"/>
      <c r="H258" s="202"/>
      <c r="I258" s="202"/>
      <c r="J258" s="202"/>
      <c r="K258" s="202"/>
      <c r="L258" s="202"/>
      <c r="M258" s="202"/>
      <c r="N258" s="202"/>
      <c r="O258" s="202"/>
      <c r="P258" s="202"/>
      <c r="Q258" s="202"/>
      <c r="R258" s="202"/>
      <c r="S258" s="202"/>
      <c r="T258" s="558"/>
      <c r="U258" s="558"/>
      <c r="V258" s="558"/>
      <c r="W258" s="558"/>
      <c r="X258" s="558"/>
      <c r="Y258" s="558"/>
      <c r="Z258" s="558"/>
      <c r="AA258" s="558">
        <f t="shared" ref="AA258:AO258" si="248">AA199*AA34</f>
        <v>13.875</v>
      </c>
      <c r="AB258" s="558">
        <f t="shared" si="248"/>
        <v>13.875</v>
      </c>
      <c r="AC258" s="558">
        <f t="shared" si="248"/>
        <v>13.875</v>
      </c>
      <c r="AD258" s="558">
        <f t="shared" si="248"/>
        <v>13.875</v>
      </c>
      <c r="AE258" s="558">
        <f t="shared" si="248"/>
        <v>13.875</v>
      </c>
      <c r="AF258" s="558">
        <f t="shared" si="248"/>
        <v>0</v>
      </c>
      <c r="AG258" s="558">
        <f t="shared" si="248"/>
        <v>0</v>
      </c>
      <c r="AH258" s="558">
        <f t="shared" si="248"/>
        <v>0</v>
      </c>
      <c r="AI258" s="558">
        <f t="shared" si="248"/>
        <v>0</v>
      </c>
      <c r="AJ258" s="558">
        <f t="shared" si="248"/>
        <v>0</v>
      </c>
      <c r="AK258" s="558">
        <f t="shared" si="248"/>
        <v>0</v>
      </c>
      <c r="AL258" s="558">
        <f t="shared" si="248"/>
        <v>0</v>
      </c>
      <c r="AM258" s="558">
        <f t="shared" si="248"/>
        <v>0</v>
      </c>
      <c r="AN258" s="558">
        <f t="shared" si="248"/>
        <v>0</v>
      </c>
      <c r="AO258" s="558">
        <f t="shared" si="248"/>
        <v>0</v>
      </c>
    </row>
    <row r="259" spans="2:41" s="204" customFormat="1" outlineLevel="1">
      <c r="B259" s="564" t="s">
        <v>807</v>
      </c>
      <c r="C259" s="202"/>
      <c r="D259" s="202"/>
      <c r="E259" s="202"/>
      <c r="F259" s="202"/>
      <c r="G259" s="202"/>
      <c r="H259" s="202"/>
      <c r="I259" s="202"/>
      <c r="J259" s="202"/>
      <c r="K259" s="202"/>
      <c r="L259" s="202"/>
      <c r="M259" s="202"/>
      <c r="N259" s="202"/>
      <c r="O259" s="202"/>
      <c r="P259" s="202"/>
      <c r="Q259" s="202"/>
      <c r="R259" s="202"/>
      <c r="S259" s="202"/>
      <c r="T259" s="558"/>
      <c r="U259" s="558"/>
      <c r="V259" s="558"/>
      <c r="W259" s="558"/>
      <c r="X259" s="558"/>
      <c r="Y259" s="558"/>
      <c r="Z259" s="558"/>
      <c r="AA259" s="558">
        <f t="shared" ref="AA259:AO259" si="249">AA200*AA37</f>
        <v>16.4375</v>
      </c>
      <c r="AB259" s="558">
        <f t="shared" si="249"/>
        <v>18.762499999999999</v>
      </c>
      <c r="AC259" s="558">
        <f t="shared" si="249"/>
        <v>18.762499999999999</v>
      </c>
      <c r="AD259" s="558">
        <f t="shared" si="249"/>
        <v>18.762499999999999</v>
      </c>
      <c r="AE259" s="558">
        <f t="shared" si="249"/>
        <v>18.762499999999999</v>
      </c>
      <c r="AF259" s="558">
        <f t="shared" si="249"/>
        <v>18.762499999999999</v>
      </c>
      <c r="AG259" s="558">
        <f t="shared" si="249"/>
        <v>0</v>
      </c>
      <c r="AH259" s="558">
        <f t="shared" si="249"/>
        <v>0</v>
      </c>
      <c r="AI259" s="558">
        <f t="shared" si="249"/>
        <v>0</v>
      </c>
      <c r="AJ259" s="558">
        <f t="shared" si="249"/>
        <v>0</v>
      </c>
      <c r="AK259" s="558">
        <f t="shared" si="249"/>
        <v>0</v>
      </c>
      <c r="AL259" s="558">
        <f t="shared" si="249"/>
        <v>0</v>
      </c>
      <c r="AM259" s="558">
        <f t="shared" si="249"/>
        <v>0</v>
      </c>
      <c r="AN259" s="558">
        <f t="shared" si="249"/>
        <v>0</v>
      </c>
      <c r="AO259" s="558">
        <f t="shared" si="249"/>
        <v>0</v>
      </c>
    </row>
    <row r="260" spans="2:41" s="204" customFormat="1" outlineLevel="1">
      <c r="B260" s="564" t="s">
        <v>808</v>
      </c>
      <c r="C260" s="202"/>
      <c r="D260" s="202"/>
      <c r="E260" s="202"/>
      <c r="F260" s="202"/>
      <c r="G260" s="202"/>
      <c r="H260" s="202"/>
      <c r="I260" s="202"/>
      <c r="J260" s="202"/>
      <c r="K260" s="202"/>
      <c r="L260" s="202"/>
      <c r="M260" s="202"/>
      <c r="N260" s="202"/>
      <c r="O260" s="202"/>
      <c r="P260" s="202"/>
      <c r="Q260" s="202"/>
      <c r="R260" s="202"/>
      <c r="S260" s="202"/>
      <c r="T260" s="558"/>
      <c r="U260" s="558"/>
      <c r="V260" s="558"/>
      <c r="W260" s="558"/>
      <c r="X260" s="558"/>
      <c r="Y260" s="558"/>
      <c r="Z260" s="558"/>
      <c r="AA260" s="558">
        <f t="shared" ref="AA260:AO260" si="250">AA201*AA39</f>
        <v>2.8167000000000004</v>
      </c>
      <c r="AB260" s="558">
        <f t="shared" si="250"/>
        <v>2.9479000000000002</v>
      </c>
      <c r="AC260" s="558">
        <f t="shared" si="250"/>
        <v>2.9479000000000002</v>
      </c>
      <c r="AD260" s="558">
        <f t="shared" si="250"/>
        <v>2.9479000000000002</v>
      </c>
      <c r="AE260" s="558">
        <f t="shared" si="250"/>
        <v>2.9479000000000002</v>
      </c>
      <c r="AF260" s="558">
        <f t="shared" si="250"/>
        <v>2.9479000000000002</v>
      </c>
      <c r="AG260" s="558">
        <f t="shared" si="250"/>
        <v>2.9479000000000002</v>
      </c>
      <c r="AH260" s="558">
        <f t="shared" si="250"/>
        <v>0</v>
      </c>
      <c r="AI260" s="558">
        <f t="shared" si="250"/>
        <v>0</v>
      </c>
      <c r="AJ260" s="558">
        <f t="shared" si="250"/>
        <v>0</v>
      </c>
      <c r="AK260" s="558">
        <f t="shared" si="250"/>
        <v>0</v>
      </c>
      <c r="AL260" s="558">
        <f t="shared" si="250"/>
        <v>0</v>
      </c>
      <c r="AM260" s="558">
        <f t="shared" si="250"/>
        <v>0</v>
      </c>
      <c r="AN260" s="558">
        <f t="shared" si="250"/>
        <v>0</v>
      </c>
      <c r="AO260" s="558">
        <f t="shared" si="250"/>
        <v>0</v>
      </c>
    </row>
    <row r="261" spans="2:41" s="204" customFormat="1" outlineLevel="1">
      <c r="B261" s="564" t="s">
        <v>811</v>
      </c>
      <c r="C261" s="202"/>
      <c r="D261" s="202"/>
      <c r="E261" s="202"/>
      <c r="F261" s="202"/>
      <c r="G261" s="202"/>
      <c r="H261" s="202"/>
      <c r="I261" s="202"/>
      <c r="J261" s="202"/>
      <c r="K261" s="202"/>
      <c r="L261" s="202"/>
      <c r="M261" s="202"/>
      <c r="N261" s="202"/>
      <c r="O261" s="202"/>
      <c r="P261" s="202"/>
      <c r="Q261" s="202"/>
      <c r="R261" s="202"/>
      <c r="S261" s="202"/>
      <c r="T261" s="558"/>
      <c r="U261" s="558"/>
      <c r="V261" s="558"/>
      <c r="W261" s="558"/>
      <c r="X261" s="558"/>
      <c r="Y261" s="558"/>
      <c r="Z261" s="558"/>
      <c r="AA261" s="558">
        <f t="shared" ref="AA261:AO261" si="251">AA202*AA40</f>
        <v>16.875</v>
      </c>
      <c r="AB261" s="558">
        <f t="shared" si="251"/>
        <v>16.875</v>
      </c>
      <c r="AC261" s="558">
        <f t="shared" si="251"/>
        <v>16.875</v>
      </c>
      <c r="AD261" s="558">
        <f t="shared" si="251"/>
        <v>16.875</v>
      </c>
      <c r="AE261" s="558">
        <f t="shared" si="251"/>
        <v>16.875</v>
      </c>
      <c r="AF261" s="558">
        <f t="shared" si="251"/>
        <v>16.875</v>
      </c>
      <c r="AG261" s="558">
        <f t="shared" si="251"/>
        <v>16.875</v>
      </c>
      <c r="AH261" s="558">
        <f t="shared" si="251"/>
        <v>0</v>
      </c>
      <c r="AI261" s="558">
        <f t="shared" si="251"/>
        <v>0</v>
      </c>
      <c r="AJ261" s="558">
        <f t="shared" si="251"/>
        <v>0</v>
      </c>
      <c r="AK261" s="558">
        <f t="shared" si="251"/>
        <v>0</v>
      </c>
      <c r="AL261" s="558">
        <f t="shared" si="251"/>
        <v>0</v>
      </c>
      <c r="AM261" s="558">
        <f t="shared" si="251"/>
        <v>0</v>
      </c>
      <c r="AN261" s="558">
        <f t="shared" si="251"/>
        <v>0</v>
      </c>
      <c r="AO261" s="558">
        <f t="shared" si="251"/>
        <v>0</v>
      </c>
    </row>
    <row r="262" spans="2:41" s="204" customFormat="1" outlineLevel="1">
      <c r="B262" s="564" t="s">
        <v>809</v>
      </c>
      <c r="C262" s="202"/>
      <c r="D262" s="202"/>
      <c r="E262" s="202"/>
      <c r="F262" s="202"/>
      <c r="G262" s="202"/>
      <c r="H262" s="202"/>
      <c r="I262" s="202"/>
      <c r="J262" s="202"/>
      <c r="K262" s="202"/>
      <c r="L262" s="202"/>
      <c r="M262" s="202"/>
      <c r="N262" s="202"/>
      <c r="O262" s="202"/>
      <c r="P262" s="202"/>
      <c r="Q262" s="202"/>
      <c r="R262" s="202"/>
      <c r="S262" s="202"/>
      <c r="T262" s="558"/>
      <c r="U262" s="558"/>
      <c r="V262" s="558"/>
      <c r="W262" s="558"/>
      <c r="X262" s="558"/>
      <c r="Y262" s="558"/>
      <c r="Z262" s="558"/>
      <c r="AA262" s="558">
        <f t="shared" ref="AA262:AO262" si="252">AA203*AA43</f>
        <v>15.780000000000001</v>
      </c>
      <c r="AB262" s="558">
        <f t="shared" si="252"/>
        <v>18.02</v>
      </c>
      <c r="AC262" s="558">
        <f t="shared" si="252"/>
        <v>18.02</v>
      </c>
      <c r="AD262" s="558">
        <f t="shared" si="252"/>
        <v>18.02</v>
      </c>
      <c r="AE262" s="558">
        <f t="shared" si="252"/>
        <v>18.02</v>
      </c>
      <c r="AF262" s="558">
        <f t="shared" si="252"/>
        <v>18.02</v>
      </c>
      <c r="AG262" s="558">
        <f t="shared" si="252"/>
        <v>18.02</v>
      </c>
      <c r="AH262" s="558">
        <f t="shared" si="252"/>
        <v>18.02</v>
      </c>
      <c r="AI262" s="558">
        <f t="shared" si="252"/>
        <v>18.02</v>
      </c>
      <c r="AJ262" s="558">
        <f t="shared" si="252"/>
        <v>18.02</v>
      </c>
      <c r="AK262" s="558">
        <f t="shared" si="252"/>
        <v>0</v>
      </c>
      <c r="AL262" s="558">
        <f t="shared" si="252"/>
        <v>0</v>
      </c>
      <c r="AM262" s="558">
        <f t="shared" si="252"/>
        <v>0</v>
      </c>
      <c r="AN262" s="558">
        <f t="shared" si="252"/>
        <v>0</v>
      </c>
      <c r="AO262" s="558">
        <f t="shared" si="252"/>
        <v>0</v>
      </c>
    </row>
    <row r="263" spans="2:41" s="204" customFormat="1" outlineLevel="1">
      <c r="B263" s="564" t="s">
        <v>812</v>
      </c>
      <c r="C263" s="202"/>
      <c r="D263" s="202"/>
      <c r="E263" s="202"/>
      <c r="F263" s="202"/>
      <c r="G263" s="202"/>
      <c r="H263" s="202"/>
      <c r="I263" s="202"/>
      <c r="J263" s="202"/>
      <c r="K263" s="202"/>
      <c r="L263" s="202"/>
      <c r="M263" s="202"/>
      <c r="N263" s="202"/>
      <c r="O263" s="202"/>
      <c r="P263" s="202"/>
      <c r="Q263" s="202"/>
      <c r="R263" s="202"/>
      <c r="S263" s="202"/>
      <c r="T263" s="558"/>
      <c r="U263" s="558"/>
      <c r="V263" s="558"/>
      <c r="W263" s="558"/>
      <c r="X263" s="558"/>
      <c r="Y263" s="558"/>
      <c r="Z263" s="558"/>
      <c r="AA263" s="558">
        <f t="shared" ref="AA263:AO263" si="253">AA204*AA45</f>
        <v>32.5</v>
      </c>
      <c r="AB263" s="558">
        <f t="shared" si="253"/>
        <v>32.5</v>
      </c>
      <c r="AC263" s="558">
        <f t="shared" si="253"/>
        <v>32.5</v>
      </c>
      <c r="AD263" s="558">
        <f t="shared" si="253"/>
        <v>32.5</v>
      </c>
      <c r="AE263" s="558">
        <f t="shared" si="253"/>
        <v>32.5</v>
      </c>
      <c r="AF263" s="558">
        <f t="shared" si="253"/>
        <v>32.5</v>
      </c>
      <c r="AG263" s="558">
        <f t="shared" si="253"/>
        <v>32.5</v>
      </c>
      <c r="AH263" s="558">
        <f t="shared" si="253"/>
        <v>32.5</v>
      </c>
      <c r="AI263" s="558">
        <f t="shared" si="253"/>
        <v>32.5</v>
      </c>
      <c r="AJ263" s="558">
        <f t="shared" si="253"/>
        <v>32.5</v>
      </c>
      <c r="AK263" s="558">
        <f t="shared" si="253"/>
        <v>0</v>
      </c>
      <c r="AL263" s="558">
        <f t="shared" si="253"/>
        <v>0</v>
      </c>
      <c r="AM263" s="558">
        <f t="shared" si="253"/>
        <v>0</v>
      </c>
      <c r="AN263" s="558">
        <f t="shared" si="253"/>
        <v>0</v>
      </c>
      <c r="AO263" s="558">
        <f t="shared" si="253"/>
        <v>0</v>
      </c>
    </row>
    <row r="264" spans="2:41" s="204" customFormat="1" outlineLevel="1">
      <c r="B264" s="564" t="s">
        <v>805</v>
      </c>
      <c r="C264" s="202"/>
      <c r="D264" s="202"/>
      <c r="E264" s="202"/>
      <c r="F264" s="202"/>
      <c r="G264" s="202"/>
      <c r="H264" s="202"/>
      <c r="I264" s="202"/>
      <c r="J264" s="202"/>
      <c r="K264" s="202"/>
      <c r="L264" s="202"/>
      <c r="M264" s="202"/>
      <c r="N264" s="202"/>
      <c r="O264" s="202"/>
      <c r="P264" s="202"/>
      <c r="Q264" s="202"/>
      <c r="R264" s="202"/>
      <c r="S264" s="202"/>
      <c r="T264" s="558"/>
      <c r="U264" s="558"/>
      <c r="V264" s="558"/>
      <c r="W264" s="558"/>
      <c r="X264" s="558"/>
      <c r="Y264" s="558"/>
      <c r="Z264" s="558"/>
      <c r="AA264" s="558">
        <f t="shared" ref="AA264:AO264" si="254">AA205*AA58</f>
        <v>64.566449999999989</v>
      </c>
      <c r="AB264" s="558">
        <f t="shared" si="254"/>
        <v>64.566449999999989</v>
      </c>
      <c r="AC264" s="558">
        <f t="shared" si="254"/>
        <v>64.566449999999989</v>
      </c>
      <c r="AD264" s="558">
        <f t="shared" si="254"/>
        <v>64.566449999999989</v>
      </c>
      <c r="AE264" s="558">
        <f t="shared" si="254"/>
        <v>64.566449999999989</v>
      </c>
      <c r="AF264" s="558">
        <f t="shared" si="254"/>
        <v>64.566449999999989</v>
      </c>
      <c r="AG264" s="558">
        <f t="shared" si="254"/>
        <v>64.566449999999989</v>
      </c>
      <c r="AH264" s="558">
        <f t="shared" si="254"/>
        <v>64.566449999999989</v>
      </c>
      <c r="AI264" s="558">
        <f t="shared" si="254"/>
        <v>64.566449999999989</v>
      </c>
      <c r="AJ264" s="558">
        <f t="shared" si="254"/>
        <v>64.566449999999989</v>
      </c>
      <c r="AK264" s="558">
        <f t="shared" si="254"/>
        <v>64.566449999999989</v>
      </c>
      <c r="AL264" s="558">
        <f t="shared" si="254"/>
        <v>64.566449999999989</v>
      </c>
      <c r="AM264" s="558">
        <f t="shared" si="254"/>
        <v>64.566449999999989</v>
      </c>
      <c r="AN264" s="558">
        <f t="shared" si="254"/>
        <v>64.566449999999989</v>
      </c>
      <c r="AO264" s="558">
        <f t="shared" si="254"/>
        <v>64.566449999999989</v>
      </c>
    </row>
    <row r="265" spans="2:41" s="204" customFormat="1" outlineLevel="1">
      <c r="B265" s="564" t="s">
        <v>806</v>
      </c>
      <c r="C265" s="202"/>
      <c r="D265" s="202"/>
      <c r="E265" s="202"/>
      <c r="F265" s="202"/>
      <c r="G265" s="202"/>
      <c r="H265" s="202"/>
      <c r="I265" s="202"/>
      <c r="J265" s="202"/>
      <c r="K265" s="202"/>
      <c r="L265" s="202"/>
      <c r="M265" s="202"/>
      <c r="N265" s="202"/>
      <c r="O265" s="202"/>
      <c r="P265" s="202"/>
      <c r="Q265" s="202"/>
      <c r="R265" s="202"/>
      <c r="S265" s="202"/>
      <c r="T265" s="558"/>
      <c r="U265" s="558"/>
      <c r="V265" s="558"/>
      <c r="W265" s="558"/>
      <c r="X265" s="558"/>
      <c r="Y265" s="558"/>
      <c r="Z265" s="558"/>
      <c r="AA265" s="558">
        <f t="shared" ref="AA265:AO265" si="255">AA206*AA59</f>
        <v>165.11682999999999</v>
      </c>
      <c r="AB265" s="558">
        <f t="shared" si="255"/>
        <v>165.11682999999999</v>
      </c>
      <c r="AC265" s="558">
        <f t="shared" si="255"/>
        <v>165.11682999999999</v>
      </c>
      <c r="AD265" s="558">
        <f t="shared" si="255"/>
        <v>165.11682999999999</v>
      </c>
      <c r="AE265" s="558">
        <f t="shared" si="255"/>
        <v>165.11682999999999</v>
      </c>
      <c r="AF265" s="558">
        <f t="shared" si="255"/>
        <v>165.11682999999999</v>
      </c>
      <c r="AG265" s="558">
        <f t="shared" si="255"/>
        <v>165.11682999999999</v>
      </c>
      <c r="AH265" s="558">
        <f t="shared" si="255"/>
        <v>165.11682999999999</v>
      </c>
      <c r="AI265" s="558">
        <f t="shared" si="255"/>
        <v>165.11682999999999</v>
      </c>
      <c r="AJ265" s="558">
        <f t="shared" si="255"/>
        <v>165.11682999999999</v>
      </c>
      <c r="AK265" s="558">
        <f t="shared" si="255"/>
        <v>165.11682999999999</v>
      </c>
      <c r="AL265" s="558">
        <f t="shared" si="255"/>
        <v>165.11682999999999</v>
      </c>
      <c r="AM265" s="558">
        <f t="shared" si="255"/>
        <v>165.11682999999999</v>
      </c>
      <c r="AN265" s="558">
        <f t="shared" si="255"/>
        <v>165.11682999999999</v>
      </c>
      <c r="AO265" s="558">
        <f t="shared" si="255"/>
        <v>165.11682999999999</v>
      </c>
    </row>
    <row r="266" spans="2:41" s="204" customFormat="1" outlineLevel="1">
      <c r="B266" s="807" t="s">
        <v>945</v>
      </c>
      <c r="C266" s="202"/>
      <c r="D266" s="202"/>
      <c r="E266" s="202"/>
      <c r="F266" s="202"/>
      <c r="G266" s="202"/>
      <c r="H266" s="202"/>
      <c r="I266" s="202"/>
      <c r="J266" s="202"/>
      <c r="K266" s="202"/>
      <c r="L266" s="202"/>
      <c r="M266" s="202"/>
      <c r="N266" s="202"/>
      <c r="O266" s="202"/>
      <c r="P266" s="202"/>
      <c r="Q266" s="202"/>
      <c r="R266" s="202"/>
      <c r="S266" s="202"/>
      <c r="T266" s="558"/>
      <c r="U266" s="558"/>
      <c r="V266" s="558"/>
      <c r="W266" s="558"/>
      <c r="X266" s="558"/>
      <c r="Y266" s="558"/>
      <c r="Z266" s="558"/>
      <c r="AA266" s="558"/>
      <c r="AB266" s="558">
        <f>AB207*AB25</f>
        <v>13.299999999999999</v>
      </c>
      <c r="AC266" s="558">
        <f t="shared" ref="AC266:AO266" si="256">AC207*AC25</f>
        <v>13.299999999999999</v>
      </c>
      <c r="AD266" s="558">
        <f t="shared" si="256"/>
        <v>0</v>
      </c>
      <c r="AE266" s="558">
        <f t="shared" si="256"/>
        <v>0</v>
      </c>
      <c r="AF266" s="558">
        <f t="shared" si="256"/>
        <v>0</v>
      </c>
      <c r="AG266" s="558">
        <f t="shared" si="256"/>
        <v>0</v>
      </c>
      <c r="AH266" s="558">
        <f t="shared" si="256"/>
        <v>0</v>
      </c>
      <c r="AI266" s="558">
        <f t="shared" si="256"/>
        <v>0</v>
      </c>
      <c r="AJ266" s="558">
        <f t="shared" si="256"/>
        <v>0</v>
      </c>
      <c r="AK266" s="558">
        <f t="shared" si="256"/>
        <v>0</v>
      </c>
      <c r="AL266" s="558">
        <f t="shared" si="256"/>
        <v>0</v>
      </c>
      <c r="AM266" s="558">
        <f t="shared" si="256"/>
        <v>0</v>
      </c>
      <c r="AN266" s="558">
        <f t="shared" si="256"/>
        <v>0</v>
      </c>
      <c r="AO266" s="558">
        <f t="shared" si="256"/>
        <v>0</v>
      </c>
    </row>
    <row r="267" spans="2:41" s="204" customFormat="1" outlineLevel="1">
      <c r="B267" s="807" t="s">
        <v>946</v>
      </c>
      <c r="C267" s="202"/>
      <c r="D267" s="202"/>
      <c r="E267" s="202"/>
      <c r="F267" s="202"/>
      <c r="G267" s="202"/>
      <c r="H267" s="202"/>
      <c r="I267" s="202"/>
      <c r="J267" s="202"/>
      <c r="K267" s="202"/>
      <c r="L267" s="202"/>
      <c r="M267" s="202"/>
      <c r="N267" s="202"/>
      <c r="O267" s="202"/>
      <c r="P267" s="202"/>
      <c r="Q267" s="202"/>
      <c r="R267" s="202"/>
      <c r="S267" s="202"/>
      <c r="T267" s="558"/>
      <c r="U267" s="558"/>
      <c r="V267" s="558"/>
      <c r="W267" s="558"/>
      <c r="X267" s="558"/>
      <c r="Y267" s="558"/>
      <c r="Z267" s="558"/>
      <c r="AA267" s="558"/>
      <c r="AB267" s="558">
        <f>AB208*AB30</f>
        <v>4.5</v>
      </c>
      <c r="AC267" s="558">
        <f t="shared" ref="AC267:AO267" si="257">AC208*AC30</f>
        <v>4.5</v>
      </c>
      <c r="AD267" s="558">
        <f t="shared" si="257"/>
        <v>4.5</v>
      </c>
      <c r="AE267" s="558">
        <f t="shared" si="257"/>
        <v>0</v>
      </c>
      <c r="AF267" s="558">
        <f t="shared" si="257"/>
        <v>0</v>
      </c>
      <c r="AG267" s="558">
        <f t="shared" si="257"/>
        <v>0</v>
      </c>
      <c r="AH267" s="558">
        <f t="shared" si="257"/>
        <v>0</v>
      </c>
      <c r="AI267" s="558">
        <f t="shared" si="257"/>
        <v>0</v>
      </c>
      <c r="AJ267" s="558">
        <f t="shared" si="257"/>
        <v>0</v>
      </c>
      <c r="AK267" s="558">
        <f t="shared" si="257"/>
        <v>0</v>
      </c>
      <c r="AL267" s="558">
        <f t="shared" si="257"/>
        <v>0</v>
      </c>
      <c r="AM267" s="558">
        <f t="shared" si="257"/>
        <v>0</v>
      </c>
      <c r="AN267" s="558">
        <f t="shared" si="257"/>
        <v>0</v>
      </c>
      <c r="AO267" s="558">
        <f t="shared" si="257"/>
        <v>0</v>
      </c>
    </row>
    <row r="268" spans="2:41" s="204" customFormat="1" outlineLevel="1">
      <c r="B268" s="807" t="s">
        <v>947</v>
      </c>
      <c r="C268" s="202"/>
      <c r="D268" s="202"/>
      <c r="E268" s="202"/>
      <c r="F268" s="202"/>
      <c r="G268" s="202"/>
      <c r="H268" s="202"/>
      <c r="I268" s="202"/>
      <c r="J268" s="202"/>
      <c r="K268" s="202"/>
      <c r="L268" s="202"/>
      <c r="M268" s="202"/>
      <c r="N268" s="202"/>
      <c r="O268" s="202"/>
      <c r="P268" s="202"/>
      <c r="Q268" s="202"/>
      <c r="R268" s="202"/>
      <c r="S268" s="202"/>
      <c r="T268" s="558"/>
      <c r="U268" s="558"/>
      <c r="V268" s="558"/>
      <c r="W268" s="558"/>
      <c r="X268" s="558"/>
      <c r="Y268" s="558"/>
      <c r="Z268" s="558"/>
      <c r="AA268" s="558"/>
      <c r="AB268" s="558">
        <f>AB209*AB31</f>
        <v>15.399999999999999</v>
      </c>
      <c r="AC268" s="558">
        <f t="shared" ref="AC268:AO268" si="258">AC209*AC31</f>
        <v>15.399999999999999</v>
      </c>
      <c r="AD268" s="558">
        <f t="shared" si="258"/>
        <v>15.399999999999999</v>
      </c>
      <c r="AE268" s="558">
        <f t="shared" si="258"/>
        <v>0</v>
      </c>
      <c r="AF268" s="558">
        <f t="shared" si="258"/>
        <v>0</v>
      </c>
      <c r="AG268" s="558">
        <f t="shared" si="258"/>
        <v>0</v>
      </c>
      <c r="AH268" s="558">
        <f t="shared" si="258"/>
        <v>0</v>
      </c>
      <c r="AI268" s="558">
        <f t="shared" si="258"/>
        <v>0</v>
      </c>
      <c r="AJ268" s="558">
        <f t="shared" si="258"/>
        <v>0</v>
      </c>
      <c r="AK268" s="558">
        <f t="shared" si="258"/>
        <v>0</v>
      </c>
      <c r="AL268" s="558">
        <f t="shared" si="258"/>
        <v>0</v>
      </c>
      <c r="AM268" s="558">
        <f t="shared" si="258"/>
        <v>0</v>
      </c>
      <c r="AN268" s="558">
        <f t="shared" si="258"/>
        <v>0</v>
      </c>
      <c r="AO268" s="558">
        <f t="shared" si="258"/>
        <v>0</v>
      </c>
    </row>
    <row r="269" spans="2:41" s="204" customFormat="1" outlineLevel="1">
      <c r="B269" s="807" t="s">
        <v>949</v>
      </c>
      <c r="C269" s="202"/>
      <c r="D269" s="202"/>
      <c r="E269" s="202"/>
      <c r="F269" s="202"/>
      <c r="G269" s="202"/>
      <c r="H269" s="202"/>
      <c r="I269" s="202"/>
      <c r="J269" s="202"/>
      <c r="K269" s="202"/>
      <c r="L269" s="202"/>
      <c r="M269" s="202"/>
      <c r="N269" s="202"/>
      <c r="O269" s="202"/>
      <c r="P269" s="202"/>
      <c r="Q269" s="202"/>
      <c r="R269" s="202"/>
      <c r="S269" s="202"/>
      <c r="T269" s="558"/>
      <c r="U269" s="558"/>
      <c r="V269" s="558"/>
      <c r="W269" s="558"/>
      <c r="X269" s="558"/>
      <c r="Y269" s="558"/>
      <c r="Z269" s="558"/>
      <c r="AA269" s="558"/>
      <c r="AB269" s="558">
        <f>AB210*AB46</f>
        <v>32</v>
      </c>
      <c r="AC269" s="558">
        <f t="shared" ref="AC269:AO269" si="259">AC210*AC46</f>
        <v>32</v>
      </c>
      <c r="AD269" s="558">
        <f t="shared" si="259"/>
        <v>32</v>
      </c>
      <c r="AE269" s="558">
        <f t="shared" si="259"/>
        <v>32</v>
      </c>
      <c r="AF269" s="558">
        <f t="shared" si="259"/>
        <v>32</v>
      </c>
      <c r="AG269" s="558">
        <f t="shared" si="259"/>
        <v>32</v>
      </c>
      <c r="AH269" s="558">
        <f t="shared" si="259"/>
        <v>32</v>
      </c>
      <c r="AI269" s="558">
        <f t="shared" si="259"/>
        <v>32</v>
      </c>
      <c r="AJ269" s="558">
        <f t="shared" si="259"/>
        <v>32</v>
      </c>
      <c r="AK269" s="558">
        <f t="shared" si="259"/>
        <v>32</v>
      </c>
      <c r="AL269" s="558">
        <f t="shared" si="259"/>
        <v>0</v>
      </c>
      <c r="AM269" s="558">
        <f t="shared" si="259"/>
        <v>0</v>
      </c>
      <c r="AN269" s="558">
        <f t="shared" si="259"/>
        <v>0</v>
      </c>
      <c r="AO269" s="558">
        <f t="shared" si="259"/>
        <v>0</v>
      </c>
    </row>
    <row r="270" spans="2:41" s="204" customFormat="1" outlineLevel="1">
      <c r="B270" s="807" t="s">
        <v>948</v>
      </c>
      <c r="C270" s="202"/>
      <c r="D270" s="202"/>
      <c r="E270" s="202"/>
      <c r="F270" s="202"/>
      <c r="G270" s="202"/>
      <c r="H270" s="202"/>
      <c r="I270" s="202"/>
      <c r="J270" s="202"/>
      <c r="K270" s="202"/>
      <c r="L270" s="202"/>
      <c r="M270" s="202"/>
      <c r="N270" s="202"/>
      <c r="O270" s="202"/>
      <c r="P270" s="202"/>
      <c r="Q270" s="202"/>
      <c r="R270" s="202"/>
      <c r="S270" s="202"/>
      <c r="T270" s="558"/>
      <c r="U270" s="558"/>
      <c r="V270" s="558"/>
      <c r="W270" s="558"/>
      <c r="X270" s="558"/>
      <c r="Y270" s="558"/>
      <c r="Z270" s="558"/>
      <c r="AA270" s="558"/>
      <c r="AB270" s="558">
        <f>AB211*AB38</f>
        <v>39.75</v>
      </c>
      <c r="AC270" s="558">
        <f t="shared" ref="AC270:AO270" si="260">AC211*AC38</f>
        <v>39.75</v>
      </c>
      <c r="AD270" s="558">
        <f t="shared" si="260"/>
        <v>39.75</v>
      </c>
      <c r="AE270" s="558">
        <f t="shared" si="260"/>
        <v>39.75</v>
      </c>
      <c r="AF270" s="558">
        <f t="shared" si="260"/>
        <v>39.75</v>
      </c>
      <c r="AG270" s="558">
        <f t="shared" si="260"/>
        <v>0</v>
      </c>
      <c r="AH270" s="558">
        <f t="shared" si="260"/>
        <v>0</v>
      </c>
      <c r="AI270" s="558">
        <f t="shared" si="260"/>
        <v>0</v>
      </c>
      <c r="AJ270" s="558">
        <f t="shared" si="260"/>
        <v>0</v>
      </c>
      <c r="AK270" s="558">
        <f t="shared" si="260"/>
        <v>0</v>
      </c>
      <c r="AL270" s="558">
        <f t="shared" si="260"/>
        <v>0</v>
      </c>
      <c r="AM270" s="558">
        <f t="shared" si="260"/>
        <v>0</v>
      </c>
      <c r="AN270" s="558">
        <f t="shared" si="260"/>
        <v>0</v>
      </c>
      <c r="AO270" s="558">
        <f t="shared" si="260"/>
        <v>0</v>
      </c>
    </row>
    <row r="271" spans="2:41" s="204" customFormat="1" outlineLevel="1">
      <c r="B271" s="211" t="s">
        <v>510</v>
      </c>
      <c r="C271" s="202"/>
      <c r="D271" s="202"/>
      <c r="E271" s="202">
        <f t="shared" ref="E271:X271" si="261">D61*E212</f>
        <v>9.0620999999999992</v>
      </c>
      <c r="F271" s="202">
        <f t="shared" si="261"/>
        <v>9.17</v>
      </c>
      <c r="G271" s="202">
        <f t="shared" si="261"/>
        <v>8.86</v>
      </c>
      <c r="H271" s="202">
        <f t="shared" si="261"/>
        <v>3.8599999999999994</v>
      </c>
      <c r="I271" s="202">
        <f t="shared" si="261"/>
        <v>7.95</v>
      </c>
      <c r="J271" s="202">
        <f t="shared" si="261"/>
        <v>6.45</v>
      </c>
      <c r="K271" s="202">
        <f t="shared" si="261"/>
        <v>6.15</v>
      </c>
      <c r="L271" s="202">
        <f t="shared" si="261"/>
        <v>6.15</v>
      </c>
      <c r="M271" s="202">
        <f t="shared" si="261"/>
        <v>6.15</v>
      </c>
      <c r="N271" s="202">
        <f t="shared" si="261"/>
        <v>0</v>
      </c>
      <c r="O271" s="202">
        <f t="shared" si="261"/>
        <v>4</v>
      </c>
      <c r="P271" s="202">
        <f t="shared" si="261"/>
        <v>5</v>
      </c>
      <c r="Q271" s="202">
        <f t="shared" si="261"/>
        <v>5</v>
      </c>
      <c r="R271" s="202">
        <f t="shared" si="261"/>
        <v>0</v>
      </c>
      <c r="S271" s="202">
        <f t="shared" si="261"/>
        <v>0</v>
      </c>
      <c r="T271" s="558">
        <f t="shared" si="261"/>
        <v>0</v>
      </c>
      <c r="U271" s="558">
        <f t="shared" si="261"/>
        <v>0</v>
      </c>
      <c r="V271" s="558">
        <f t="shared" si="261"/>
        <v>0</v>
      </c>
      <c r="W271" s="558">
        <f t="shared" si="261"/>
        <v>0</v>
      </c>
      <c r="X271" s="558">
        <f t="shared" si="261"/>
        <v>0</v>
      </c>
      <c r="Y271" s="558">
        <f t="shared" ref="Y271:AO271" si="262">Y61*Y212</f>
        <v>5</v>
      </c>
      <c r="Z271" s="558">
        <f t="shared" si="262"/>
        <v>5</v>
      </c>
      <c r="AA271" s="558">
        <f t="shared" si="262"/>
        <v>5</v>
      </c>
      <c r="AB271" s="558">
        <f t="shared" si="262"/>
        <v>5</v>
      </c>
      <c r="AC271" s="558">
        <f t="shared" si="262"/>
        <v>5</v>
      </c>
      <c r="AD271" s="558">
        <f t="shared" si="262"/>
        <v>5</v>
      </c>
      <c r="AE271" s="558">
        <f t="shared" si="262"/>
        <v>5</v>
      </c>
      <c r="AF271" s="558">
        <f t="shared" si="262"/>
        <v>5</v>
      </c>
      <c r="AG271" s="558">
        <f t="shared" si="262"/>
        <v>5</v>
      </c>
      <c r="AH271" s="558">
        <f t="shared" si="262"/>
        <v>5</v>
      </c>
      <c r="AI271" s="558">
        <f t="shared" si="262"/>
        <v>5</v>
      </c>
      <c r="AJ271" s="558">
        <f t="shared" si="262"/>
        <v>5</v>
      </c>
      <c r="AK271" s="558">
        <f t="shared" si="262"/>
        <v>5</v>
      </c>
      <c r="AL271" s="558">
        <f t="shared" si="262"/>
        <v>5</v>
      </c>
      <c r="AM271" s="558">
        <f t="shared" si="262"/>
        <v>5</v>
      </c>
      <c r="AN271" s="558">
        <f t="shared" si="262"/>
        <v>5</v>
      </c>
      <c r="AO271" s="558">
        <f t="shared" si="262"/>
        <v>5</v>
      </c>
    </row>
    <row r="272" spans="2:41" s="204" customFormat="1" outlineLevel="1">
      <c r="B272" s="211" t="s">
        <v>503</v>
      </c>
      <c r="C272" s="202"/>
      <c r="D272" s="202"/>
      <c r="E272" s="202">
        <f t="shared" ref="E272:X272" si="263">D20*E213</f>
        <v>0</v>
      </c>
      <c r="F272" s="202">
        <f t="shared" si="263"/>
        <v>0</v>
      </c>
      <c r="G272" s="202">
        <f t="shared" si="263"/>
        <v>0</v>
      </c>
      <c r="H272" s="202">
        <f t="shared" si="263"/>
        <v>0</v>
      </c>
      <c r="I272" s="202">
        <f t="shared" si="263"/>
        <v>0</v>
      </c>
      <c r="J272" s="202">
        <f t="shared" si="263"/>
        <v>0</v>
      </c>
      <c r="K272" s="202">
        <f t="shared" si="263"/>
        <v>0</v>
      </c>
      <c r="L272" s="202">
        <f t="shared" si="263"/>
        <v>0</v>
      </c>
      <c r="M272" s="202">
        <f t="shared" si="263"/>
        <v>0</v>
      </c>
      <c r="N272" s="202">
        <f t="shared" si="263"/>
        <v>0</v>
      </c>
      <c r="O272" s="202">
        <f t="shared" si="263"/>
        <v>0</v>
      </c>
      <c r="P272" s="202">
        <f t="shared" si="263"/>
        <v>0</v>
      </c>
      <c r="Q272" s="202">
        <f t="shared" si="263"/>
        <v>0</v>
      </c>
      <c r="R272" s="202">
        <f t="shared" si="263"/>
        <v>0</v>
      </c>
      <c r="S272" s="202">
        <f t="shared" si="263"/>
        <v>0</v>
      </c>
      <c r="T272" s="558">
        <f t="shared" si="263"/>
        <v>0</v>
      </c>
      <c r="U272" s="558">
        <f t="shared" si="263"/>
        <v>0</v>
      </c>
      <c r="V272" s="558">
        <f t="shared" si="263"/>
        <v>0</v>
      </c>
      <c r="W272" s="558">
        <f t="shared" si="263"/>
        <v>0</v>
      </c>
      <c r="X272" s="558">
        <f t="shared" si="263"/>
        <v>0</v>
      </c>
      <c r="Y272" s="558">
        <f t="shared" ref="Y272:AO272" si="264">Y20*Y213</f>
        <v>65.625</v>
      </c>
      <c r="Z272" s="558">
        <f t="shared" si="264"/>
        <v>29.625</v>
      </c>
      <c r="AA272" s="558">
        <f t="shared" si="264"/>
        <v>0</v>
      </c>
      <c r="AB272" s="558">
        <f t="shared" si="264"/>
        <v>0</v>
      </c>
      <c r="AC272" s="558">
        <f t="shared" si="264"/>
        <v>0</v>
      </c>
      <c r="AD272" s="558">
        <f t="shared" si="264"/>
        <v>0</v>
      </c>
      <c r="AE272" s="558">
        <f t="shared" si="264"/>
        <v>0</v>
      </c>
      <c r="AF272" s="558">
        <f t="shared" si="264"/>
        <v>0</v>
      </c>
      <c r="AG272" s="558">
        <f t="shared" si="264"/>
        <v>0</v>
      </c>
      <c r="AH272" s="558">
        <f t="shared" si="264"/>
        <v>0</v>
      </c>
      <c r="AI272" s="558">
        <f t="shared" si="264"/>
        <v>0</v>
      </c>
      <c r="AJ272" s="558">
        <f t="shared" si="264"/>
        <v>0</v>
      </c>
      <c r="AK272" s="558">
        <f t="shared" si="264"/>
        <v>0</v>
      </c>
      <c r="AL272" s="558">
        <f t="shared" si="264"/>
        <v>0</v>
      </c>
      <c r="AM272" s="558">
        <f t="shared" si="264"/>
        <v>0</v>
      </c>
      <c r="AN272" s="558">
        <f t="shared" si="264"/>
        <v>0</v>
      </c>
      <c r="AO272" s="558">
        <f t="shared" si="264"/>
        <v>0</v>
      </c>
    </row>
    <row r="273" spans="2:41" s="204" customFormat="1" outlineLevel="1">
      <c r="B273" s="564" t="s">
        <v>710</v>
      </c>
      <c r="C273" s="202"/>
      <c r="D273" s="202"/>
      <c r="E273" s="202"/>
      <c r="F273" s="202"/>
      <c r="G273" s="202"/>
      <c r="H273" s="202"/>
      <c r="I273" s="202"/>
      <c r="J273" s="202"/>
      <c r="K273" s="202"/>
      <c r="L273" s="202"/>
      <c r="M273" s="202"/>
      <c r="N273" s="202"/>
      <c r="O273" s="202"/>
      <c r="P273" s="202"/>
      <c r="Q273" s="202"/>
      <c r="R273" s="202"/>
      <c r="S273" s="202"/>
      <c r="T273" s="558"/>
      <c r="U273" s="558"/>
      <c r="V273" s="558"/>
      <c r="W273" s="558"/>
      <c r="X273" s="558"/>
      <c r="Y273" s="562">
        <v>-75</v>
      </c>
      <c r="Z273" s="558">
        <f>Y273</f>
        <v>-75</v>
      </c>
      <c r="AA273" s="558">
        <f>Z273</f>
        <v>-75</v>
      </c>
      <c r="AB273" s="562">
        <v>-50</v>
      </c>
      <c r="AC273" s="558">
        <f>AB273</f>
        <v>-50</v>
      </c>
      <c r="AD273" s="562">
        <v>-25</v>
      </c>
      <c r="AE273" s="558">
        <f>AD273</f>
        <v>-25</v>
      </c>
      <c r="AF273" s="558">
        <f t="shared" ref="AF273:AO273" si="265">AE273</f>
        <v>-25</v>
      </c>
      <c r="AG273" s="558">
        <f t="shared" si="265"/>
        <v>-25</v>
      </c>
      <c r="AH273" s="558">
        <f t="shared" si="265"/>
        <v>-25</v>
      </c>
      <c r="AI273" s="558">
        <f t="shared" si="265"/>
        <v>-25</v>
      </c>
      <c r="AJ273" s="558">
        <f t="shared" si="265"/>
        <v>-25</v>
      </c>
      <c r="AK273" s="558">
        <f t="shared" si="265"/>
        <v>-25</v>
      </c>
      <c r="AL273" s="558">
        <f t="shared" si="265"/>
        <v>-25</v>
      </c>
      <c r="AM273" s="558">
        <f t="shared" si="265"/>
        <v>-25</v>
      </c>
      <c r="AN273" s="558">
        <f t="shared" si="265"/>
        <v>-25</v>
      </c>
      <c r="AO273" s="558">
        <f t="shared" si="265"/>
        <v>-25</v>
      </c>
    </row>
    <row r="274" spans="2:41" s="204" customFormat="1" outlineLevel="1">
      <c r="B274" s="211"/>
      <c r="C274" s="202"/>
      <c r="D274" s="202"/>
      <c r="E274" s="202"/>
      <c r="F274" s="202"/>
      <c r="G274" s="202"/>
      <c r="H274" s="202"/>
      <c r="I274" s="202"/>
      <c r="J274" s="202"/>
      <c r="K274" s="202"/>
      <c r="L274" s="202"/>
      <c r="M274" s="202"/>
      <c r="N274" s="202"/>
      <c r="O274" s="202"/>
      <c r="P274" s="202"/>
      <c r="Q274" s="202"/>
      <c r="R274" s="202"/>
      <c r="S274" s="202"/>
      <c r="T274" s="558"/>
      <c r="U274" s="558"/>
      <c r="V274" s="558"/>
      <c r="W274" s="558"/>
      <c r="X274" s="558"/>
      <c r="Y274" s="558"/>
      <c r="Z274" s="558"/>
      <c r="AA274" s="558"/>
      <c r="AB274" s="558"/>
      <c r="AC274" s="558"/>
      <c r="AD274" s="558"/>
      <c r="AE274" s="558"/>
      <c r="AG274" s="558"/>
    </row>
    <row r="275" spans="2:41" s="204" customFormat="1" outlineLevel="1">
      <c r="B275" s="214" t="s">
        <v>521</v>
      </c>
      <c r="C275" s="202"/>
      <c r="D275" s="216"/>
      <c r="E275" s="216">
        <f t="shared" ref="E275:U275" si="266">SUM(E217:E272)</f>
        <v>9.0620999999999992</v>
      </c>
      <c r="F275" s="216">
        <f t="shared" si="266"/>
        <v>9.17</v>
      </c>
      <c r="G275" s="216">
        <f t="shared" si="266"/>
        <v>8.86</v>
      </c>
      <c r="H275" s="216">
        <f t="shared" si="266"/>
        <v>11.984999999999999</v>
      </c>
      <c r="I275" s="216">
        <f t="shared" si="266"/>
        <v>16.074999999999999</v>
      </c>
      <c r="J275" s="216">
        <f t="shared" si="266"/>
        <v>14.574999999999999</v>
      </c>
      <c r="K275" s="216">
        <f t="shared" si="266"/>
        <v>14.275</v>
      </c>
      <c r="L275" s="216">
        <f t="shared" si="266"/>
        <v>14.275</v>
      </c>
      <c r="M275" s="216">
        <f t="shared" si="266"/>
        <v>14.275</v>
      </c>
      <c r="N275" s="216">
        <f t="shared" si="266"/>
        <v>8.125</v>
      </c>
      <c r="O275" s="216">
        <f t="shared" si="266"/>
        <v>12.125</v>
      </c>
      <c r="P275" s="216">
        <f t="shared" si="266"/>
        <v>101.545</v>
      </c>
      <c r="Q275" s="216">
        <f t="shared" si="266"/>
        <v>101.545</v>
      </c>
      <c r="R275" s="216">
        <f t="shared" si="266"/>
        <v>109.08500000000001</v>
      </c>
      <c r="S275" s="216">
        <f t="shared" si="266"/>
        <v>230.68775000000002</v>
      </c>
      <c r="T275" s="560">
        <f t="shared" si="266"/>
        <v>253.42325</v>
      </c>
      <c r="U275" s="560">
        <f t="shared" si="266"/>
        <v>374.67074999999994</v>
      </c>
      <c r="V275" s="560">
        <f>SUM(V217:V272)-V154</f>
        <v>418.17224999999991</v>
      </c>
      <c r="W275" s="560">
        <f>SUM(W217:W272)-W154</f>
        <v>854.96255089423062</v>
      </c>
      <c r="X275" s="560">
        <f>SUM(X217:X272)-X154</f>
        <v>1077.9385000000002</v>
      </c>
      <c r="Y275" s="560">
        <f>SUM(Y217:Y273)-Y154</f>
        <v>1076.4912499999998</v>
      </c>
      <c r="Z275" s="560">
        <f t="shared" ref="Z275:AO275" si="267">SUM(Z217:Z273)-Z154</f>
        <v>1158.5932499999999</v>
      </c>
      <c r="AA275" s="560">
        <f t="shared" si="267"/>
        <v>1212.0869799999998</v>
      </c>
      <c r="AB275" s="560">
        <f t="shared" si="267"/>
        <v>1255.8356799999999</v>
      </c>
      <c r="AC275" s="560">
        <f>SUM(AC217:AC273)-AC154+175</f>
        <v>1371.51693</v>
      </c>
      <c r="AD275" s="560">
        <f t="shared" si="267"/>
        <v>1098.6394300000002</v>
      </c>
      <c r="AE275" s="560">
        <f t="shared" si="267"/>
        <v>1018.2519300000001</v>
      </c>
      <c r="AF275" s="560">
        <f t="shared" si="267"/>
        <v>895.56443000000013</v>
      </c>
      <c r="AG275" s="560">
        <f t="shared" si="267"/>
        <v>796.36443000000008</v>
      </c>
      <c r="AH275" s="560">
        <f t="shared" si="267"/>
        <v>776.54152999999997</v>
      </c>
      <c r="AI275" s="560">
        <f t="shared" si="267"/>
        <v>725.79152999999997</v>
      </c>
      <c r="AJ275" s="560">
        <f t="shared" si="267"/>
        <v>694.54152999999997</v>
      </c>
      <c r="AK275" s="560">
        <f t="shared" si="267"/>
        <v>608.71153000000004</v>
      </c>
      <c r="AL275" s="560">
        <f t="shared" si="267"/>
        <v>576.71153000000004</v>
      </c>
      <c r="AM275" s="560">
        <f t="shared" si="267"/>
        <v>576.71153000000004</v>
      </c>
      <c r="AN275" s="560">
        <f t="shared" si="267"/>
        <v>538.87153000000001</v>
      </c>
      <c r="AO275" s="560">
        <f t="shared" si="267"/>
        <v>538.87153000000001</v>
      </c>
    </row>
    <row r="276" spans="2:41" s="231" customFormat="1" outlineLevel="1">
      <c r="B276" s="233" t="s">
        <v>522</v>
      </c>
      <c r="C276" s="229"/>
      <c r="D276" s="234"/>
      <c r="E276" s="234">
        <f t="shared" ref="E276:AO276" si="268">E275/D64</f>
        <v>4.9999999999999996E-2</v>
      </c>
      <c r="F276" s="234">
        <f t="shared" si="268"/>
        <v>4.9999999999999996E-2</v>
      </c>
      <c r="G276" s="234">
        <f t="shared" si="268"/>
        <v>0.05</v>
      </c>
      <c r="H276" s="234">
        <f t="shared" si="268"/>
        <v>6.7635440180586912E-2</v>
      </c>
      <c r="I276" s="234">
        <f t="shared" si="268"/>
        <v>6.2065637065637065E-2</v>
      </c>
      <c r="J276" s="234">
        <f t="shared" si="268"/>
        <v>6.364628820960698E-2</v>
      </c>
      <c r="K276" s="234">
        <f t="shared" si="268"/>
        <v>6.4013452914798208E-2</v>
      </c>
      <c r="L276" s="234">
        <f t="shared" si="268"/>
        <v>6.4013452914798208E-2</v>
      </c>
      <c r="M276" s="234">
        <f t="shared" si="268"/>
        <v>6.4013452914798208E-2</v>
      </c>
      <c r="N276" s="234">
        <f t="shared" si="268"/>
        <v>2.5630914826498424E-3</v>
      </c>
      <c r="O276" s="234">
        <f t="shared" si="268"/>
        <v>3.9366883116883113E-3</v>
      </c>
      <c r="P276" s="234">
        <f t="shared" si="268"/>
        <v>2.469479571984436E-2</v>
      </c>
      <c r="Q276" s="234">
        <f t="shared" si="268"/>
        <v>3.431733693815478E-2</v>
      </c>
      <c r="R276" s="235">
        <f t="shared" si="268"/>
        <v>1.3613503057531512E-2</v>
      </c>
      <c r="S276" s="235">
        <f t="shared" si="268"/>
        <v>2.8208333333333335E-2</v>
      </c>
      <c r="T276" s="639">
        <f t="shared" si="268"/>
        <v>3.0342822078544062E-2</v>
      </c>
      <c r="U276" s="639">
        <f t="shared" si="268"/>
        <v>3.5342962928025655E-2</v>
      </c>
      <c r="V276" s="639">
        <f t="shared" si="268"/>
        <v>3.129563313875168E-2</v>
      </c>
      <c r="W276" s="639">
        <f t="shared" si="268"/>
        <v>3.9899316356833608E-2</v>
      </c>
      <c r="X276" s="639">
        <f t="shared" si="268"/>
        <v>4.0632458818651296E-2</v>
      </c>
      <c r="Y276" s="639">
        <f t="shared" si="268"/>
        <v>3.3506326257470111E-2</v>
      </c>
      <c r="Z276" s="639">
        <f t="shared" si="268"/>
        <v>3.772076347061696E-2</v>
      </c>
      <c r="AA276" s="639">
        <f t="shared" si="268"/>
        <v>3.8410666117378624E-2</v>
      </c>
      <c r="AB276" s="639">
        <f t="shared" si="268"/>
        <v>3.630002543646664E-2</v>
      </c>
      <c r="AC276" s="639">
        <f t="shared" si="268"/>
        <v>3.8806998189123421E-2</v>
      </c>
      <c r="AD276" s="639">
        <f t="shared" si="268"/>
        <v>3.1284225468420759E-2</v>
      </c>
      <c r="AE276" s="639">
        <f t="shared" si="268"/>
        <v>3.3213253636897387E-2</v>
      </c>
      <c r="AF276" s="639">
        <f t="shared" si="268"/>
        <v>3.2321511115923206E-2</v>
      </c>
      <c r="AG276" s="639">
        <f t="shared" si="268"/>
        <v>3.2896746116986127E-2</v>
      </c>
      <c r="AH276" s="639">
        <f t="shared" si="268"/>
        <v>3.8910734579345595E-2</v>
      </c>
      <c r="AI276" s="639">
        <f t="shared" si="268"/>
        <v>3.9257438879273042E-2</v>
      </c>
      <c r="AJ276" s="639">
        <f t="shared" si="268"/>
        <v>4.0644986540262169E-2</v>
      </c>
      <c r="AK276" s="639">
        <f t="shared" si="268"/>
        <v>3.783637058677275E-2</v>
      </c>
      <c r="AL276" s="639">
        <f t="shared" si="268"/>
        <v>4.3378076720571646E-2</v>
      </c>
      <c r="AM276" s="639">
        <f t="shared" si="268"/>
        <v>4.6906183814558765E-2</v>
      </c>
      <c r="AN276" s="639">
        <f t="shared" si="268"/>
        <v>4.3828509963399757E-2</v>
      </c>
      <c r="AO276" s="639">
        <f t="shared" si="268"/>
        <v>4.7481851264428582E-2</v>
      </c>
    </row>
    <row r="277" spans="2:41" outlineLevel="1">
      <c r="B277" s="167"/>
      <c r="D277" s="235"/>
      <c r="E277" s="235"/>
      <c r="F277" s="235"/>
      <c r="G277" s="235"/>
      <c r="H277" s="235"/>
      <c r="I277" s="235"/>
      <c r="J277" s="235"/>
      <c r="K277" s="235"/>
      <c r="L277" s="235"/>
      <c r="M277" s="235"/>
      <c r="N277" s="235"/>
      <c r="O277" s="235"/>
      <c r="P277" s="235"/>
      <c r="Q277" s="235"/>
      <c r="R277" s="235"/>
      <c r="S277" s="235"/>
      <c r="T277" s="561"/>
      <c r="W277" s="561"/>
      <c r="X277" s="561"/>
      <c r="Y277" s="561"/>
      <c r="Z277" s="561"/>
      <c r="AA277" s="561"/>
      <c r="AG277" s="558"/>
    </row>
    <row r="278" spans="2:41" s="236" customFormat="1" outlineLevel="1">
      <c r="B278" s="236" t="s">
        <v>523</v>
      </c>
      <c r="C278" s="237"/>
      <c r="D278" s="202">
        <f>-IS!C32</f>
        <v>6</v>
      </c>
      <c r="E278" s="202">
        <f>-IS!D32</f>
        <v>12</v>
      </c>
      <c r="F278" s="202">
        <f>-IS!E32</f>
        <v>15</v>
      </c>
      <c r="G278" s="202">
        <f>-IS!F32</f>
        <v>6</v>
      </c>
      <c r="H278" s="202">
        <f>-IS!G32</f>
        <v>4</v>
      </c>
      <c r="I278" s="202">
        <f>-IS!H32</f>
        <v>10</v>
      </c>
      <c r="J278" s="202">
        <f>-IS!I32</f>
        <v>15</v>
      </c>
      <c r="K278" s="202">
        <f>-IS!J32</f>
        <v>16</v>
      </c>
      <c r="L278" s="202">
        <f>-IS!K32</f>
        <v>14</v>
      </c>
      <c r="M278" s="202">
        <f>-IS!P32</f>
        <v>44</v>
      </c>
      <c r="N278" s="202">
        <f>-IS!U32</f>
        <v>32</v>
      </c>
      <c r="O278" s="202">
        <f>-IS!Z32</f>
        <v>53</v>
      </c>
      <c r="P278" s="202">
        <f>-IS!AE32</f>
        <v>137</v>
      </c>
      <c r="Q278" s="202">
        <f>-IS!AJ32</f>
        <v>136</v>
      </c>
      <c r="R278" s="202">
        <f>-IS!AO32</f>
        <v>246</v>
      </c>
      <c r="S278" s="202">
        <f>-IS!AT32</f>
        <v>320</v>
      </c>
      <c r="T278" s="558">
        <f>-IS!AY32</f>
        <v>328</v>
      </c>
      <c r="U278" s="558">
        <f>-IS!BD32</f>
        <v>338</v>
      </c>
      <c r="V278" s="558">
        <f>-IS!BI32</f>
        <v>467</v>
      </c>
      <c r="W278" s="558">
        <f>-IS!BN32</f>
        <v>913</v>
      </c>
      <c r="X278" s="558">
        <f>-IS!BS32</f>
        <v>988</v>
      </c>
      <c r="Y278" s="558">
        <f>-IS!BX32</f>
        <v>1071</v>
      </c>
      <c r="Z278" s="558">
        <f>-IS!CC32</f>
        <v>1095</v>
      </c>
      <c r="AA278" s="558">
        <f>-IS!CH32</f>
        <v>1260</v>
      </c>
      <c r="AB278" s="558">
        <f>-IS!CM32</f>
        <v>1304</v>
      </c>
      <c r="AC278" s="558">
        <f>-IS!CR32</f>
        <v>1446.51693</v>
      </c>
      <c r="AD278" s="558">
        <f>-IS!CW32</f>
        <v>1098.6394300000002</v>
      </c>
      <c r="AE278" s="558">
        <f>-IS!DB32</f>
        <v>1018.2519300000001</v>
      </c>
      <c r="AF278" s="558">
        <f>-IS!DG32</f>
        <v>895.56443000000013</v>
      </c>
      <c r="AG278" s="558">
        <f>-IS!DL32</f>
        <v>796.36443000000008</v>
      </c>
      <c r="AH278" s="558">
        <f>-IS!DQ32</f>
        <v>776.54152999999997</v>
      </c>
      <c r="AI278" s="558">
        <f>-IS!DV32</f>
        <v>725.79152999999997</v>
      </c>
      <c r="AJ278" s="558">
        <f>-IS!EA32</f>
        <v>694.54152999999997</v>
      </c>
      <c r="AK278" s="558">
        <f>-IS!EF32</f>
        <v>608.71153000000004</v>
      </c>
      <c r="AL278" s="558">
        <f>-IS!EK32</f>
        <v>576.71153000000004</v>
      </c>
      <c r="AM278" s="558">
        <f>-IS!EP32</f>
        <v>576.71153000000004</v>
      </c>
      <c r="AN278" s="558">
        <f>-IS!EU32</f>
        <v>538.87153000000001</v>
      </c>
      <c r="AO278" s="558">
        <f>-IS!FD32</f>
        <v>0</v>
      </c>
    </row>
    <row r="279" spans="2:41" outlineLevel="1">
      <c r="B279" s="106" t="s">
        <v>188</v>
      </c>
      <c r="D279" s="218">
        <f t="shared" ref="D279:AO279" si="269">D275-D278</f>
        <v>-6</v>
      </c>
      <c r="E279" s="218">
        <f t="shared" si="269"/>
        <v>-2.9379000000000008</v>
      </c>
      <c r="F279" s="218">
        <f t="shared" si="269"/>
        <v>-5.83</v>
      </c>
      <c r="G279" s="218">
        <f t="shared" si="269"/>
        <v>2.8599999999999994</v>
      </c>
      <c r="H279" s="218">
        <f t="shared" si="269"/>
        <v>7.9849999999999994</v>
      </c>
      <c r="I279" s="218">
        <f t="shared" si="269"/>
        <v>6.0749999999999993</v>
      </c>
      <c r="J279" s="218">
        <f t="shared" si="269"/>
        <v>-0.42500000000000071</v>
      </c>
      <c r="K279" s="218">
        <f t="shared" si="269"/>
        <v>-1.7249999999999996</v>
      </c>
      <c r="L279" s="218">
        <f t="shared" si="269"/>
        <v>0.27500000000000036</v>
      </c>
      <c r="M279" s="218">
        <f t="shared" si="269"/>
        <v>-29.725000000000001</v>
      </c>
      <c r="N279" s="218">
        <f t="shared" si="269"/>
        <v>-23.875</v>
      </c>
      <c r="O279" s="218">
        <f t="shared" si="269"/>
        <v>-40.875</v>
      </c>
      <c r="P279" s="218">
        <f t="shared" si="269"/>
        <v>-35.454999999999998</v>
      </c>
      <c r="Q279" s="218">
        <f t="shared" si="269"/>
        <v>-34.454999999999998</v>
      </c>
      <c r="R279" s="218">
        <f t="shared" si="269"/>
        <v>-136.91499999999999</v>
      </c>
      <c r="S279" s="218">
        <f t="shared" si="269"/>
        <v>-89.312249999999977</v>
      </c>
      <c r="T279" s="559">
        <f t="shared" si="269"/>
        <v>-74.576750000000004</v>
      </c>
      <c r="U279" s="559">
        <f t="shared" si="269"/>
        <v>36.670749999999941</v>
      </c>
      <c r="V279" s="559">
        <f t="shared" si="269"/>
        <v>-48.827750000000094</v>
      </c>
      <c r="W279" s="559">
        <f t="shared" si="269"/>
        <v>-58.037449105769383</v>
      </c>
      <c r="X279" s="559">
        <f t="shared" si="269"/>
        <v>89.938500000000204</v>
      </c>
      <c r="Y279" s="559">
        <f t="shared" si="269"/>
        <v>5.491249999999809</v>
      </c>
      <c r="Z279" s="559">
        <f t="shared" si="269"/>
        <v>63.593249999999898</v>
      </c>
      <c r="AA279" s="559">
        <f t="shared" si="269"/>
        <v>-47.913020000000188</v>
      </c>
      <c r="AB279" s="559">
        <f>AB275-AB278</f>
        <v>-48.164320000000089</v>
      </c>
      <c r="AC279" s="559">
        <f t="shared" si="269"/>
        <v>-75</v>
      </c>
      <c r="AD279" s="559">
        <f t="shared" si="269"/>
        <v>0</v>
      </c>
      <c r="AE279" s="559">
        <f t="shared" si="269"/>
        <v>0</v>
      </c>
      <c r="AF279" s="559">
        <f t="shared" si="269"/>
        <v>0</v>
      </c>
      <c r="AG279" s="559">
        <f t="shared" si="269"/>
        <v>0</v>
      </c>
      <c r="AH279" s="559">
        <f t="shared" si="269"/>
        <v>0</v>
      </c>
      <c r="AI279" s="559">
        <f t="shared" si="269"/>
        <v>0</v>
      </c>
      <c r="AJ279" s="559">
        <f t="shared" si="269"/>
        <v>0</v>
      </c>
      <c r="AK279" s="559">
        <f t="shared" si="269"/>
        <v>0</v>
      </c>
      <c r="AL279" s="559">
        <f t="shared" si="269"/>
        <v>0</v>
      </c>
      <c r="AM279" s="559">
        <f t="shared" si="269"/>
        <v>0</v>
      </c>
      <c r="AN279" s="559">
        <f t="shared" si="269"/>
        <v>0</v>
      </c>
      <c r="AO279" s="559">
        <f t="shared" si="269"/>
        <v>538.87153000000001</v>
      </c>
    </row>
    <row r="280" spans="2:41">
      <c r="D280" s="202"/>
      <c r="E280" s="202"/>
      <c r="F280" s="202"/>
      <c r="G280" s="202"/>
      <c r="H280" s="202"/>
      <c r="I280" s="202"/>
      <c r="J280" s="202"/>
      <c r="K280" s="202"/>
      <c r="L280" s="202"/>
      <c r="M280" s="202"/>
      <c r="N280" s="202"/>
      <c r="O280" s="202"/>
      <c r="P280" s="202"/>
      <c r="Q280" s="202"/>
      <c r="R280" s="202"/>
      <c r="S280" s="202"/>
      <c r="AG280" s="558"/>
    </row>
    <row r="281" spans="2:41">
      <c r="AG281" s="558"/>
    </row>
    <row r="282" spans="2:41">
      <c r="R282" s="202"/>
      <c r="S282" s="603"/>
      <c r="AG282" s="558"/>
    </row>
    <row r="283" spans="2:41">
      <c r="R283" s="202"/>
      <c r="S283" s="603"/>
      <c r="AG283" s="558"/>
    </row>
    <row r="284" spans="2:41">
      <c r="R284" s="202"/>
      <c r="S284" s="603"/>
      <c r="AG284" s="558"/>
    </row>
    <row r="285" spans="2:41">
      <c r="R285" s="202"/>
      <c r="S285" s="603"/>
      <c r="AG285" s="558"/>
    </row>
    <row r="286" spans="2:41">
      <c r="R286" s="202"/>
      <c r="S286" s="603"/>
      <c r="AG286" s="558"/>
    </row>
    <row r="287" spans="2:41">
      <c r="R287" s="202"/>
      <c r="AG287" s="558"/>
    </row>
    <row r="288" spans="2:41">
      <c r="AG288" s="558"/>
    </row>
    <row r="289" spans="33:33">
      <c r="AG289" s="558"/>
    </row>
    <row r="290" spans="33:33">
      <c r="AG290" s="558"/>
    </row>
    <row r="291" spans="33:33">
      <c r="AG291" s="558"/>
    </row>
    <row r="292" spans="33:33">
      <c r="AG292" s="558"/>
    </row>
    <row r="293" spans="33:33">
      <c r="AG293" s="558"/>
    </row>
    <row r="294" spans="33:33">
      <c r="AG294" s="558"/>
    </row>
    <row r="295" spans="33:33">
      <c r="AG295" s="558"/>
    </row>
    <row r="296" spans="33:33">
      <c r="AG296" s="558"/>
    </row>
    <row r="297" spans="33:33">
      <c r="AG297" s="558"/>
    </row>
    <row r="298" spans="33:33">
      <c r="AG298" s="558"/>
    </row>
    <row r="299" spans="33:33">
      <c r="AG299" s="558"/>
    </row>
    <row r="300" spans="33:33">
      <c r="AG300" s="558"/>
    </row>
    <row r="301" spans="33:33">
      <c r="AG301" s="558"/>
    </row>
    <row r="302" spans="33:33">
      <c r="AG302" s="558"/>
    </row>
    <row r="303" spans="33:33">
      <c r="AG303" s="558"/>
    </row>
    <row r="304" spans="33:33">
      <c r="AG304" s="558"/>
    </row>
    <row r="305" spans="33:33">
      <c r="AG305" s="558"/>
    </row>
    <row r="306" spans="33:33">
      <c r="AG306" s="558"/>
    </row>
    <row r="307" spans="33:33">
      <c r="AG307" s="558"/>
    </row>
    <row r="308" spans="33:33">
      <c r="AG308" s="558"/>
    </row>
    <row r="309" spans="33:33">
      <c r="AG309" s="558"/>
    </row>
    <row r="310" spans="33:33">
      <c r="AG310" s="558"/>
    </row>
    <row r="311" spans="33:33">
      <c r="AG311" s="558"/>
    </row>
    <row r="312" spans="33:33">
      <c r="AG312" s="558"/>
    </row>
    <row r="313" spans="33:33">
      <c r="AG313" s="558"/>
    </row>
    <row r="314" spans="33:33">
      <c r="AG314" s="558"/>
    </row>
    <row r="315" spans="33:33">
      <c r="AG315" s="558"/>
    </row>
    <row r="316" spans="33:33">
      <c r="AG316" s="558"/>
    </row>
    <row r="317" spans="33:33">
      <c r="AG317" s="558"/>
    </row>
    <row r="318" spans="33:33">
      <c r="AG318" s="558"/>
    </row>
    <row r="319" spans="33:33">
      <c r="AG319" s="558"/>
    </row>
  </sheetData>
  <phoneticPr fontId="57" type="noConversion"/>
  <pageMargins left="0.7" right="0.7" top="0.75" bottom="0.75" header="0.3" footer="0.3"/>
  <pageSetup orientation="portrait" r:id="rId1"/>
  <ignoredErrors>
    <ignoredError sqref="W120:AO120 T80:W80 X80:AB80 AC80:AH80 AI80:AO80 Z254:AE254 W247:W249 V234:V236 U219:X219 Y219:AC219 AD219:AE219 AF254:AO254 AF219:AO219 AE87:AO87 AB87:AD87 T87:AA87" formula="1"/>
    <ignoredError sqref="AF67:AI67" evalError="1"/>
    <ignoredError sqref="X73:Y73 X74" formulaRange="1"/>
  </ignoredErrors>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2:AB130"/>
  <sheetViews>
    <sheetView zoomScaleNormal="100" workbookViewId="0">
      <pane xSplit="2" ySplit="2" topLeftCell="C32" activePane="bottomRight" state="frozen"/>
      <selection pane="topRight" activeCell="C1" sqref="C1"/>
      <selection pane="bottomLeft" activeCell="A3" sqref="A3"/>
      <selection pane="bottomRight" activeCell="N56" sqref="N56"/>
    </sheetView>
  </sheetViews>
  <sheetFormatPr defaultRowHeight="12.75"/>
  <cols>
    <col min="1" max="1" width="2.140625" customWidth="1"/>
    <col min="2" max="2" width="26.140625" customWidth="1"/>
    <col min="3" max="3" width="10.28515625" customWidth="1"/>
    <col min="4" max="4" width="9.140625" customWidth="1"/>
  </cols>
  <sheetData>
    <row r="2" spans="2:28">
      <c r="B2" s="100" t="s">
        <v>234</v>
      </c>
      <c r="C2" s="100">
        <v>2007</v>
      </c>
      <c r="D2" s="100">
        <f>C2+1</f>
        <v>2008</v>
      </c>
      <c r="E2" s="100">
        <f t="shared" ref="E2:P2" si="0">D2+1</f>
        <v>2009</v>
      </c>
      <c r="F2" s="100">
        <f t="shared" si="0"/>
        <v>2010</v>
      </c>
      <c r="G2" s="100">
        <f t="shared" si="0"/>
        <v>2011</v>
      </c>
      <c r="H2" s="100">
        <f t="shared" si="0"/>
        <v>2012</v>
      </c>
      <c r="I2" s="100">
        <f t="shared" si="0"/>
        <v>2013</v>
      </c>
      <c r="J2" s="100">
        <f t="shared" si="0"/>
        <v>2014</v>
      </c>
      <c r="K2" s="100">
        <f t="shared" si="0"/>
        <v>2015</v>
      </c>
      <c r="L2" s="100">
        <f t="shared" si="0"/>
        <v>2016</v>
      </c>
      <c r="M2" s="100">
        <f t="shared" si="0"/>
        <v>2017</v>
      </c>
      <c r="N2" s="100">
        <f t="shared" si="0"/>
        <v>2018</v>
      </c>
      <c r="O2" s="100">
        <f t="shared" si="0"/>
        <v>2019</v>
      </c>
      <c r="P2" s="100">
        <f t="shared" si="0"/>
        <v>2020</v>
      </c>
      <c r="Q2" s="100">
        <f t="shared" ref="Q2:Z2" si="1">P2+1</f>
        <v>2021</v>
      </c>
      <c r="R2" s="100">
        <f t="shared" si="1"/>
        <v>2022</v>
      </c>
      <c r="S2" s="100">
        <f t="shared" si="1"/>
        <v>2023</v>
      </c>
      <c r="T2" s="100">
        <f t="shared" si="1"/>
        <v>2024</v>
      </c>
      <c r="U2" s="100">
        <f t="shared" si="1"/>
        <v>2025</v>
      </c>
      <c r="V2" s="100">
        <f t="shared" si="1"/>
        <v>2026</v>
      </c>
      <c r="W2" s="100">
        <f t="shared" si="1"/>
        <v>2027</v>
      </c>
      <c r="X2" s="100">
        <f t="shared" si="1"/>
        <v>2028</v>
      </c>
      <c r="Y2" s="100">
        <f t="shared" si="1"/>
        <v>2029</v>
      </c>
      <c r="Z2" s="100">
        <f t="shared" si="1"/>
        <v>2030</v>
      </c>
    </row>
    <row r="3" spans="2:28">
      <c r="B3" s="97" t="s">
        <v>237</v>
      </c>
      <c r="C3" s="96"/>
      <c r="D3" s="96"/>
      <c r="E3" s="96"/>
      <c r="F3" s="96"/>
      <c r="G3" s="96"/>
      <c r="H3" s="96"/>
      <c r="I3" s="96"/>
      <c r="J3" s="96"/>
      <c r="K3" s="96"/>
      <c r="L3" s="96"/>
      <c r="M3" s="96"/>
      <c r="N3" s="96"/>
      <c r="O3" s="96"/>
      <c r="P3" s="96"/>
      <c r="Q3" s="96"/>
      <c r="R3" s="96"/>
      <c r="S3" s="96"/>
      <c r="T3" s="96"/>
      <c r="U3" s="96"/>
      <c r="V3" s="96"/>
      <c r="W3" s="96"/>
      <c r="X3" s="96"/>
      <c r="Y3" s="96"/>
      <c r="Z3" s="96"/>
    </row>
    <row r="4" spans="2:28">
      <c r="B4" t="s">
        <v>246</v>
      </c>
      <c r="C4" s="1">
        <f t="shared" ref="C4:H4" si="2">D4/(1+D5)</f>
        <v>115144.63769560793</v>
      </c>
      <c r="D4" s="1">
        <f t="shared" si="2"/>
        <v>112841.74494169577</v>
      </c>
      <c r="E4" s="1">
        <f t="shared" si="2"/>
        <v>110584.91004286185</v>
      </c>
      <c r="F4" s="1">
        <f t="shared" si="2"/>
        <v>108373.21184200462</v>
      </c>
      <c r="G4" s="1">
        <f t="shared" si="2"/>
        <v>106205.74760516452</v>
      </c>
      <c r="H4" s="1">
        <f t="shared" si="2"/>
        <v>104081.63265306123</v>
      </c>
      <c r="I4" s="1">
        <v>102000</v>
      </c>
      <c r="J4" s="1">
        <f>I4*(1+J5)</f>
        <v>99960</v>
      </c>
      <c r="K4" s="1">
        <f t="shared" ref="K4:P4" si="3">J4*(1+K5)</f>
        <v>97960.8</v>
      </c>
      <c r="L4" s="1">
        <f t="shared" si="3"/>
        <v>96001.584000000003</v>
      </c>
      <c r="M4" s="1">
        <f t="shared" si="3"/>
        <v>94081.552320000003</v>
      </c>
      <c r="N4" s="1">
        <f t="shared" si="3"/>
        <v>92199.921273600004</v>
      </c>
      <c r="O4" s="1">
        <f t="shared" si="3"/>
        <v>90355.922848128001</v>
      </c>
      <c r="P4" s="1">
        <f t="shared" si="3"/>
        <v>88548.804391165439</v>
      </c>
      <c r="Q4" s="1">
        <f t="shared" ref="Q4:Z4" si="4">P4*(1+Q5)</f>
        <v>86777.828303342132</v>
      </c>
      <c r="R4" s="1">
        <f t="shared" si="4"/>
        <v>85042.271737275281</v>
      </c>
      <c r="S4" s="1">
        <f t="shared" si="4"/>
        <v>83341.42630252977</v>
      </c>
      <c r="T4" s="1">
        <f t="shared" si="4"/>
        <v>81674.597776479175</v>
      </c>
      <c r="U4" s="1">
        <f t="shared" si="4"/>
        <v>80041.105820949597</v>
      </c>
      <c r="V4" s="1">
        <f t="shared" si="4"/>
        <v>78440.283704530608</v>
      </c>
      <c r="W4" s="1">
        <f t="shared" si="4"/>
        <v>76871.47803043999</v>
      </c>
      <c r="X4" s="1">
        <f t="shared" si="4"/>
        <v>75334.048469831192</v>
      </c>
      <c r="Y4" s="1">
        <f t="shared" si="4"/>
        <v>73827.367500434571</v>
      </c>
      <c r="Z4" s="1">
        <f t="shared" si="4"/>
        <v>72350.820150425876</v>
      </c>
      <c r="AB4" t="s">
        <v>240</v>
      </c>
    </row>
    <row r="5" spans="2:28">
      <c r="B5" s="27" t="s">
        <v>208</v>
      </c>
      <c r="D5" s="73">
        <v>-0.02</v>
      </c>
      <c r="E5" s="44">
        <f>D5</f>
        <v>-0.02</v>
      </c>
      <c r="F5" s="44">
        <f t="shared" ref="F5:P5" si="5">E5</f>
        <v>-0.02</v>
      </c>
      <c r="G5" s="44">
        <f t="shared" si="5"/>
        <v>-0.02</v>
      </c>
      <c r="H5" s="44">
        <f t="shared" si="5"/>
        <v>-0.02</v>
      </c>
      <c r="I5" s="44">
        <f t="shared" si="5"/>
        <v>-0.02</v>
      </c>
      <c r="J5" s="44">
        <f t="shared" si="5"/>
        <v>-0.02</v>
      </c>
      <c r="K5" s="44">
        <f t="shared" si="5"/>
        <v>-0.02</v>
      </c>
      <c r="L5" s="44">
        <f t="shared" si="5"/>
        <v>-0.02</v>
      </c>
      <c r="M5" s="44">
        <f t="shared" si="5"/>
        <v>-0.02</v>
      </c>
      <c r="N5" s="44">
        <f t="shared" si="5"/>
        <v>-0.02</v>
      </c>
      <c r="O5" s="44">
        <f t="shared" si="5"/>
        <v>-0.02</v>
      </c>
      <c r="P5" s="44">
        <f t="shared" si="5"/>
        <v>-0.02</v>
      </c>
      <c r="Q5" s="44">
        <f t="shared" ref="Q5:Z5" si="6">P5</f>
        <v>-0.02</v>
      </c>
      <c r="R5" s="44">
        <f t="shared" si="6"/>
        <v>-0.02</v>
      </c>
      <c r="S5" s="44">
        <f t="shared" si="6"/>
        <v>-0.02</v>
      </c>
      <c r="T5" s="44">
        <f t="shared" si="6"/>
        <v>-0.02</v>
      </c>
      <c r="U5" s="44">
        <f t="shared" si="6"/>
        <v>-0.02</v>
      </c>
      <c r="V5" s="44">
        <f t="shared" si="6"/>
        <v>-0.02</v>
      </c>
      <c r="W5" s="44">
        <f t="shared" si="6"/>
        <v>-0.02</v>
      </c>
      <c r="X5" s="44">
        <f t="shared" si="6"/>
        <v>-0.02</v>
      </c>
      <c r="Y5" s="44">
        <f t="shared" si="6"/>
        <v>-0.02</v>
      </c>
      <c r="Z5" s="44">
        <f t="shared" si="6"/>
        <v>-0.02</v>
      </c>
    </row>
    <row r="6" spans="2:28">
      <c r="B6" t="s">
        <v>247</v>
      </c>
      <c r="C6" s="81">
        <v>0.8</v>
      </c>
      <c r="D6" s="35">
        <f>C6</f>
        <v>0.8</v>
      </c>
      <c r="E6" s="35">
        <f t="shared" ref="E6:P6" si="7">D6</f>
        <v>0.8</v>
      </c>
      <c r="F6" s="35">
        <f t="shared" si="7"/>
        <v>0.8</v>
      </c>
      <c r="G6" s="35">
        <f t="shared" si="7"/>
        <v>0.8</v>
      </c>
      <c r="H6" s="35">
        <f t="shared" si="7"/>
        <v>0.8</v>
      </c>
      <c r="I6" s="35">
        <f t="shared" si="7"/>
        <v>0.8</v>
      </c>
      <c r="J6" s="35">
        <f t="shared" si="7"/>
        <v>0.8</v>
      </c>
      <c r="K6" s="35">
        <f t="shared" si="7"/>
        <v>0.8</v>
      </c>
      <c r="L6" s="35">
        <f t="shared" si="7"/>
        <v>0.8</v>
      </c>
      <c r="M6" s="35">
        <f t="shared" si="7"/>
        <v>0.8</v>
      </c>
      <c r="N6" s="35">
        <f t="shared" si="7"/>
        <v>0.8</v>
      </c>
      <c r="O6" s="35">
        <f t="shared" si="7"/>
        <v>0.8</v>
      </c>
      <c r="P6" s="35">
        <f t="shared" si="7"/>
        <v>0.8</v>
      </c>
      <c r="Q6" s="35">
        <f t="shared" ref="Q6:Z6" si="8">P6</f>
        <v>0.8</v>
      </c>
      <c r="R6" s="35">
        <f t="shared" si="8"/>
        <v>0.8</v>
      </c>
      <c r="S6" s="35">
        <f t="shared" si="8"/>
        <v>0.8</v>
      </c>
      <c r="T6" s="35">
        <f t="shared" si="8"/>
        <v>0.8</v>
      </c>
      <c r="U6" s="35">
        <f t="shared" si="8"/>
        <v>0.8</v>
      </c>
      <c r="V6" s="35">
        <f t="shared" si="8"/>
        <v>0.8</v>
      </c>
      <c r="W6" s="35">
        <f t="shared" si="8"/>
        <v>0.8</v>
      </c>
      <c r="X6" s="35">
        <f t="shared" si="8"/>
        <v>0.8</v>
      </c>
      <c r="Y6" s="35">
        <f t="shared" si="8"/>
        <v>0.8</v>
      </c>
      <c r="Z6" s="35">
        <f t="shared" si="8"/>
        <v>0.8</v>
      </c>
      <c r="AB6" s="86" t="s">
        <v>241</v>
      </c>
    </row>
    <row r="7" spans="2:28">
      <c r="B7" t="s">
        <v>248</v>
      </c>
      <c r="C7" s="81">
        <v>0.5</v>
      </c>
      <c r="D7" s="35">
        <f>C7</f>
        <v>0.5</v>
      </c>
      <c r="E7" s="35">
        <f t="shared" ref="E7:P7" si="9">D7</f>
        <v>0.5</v>
      </c>
      <c r="F7" s="35">
        <f t="shared" si="9"/>
        <v>0.5</v>
      </c>
      <c r="G7" s="35">
        <f t="shared" si="9"/>
        <v>0.5</v>
      </c>
      <c r="H7" s="35">
        <f t="shared" si="9"/>
        <v>0.5</v>
      </c>
      <c r="I7" s="35">
        <f t="shared" si="9"/>
        <v>0.5</v>
      </c>
      <c r="J7" s="35">
        <f t="shared" si="9"/>
        <v>0.5</v>
      </c>
      <c r="K7" s="35">
        <f t="shared" si="9"/>
        <v>0.5</v>
      </c>
      <c r="L7" s="35">
        <f t="shared" si="9"/>
        <v>0.5</v>
      </c>
      <c r="M7" s="35">
        <f t="shared" si="9"/>
        <v>0.5</v>
      </c>
      <c r="N7" s="35">
        <f t="shared" si="9"/>
        <v>0.5</v>
      </c>
      <c r="O7" s="35">
        <f t="shared" si="9"/>
        <v>0.5</v>
      </c>
      <c r="P7" s="35">
        <f t="shared" si="9"/>
        <v>0.5</v>
      </c>
      <c r="Q7" s="35">
        <f t="shared" ref="Q7:Z7" si="10">P7</f>
        <v>0.5</v>
      </c>
      <c r="R7" s="35">
        <f t="shared" si="10"/>
        <v>0.5</v>
      </c>
      <c r="S7" s="35">
        <f t="shared" si="10"/>
        <v>0.5</v>
      </c>
      <c r="T7" s="35">
        <f t="shared" si="10"/>
        <v>0.5</v>
      </c>
      <c r="U7" s="35">
        <f t="shared" si="10"/>
        <v>0.5</v>
      </c>
      <c r="V7" s="35">
        <f t="shared" si="10"/>
        <v>0.5</v>
      </c>
      <c r="W7" s="35">
        <f t="shared" si="10"/>
        <v>0.5</v>
      </c>
      <c r="X7" s="35">
        <f t="shared" si="10"/>
        <v>0.5</v>
      </c>
      <c r="Y7" s="35">
        <f t="shared" si="10"/>
        <v>0.5</v>
      </c>
      <c r="Z7" s="35">
        <f t="shared" si="10"/>
        <v>0.5</v>
      </c>
    </row>
    <row r="8" spans="2:28">
      <c r="B8" t="s">
        <v>249</v>
      </c>
      <c r="C8" s="1">
        <f>C6*C7*C4</f>
        <v>46057.855078243178</v>
      </c>
      <c r="D8" s="1">
        <f t="shared" ref="D8:P8" si="11">D6*D7*D4</f>
        <v>45136.697976678312</v>
      </c>
      <c r="E8" s="1">
        <f t="shared" si="11"/>
        <v>44233.964017144746</v>
      </c>
      <c r="F8" s="1">
        <f t="shared" si="11"/>
        <v>43349.284736801848</v>
      </c>
      <c r="G8" s="1">
        <f t="shared" si="11"/>
        <v>42482.29904206581</v>
      </c>
      <c r="H8" s="1">
        <f t="shared" si="11"/>
        <v>41632.653061224497</v>
      </c>
      <c r="I8" s="1">
        <f t="shared" si="11"/>
        <v>40800</v>
      </c>
      <c r="J8" s="1">
        <f t="shared" si="11"/>
        <v>39984</v>
      </c>
      <c r="K8" s="1">
        <f t="shared" si="11"/>
        <v>39184.32</v>
      </c>
      <c r="L8" s="1">
        <f t="shared" si="11"/>
        <v>38400.633600000001</v>
      </c>
      <c r="M8" s="1">
        <f t="shared" si="11"/>
        <v>37632.620928000004</v>
      </c>
      <c r="N8" s="1">
        <f t="shared" si="11"/>
        <v>36879.968509440005</v>
      </c>
      <c r="O8" s="1">
        <f t="shared" si="11"/>
        <v>36142.369139251205</v>
      </c>
      <c r="P8" s="1">
        <f t="shared" si="11"/>
        <v>35419.52175646618</v>
      </c>
      <c r="Q8" s="1">
        <f t="shared" ref="Q8:Z8" si="12">Q6*Q7*Q4</f>
        <v>34711.131321336856</v>
      </c>
      <c r="R8" s="1">
        <f t="shared" si="12"/>
        <v>34016.908694910111</v>
      </c>
      <c r="S8" s="1">
        <f t="shared" si="12"/>
        <v>33336.570521011912</v>
      </c>
      <c r="T8" s="1">
        <f t="shared" si="12"/>
        <v>32669.839110591671</v>
      </c>
      <c r="U8" s="1">
        <f t="shared" si="12"/>
        <v>32016.442328379839</v>
      </c>
      <c r="V8" s="1">
        <f t="shared" si="12"/>
        <v>31376.113481812245</v>
      </c>
      <c r="W8" s="1">
        <f t="shared" si="12"/>
        <v>30748.591212175997</v>
      </c>
      <c r="X8" s="1">
        <f t="shared" si="12"/>
        <v>30133.619387932478</v>
      </c>
      <c r="Y8" s="1">
        <f t="shared" si="12"/>
        <v>29530.94700017383</v>
      </c>
      <c r="Z8" s="1">
        <f t="shared" si="12"/>
        <v>28940.328060170352</v>
      </c>
    </row>
    <row r="9" spans="2:28">
      <c r="B9" t="s">
        <v>250</v>
      </c>
      <c r="C9" s="81">
        <v>0.4</v>
      </c>
      <c r="D9" s="35">
        <f>C9</f>
        <v>0.4</v>
      </c>
      <c r="E9" s="35">
        <f t="shared" ref="E9:P9" si="13">D9</f>
        <v>0.4</v>
      </c>
      <c r="F9" s="35">
        <f t="shared" si="13"/>
        <v>0.4</v>
      </c>
      <c r="G9" s="35">
        <f t="shared" si="13"/>
        <v>0.4</v>
      </c>
      <c r="H9" s="35">
        <f t="shared" si="13"/>
        <v>0.4</v>
      </c>
      <c r="I9" s="35">
        <f t="shared" si="13"/>
        <v>0.4</v>
      </c>
      <c r="J9" s="35">
        <f t="shared" si="13"/>
        <v>0.4</v>
      </c>
      <c r="K9" s="35">
        <f t="shared" si="13"/>
        <v>0.4</v>
      </c>
      <c r="L9" s="35">
        <f t="shared" si="13"/>
        <v>0.4</v>
      </c>
      <c r="M9" s="35">
        <f t="shared" si="13"/>
        <v>0.4</v>
      </c>
      <c r="N9" s="35">
        <f t="shared" si="13"/>
        <v>0.4</v>
      </c>
      <c r="O9" s="35">
        <f t="shared" si="13"/>
        <v>0.4</v>
      </c>
      <c r="P9" s="35">
        <f t="shared" si="13"/>
        <v>0.4</v>
      </c>
      <c r="Q9" s="35">
        <f t="shared" ref="Q9:Z9" si="14">P9</f>
        <v>0.4</v>
      </c>
      <c r="R9" s="35">
        <f t="shared" si="14"/>
        <v>0.4</v>
      </c>
      <c r="S9" s="35">
        <f t="shared" si="14"/>
        <v>0.4</v>
      </c>
      <c r="T9" s="35">
        <f t="shared" si="14"/>
        <v>0.4</v>
      </c>
      <c r="U9" s="35">
        <f t="shared" si="14"/>
        <v>0.4</v>
      </c>
      <c r="V9" s="35">
        <f t="shared" si="14"/>
        <v>0.4</v>
      </c>
      <c r="W9" s="35">
        <f t="shared" si="14"/>
        <v>0.4</v>
      </c>
      <c r="X9" s="35">
        <f t="shared" si="14"/>
        <v>0.4</v>
      </c>
      <c r="Y9" s="35">
        <f t="shared" si="14"/>
        <v>0.4</v>
      </c>
      <c r="Z9" s="35">
        <f t="shared" si="14"/>
        <v>0.4</v>
      </c>
      <c r="AB9" s="86" t="s">
        <v>241</v>
      </c>
    </row>
    <row r="10" spans="2:28">
      <c r="B10" t="s">
        <v>251</v>
      </c>
      <c r="C10" s="1">
        <f>C9*C8</f>
        <v>18423.142031297273</v>
      </c>
      <c r="D10" s="1">
        <f t="shared" ref="D10:P10" si="15">D9*D8</f>
        <v>18054.679190671326</v>
      </c>
      <c r="E10" s="1">
        <f t="shared" si="15"/>
        <v>17693.585606857898</v>
      </c>
      <c r="F10" s="1">
        <f t="shared" si="15"/>
        <v>17339.713894720739</v>
      </c>
      <c r="G10" s="1">
        <f t="shared" si="15"/>
        <v>16992.919616826326</v>
      </c>
      <c r="H10" s="1">
        <f t="shared" si="15"/>
        <v>16653.0612244898</v>
      </c>
      <c r="I10" s="1">
        <f t="shared" si="15"/>
        <v>16320</v>
      </c>
      <c r="J10" s="1">
        <f t="shared" si="15"/>
        <v>15993.6</v>
      </c>
      <c r="K10" s="1">
        <f t="shared" si="15"/>
        <v>15673.728000000001</v>
      </c>
      <c r="L10" s="1">
        <f t="shared" si="15"/>
        <v>15360.25344</v>
      </c>
      <c r="M10" s="1">
        <f t="shared" si="15"/>
        <v>15053.048371200002</v>
      </c>
      <c r="N10" s="1">
        <f t="shared" si="15"/>
        <v>14751.987403776002</v>
      </c>
      <c r="O10" s="1">
        <f t="shared" si="15"/>
        <v>14456.947655700482</v>
      </c>
      <c r="P10" s="1">
        <f t="shared" si="15"/>
        <v>14167.808702586473</v>
      </c>
      <c r="Q10" s="1">
        <f t="shared" ref="Q10:Z10" si="16">Q9*Q8</f>
        <v>13884.452528534743</v>
      </c>
      <c r="R10" s="1">
        <f t="shared" si="16"/>
        <v>13606.763477964045</v>
      </c>
      <c r="S10" s="1">
        <f t="shared" si="16"/>
        <v>13334.628208404765</v>
      </c>
      <c r="T10" s="1">
        <f t="shared" si="16"/>
        <v>13067.93564423667</v>
      </c>
      <c r="U10" s="1">
        <f t="shared" si="16"/>
        <v>12806.576931351936</v>
      </c>
      <c r="V10" s="1">
        <f t="shared" si="16"/>
        <v>12550.445392724898</v>
      </c>
      <c r="W10" s="1">
        <f t="shared" si="16"/>
        <v>12299.436484870399</v>
      </c>
      <c r="X10" s="1">
        <f t="shared" si="16"/>
        <v>12053.447755172992</v>
      </c>
      <c r="Y10" s="1">
        <f t="shared" si="16"/>
        <v>11812.378800069533</v>
      </c>
      <c r="Z10" s="1">
        <f t="shared" si="16"/>
        <v>11576.131224068142</v>
      </c>
    </row>
    <row r="12" spans="2:28">
      <c r="B12" t="s">
        <v>242</v>
      </c>
      <c r="C12" s="74">
        <v>6.5000000000000002E-2</v>
      </c>
      <c r="D12" s="70">
        <v>0.01</v>
      </c>
      <c r="E12" s="70">
        <f t="shared" ref="E12:P12" si="17">D12*0.99</f>
        <v>9.9000000000000008E-3</v>
      </c>
      <c r="F12" s="70">
        <f t="shared" si="17"/>
        <v>9.8010000000000007E-3</v>
      </c>
      <c r="G12" s="70">
        <f t="shared" si="17"/>
        <v>9.7029899999999999E-3</v>
      </c>
      <c r="H12" s="70">
        <f t="shared" si="17"/>
        <v>9.6059600999999998E-3</v>
      </c>
      <c r="I12" s="70">
        <f t="shared" si="17"/>
        <v>9.5099004989999993E-3</v>
      </c>
      <c r="J12" s="70">
        <v>5.8000000000000003E-2</v>
      </c>
      <c r="K12" s="70">
        <f>J12*1.7</f>
        <v>9.8600000000000007E-2</v>
      </c>
      <c r="L12" s="70">
        <f>K12*1.3</f>
        <v>0.12818000000000002</v>
      </c>
      <c r="M12" s="70">
        <f>L12*1.2</f>
        <v>0.15381600000000001</v>
      </c>
      <c r="N12" s="70">
        <f>M12*1.05</f>
        <v>0.16150680000000001</v>
      </c>
      <c r="O12" s="70">
        <f t="shared" si="17"/>
        <v>0.15989173200000001</v>
      </c>
      <c r="P12" s="70">
        <f t="shared" si="17"/>
        <v>0.15829281468</v>
      </c>
      <c r="Q12" s="70">
        <f>P12*0.99</f>
        <v>0.1567098865332</v>
      </c>
      <c r="R12" s="70">
        <f>Q12*0.99</f>
        <v>0.15514278766786802</v>
      </c>
      <c r="S12" s="70">
        <f>R12*0.99</f>
        <v>0.15359135979118935</v>
      </c>
      <c r="T12" s="70">
        <f>S12*0.99</f>
        <v>0.15205544619327746</v>
      </c>
      <c r="U12" s="70">
        <f>T12*0.95</f>
        <v>0.14445267388361357</v>
      </c>
      <c r="V12" s="70">
        <f>U12*0.9</f>
        <v>0.13000740649525222</v>
      </c>
      <c r="W12" s="70">
        <f>V12*0.85</f>
        <v>0.11050629552096439</v>
      </c>
      <c r="X12" s="70">
        <f>W12*0.8</f>
        <v>8.8405036416771512E-2</v>
      </c>
      <c r="Y12" s="70">
        <f>X12*0.95</f>
        <v>8.3984784595932935E-2</v>
      </c>
      <c r="Z12" s="70">
        <f>Y12*0.95</f>
        <v>7.9785545366136287E-2</v>
      </c>
      <c r="AB12" t="s">
        <v>252</v>
      </c>
    </row>
    <row r="13" spans="2:28">
      <c r="B13" t="s">
        <v>243</v>
      </c>
      <c r="C13">
        <v>7</v>
      </c>
      <c r="D13">
        <f t="shared" ref="D13:J13" si="18">C13</f>
        <v>7</v>
      </c>
      <c r="E13">
        <f t="shared" si="18"/>
        <v>7</v>
      </c>
      <c r="F13">
        <f t="shared" si="18"/>
        <v>7</v>
      </c>
      <c r="G13">
        <f t="shared" si="18"/>
        <v>7</v>
      </c>
      <c r="H13">
        <f t="shared" si="18"/>
        <v>7</v>
      </c>
      <c r="I13">
        <f t="shared" si="18"/>
        <v>7</v>
      </c>
      <c r="J13">
        <f t="shared" si="18"/>
        <v>7</v>
      </c>
      <c r="K13">
        <f t="shared" ref="K13:P13" si="19">J13</f>
        <v>7</v>
      </c>
      <c r="L13">
        <f t="shared" si="19"/>
        <v>7</v>
      </c>
      <c r="M13">
        <f t="shared" si="19"/>
        <v>7</v>
      </c>
      <c r="N13">
        <f t="shared" si="19"/>
        <v>7</v>
      </c>
      <c r="O13">
        <f t="shared" si="19"/>
        <v>7</v>
      </c>
      <c r="P13">
        <f t="shared" si="19"/>
        <v>7</v>
      </c>
      <c r="Q13">
        <f t="shared" ref="Q13:Z13" si="20">P13</f>
        <v>7</v>
      </c>
      <c r="R13">
        <f t="shared" si="20"/>
        <v>7</v>
      </c>
      <c r="S13">
        <f t="shared" si="20"/>
        <v>7</v>
      </c>
      <c r="T13">
        <f t="shared" si="20"/>
        <v>7</v>
      </c>
      <c r="U13">
        <f t="shared" si="20"/>
        <v>7</v>
      </c>
      <c r="V13">
        <f t="shared" si="20"/>
        <v>7</v>
      </c>
      <c r="W13">
        <f t="shared" si="20"/>
        <v>7</v>
      </c>
      <c r="X13">
        <f t="shared" si="20"/>
        <v>7</v>
      </c>
      <c r="Y13">
        <f t="shared" si="20"/>
        <v>7</v>
      </c>
      <c r="Z13">
        <f t="shared" si="20"/>
        <v>7</v>
      </c>
    </row>
    <row r="14" spans="2:28">
      <c r="B14" t="s">
        <v>244</v>
      </c>
      <c r="C14" s="46">
        <f>D14*0.98</f>
        <v>8052.3169999999991</v>
      </c>
      <c r="D14" s="46">
        <f>F127*2*50</f>
        <v>8216.65</v>
      </c>
      <c r="E14" s="46">
        <f>F123*2*50</f>
        <v>8515.4999999999982</v>
      </c>
      <c r="F14" s="46">
        <f>F119*2*50</f>
        <v>8721.2999999999993</v>
      </c>
      <c r="G14" s="46">
        <f>F115*2*50</f>
        <v>8728.4500000000007</v>
      </c>
      <c r="H14" s="46">
        <f>F111*2*50</f>
        <v>8810.2000000000007</v>
      </c>
      <c r="I14" s="46">
        <f>F107*2*50</f>
        <v>9023.25</v>
      </c>
      <c r="J14" s="46">
        <f>I14*(1+J15)</f>
        <v>9203.7150000000001</v>
      </c>
      <c r="K14" s="46">
        <f t="shared" ref="K14:P14" si="21">J14*(1+K15)</f>
        <v>9387.7893000000004</v>
      </c>
      <c r="L14" s="46">
        <f t="shared" si="21"/>
        <v>9575.5450860000001</v>
      </c>
      <c r="M14" s="46">
        <f t="shared" si="21"/>
        <v>9767.0559877199994</v>
      </c>
      <c r="N14" s="46">
        <f t="shared" si="21"/>
        <v>10255.408787106</v>
      </c>
      <c r="O14" s="46">
        <f t="shared" si="21"/>
        <v>10768.179226461301</v>
      </c>
      <c r="P14" s="46">
        <f t="shared" si="21"/>
        <v>11306.588187784368</v>
      </c>
      <c r="Q14" s="46">
        <f t="shared" ref="Q14:Z14" si="22">P14*(1+Q15)</f>
        <v>11871.917597173586</v>
      </c>
      <c r="R14" s="46">
        <f t="shared" si="22"/>
        <v>12465.513477032266</v>
      </c>
      <c r="S14" s="46">
        <f t="shared" si="22"/>
        <v>13088.78915088388</v>
      </c>
      <c r="T14" s="46">
        <f t="shared" si="22"/>
        <v>13743.228608428075</v>
      </c>
      <c r="U14" s="46">
        <f t="shared" si="22"/>
        <v>14430.390038849479</v>
      </c>
      <c r="V14" s="46">
        <f t="shared" si="22"/>
        <v>15151.909540791954</v>
      </c>
      <c r="W14" s="46">
        <f t="shared" si="22"/>
        <v>15909.505017831552</v>
      </c>
      <c r="X14" s="46">
        <f t="shared" si="22"/>
        <v>16704.980268723131</v>
      </c>
      <c r="Y14" s="46">
        <f t="shared" si="22"/>
        <v>17540.229282159289</v>
      </c>
      <c r="Z14" s="46">
        <f t="shared" si="22"/>
        <v>18417.240746267253</v>
      </c>
    </row>
    <row r="15" spans="2:28">
      <c r="B15" s="2" t="s">
        <v>208</v>
      </c>
      <c r="C15" s="46"/>
      <c r="D15" s="46"/>
      <c r="E15" s="46"/>
      <c r="F15" s="46"/>
      <c r="G15" s="46"/>
      <c r="H15" s="46"/>
      <c r="I15" s="46"/>
      <c r="J15" s="70">
        <v>0.02</v>
      </c>
      <c r="K15" s="70">
        <f t="shared" ref="K15:P15" si="23">J15</f>
        <v>0.02</v>
      </c>
      <c r="L15" s="70">
        <f t="shared" si="23"/>
        <v>0.02</v>
      </c>
      <c r="M15" s="70">
        <f t="shared" si="23"/>
        <v>0.02</v>
      </c>
      <c r="N15" s="70">
        <v>0.05</v>
      </c>
      <c r="O15" s="70">
        <f t="shared" si="23"/>
        <v>0.05</v>
      </c>
      <c r="P15" s="70">
        <f t="shared" si="23"/>
        <v>0.05</v>
      </c>
      <c r="Q15" s="70">
        <f t="shared" ref="Q15:Z15" si="24">P15</f>
        <v>0.05</v>
      </c>
      <c r="R15" s="70">
        <f t="shared" si="24"/>
        <v>0.05</v>
      </c>
      <c r="S15" s="70">
        <f t="shared" si="24"/>
        <v>0.05</v>
      </c>
      <c r="T15" s="70">
        <f t="shared" si="24"/>
        <v>0.05</v>
      </c>
      <c r="U15" s="70">
        <f t="shared" si="24"/>
        <v>0.05</v>
      </c>
      <c r="V15" s="70">
        <f t="shared" si="24"/>
        <v>0.05</v>
      </c>
      <c r="W15" s="70">
        <f t="shared" si="24"/>
        <v>0.05</v>
      </c>
      <c r="X15" s="70">
        <f t="shared" si="24"/>
        <v>0.05</v>
      </c>
      <c r="Y15" s="70">
        <f t="shared" si="24"/>
        <v>0.05</v>
      </c>
      <c r="Z15" s="70">
        <f t="shared" si="24"/>
        <v>0.05</v>
      </c>
    </row>
    <row r="16" spans="2:28">
      <c r="B16" t="s">
        <v>245</v>
      </c>
      <c r="C16" s="1">
        <f>C14*C13*C12*C10/1000000</f>
        <v>67.498785796273452</v>
      </c>
      <c r="D16" s="1">
        <f t="shared" ref="D16:I16" si="25">D14*D13*D12*D10/1000000</f>
        <v>10.384428584042068</v>
      </c>
      <c r="E16" s="1">
        <f t="shared" si="25"/>
        <v>10.44141216669925</v>
      </c>
      <c r="F16" s="1">
        <f t="shared" si="25"/>
        <v>10.375083063723448</v>
      </c>
      <c r="G16" s="1">
        <f t="shared" si="25"/>
        <v>10.074157938986595</v>
      </c>
      <c r="H16" s="1">
        <f t="shared" si="25"/>
        <v>9.8654900875977631</v>
      </c>
      <c r="I16" s="1">
        <f t="shared" si="25"/>
        <v>9.802958353569224</v>
      </c>
      <c r="J16" s="1">
        <f t="shared" ref="J16:T16" si="26">J14*J13*J12*J10/1000000</f>
        <v>59.763417706944011</v>
      </c>
      <c r="K16" s="1">
        <f t="shared" si="26"/>
        <v>101.55717097776409</v>
      </c>
      <c r="L16" s="1">
        <f t="shared" si="26"/>
        <v>131.97151254218488</v>
      </c>
      <c r="M16" s="1">
        <f t="shared" si="26"/>
        <v>158.3024687246016</v>
      </c>
      <c r="N16" s="1">
        <f t="shared" si="26"/>
        <v>171.03790233349579</v>
      </c>
      <c r="O16" s="1">
        <f t="shared" si="26"/>
        <v>174.23802148615553</v>
      </c>
      <c r="P16" s="1">
        <f t="shared" si="26"/>
        <v>177.49801486816153</v>
      </c>
      <c r="Q16" s="1">
        <f t="shared" si="26"/>
        <v>180.81900272634485</v>
      </c>
      <c r="R16" s="1">
        <f t="shared" si="26"/>
        <v>184.20212626735471</v>
      </c>
      <c r="S16" s="1">
        <f t="shared" si="26"/>
        <v>187.64854804981695</v>
      </c>
      <c r="T16" s="1">
        <f t="shared" si="26"/>
        <v>191.15945238382906</v>
      </c>
      <c r="U16" s="1">
        <f t="shared" ref="U16:Z16" si="27">U14*U13*U12*U10/1000000</f>
        <v>186.86792267781209</v>
      </c>
      <c r="V16" s="1">
        <f t="shared" si="27"/>
        <v>173.05838319192179</v>
      </c>
      <c r="W16" s="1">
        <f t="shared" si="27"/>
        <v>151.36551485881438</v>
      </c>
      <c r="X16" s="1">
        <f t="shared" si="27"/>
        <v>124.60409183177605</v>
      </c>
      <c r="Y16" s="1">
        <f t="shared" si="27"/>
        <v>121.80672997015267</v>
      </c>
      <c r="Z16" s="1">
        <f t="shared" si="27"/>
        <v>119.07216888232274</v>
      </c>
    </row>
    <row r="18" spans="2:26">
      <c r="B18" s="97" t="s">
        <v>253</v>
      </c>
      <c r="C18" s="96"/>
      <c r="D18" s="96"/>
      <c r="E18" s="96"/>
      <c r="F18" s="96"/>
      <c r="G18" s="96"/>
      <c r="H18" s="96"/>
      <c r="I18" s="96"/>
      <c r="J18" s="96"/>
      <c r="K18" s="96"/>
      <c r="L18" s="96"/>
      <c r="M18" s="96"/>
      <c r="N18" s="96"/>
      <c r="O18" s="96"/>
      <c r="P18" s="96"/>
      <c r="Q18" s="96"/>
      <c r="R18" s="96"/>
      <c r="S18" s="96"/>
      <c r="T18" s="96"/>
      <c r="U18" s="96"/>
      <c r="V18" s="96"/>
      <c r="W18" s="96"/>
      <c r="X18" s="96"/>
      <c r="Y18" s="96"/>
      <c r="Z18" s="96"/>
    </row>
    <row r="19" spans="2:26">
      <c r="B19" t="s">
        <v>254</v>
      </c>
      <c r="C19" s="81">
        <v>0.7</v>
      </c>
      <c r="D19" s="35">
        <f t="shared" ref="D19:I19" si="28">C19</f>
        <v>0.7</v>
      </c>
      <c r="E19" s="35">
        <f t="shared" si="28"/>
        <v>0.7</v>
      </c>
      <c r="F19" s="35">
        <f t="shared" si="28"/>
        <v>0.7</v>
      </c>
      <c r="G19" s="35">
        <f t="shared" si="28"/>
        <v>0.7</v>
      </c>
      <c r="H19" s="35">
        <f t="shared" si="28"/>
        <v>0.7</v>
      </c>
      <c r="I19" s="35">
        <f t="shared" si="28"/>
        <v>0.7</v>
      </c>
      <c r="J19" s="35">
        <f t="shared" ref="J19:P19" si="29">I19</f>
        <v>0.7</v>
      </c>
      <c r="K19" s="35">
        <f t="shared" si="29"/>
        <v>0.7</v>
      </c>
      <c r="L19" s="35">
        <f t="shared" si="29"/>
        <v>0.7</v>
      </c>
      <c r="M19" s="35">
        <f t="shared" si="29"/>
        <v>0.7</v>
      </c>
      <c r="N19" s="35">
        <f t="shared" si="29"/>
        <v>0.7</v>
      </c>
      <c r="O19" s="35">
        <f t="shared" si="29"/>
        <v>0.7</v>
      </c>
      <c r="P19" s="35">
        <f t="shared" si="29"/>
        <v>0.7</v>
      </c>
      <c r="Q19" s="35">
        <f t="shared" ref="Q19:Z19" si="30">P19</f>
        <v>0.7</v>
      </c>
      <c r="R19" s="35">
        <f t="shared" si="30"/>
        <v>0.7</v>
      </c>
      <c r="S19" s="35">
        <f t="shared" si="30"/>
        <v>0.7</v>
      </c>
      <c r="T19" s="35">
        <f t="shared" si="30"/>
        <v>0.7</v>
      </c>
      <c r="U19" s="35">
        <f t="shared" si="30"/>
        <v>0.7</v>
      </c>
      <c r="V19" s="35">
        <f t="shared" si="30"/>
        <v>0.7</v>
      </c>
      <c r="W19" s="35">
        <f t="shared" si="30"/>
        <v>0.7</v>
      </c>
      <c r="X19" s="35">
        <f t="shared" si="30"/>
        <v>0.7</v>
      </c>
      <c r="Y19" s="35">
        <f t="shared" si="30"/>
        <v>0.7</v>
      </c>
      <c r="Z19" s="35">
        <f t="shared" si="30"/>
        <v>0.7</v>
      </c>
    </row>
    <row r="20" spans="2:26">
      <c r="B20" t="s">
        <v>255</v>
      </c>
      <c r="C20" s="1">
        <f>C19*C8</f>
        <v>32240.498554770224</v>
      </c>
      <c r="D20" s="1">
        <f t="shared" ref="D20:I20" si="31">D19*D8</f>
        <v>31595.688583674815</v>
      </c>
      <c r="E20" s="1">
        <f t="shared" si="31"/>
        <v>30963.77481200132</v>
      </c>
      <c r="F20" s="1">
        <f t="shared" si="31"/>
        <v>30344.499315761292</v>
      </c>
      <c r="G20" s="1">
        <f t="shared" si="31"/>
        <v>29737.609329446066</v>
      </c>
      <c r="H20" s="1">
        <f t="shared" si="31"/>
        <v>29142.857142857145</v>
      </c>
      <c r="I20" s="1">
        <f t="shared" si="31"/>
        <v>28560</v>
      </c>
      <c r="J20" s="1">
        <f t="shared" ref="J20:P20" si="32">J19*J8</f>
        <v>27988.799999999999</v>
      </c>
      <c r="K20" s="1">
        <f t="shared" si="32"/>
        <v>27429.023999999998</v>
      </c>
      <c r="L20" s="1">
        <f t="shared" si="32"/>
        <v>26880.443520000001</v>
      </c>
      <c r="M20" s="1">
        <f t="shared" si="32"/>
        <v>26342.834649600001</v>
      </c>
      <c r="N20" s="1">
        <f t="shared" si="32"/>
        <v>25815.977956608003</v>
      </c>
      <c r="O20" s="1">
        <f t="shared" si="32"/>
        <v>25299.658397475843</v>
      </c>
      <c r="P20" s="1">
        <f t="shared" si="32"/>
        <v>24793.665229526323</v>
      </c>
      <c r="Q20" s="1">
        <f t="shared" ref="Q20:Z20" si="33">Q19*Q8</f>
        <v>24297.791924935798</v>
      </c>
      <c r="R20" s="1">
        <f t="shared" si="33"/>
        <v>23811.836086437077</v>
      </c>
      <c r="S20" s="1">
        <f t="shared" si="33"/>
        <v>23335.599364708338</v>
      </c>
      <c r="T20" s="1">
        <f t="shared" si="33"/>
        <v>22868.887377414168</v>
      </c>
      <c r="U20" s="1">
        <f t="shared" si="33"/>
        <v>22411.509629865886</v>
      </c>
      <c r="V20" s="1">
        <f t="shared" si="33"/>
        <v>21963.279437268571</v>
      </c>
      <c r="W20" s="1">
        <f t="shared" si="33"/>
        <v>21524.013848523198</v>
      </c>
      <c r="X20" s="1">
        <f t="shared" si="33"/>
        <v>21093.533571552733</v>
      </c>
      <c r="Y20" s="1">
        <f t="shared" si="33"/>
        <v>20671.662900121679</v>
      </c>
      <c r="Z20" s="1">
        <f t="shared" si="33"/>
        <v>20258.229642119244</v>
      </c>
    </row>
    <row r="21" spans="2:26">
      <c r="B21" t="s">
        <v>256</v>
      </c>
      <c r="C21" s="1">
        <f>C20-C8*C12</f>
        <v>29246.737974684416</v>
      </c>
      <c r="D21" s="1">
        <f t="shared" ref="D21:I21" si="34">D20-D8*D12</f>
        <v>31144.321603908033</v>
      </c>
      <c r="E21" s="1">
        <f t="shared" si="34"/>
        <v>30525.858568231586</v>
      </c>
      <c r="F21" s="1">
        <f t="shared" si="34"/>
        <v>29919.632976055898</v>
      </c>
      <c r="G21" s="1">
        <f t="shared" si="34"/>
        <v>29325.404006663892</v>
      </c>
      <c r="H21" s="1">
        <f t="shared" si="34"/>
        <v>28742.935538693881</v>
      </c>
      <c r="I21" s="1">
        <f t="shared" si="34"/>
        <v>28171.996059640798</v>
      </c>
      <c r="J21" s="1">
        <f t="shared" ref="J21:P21" si="35">J20-J8*J12</f>
        <v>25669.727999999999</v>
      </c>
      <c r="K21" s="1">
        <f t="shared" si="35"/>
        <v>23565.450047999999</v>
      </c>
      <c r="L21" s="1">
        <f t="shared" si="35"/>
        <v>21958.250305152</v>
      </c>
      <c r="M21" s="1">
        <f t="shared" si="35"/>
        <v>20554.335428938753</v>
      </c>
      <c r="N21" s="1">
        <f t="shared" si="35"/>
        <v>19859.612258547579</v>
      </c>
      <c r="O21" s="1">
        <f t="shared" si="35"/>
        <v>19520.792397217618</v>
      </c>
      <c r="P21" s="1">
        <f t="shared" si="35"/>
        <v>19187.009436075794</v>
      </c>
      <c r="Q21" s="1">
        <f t="shared" ref="Q21:Z21" si="36">Q20-Q8*Q12</f>
        <v>18858.214474130094</v>
      </c>
      <c r="R21" s="1">
        <f t="shared" si="36"/>
        <v>18534.358043665387</v>
      </c>
      <c r="S21" s="1">
        <f t="shared" si="36"/>
        <v>18215.39016761124</v>
      </c>
      <c r="T21" s="1">
        <f t="shared" si="36"/>
        <v>17901.260414390566</v>
      </c>
      <c r="U21" s="1">
        <f t="shared" si="36"/>
        <v>17786.648927290913</v>
      </c>
      <c r="V21" s="1">
        <f t="shared" si="36"/>
        <v>17884.152297597444</v>
      </c>
      <c r="W21" s="1">
        <f t="shared" si="36"/>
        <v>18126.100941177148</v>
      </c>
      <c r="X21" s="1">
        <f t="shared" si="36"/>
        <v>18429.569852193428</v>
      </c>
      <c r="Y21" s="1">
        <f t="shared" si="36"/>
        <v>18191.512677398168</v>
      </c>
      <c r="Z21" s="1">
        <f t="shared" si="36"/>
        <v>17949.209784763654</v>
      </c>
    </row>
    <row r="22" spans="2:26">
      <c r="B22" t="s">
        <v>250</v>
      </c>
      <c r="C22" s="81">
        <v>0.4</v>
      </c>
      <c r="D22" s="35">
        <f t="shared" ref="D22:I22" si="37">C22</f>
        <v>0.4</v>
      </c>
      <c r="E22" s="35">
        <f t="shared" si="37"/>
        <v>0.4</v>
      </c>
      <c r="F22" s="35">
        <f t="shared" si="37"/>
        <v>0.4</v>
      </c>
      <c r="G22" s="35">
        <f t="shared" si="37"/>
        <v>0.4</v>
      </c>
      <c r="H22" s="35">
        <f t="shared" si="37"/>
        <v>0.4</v>
      </c>
      <c r="I22" s="35">
        <f t="shared" si="37"/>
        <v>0.4</v>
      </c>
      <c r="J22" s="35">
        <f t="shared" ref="J22:P22" si="38">I22</f>
        <v>0.4</v>
      </c>
      <c r="K22" s="35">
        <f t="shared" si="38"/>
        <v>0.4</v>
      </c>
      <c r="L22" s="35">
        <f t="shared" si="38"/>
        <v>0.4</v>
      </c>
      <c r="M22" s="35">
        <f t="shared" si="38"/>
        <v>0.4</v>
      </c>
      <c r="N22" s="35">
        <f t="shared" si="38"/>
        <v>0.4</v>
      </c>
      <c r="O22" s="35">
        <f t="shared" si="38"/>
        <v>0.4</v>
      </c>
      <c r="P22" s="35">
        <f t="shared" si="38"/>
        <v>0.4</v>
      </c>
      <c r="Q22" s="35">
        <f t="shared" ref="Q22:Z22" si="39">P22</f>
        <v>0.4</v>
      </c>
      <c r="R22" s="35">
        <f t="shared" si="39"/>
        <v>0.4</v>
      </c>
      <c r="S22" s="35">
        <f t="shared" si="39"/>
        <v>0.4</v>
      </c>
      <c r="T22" s="35">
        <f t="shared" si="39"/>
        <v>0.4</v>
      </c>
      <c r="U22" s="35">
        <f t="shared" si="39"/>
        <v>0.4</v>
      </c>
      <c r="V22" s="35">
        <f t="shared" si="39"/>
        <v>0.4</v>
      </c>
      <c r="W22" s="35">
        <f t="shared" si="39"/>
        <v>0.4</v>
      </c>
      <c r="X22" s="35">
        <f t="shared" si="39"/>
        <v>0.4</v>
      </c>
      <c r="Y22" s="35">
        <f t="shared" si="39"/>
        <v>0.4</v>
      </c>
      <c r="Z22" s="35">
        <f t="shared" si="39"/>
        <v>0.4</v>
      </c>
    </row>
    <row r="23" spans="2:26">
      <c r="B23" t="s">
        <v>251</v>
      </c>
      <c r="C23" s="1">
        <f t="shared" ref="C23:P23" si="40">C22*C21</f>
        <v>11698.695189873768</v>
      </c>
      <c r="D23" s="1">
        <f t="shared" si="40"/>
        <v>12457.728641563213</v>
      </c>
      <c r="E23" s="1">
        <f t="shared" si="40"/>
        <v>12210.343427292635</v>
      </c>
      <c r="F23" s="1">
        <f t="shared" si="40"/>
        <v>11967.85319042236</v>
      </c>
      <c r="G23" s="1">
        <f t="shared" si="40"/>
        <v>11730.161602665557</v>
      </c>
      <c r="H23" s="1">
        <f t="shared" si="40"/>
        <v>11497.174215477553</v>
      </c>
      <c r="I23" s="1">
        <f t="shared" si="40"/>
        <v>11268.79842385632</v>
      </c>
      <c r="J23" s="1">
        <f t="shared" si="40"/>
        <v>10267.8912</v>
      </c>
      <c r="K23" s="1">
        <f t="shared" si="40"/>
        <v>9426.1800191999992</v>
      </c>
      <c r="L23" s="1">
        <f t="shared" si="40"/>
        <v>8783.3001220608003</v>
      </c>
      <c r="M23" s="1">
        <f t="shared" si="40"/>
        <v>8221.734171575501</v>
      </c>
      <c r="N23" s="1">
        <f t="shared" si="40"/>
        <v>7943.8449034190317</v>
      </c>
      <c r="O23" s="1">
        <f t="shared" si="40"/>
        <v>7808.3169588870478</v>
      </c>
      <c r="P23" s="1">
        <f t="shared" si="40"/>
        <v>7674.8037744303183</v>
      </c>
      <c r="Q23" s="1">
        <f t="shared" ref="Q23:Z23" si="41">Q22*Q21</f>
        <v>7543.2857896520381</v>
      </c>
      <c r="R23" s="1">
        <f t="shared" si="41"/>
        <v>7413.7432174661553</v>
      </c>
      <c r="S23" s="1">
        <f t="shared" si="41"/>
        <v>7286.156067044496</v>
      </c>
      <c r="T23" s="1">
        <f t="shared" si="41"/>
        <v>7160.5041657562269</v>
      </c>
      <c r="U23" s="1">
        <f t="shared" si="41"/>
        <v>7114.6595709163657</v>
      </c>
      <c r="V23" s="1">
        <f t="shared" si="41"/>
        <v>7153.6609190389781</v>
      </c>
      <c r="W23" s="1">
        <f t="shared" si="41"/>
        <v>7250.4403764708595</v>
      </c>
      <c r="X23" s="1">
        <f t="shared" si="41"/>
        <v>7371.8279408773715</v>
      </c>
      <c r="Y23" s="1">
        <f t="shared" si="41"/>
        <v>7276.6050709592673</v>
      </c>
      <c r="Z23" s="1">
        <f t="shared" si="41"/>
        <v>7179.6839139054618</v>
      </c>
    </row>
    <row r="25" spans="2:26">
      <c r="B25" t="s">
        <v>242</v>
      </c>
      <c r="C25" s="74">
        <v>0.09</v>
      </c>
      <c r="D25" s="70">
        <v>3.9E-2</v>
      </c>
      <c r="E25" s="70">
        <f>D25*0.99</f>
        <v>3.8609999999999998E-2</v>
      </c>
      <c r="F25" s="70">
        <f>E25*0.99</f>
        <v>3.8223899999999998E-2</v>
      </c>
      <c r="G25" s="70">
        <f>F25*0.99</f>
        <v>3.7841660999999999E-2</v>
      </c>
      <c r="H25" s="70">
        <f>G25*0.99</f>
        <v>3.7463244389999997E-2</v>
      </c>
      <c r="I25" s="70">
        <f>H25*0.99</f>
        <v>3.7088611946099997E-2</v>
      </c>
      <c r="J25" s="70">
        <f>I25</f>
        <v>3.7088611946099997E-2</v>
      </c>
      <c r="K25" s="70">
        <f t="shared" ref="K25:P25" si="42">J25*0.99</f>
        <v>3.6717725826639E-2</v>
      </c>
      <c r="L25" s="70">
        <f t="shared" si="42"/>
        <v>3.6350548568372609E-2</v>
      </c>
      <c r="M25" s="70">
        <f t="shared" si="42"/>
        <v>3.598704308268888E-2</v>
      </c>
      <c r="N25" s="70">
        <f>M25*1.05</f>
        <v>3.7786395236823325E-2</v>
      </c>
      <c r="O25" s="70">
        <f t="shared" si="42"/>
        <v>3.7408531284455093E-2</v>
      </c>
      <c r="P25" s="70">
        <f t="shared" si="42"/>
        <v>3.7034445971610541E-2</v>
      </c>
      <c r="Q25" s="70">
        <f>P25*0.99</f>
        <v>3.6664101511894434E-2</v>
      </c>
      <c r="R25" s="70">
        <f>Q25*0.99</f>
        <v>3.6297460496775492E-2</v>
      </c>
      <c r="S25" s="70">
        <f>R25*0.99</f>
        <v>3.5934485891807734E-2</v>
      </c>
      <c r="T25" s="70">
        <f>S25*0.99</f>
        <v>3.5575141032889654E-2</v>
      </c>
      <c r="U25" s="70">
        <f>T25*0.95</f>
        <v>3.3796383981245168E-2</v>
      </c>
      <c r="V25" s="70">
        <f>U25*0.9</f>
        <v>3.0416745583120651E-2</v>
      </c>
      <c r="W25" s="70">
        <f>V25*0.85</f>
        <v>2.5854233745652554E-2</v>
      </c>
      <c r="X25" s="70">
        <f>W25*0.8</f>
        <v>2.0683386996522043E-2</v>
      </c>
      <c r="Y25" s="70">
        <f>X25*0.95</f>
        <v>1.964921764669594E-2</v>
      </c>
      <c r="Z25" s="70">
        <f>Y25*0.95</f>
        <v>1.8666756764361143E-2</v>
      </c>
    </row>
    <row r="26" spans="2:26">
      <c r="B26" t="s">
        <v>243</v>
      </c>
      <c r="C26" s="88">
        <v>4</v>
      </c>
      <c r="D26">
        <f t="shared" ref="D26:I26" si="43">C26</f>
        <v>4</v>
      </c>
      <c r="E26">
        <f t="shared" si="43"/>
        <v>4</v>
      </c>
      <c r="F26">
        <f t="shared" si="43"/>
        <v>4</v>
      </c>
      <c r="G26">
        <f t="shared" si="43"/>
        <v>4</v>
      </c>
      <c r="H26">
        <f t="shared" si="43"/>
        <v>4</v>
      </c>
      <c r="I26">
        <f t="shared" si="43"/>
        <v>4</v>
      </c>
      <c r="J26">
        <f t="shared" ref="J26:P26" si="44">I26</f>
        <v>4</v>
      </c>
      <c r="K26">
        <f t="shared" si="44"/>
        <v>4</v>
      </c>
      <c r="L26">
        <f t="shared" si="44"/>
        <v>4</v>
      </c>
      <c r="M26">
        <f t="shared" si="44"/>
        <v>4</v>
      </c>
      <c r="N26">
        <f t="shared" si="44"/>
        <v>4</v>
      </c>
      <c r="O26">
        <f t="shared" si="44"/>
        <v>4</v>
      </c>
      <c r="P26">
        <f t="shared" si="44"/>
        <v>4</v>
      </c>
      <c r="Q26">
        <f t="shared" ref="Q26:Z26" si="45">P26</f>
        <v>4</v>
      </c>
      <c r="R26">
        <f t="shared" si="45"/>
        <v>4</v>
      </c>
      <c r="S26">
        <f t="shared" si="45"/>
        <v>4</v>
      </c>
      <c r="T26">
        <f t="shared" si="45"/>
        <v>4</v>
      </c>
      <c r="U26">
        <f t="shared" si="45"/>
        <v>4</v>
      </c>
      <c r="V26">
        <f t="shared" si="45"/>
        <v>4</v>
      </c>
      <c r="W26">
        <f t="shared" si="45"/>
        <v>4</v>
      </c>
      <c r="X26">
        <f t="shared" si="45"/>
        <v>4</v>
      </c>
      <c r="Y26">
        <f t="shared" si="45"/>
        <v>4</v>
      </c>
      <c r="Z26">
        <f t="shared" si="45"/>
        <v>4</v>
      </c>
    </row>
    <row r="27" spans="2:26">
      <c r="B27" t="s">
        <v>244</v>
      </c>
      <c r="C27" s="46">
        <f t="shared" ref="C27:I27" si="46">C14</f>
        <v>8052.3169999999991</v>
      </c>
      <c r="D27" s="46">
        <f t="shared" si="46"/>
        <v>8216.65</v>
      </c>
      <c r="E27" s="46">
        <f t="shared" si="46"/>
        <v>8515.4999999999982</v>
      </c>
      <c r="F27" s="46">
        <f t="shared" si="46"/>
        <v>8721.2999999999993</v>
      </c>
      <c r="G27" s="46">
        <f t="shared" si="46"/>
        <v>8728.4500000000007</v>
      </c>
      <c r="H27" s="46">
        <f t="shared" si="46"/>
        <v>8810.2000000000007</v>
      </c>
      <c r="I27" s="46">
        <f t="shared" si="46"/>
        <v>9023.25</v>
      </c>
      <c r="J27" s="46">
        <f>J14</f>
        <v>9203.7150000000001</v>
      </c>
      <c r="K27" s="46">
        <f t="shared" ref="K27:T27" si="47">K14</f>
        <v>9387.7893000000004</v>
      </c>
      <c r="L27" s="46">
        <f t="shared" si="47"/>
        <v>9575.5450860000001</v>
      </c>
      <c r="M27" s="46">
        <f t="shared" si="47"/>
        <v>9767.0559877199994</v>
      </c>
      <c r="N27" s="46">
        <f t="shared" si="47"/>
        <v>10255.408787106</v>
      </c>
      <c r="O27" s="46">
        <f t="shared" si="47"/>
        <v>10768.179226461301</v>
      </c>
      <c r="P27" s="46">
        <f t="shared" si="47"/>
        <v>11306.588187784368</v>
      </c>
      <c r="Q27" s="46">
        <f t="shared" si="47"/>
        <v>11871.917597173586</v>
      </c>
      <c r="R27" s="46">
        <f t="shared" si="47"/>
        <v>12465.513477032266</v>
      </c>
      <c r="S27" s="46">
        <f t="shared" si="47"/>
        <v>13088.78915088388</v>
      </c>
      <c r="T27" s="46">
        <f t="shared" si="47"/>
        <v>13743.228608428075</v>
      </c>
      <c r="U27" s="46">
        <f t="shared" ref="U27:Z27" si="48">U14</f>
        <v>14430.390038849479</v>
      </c>
      <c r="V27" s="46">
        <f t="shared" si="48"/>
        <v>15151.909540791954</v>
      </c>
      <c r="W27" s="46">
        <f t="shared" si="48"/>
        <v>15909.505017831552</v>
      </c>
      <c r="X27" s="46">
        <f t="shared" si="48"/>
        <v>16704.980268723131</v>
      </c>
      <c r="Y27" s="46">
        <f t="shared" si="48"/>
        <v>17540.229282159289</v>
      </c>
      <c r="Z27" s="46">
        <f t="shared" si="48"/>
        <v>18417.240746267253</v>
      </c>
    </row>
    <row r="28" spans="2:26">
      <c r="B28" t="s">
        <v>258</v>
      </c>
      <c r="C28" s="1">
        <f t="shared" ref="C28:S28" si="49">C27*C26*C25*C23/1000000</f>
        <v>33.912576775885952</v>
      </c>
      <c r="D28" s="1">
        <f t="shared" si="49"/>
        <v>15.968284182661257</v>
      </c>
      <c r="E28" s="1">
        <f t="shared" si="49"/>
        <v>16.05823559504725</v>
      </c>
      <c r="F28" s="1">
        <f t="shared" si="49"/>
        <v>15.958514643683175</v>
      </c>
      <c r="G28" s="1">
        <f t="shared" si="49"/>
        <v>15.497844745054746</v>
      </c>
      <c r="H28" s="1">
        <f t="shared" si="49"/>
        <v>15.178968384550339</v>
      </c>
      <c r="I28" s="1">
        <f t="shared" si="49"/>
        <v>15.084856106825526</v>
      </c>
      <c r="J28" s="1">
        <f t="shared" si="49"/>
        <v>14.019902438180775</v>
      </c>
      <c r="K28" s="1">
        <f t="shared" si="49"/>
        <v>12.99675191838859</v>
      </c>
      <c r="L28" s="1">
        <f t="shared" si="49"/>
        <v>12.2290350204376</v>
      </c>
      <c r="M28" s="1">
        <f t="shared" si="49"/>
        <v>11.559345995023392</v>
      </c>
      <c r="N28" s="1">
        <f t="shared" si="49"/>
        <v>12.313433998607362</v>
      </c>
      <c r="O28" s="1">
        <f t="shared" si="49"/>
        <v>12.581440215836498</v>
      </c>
      <c r="P28" s="1">
        <f t="shared" si="49"/>
        <v>12.854781476801222</v>
      </c>
      <c r="Q28" s="1">
        <f t="shared" si="49"/>
        <v>13.133560333015653</v>
      </c>
      <c r="R28" s="1">
        <f t="shared" si="49"/>
        <v>13.41788127802451</v>
      </c>
      <c r="S28" s="1">
        <f t="shared" si="49"/>
        <v>13.707850783937007</v>
      </c>
      <c r="T28" s="1">
        <f>T27*T26*T25*T23/1000000</f>
        <v>14.003577338646025</v>
      </c>
      <c r="U28" s="1">
        <f t="shared" ref="U28:Z28" si="50">U27*U26*U25*U23/1000000</f>
        <v>13.87913567607303</v>
      </c>
      <c r="V28" s="1">
        <f t="shared" si="50"/>
        <v>13.187681696441386</v>
      </c>
      <c r="W28" s="1">
        <f t="shared" si="50"/>
        <v>11.929238340551198</v>
      </c>
      <c r="X28" s="1">
        <f t="shared" si="50"/>
        <v>10.188325380899858</v>
      </c>
      <c r="Y28" s="1">
        <f t="shared" si="50"/>
        <v>10.031579639948758</v>
      </c>
      <c r="Z28" s="1">
        <f t="shared" si="50"/>
        <v>9.8732185330899895</v>
      </c>
    </row>
    <row r="30" spans="2:26">
      <c r="B30" s="97" t="s">
        <v>257</v>
      </c>
      <c r="C30" s="96"/>
      <c r="D30" s="96"/>
      <c r="E30" s="96"/>
      <c r="F30" s="96"/>
      <c r="G30" s="96"/>
      <c r="H30" s="96"/>
      <c r="I30" s="96"/>
      <c r="J30" s="96"/>
      <c r="K30" s="96"/>
      <c r="L30" s="96"/>
      <c r="M30" s="96"/>
      <c r="N30" s="96"/>
      <c r="O30" s="96"/>
      <c r="P30" s="96"/>
      <c r="Q30" s="96"/>
      <c r="R30" s="96"/>
      <c r="S30" s="96"/>
      <c r="T30" s="96"/>
      <c r="U30" s="96"/>
      <c r="V30" s="96"/>
      <c r="W30" s="96"/>
      <c r="X30" s="96"/>
      <c r="Y30" s="96"/>
      <c r="Z30" s="96"/>
    </row>
    <row r="31" spans="2:26">
      <c r="B31" t="s">
        <v>254</v>
      </c>
      <c r="C31" s="81">
        <v>0.7</v>
      </c>
      <c r="D31" s="35">
        <f t="shared" ref="D31:I31" si="51">C31</f>
        <v>0.7</v>
      </c>
      <c r="E31" s="35">
        <f t="shared" si="51"/>
        <v>0.7</v>
      </c>
      <c r="F31" s="35">
        <f t="shared" si="51"/>
        <v>0.7</v>
      </c>
      <c r="G31" s="35">
        <f t="shared" si="51"/>
        <v>0.7</v>
      </c>
      <c r="H31" s="35">
        <f t="shared" si="51"/>
        <v>0.7</v>
      </c>
      <c r="I31" s="35">
        <f t="shared" si="51"/>
        <v>0.7</v>
      </c>
      <c r="J31" s="35">
        <f t="shared" ref="J31:P31" si="52">I31</f>
        <v>0.7</v>
      </c>
      <c r="K31" s="35">
        <f t="shared" si="52"/>
        <v>0.7</v>
      </c>
      <c r="L31" s="35">
        <f t="shared" si="52"/>
        <v>0.7</v>
      </c>
      <c r="M31" s="35">
        <f t="shared" si="52"/>
        <v>0.7</v>
      </c>
      <c r="N31" s="35">
        <f t="shared" si="52"/>
        <v>0.7</v>
      </c>
      <c r="O31" s="35">
        <f t="shared" si="52"/>
        <v>0.7</v>
      </c>
      <c r="P31" s="35">
        <f t="shared" si="52"/>
        <v>0.7</v>
      </c>
      <c r="Q31" s="35">
        <f t="shared" ref="Q31:Z31" si="53">P31</f>
        <v>0.7</v>
      </c>
      <c r="R31" s="35">
        <f t="shared" si="53"/>
        <v>0.7</v>
      </c>
      <c r="S31" s="35">
        <f t="shared" si="53"/>
        <v>0.7</v>
      </c>
      <c r="T31" s="35">
        <f t="shared" si="53"/>
        <v>0.7</v>
      </c>
      <c r="U31" s="35">
        <f t="shared" si="53"/>
        <v>0.7</v>
      </c>
      <c r="V31" s="35">
        <f t="shared" si="53"/>
        <v>0.7</v>
      </c>
      <c r="W31" s="35">
        <f t="shared" si="53"/>
        <v>0.7</v>
      </c>
      <c r="X31" s="35">
        <f t="shared" si="53"/>
        <v>0.7</v>
      </c>
      <c r="Y31" s="35">
        <f t="shared" si="53"/>
        <v>0.7</v>
      </c>
      <c r="Z31" s="35">
        <f t="shared" si="53"/>
        <v>0.7</v>
      </c>
    </row>
    <row r="32" spans="2:26">
      <c r="B32" t="s">
        <v>260</v>
      </c>
      <c r="C32" s="1">
        <f t="shared" ref="C32:P32" si="54">C31*C21</f>
        <v>20472.716582279088</v>
      </c>
      <c r="D32" s="1">
        <f t="shared" si="54"/>
        <v>21801.02512273562</v>
      </c>
      <c r="E32" s="1">
        <f t="shared" si="54"/>
        <v>21368.100997762111</v>
      </c>
      <c r="F32" s="1">
        <f t="shared" si="54"/>
        <v>20943.743083239129</v>
      </c>
      <c r="G32" s="1">
        <f t="shared" si="54"/>
        <v>20527.782804664723</v>
      </c>
      <c r="H32" s="1">
        <f t="shared" si="54"/>
        <v>20120.054877085717</v>
      </c>
      <c r="I32" s="1">
        <f t="shared" si="54"/>
        <v>19720.397241748557</v>
      </c>
      <c r="J32" s="1">
        <f t="shared" si="54"/>
        <v>17968.809599999997</v>
      </c>
      <c r="K32" s="1">
        <f t="shared" si="54"/>
        <v>16495.8150336</v>
      </c>
      <c r="L32" s="1">
        <f t="shared" si="54"/>
        <v>15370.775213606399</v>
      </c>
      <c r="M32" s="1">
        <f t="shared" si="54"/>
        <v>14388.034800257126</v>
      </c>
      <c r="N32" s="1">
        <f t="shared" si="54"/>
        <v>13901.728580983305</v>
      </c>
      <c r="O32" s="1">
        <f t="shared" si="54"/>
        <v>13664.554678052331</v>
      </c>
      <c r="P32" s="1">
        <f t="shared" si="54"/>
        <v>13430.906605253054</v>
      </c>
      <c r="Q32" s="1">
        <f t="shared" ref="Q32:Z32" si="55">Q31*Q21</f>
        <v>13200.750131891065</v>
      </c>
      <c r="R32" s="1">
        <f>R31*R21</f>
        <v>12974.050630565769</v>
      </c>
      <c r="S32" s="1">
        <f t="shared" si="55"/>
        <v>12750.773117327868</v>
      </c>
      <c r="T32" s="1">
        <f t="shared" si="55"/>
        <v>12530.882290073396</v>
      </c>
      <c r="U32" s="1">
        <f t="shared" si="55"/>
        <v>12450.654249103638</v>
      </c>
      <c r="V32" s="1">
        <f t="shared" si="55"/>
        <v>12518.90660831821</v>
      </c>
      <c r="W32" s="1">
        <f t="shared" si="55"/>
        <v>12688.270658824003</v>
      </c>
      <c r="X32" s="1">
        <f t="shared" si="55"/>
        <v>12900.698896535399</v>
      </c>
      <c r="Y32" s="1">
        <f t="shared" si="55"/>
        <v>12734.058874178718</v>
      </c>
      <c r="Z32" s="1">
        <f t="shared" si="55"/>
        <v>12564.446849334558</v>
      </c>
    </row>
    <row r="33" spans="2:26">
      <c r="B33" t="s">
        <v>256</v>
      </c>
      <c r="C33" s="1">
        <f t="shared" ref="C33:P33" si="56">C32-C21*C25</f>
        <v>17840.51016455749</v>
      </c>
      <c r="D33" s="1">
        <f t="shared" si="56"/>
        <v>20586.396580183206</v>
      </c>
      <c r="E33" s="1">
        <f t="shared" si="56"/>
        <v>20189.497598442689</v>
      </c>
      <c r="F33" s="1">
        <f t="shared" si="56"/>
        <v>19800.098024325667</v>
      </c>
      <c r="G33" s="1">
        <f t="shared" si="56"/>
        <v>19418.060807556507</v>
      </c>
      <c r="H33" s="1">
        <f t="shared" si="56"/>
        <v>19043.25125851361</v>
      </c>
      <c r="I33" s="1">
        <f t="shared" si="56"/>
        <v>18675.53701214548</v>
      </c>
      <c r="J33" s="1">
        <f t="shared" si="56"/>
        <v>17016.75501944606</v>
      </c>
      <c r="K33" s="1">
        <f t="shared" si="56"/>
        <v>15630.545299756179</v>
      </c>
      <c r="L33" s="1">
        <f t="shared" si="56"/>
        <v>14572.580769412489</v>
      </c>
      <c r="M33" s="1">
        <f t="shared" si="56"/>
        <v>13648.34504563987</v>
      </c>
      <c r="N33" s="1">
        <f t="shared" si="56"/>
        <v>13151.305422931764</v>
      </c>
      <c r="O33" s="1">
        <f t="shared" si="56"/>
        <v>12934.310504963663</v>
      </c>
      <c r="P33" s="1">
        <f t="shared" si="56"/>
        <v>12720.326340935924</v>
      </c>
      <c r="Q33" s="1">
        <f>Q32-Q21*Q25</f>
        <v>12509.330642078483</v>
      </c>
      <c r="R33" s="1">
        <f>R32-R21*R25</f>
        <v>12301.300501642732</v>
      </c>
      <c r="S33" s="1">
        <f t="shared" ref="S33:Z33" si="57">S32-S21*S25</f>
        <v>12096.212436336069</v>
      </c>
      <c r="T33" s="1">
        <f t="shared" si="57"/>
        <v>11894.042426164966</v>
      </c>
      <c r="U33" s="1">
        <f t="shared" si="57"/>
        <v>11849.529832217311</v>
      </c>
      <c r="V33" s="1">
        <f t="shared" si="57"/>
        <v>11974.928897912405</v>
      </c>
      <c r="W33" s="1">
        <f t="shared" si="57"/>
        <v>12219.634208193516</v>
      </c>
      <c r="X33" s="1">
        <f t="shared" si="57"/>
        <v>12519.512971103048</v>
      </c>
      <c r="Y33" s="1">
        <f t="shared" si="57"/>
        <v>12376.609882257893</v>
      </c>
      <c r="Z33" s="1">
        <f t="shared" si="57"/>
        <v>12229.393316169884</v>
      </c>
    </row>
    <row r="34" spans="2:26">
      <c r="B34" t="s">
        <v>250</v>
      </c>
      <c r="C34" s="81">
        <v>0.4</v>
      </c>
      <c r="D34" s="35">
        <f t="shared" ref="D34:I34" si="58">C34</f>
        <v>0.4</v>
      </c>
      <c r="E34" s="35">
        <f t="shared" si="58"/>
        <v>0.4</v>
      </c>
      <c r="F34" s="35">
        <f t="shared" si="58"/>
        <v>0.4</v>
      </c>
      <c r="G34" s="35">
        <f t="shared" si="58"/>
        <v>0.4</v>
      </c>
      <c r="H34" s="35">
        <f t="shared" si="58"/>
        <v>0.4</v>
      </c>
      <c r="I34" s="35">
        <f t="shared" si="58"/>
        <v>0.4</v>
      </c>
      <c r="J34" s="35">
        <f t="shared" ref="J34:P34" si="59">I34</f>
        <v>0.4</v>
      </c>
      <c r="K34" s="35">
        <f t="shared" si="59"/>
        <v>0.4</v>
      </c>
      <c r="L34" s="35">
        <f t="shared" si="59"/>
        <v>0.4</v>
      </c>
      <c r="M34" s="35">
        <f t="shared" si="59"/>
        <v>0.4</v>
      </c>
      <c r="N34" s="35">
        <f t="shared" si="59"/>
        <v>0.4</v>
      </c>
      <c r="O34" s="35">
        <f t="shared" si="59"/>
        <v>0.4</v>
      </c>
      <c r="P34" s="35">
        <f t="shared" si="59"/>
        <v>0.4</v>
      </c>
      <c r="Q34" s="35">
        <f t="shared" ref="Q34:Z34" si="60">P34</f>
        <v>0.4</v>
      </c>
      <c r="R34" s="35">
        <f t="shared" si="60"/>
        <v>0.4</v>
      </c>
      <c r="S34" s="35">
        <f t="shared" si="60"/>
        <v>0.4</v>
      </c>
      <c r="T34" s="35">
        <f t="shared" si="60"/>
        <v>0.4</v>
      </c>
      <c r="U34" s="35">
        <f t="shared" si="60"/>
        <v>0.4</v>
      </c>
      <c r="V34" s="35">
        <f t="shared" si="60"/>
        <v>0.4</v>
      </c>
      <c r="W34" s="35">
        <f t="shared" si="60"/>
        <v>0.4</v>
      </c>
      <c r="X34" s="35">
        <f t="shared" si="60"/>
        <v>0.4</v>
      </c>
      <c r="Y34" s="35">
        <f t="shared" si="60"/>
        <v>0.4</v>
      </c>
      <c r="Z34" s="35">
        <f t="shared" si="60"/>
        <v>0.4</v>
      </c>
    </row>
    <row r="35" spans="2:26">
      <c r="B35" t="s">
        <v>251</v>
      </c>
      <c r="C35" s="1">
        <f t="shared" ref="C35:P35" si="61">C34*C33</f>
        <v>7136.2040658229962</v>
      </c>
      <c r="D35" s="1">
        <f t="shared" si="61"/>
        <v>8234.5586320732818</v>
      </c>
      <c r="E35" s="1">
        <f t="shared" si="61"/>
        <v>8075.799039377076</v>
      </c>
      <c r="F35" s="1">
        <f t="shared" si="61"/>
        <v>7920.0392097302674</v>
      </c>
      <c r="G35" s="1">
        <f t="shared" si="61"/>
        <v>7767.2243230226031</v>
      </c>
      <c r="H35" s="1">
        <f t="shared" si="61"/>
        <v>7617.300503405444</v>
      </c>
      <c r="I35" s="1">
        <f t="shared" si="61"/>
        <v>7470.2148048581921</v>
      </c>
      <c r="J35" s="1">
        <f t="shared" si="61"/>
        <v>6806.7020077784246</v>
      </c>
      <c r="K35" s="1">
        <f t="shared" si="61"/>
        <v>6252.2181199024717</v>
      </c>
      <c r="L35" s="1">
        <f t="shared" si="61"/>
        <v>5829.0323077649955</v>
      </c>
      <c r="M35" s="1">
        <f t="shared" si="61"/>
        <v>5459.3380182559486</v>
      </c>
      <c r="N35" s="1">
        <f t="shared" si="61"/>
        <v>5260.5221691727056</v>
      </c>
      <c r="O35" s="1">
        <f t="shared" si="61"/>
        <v>5173.7242019854657</v>
      </c>
      <c r="P35" s="1">
        <f t="shared" si="61"/>
        <v>5088.1305363743704</v>
      </c>
      <c r="Q35" s="1">
        <f t="shared" ref="Q35:Z35" si="62">Q34*Q33</f>
        <v>5003.7322568313939</v>
      </c>
      <c r="R35" s="1">
        <f t="shared" si="62"/>
        <v>4920.5202006570935</v>
      </c>
      <c r="S35" s="1">
        <f t="shared" si="62"/>
        <v>4838.4849745344281</v>
      </c>
      <c r="T35" s="1">
        <f t="shared" si="62"/>
        <v>4757.6169704659869</v>
      </c>
      <c r="U35" s="1">
        <f t="shared" si="62"/>
        <v>4739.8119328869243</v>
      </c>
      <c r="V35" s="1">
        <f t="shared" si="62"/>
        <v>4789.9715591649619</v>
      </c>
      <c r="W35" s="1">
        <f t="shared" si="62"/>
        <v>4887.8536832774071</v>
      </c>
      <c r="X35" s="1">
        <f t="shared" si="62"/>
        <v>5007.8051884412198</v>
      </c>
      <c r="Y35" s="1">
        <f t="shared" si="62"/>
        <v>4950.6439529031577</v>
      </c>
      <c r="Z35" s="1">
        <f t="shared" si="62"/>
        <v>4891.757326467954</v>
      </c>
    </row>
    <row r="37" spans="2:26">
      <c r="B37" t="s">
        <v>242</v>
      </c>
      <c r="C37" s="74">
        <v>0.4</v>
      </c>
      <c r="D37" s="70">
        <f t="shared" ref="D37:I37" si="63">(D40*1000000/(D39*D38))/D35</f>
        <v>0.40224012486396032</v>
      </c>
      <c r="E37" s="70">
        <f t="shared" si="63"/>
        <v>0.34172312995383114</v>
      </c>
      <c r="F37" s="70">
        <f t="shared" si="63"/>
        <v>0.42788718006086135</v>
      </c>
      <c r="G37" s="70">
        <f t="shared" si="63"/>
        <v>0.47410978195320436</v>
      </c>
      <c r="H37" s="70">
        <f t="shared" si="63"/>
        <v>0.48157565647589096</v>
      </c>
      <c r="I37" s="70">
        <f t="shared" si="63"/>
        <v>0.50001860345837679</v>
      </c>
      <c r="J37" s="70">
        <f>I37</f>
        <v>0.50001860345837679</v>
      </c>
      <c r="K37" s="70">
        <f t="shared" ref="K37:P37" si="64">J37</f>
        <v>0.50001860345837679</v>
      </c>
      <c r="L37" s="70">
        <f t="shared" si="64"/>
        <v>0.50001860345837679</v>
      </c>
      <c r="M37" s="70">
        <f t="shared" si="64"/>
        <v>0.50001860345837679</v>
      </c>
      <c r="N37" s="70">
        <f t="shared" si="64"/>
        <v>0.50001860345837679</v>
      </c>
      <c r="O37" s="70">
        <f t="shared" si="64"/>
        <v>0.50001860345837679</v>
      </c>
      <c r="P37" s="70">
        <f t="shared" si="64"/>
        <v>0.50001860345837679</v>
      </c>
      <c r="Q37" s="70">
        <f t="shared" ref="Q37:T38" si="65">P37</f>
        <v>0.50001860345837679</v>
      </c>
      <c r="R37" s="70">
        <f t="shared" si="65"/>
        <v>0.50001860345837679</v>
      </c>
      <c r="S37" s="70">
        <f t="shared" si="65"/>
        <v>0.50001860345837679</v>
      </c>
      <c r="T37" s="70">
        <f t="shared" si="65"/>
        <v>0.50001860345837679</v>
      </c>
      <c r="U37" s="70">
        <f>T37*0.95</f>
        <v>0.47501767328545791</v>
      </c>
      <c r="V37" s="70">
        <f>U37*0.95</f>
        <v>0.45126678962118499</v>
      </c>
      <c r="W37" s="70">
        <f>V37*0.925</f>
        <v>0.41742178039959615</v>
      </c>
      <c r="X37" s="70">
        <f>W37*0.9</f>
        <v>0.37567960235963654</v>
      </c>
      <c r="Y37" s="70">
        <f>X37</f>
        <v>0.37567960235963654</v>
      </c>
      <c r="Z37" s="70">
        <f>Y37</f>
        <v>0.37567960235963654</v>
      </c>
    </row>
    <row r="38" spans="2:26">
      <c r="B38" t="s">
        <v>243</v>
      </c>
      <c r="C38" s="88">
        <v>3</v>
      </c>
      <c r="D38">
        <f t="shared" ref="D38:I38" si="66">C38</f>
        <v>3</v>
      </c>
      <c r="E38">
        <f t="shared" si="66"/>
        <v>3</v>
      </c>
      <c r="F38">
        <f t="shared" si="66"/>
        <v>3</v>
      </c>
      <c r="G38">
        <f t="shared" si="66"/>
        <v>3</v>
      </c>
      <c r="H38">
        <f t="shared" si="66"/>
        <v>3</v>
      </c>
      <c r="I38">
        <f t="shared" si="66"/>
        <v>3</v>
      </c>
      <c r="J38">
        <f t="shared" ref="J38:P38" si="67">I38</f>
        <v>3</v>
      </c>
      <c r="K38">
        <f t="shared" si="67"/>
        <v>3</v>
      </c>
      <c r="L38">
        <f t="shared" si="67"/>
        <v>3</v>
      </c>
      <c r="M38">
        <f t="shared" si="67"/>
        <v>3</v>
      </c>
      <c r="N38">
        <f t="shared" si="67"/>
        <v>3</v>
      </c>
      <c r="O38">
        <f t="shared" si="67"/>
        <v>3</v>
      </c>
      <c r="P38">
        <f t="shared" si="67"/>
        <v>3</v>
      </c>
      <c r="Q38">
        <f t="shared" si="65"/>
        <v>3</v>
      </c>
      <c r="R38">
        <f t="shared" si="65"/>
        <v>3</v>
      </c>
      <c r="S38">
        <f t="shared" si="65"/>
        <v>3</v>
      </c>
      <c r="T38">
        <f t="shared" si="65"/>
        <v>3</v>
      </c>
      <c r="U38">
        <f>T38</f>
        <v>3</v>
      </c>
      <c r="V38">
        <f>U38</f>
        <v>3</v>
      </c>
      <c r="W38">
        <f>V38</f>
        <v>3</v>
      </c>
      <c r="X38">
        <f>W38</f>
        <v>3</v>
      </c>
      <c r="Y38">
        <f>X38</f>
        <v>3</v>
      </c>
      <c r="Z38">
        <f>Y38</f>
        <v>3</v>
      </c>
    </row>
    <row r="39" spans="2:26">
      <c r="B39" t="s">
        <v>244</v>
      </c>
      <c r="C39" s="46">
        <f t="shared" ref="C39:I39" si="68">C27</f>
        <v>8052.3169999999991</v>
      </c>
      <c r="D39" s="46">
        <f t="shared" si="68"/>
        <v>8216.65</v>
      </c>
      <c r="E39" s="46">
        <f t="shared" si="68"/>
        <v>8515.4999999999982</v>
      </c>
      <c r="F39" s="46">
        <f t="shared" si="68"/>
        <v>8721.2999999999993</v>
      </c>
      <c r="G39" s="46">
        <f t="shared" si="68"/>
        <v>8728.4500000000007</v>
      </c>
      <c r="H39" s="46">
        <f t="shared" si="68"/>
        <v>8810.2000000000007</v>
      </c>
      <c r="I39" s="46">
        <f t="shared" si="68"/>
        <v>9023.25</v>
      </c>
      <c r="J39" s="46">
        <f t="shared" ref="J39:P39" si="69">J27</f>
        <v>9203.7150000000001</v>
      </c>
      <c r="K39" s="46">
        <f t="shared" si="69"/>
        <v>9387.7893000000004</v>
      </c>
      <c r="L39" s="46">
        <f t="shared" si="69"/>
        <v>9575.5450860000001</v>
      </c>
      <c r="M39" s="46">
        <f t="shared" si="69"/>
        <v>9767.0559877199994</v>
      </c>
      <c r="N39" s="46">
        <f t="shared" si="69"/>
        <v>10255.408787106</v>
      </c>
      <c r="O39" s="46">
        <f t="shared" si="69"/>
        <v>10768.179226461301</v>
      </c>
      <c r="P39" s="46">
        <f t="shared" si="69"/>
        <v>11306.588187784368</v>
      </c>
      <c r="Q39" s="46">
        <f>Q27</f>
        <v>11871.917597173586</v>
      </c>
      <c r="R39" s="46">
        <f>R27</f>
        <v>12465.513477032266</v>
      </c>
      <c r="S39" s="46">
        <f>S27</f>
        <v>13088.78915088388</v>
      </c>
      <c r="T39" s="46">
        <f>T27</f>
        <v>13743.228608428075</v>
      </c>
      <c r="U39" s="46">
        <f t="shared" ref="U39:Z39" si="70">U27</f>
        <v>14430.390038849479</v>
      </c>
      <c r="V39" s="46">
        <f t="shared" si="70"/>
        <v>15151.909540791954</v>
      </c>
      <c r="W39" s="46">
        <f t="shared" si="70"/>
        <v>15909.505017831552</v>
      </c>
      <c r="X39" s="46">
        <f t="shared" si="70"/>
        <v>16704.980268723131</v>
      </c>
      <c r="Y39" s="46">
        <f t="shared" si="70"/>
        <v>17540.229282159289</v>
      </c>
      <c r="Z39" s="46">
        <f t="shared" si="70"/>
        <v>18417.240746267253</v>
      </c>
    </row>
    <row r="40" spans="2:26">
      <c r="B40" t="s">
        <v>259</v>
      </c>
      <c r="C40" s="1">
        <f>C39*C38*C37*C35/1000000</f>
        <v>68.955572777634757</v>
      </c>
      <c r="D40" s="1">
        <f t="shared" ref="D40:I40" si="71">D43-D28-D16</f>
        <v>81.64728723329668</v>
      </c>
      <c r="E40" s="1">
        <f t="shared" si="71"/>
        <v>70.500352238253498</v>
      </c>
      <c r="F40" s="1">
        <f t="shared" si="71"/>
        <v>88.666402292593375</v>
      </c>
      <c r="G40" s="1">
        <f t="shared" si="71"/>
        <v>96.427997315958663</v>
      </c>
      <c r="H40" s="1">
        <f t="shared" si="71"/>
        <v>96.955541527851892</v>
      </c>
      <c r="I40" s="1">
        <f t="shared" si="71"/>
        <v>101.11218553960525</v>
      </c>
      <c r="J40" s="1">
        <f>J39*J38*J37*J35/1000000</f>
        <v>93.973914403802453</v>
      </c>
      <c r="K40" s="1">
        <f t="shared" ref="K40:P40" si="72">K39*K38*K37*K35/1000000</f>
        <v>88.045035313348265</v>
      </c>
      <c r="L40" s="1">
        <f t="shared" si="72"/>
        <v>83.727357627052712</v>
      </c>
      <c r="M40" s="1">
        <f t="shared" si="72"/>
        <v>79.985466022142944</v>
      </c>
      <c r="N40" s="1">
        <f t="shared" si="72"/>
        <v>80.926218820809964</v>
      </c>
      <c r="O40" s="1">
        <f t="shared" si="72"/>
        <v>83.570493497597667</v>
      </c>
      <c r="P40" s="1">
        <f t="shared" si="72"/>
        <v>86.297305667919503</v>
      </c>
      <c r="Q40" s="1">
        <f>Q39*Q38*Q37*Q35/1000000</f>
        <v>89.109160900910126</v>
      </c>
      <c r="R40" s="1">
        <f>R39*R38*R37*R35/1000000</f>
        <v>92.008639543375025</v>
      </c>
      <c r="S40" s="1">
        <f>S39*S38*S37*S35/1000000</f>
        <v>94.998398928115392</v>
      </c>
      <c r="T40" s="1">
        <f>T39*T38*T37*T35/1000000</f>
        <v>98.081175647039885</v>
      </c>
      <c r="U40" s="1">
        <f t="shared" ref="U40:Z40" si="73">U39*U38*U37*U35/1000000</f>
        <v>97.469828652723564</v>
      </c>
      <c r="V40" s="1">
        <f t="shared" si="73"/>
        <v>98.255061477041551</v>
      </c>
      <c r="W40" s="1">
        <f t="shared" si="73"/>
        <v>97.380326356982039</v>
      </c>
      <c r="X40" s="1">
        <f t="shared" si="73"/>
        <v>94.282754711378416</v>
      </c>
      <c r="Y40" s="1">
        <f t="shared" si="73"/>
        <v>97.866899471230653</v>
      </c>
      <c r="Z40" s="1">
        <f t="shared" si="73"/>
        <v>101.53793797626454</v>
      </c>
    </row>
    <row r="41" spans="2:26" ht="13.5" thickBot="1"/>
    <row r="42" spans="2:26" ht="13.5" thickBot="1">
      <c r="B42" s="98" t="s">
        <v>261</v>
      </c>
      <c r="C42" s="99">
        <f>C40+C28+C16</f>
        <v>170.36693534979418</v>
      </c>
      <c r="D42" s="99">
        <f t="shared" ref="D42:Z42" si="74">D40+D28+D16</f>
        <v>108</v>
      </c>
      <c r="E42" s="99">
        <f t="shared" si="74"/>
        <v>97</v>
      </c>
      <c r="F42" s="99">
        <f t="shared" si="74"/>
        <v>115</v>
      </c>
      <c r="G42" s="99">
        <f t="shared" si="74"/>
        <v>122</v>
      </c>
      <c r="H42" s="99">
        <f t="shared" si="74"/>
        <v>122</v>
      </c>
      <c r="I42" s="99">
        <f t="shared" si="74"/>
        <v>126</v>
      </c>
      <c r="J42" s="99">
        <f t="shared" si="74"/>
        <v>167.75723454892724</v>
      </c>
      <c r="K42" s="99">
        <f t="shared" si="74"/>
        <v>202.59895820950095</v>
      </c>
      <c r="L42" s="99">
        <f>L40+L28+L16</f>
        <v>227.92790518967519</v>
      </c>
      <c r="M42" s="99">
        <f t="shared" si="74"/>
        <v>249.84728074176792</v>
      </c>
      <c r="N42" s="99">
        <f t="shared" si="74"/>
        <v>264.27755515291312</v>
      </c>
      <c r="O42" s="99">
        <f t="shared" si="74"/>
        <v>270.38995519958968</v>
      </c>
      <c r="P42" s="99">
        <f t="shared" si="74"/>
        <v>276.65010201288226</v>
      </c>
      <c r="Q42" s="99">
        <f t="shared" si="74"/>
        <v>283.06172396027063</v>
      </c>
      <c r="R42" s="99">
        <f t="shared" si="74"/>
        <v>289.62864708875424</v>
      </c>
      <c r="S42" s="99">
        <f t="shared" si="74"/>
        <v>296.35479776186935</v>
      </c>
      <c r="T42" s="99">
        <f t="shared" si="74"/>
        <v>303.24420536951499</v>
      </c>
      <c r="U42" s="99">
        <f t="shared" si="74"/>
        <v>298.21688700660866</v>
      </c>
      <c r="V42" s="99">
        <f t="shared" si="74"/>
        <v>284.50112636540473</v>
      </c>
      <c r="W42" s="99">
        <f t="shared" si="74"/>
        <v>260.67507955634761</v>
      </c>
      <c r="X42" s="99">
        <f t="shared" si="74"/>
        <v>229.0751719240543</v>
      </c>
      <c r="Y42" s="99">
        <f t="shared" si="74"/>
        <v>229.7052090813321</v>
      </c>
      <c r="Z42" s="101">
        <f t="shared" si="74"/>
        <v>230.48332539167728</v>
      </c>
    </row>
    <row r="43" spans="2:26">
      <c r="C43" s="1">
        <f>REVS!AO32</f>
        <v>170</v>
      </c>
      <c r="D43" s="1">
        <f>REVS!AT32</f>
        <v>108</v>
      </c>
      <c r="E43" s="1">
        <f>REVS!AY32</f>
        <v>97</v>
      </c>
      <c r="F43" s="1">
        <f>REVS!BD32</f>
        <v>115</v>
      </c>
      <c r="G43" s="1">
        <f>REVS!BI32</f>
        <v>122</v>
      </c>
      <c r="H43" s="1">
        <f>REVS!BN32</f>
        <v>122</v>
      </c>
      <c r="I43" s="1">
        <f>REVS!BS32</f>
        <v>126</v>
      </c>
      <c r="J43" s="1">
        <f>REVS!BX32</f>
        <v>168</v>
      </c>
    </row>
    <row r="44" spans="2:26">
      <c r="C44" s="687"/>
    </row>
    <row r="45" spans="2:26">
      <c r="B45" s="100" t="s">
        <v>262</v>
      </c>
      <c r="C45" s="100">
        <f>C2</f>
        <v>2007</v>
      </c>
      <c r="D45" s="100">
        <f t="shared" ref="D45:Z45" si="75">D2</f>
        <v>2008</v>
      </c>
      <c r="E45" s="100">
        <f t="shared" si="75"/>
        <v>2009</v>
      </c>
      <c r="F45" s="100">
        <f t="shared" si="75"/>
        <v>2010</v>
      </c>
      <c r="G45" s="100">
        <f t="shared" si="75"/>
        <v>2011</v>
      </c>
      <c r="H45" s="100">
        <f t="shared" si="75"/>
        <v>2012</v>
      </c>
      <c r="I45" s="100">
        <f t="shared" si="75"/>
        <v>2013</v>
      </c>
      <c r="J45" s="100">
        <f t="shared" si="75"/>
        <v>2014</v>
      </c>
      <c r="K45" s="100">
        <f t="shared" si="75"/>
        <v>2015</v>
      </c>
      <c r="L45" s="100">
        <f t="shared" si="75"/>
        <v>2016</v>
      </c>
      <c r="M45" s="100">
        <f t="shared" si="75"/>
        <v>2017</v>
      </c>
      <c r="N45" s="100">
        <f t="shared" si="75"/>
        <v>2018</v>
      </c>
      <c r="O45" s="100">
        <f t="shared" si="75"/>
        <v>2019</v>
      </c>
      <c r="P45" s="100">
        <f t="shared" si="75"/>
        <v>2020</v>
      </c>
      <c r="Q45" s="100">
        <f t="shared" si="75"/>
        <v>2021</v>
      </c>
      <c r="R45" s="100">
        <f t="shared" si="75"/>
        <v>2022</v>
      </c>
      <c r="S45" s="100">
        <f t="shared" si="75"/>
        <v>2023</v>
      </c>
      <c r="T45" s="100">
        <f t="shared" si="75"/>
        <v>2024</v>
      </c>
      <c r="U45" s="100">
        <f t="shared" si="75"/>
        <v>2025</v>
      </c>
      <c r="V45" s="100">
        <f t="shared" si="75"/>
        <v>2026</v>
      </c>
      <c r="W45" s="100">
        <f t="shared" si="75"/>
        <v>2027</v>
      </c>
      <c r="X45" s="100">
        <f t="shared" si="75"/>
        <v>2028</v>
      </c>
      <c r="Y45" s="100">
        <f t="shared" si="75"/>
        <v>2029</v>
      </c>
      <c r="Z45" s="100">
        <f t="shared" si="75"/>
        <v>2030</v>
      </c>
    </row>
    <row r="46" spans="2:26">
      <c r="B46" s="97" t="s">
        <v>237</v>
      </c>
      <c r="C46" s="96"/>
      <c r="D46" s="96"/>
      <c r="E46" s="96"/>
      <c r="F46" s="96"/>
      <c r="G46" s="96"/>
      <c r="H46" s="96"/>
      <c r="I46" s="96"/>
      <c r="J46" s="96"/>
      <c r="K46" s="96"/>
      <c r="L46" s="96"/>
      <c r="M46" s="96"/>
      <c r="N46" s="96"/>
      <c r="O46" s="96"/>
      <c r="P46" s="96"/>
      <c r="Q46" s="96"/>
      <c r="R46" s="96"/>
      <c r="S46" s="96"/>
      <c r="T46" s="96"/>
      <c r="U46" s="96"/>
      <c r="V46" s="96"/>
      <c r="W46" s="96"/>
      <c r="X46" s="96"/>
      <c r="Y46" s="96"/>
      <c r="Z46" s="96"/>
    </row>
    <row r="47" spans="2:26">
      <c r="B47" t="s">
        <v>246</v>
      </c>
      <c r="C47" s="1">
        <f t="shared" ref="C47:H47" si="76">D47/(1+D48)</f>
        <v>451547.59880630561</v>
      </c>
      <c r="D47" s="1">
        <f t="shared" si="76"/>
        <v>442516.6468301795</v>
      </c>
      <c r="E47" s="1">
        <f t="shared" si="76"/>
        <v>433666.31389357592</v>
      </c>
      <c r="F47" s="1">
        <f t="shared" si="76"/>
        <v>424992.98761570442</v>
      </c>
      <c r="G47" s="1">
        <f t="shared" si="76"/>
        <v>416493.12786339031</v>
      </c>
      <c r="H47" s="1">
        <f t="shared" si="76"/>
        <v>408163.26530612248</v>
      </c>
      <c r="I47" s="1">
        <v>400000</v>
      </c>
      <c r="J47" s="1">
        <f t="shared" ref="J47:P47" si="77">I47*(1+J48)</f>
        <v>392000</v>
      </c>
      <c r="K47" s="1">
        <f t="shared" si="77"/>
        <v>384160</v>
      </c>
      <c r="L47" s="1">
        <f t="shared" si="77"/>
        <v>376476.8</v>
      </c>
      <c r="M47" s="1">
        <f t="shared" si="77"/>
        <v>368947.26399999997</v>
      </c>
      <c r="N47" s="1">
        <f t="shared" si="77"/>
        <v>361568.31871999998</v>
      </c>
      <c r="O47" s="1">
        <f t="shared" si="77"/>
        <v>354336.9523456</v>
      </c>
      <c r="P47" s="1">
        <f t="shared" si="77"/>
        <v>347250.213298688</v>
      </c>
      <c r="Q47" s="1">
        <f t="shared" ref="Q47:Z47" si="78">P47*(1+Q48)</f>
        <v>340305.20903271425</v>
      </c>
      <c r="R47" s="1">
        <f t="shared" si="78"/>
        <v>333499.10485205997</v>
      </c>
      <c r="S47" s="1">
        <f t="shared" si="78"/>
        <v>326829.12275501876</v>
      </c>
      <c r="T47" s="1">
        <f t="shared" si="78"/>
        <v>320292.54029991839</v>
      </c>
      <c r="U47" s="1">
        <f t="shared" si="78"/>
        <v>313886.68949392001</v>
      </c>
      <c r="V47" s="1">
        <f t="shared" si="78"/>
        <v>307608.95570404158</v>
      </c>
      <c r="W47" s="1">
        <f t="shared" si="78"/>
        <v>301456.77658996073</v>
      </c>
      <c r="X47" s="1">
        <f t="shared" si="78"/>
        <v>295427.64105816151</v>
      </c>
      <c r="Y47" s="1">
        <f t="shared" si="78"/>
        <v>289519.08823699824</v>
      </c>
      <c r="Z47" s="1">
        <f t="shared" si="78"/>
        <v>283728.70647225826</v>
      </c>
    </row>
    <row r="48" spans="2:26">
      <c r="B48" s="27" t="s">
        <v>208</v>
      </c>
      <c r="D48" s="73">
        <v>-0.02</v>
      </c>
      <c r="E48" s="44">
        <f>D48</f>
        <v>-0.02</v>
      </c>
      <c r="F48" s="44">
        <f t="shared" ref="F48:P48" si="79">E48</f>
        <v>-0.02</v>
      </c>
      <c r="G48" s="44">
        <f t="shared" si="79"/>
        <v>-0.02</v>
      </c>
      <c r="H48" s="44">
        <f t="shared" si="79"/>
        <v>-0.02</v>
      </c>
      <c r="I48" s="44">
        <f t="shared" si="79"/>
        <v>-0.02</v>
      </c>
      <c r="J48" s="44">
        <f t="shared" si="79"/>
        <v>-0.02</v>
      </c>
      <c r="K48" s="44">
        <f t="shared" si="79"/>
        <v>-0.02</v>
      </c>
      <c r="L48" s="44">
        <f t="shared" si="79"/>
        <v>-0.02</v>
      </c>
      <c r="M48" s="44">
        <f t="shared" si="79"/>
        <v>-0.02</v>
      </c>
      <c r="N48" s="44">
        <f t="shared" si="79"/>
        <v>-0.02</v>
      </c>
      <c r="O48" s="44">
        <f t="shared" si="79"/>
        <v>-0.02</v>
      </c>
      <c r="P48" s="44">
        <f t="shared" si="79"/>
        <v>-0.02</v>
      </c>
      <c r="Q48" s="44">
        <f t="shared" ref="Q48:Z48" si="80">P48</f>
        <v>-0.02</v>
      </c>
      <c r="R48" s="44">
        <f t="shared" si="80"/>
        <v>-0.02</v>
      </c>
      <c r="S48" s="44">
        <f t="shared" si="80"/>
        <v>-0.02</v>
      </c>
      <c r="T48" s="44">
        <f t="shared" si="80"/>
        <v>-0.02</v>
      </c>
      <c r="U48" s="44">
        <f t="shared" si="80"/>
        <v>-0.02</v>
      </c>
      <c r="V48" s="44">
        <f t="shared" si="80"/>
        <v>-0.02</v>
      </c>
      <c r="W48" s="44">
        <f t="shared" si="80"/>
        <v>-0.02</v>
      </c>
      <c r="X48" s="44">
        <f t="shared" si="80"/>
        <v>-0.02</v>
      </c>
      <c r="Y48" s="44">
        <f t="shared" si="80"/>
        <v>-0.02</v>
      </c>
      <c r="Z48" s="44">
        <f t="shared" si="80"/>
        <v>-0.02</v>
      </c>
    </row>
    <row r="49" spans="2:26">
      <c r="B49" t="s">
        <v>247</v>
      </c>
      <c r="C49" s="81">
        <v>0.8</v>
      </c>
      <c r="D49" s="35">
        <f>C49</f>
        <v>0.8</v>
      </c>
      <c r="E49" s="35">
        <f t="shared" ref="E49:P49" si="81">D49</f>
        <v>0.8</v>
      </c>
      <c r="F49" s="35">
        <f t="shared" si="81"/>
        <v>0.8</v>
      </c>
      <c r="G49" s="35">
        <f t="shared" si="81"/>
        <v>0.8</v>
      </c>
      <c r="H49" s="35">
        <f t="shared" si="81"/>
        <v>0.8</v>
      </c>
      <c r="I49" s="35">
        <f t="shared" si="81"/>
        <v>0.8</v>
      </c>
      <c r="J49" s="35">
        <f t="shared" si="81"/>
        <v>0.8</v>
      </c>
      <c r="K49" s="35">
        <f t="shared" si="81"/>
        <v>0.8</v>
      </c>
      <c r="L49" s="35">
        <f t="shared" si="81"/>
        <v>0.8</v>
      </c>
      <c r="M49" s="35">
        <f t="shared" si="81"/>
        <v>0.8</v>
      </c>
      <c r="N49" s="35">
        <f t="shared" si="81"/>
        <v>0.8</v>
      </c>
      <c r="O49" s="35">
        <f t="shared" si="81"/>
        <v>0.8</v>
      </c>
      <c r="P49" s="35">
        <f t="shared" si="81"/>
        <v>0.8</v>
      </c>
      <c r="Q49" s="35">
        <f t="shared" ref="Q49:Z49" si="82">P49</f>
        <v>0.8</v>
      </c>
      <c r="R49" s="35">
        <f t="shared" si="82"/>
        <v>0.8</v>
      </c>
      <c r="S49" s="35">
        <f t="shared" si="82"/>
        <v>0.8</v>
      </c>
      <c r="T49" s="35">
        <f t="shared" si="82"/>
        <v>0.8</v>
      </c>
      <c r="U49" s="35">
        <f t="shared" si="82"/>
        <v>0.8</v>
      </c>
      <c r="V49" s="35">
        <f t="shared" si="82"/>
        <v>0.8</v>
      </c>
      <c r="W49" s="35">
        <f t="shared" si="82"/>
        <v>0.8</v>
      </c>
      <c r="X49" s="35">
        <f t="shared" si="82"/>
        <v>0.8</v>
      </c>
      <c r="Y49" s="35">
        <f t="shared" si="82"/>
        <v>0.8</v>
      </c>
      <c r="Z49" s="35">
        <f t="shared" si="82"/>
        <v>0.8</v>
      </c>
    </row>
    <row r="50" spans="2:26">
      <c r="B50" t="s">
        <v>248</v>
      </c>
      <c r="C50" s="81">
        <v>0.5</v>
      </c>
      <c r="D50" s="35">
        <f>C50</f>
        <v>0.5</v>
      </c>
      <c r="E50" s="35">
        <f t="shared" ref="E50:P50" si="83">D50</f>
        <v>0.5</v>
      </c>
      <c r="F50" s="35">
        <f t="shared" si="83"/>
        <v>0.5</v>
      </c>
      <c r="G50" s="35">
        <f t="shared" si="83"/>
        <v>0.5</v>
      </c>
      <c r="H50" s="35">
        <f t="shared" si="83"/>
        <v>0.5</v>
      </c>
      <c r="I50" s="35">
        <f t="shared" si="83"/>
        <v>0.5</v>
      </c>
      <c r="J50" s="35">
        <f t="shared" si="83"/>
        <v>0.5</v>
      </c>
      <c r="K50" s="35">
        <f t="shared" si="83"/>
        <v>0.5</v>
      </c>
      <c r="L50" s="35">
        <f t="shared" si="83"/>
        <v>0.5</v>
      </c>
      <c r="M50" s="35">
        <f t="shared" si="83"/>
        <v>0.5</v>
      </c>
      <c r="N50" s="35">
        <f t="shared" si="83"/>
        <v>0.5</v>
      </c>
      <c r="O50" s="35">
        <f t="shared" si="83"/>
        <v>0.5</v>
      </c>
      <c r="P50" s="35">
        <f t="shared" si="83"/>
        <v>0.5</v>
      </c>
      <c r="Q50" s="35">
        <f t="shared" ref="Q50:Z50" si="84">P50</f>
        <v>0.5</v>
      </c>
      <c r="R50" s="35">
        <f t="shared" si="84"/>
        <v>0.5</v>
      </c>
      <c r="S50" s="35">
        <f t="shared" si="84"/>
        <v>0.5</v>
      </c>
      <c r="T50" s="35">
        <f t="shared" si="84"/>
        <v>0.5</v>
      </c>
      <c r="U50" s="35">
        <f t="shared" si="84"/>
        <v>0.5</v>
      </c>
      <c r="V50" s="35">
        <f t="shared" si="84"/>
        <v>0.5</v>
      </c>
      <c r="W50" s="35">
        <f t="shared" si="84"/>
        <v>0.5</v>
      </c>
      <c r="X50" s="35">
        <f t="shared" si="84"/>
        <v>0.5</v>
      </c>
      <c r="Y50" s="35">
        <f t="shared" si="84"/>
        <v>0.5</v>
      </c>
      <c r="Z50" s="35">
        <f t="shared" si="84"/>
        <v>0.5</v>
      </c>
    </row>
    <row r="51" spans="2:26">
      <c r="B51" t="s">
        <v>249</v>
      </c>
      <c r="C51" s="1">
        <f t="shared" ref="C51:P51" si="85">C49*C50*C47</f>
        <v>180619.03952252225</v>
      </c>
      <c r="D51" s="1">
        <f t="shared" si="85"/>
        <v>177006.65873207181</v>
      </c>
      <c r="E51" s="1">
        <f t="shared" si="85"/>
        <v>173466.52555743037</v>
      </c>
      <c r="F51" s="1">
        <f t="shared" si="85"/>
        <v>169997.19504628179</v>
      </c>
      <c r="G51" s="1">
        <f t="shared" si="85"/>
        <v>166597.25114535613</v>
      </c>
      <c r="H51" s="1">
        <f t="shared" si="85"/>
        <v>163265.30612244899</v>
      </c>
      <c r="I51" s="1">
        <f t="shared" si="85"/>
        <v>160000</v>
      </c>
      <c r="J51" s="1">
        <f t="shared" si="85"/>
        <v>156800</v>
      </c>
      <c r="K51" s="1">
        <f t="shared" si="85"/>
        <v>153664</v>
      </c>
      <c r="L51" s="1">
        <f t="shared" si="85"/>
        <v>150590.72</v>
      </c>
      <c r="M51" s="1">
        <f t="shared" si="85"/>
        <v>147578.9056</v>
      </c>
      <c r="N51" s="1">
        <f t="shared" si="85"/>
        <v>144627.32748800001</v>
      </c>
      <c r="O51" s="1">
        <f t="shared" si="85"/>
        <v>141734.78093824</v>
      </c>
      <c r="P51" s="1">
        <f t="shared" si="85"/>
        <v>138900.08531947521</v>
      </c>
      <c r="Q51" s="1">
        <f t="shared" ref="Q51:Z51" si="86">Q49*Q50*Q47</f>
        <v>136122.08361308571</v>
      </c>
      <c r="R51" s="1">
        <f t="shared" si="86"/>
        <v>133399.64194082399</v>
      </c>
      <c r="S51" s="1">
        <f t="shared" si="86"/>
        <v>130731.6491020075</v>
      </c>
      <c r="T51" s="1">
        <f t="shared" si="86"/>
        <v>128117.01611996736</v>
      </c>
      <c r="U51" s="1">
        <f t="shared" si="86"/>
        <v>125554.67579756801</v>
      </c>
      <c r="V51" s="1">
        <f t="shared" si="86"/>
        <v>123043.58228161663</v>
      </c>
      <c r="W51" s="1">
        <f t="shared" si="86"/>
        <v>120582.7106359843</v>
      </c>
      <c r="X51" s="1">
        <f t="shared" si="86"/>
        <v>118171.05642326461</v>
      </c>
      <c r="Y51" s="1">
        <f t="shared" si="86"/>
        <v>115807.6352947993</v>
      </c>
      <c r="Z51" s="1">
        <f t="shared" si="86"/>
        <v>113491.48258890331</v>
      </c>
    </row>
    <row r="52" spans="2:26">
      <c r="B52" t="s">
        <v>250</v>
      </c>
      <c r="C52" s="81">
        <v>0.4</v>
      </c>
      <c r="D52" s="35">
        <f>C52</f>
        <v>0.4</v>
      </c>
      <c r="E52" s="35">
        <f t="shared" ref="E52:P52" si="87">D52</f>
        <v>0.4</v>
      </c>
      <c r="F52" s="35">
        <f t="shared" si="87"/>
        <v>0.4</v>
      </c>
      <c r="G52" s="35">
        <f t="shared" si="87"/>
        <v>0.4</v>
      </c>
      <c r="H52" s="35">
        <f t="shared" si="87"/>
        <v>0.4</v>
      </c>
      <c r="I52" s="35">
        <f t="shared" si="87"/>
        <v>0.4</v>
      </c>
      <c r="J52" s="35">
        <f t="shared" si="87"/>
        <v>0.4</v>
      </c>
      <c r="K52" s="35">
        <f t="shared" si="87"/>
        <v>0.4</v>
      </c>
      <c r="L52" s="35">
        <f t="shared" si="87"/>
        <v>0.4</v>
      </c>
      <c r="M52" s="35">
        <f t="shared" si="87"/>
        <v>0.4</v>
      </c>
      <c r="N52" s="35">
        <f t="shared" si="87"/>
        <v>0.4</v>
      </c>
      <c r="O52" s="35">
        <f t="shared" si="87"/>
        <v>0.4</v>
      </c>
      <c r="P52" s="35">
        <f t="shared" si="87"/>
        <v>0.4</v>
      </c>
      <c r="Q52" s="35">
        <f t="shared" ref="Q52:Z52" si="88">P52</f>
        <v>0.4</v>
      </c>
      <c r="R52" s="35">
        <f t="shared" si="88"/>
        <v>0.4</v>
      </c>
      <c r="S52" s="35">
        <f t="shared" si="88"/>
        <v>0.4</v>
      </c>
      <c r="T52" s="35">
        <f t="shared" si="88"/>
        <v>0.4</v>
      </c>
      <c r="U52" s="35">
        <f t="shared" si="88"/>
        <v>0.4</v>
      </c>
      <c r="V52" s="35">
        <f t="shared" si="88"/>
        <v>0.4</v>
      </c>
      <c r="W52" s="35">
        <f t="shared" si="88"/>
        <v>0.4</v>
      </c>
      <c r="X52" s="35">
        <f t="shared" si="88"/>
        <v>0.4</v>
      </c>
      <c r="Y52" s="35">
        <f t="shared" si="88"/>
        <v>0.4</v>
      </c>
      <c r="Z52" s="35">
        <f t="shared" si="88"/>
        <v>0.4</v>
      </c>
    </row>
    <row r="53" spans="2:26">
      <c r="B53" t="s">
        <v>251</v>
      </c>
      <c r="C53" s="1">
        <f t="shared" ref="C53:P53" si="89">C52*C51</f>
        <v>72247.615809008901</v>
      </c>
      <c r="D53" s="1">
        <f t="shared" si="89"/>
        <v>70802.663492828724</v>
      </c>
      <c r="E53" s="1">
        <f t="shared" si="89"/>
        <v>69386.610222972158</v>
      </c>
      <c r="F53" s="1">
        <f t="shared" si="89"/>
        <v>67998.878018512725</v>
      </c>
      <c r="G53" s="1">
        <f t="shared" si="89"/>
        <v>66638.900458142452</v>
      </c>
      <c r="H53" s="1">
        <f t="shared" si="89"/>
        <v>65306.1224489796</v>
      </c>
      <c r="I53" s="1">
        <f t="shared" si="89"/>
        <v>64000</v>
      </c>
      <c r="J53" s="1">
        <f t="shared" si="89"/>
        <v>62720</v>
      </c>
      <c r="K53" s="1">
        <f t="shared" si="89"/>
        <v>61465.600000000006</v>
      </c>
      <c r="L53" s="1">
        <f t="shared" si="89"/>
        <v>60236.288</v>
      </c>
      <c r="M53" s="1">
        <f t="shared" si="89"/>
        <v>59031.562239999999</v>
      </c>
      <c r="N53" s="1">
        <f t="shared" si="89"/>
        <v>57850.930995200004</v>
      </c>
      <c r="O53" s="1">
        <f t="shared" si="89"/>
        <v>56693.912375296</v>
      </c>
      <c r="P53" s="1">
        <f t="shared" si="89"/>
        <v>55560.034127790088</v>
      </c>
      <c r="Q53" s="1">
        <f t="shared" ref="Q53:Z53" si="90">Q52*Q51</f>
        <v>54448.833445234282</v>
      </c>
      <c r="R53" s="1">
        <f t="shared" si="90"/>
        <v>53359.856776329601</v>
      </c>
      <c r="S53" s="1">
        <f t="shared" si="90"/>
        <v>52292.659640803002</v>
      </c>
      <c r="T53" s="1">
        <f t="shared" si="90"/>
        <v>51246.80644798695</v>
      </c>
      <c r="U53" s="1">
        <f t="shared" si="90"/>
        <v>50221.870319027206</v>
      </c>
      <c r="V53" s="1">
        <f t="shared" si="90"/>
        <v>49217.432912646655</v>
      </c>
      <c r="W53" s="1">
        <f t="shared" si="90"/>
        <v>48233.084254393725</v>
      </c>
      <c r="X53" s="1">
        <f t="shared" si="90"/>
        <v>47268.422569305847</v>
      </c>
      <c r="Y53" s="1">
        <f t="shared" si="90"/>
        <v>46323.054117919724</v>
      </c>
      <c r="Z53" s="1">
        <f t="shared" si="90"/>
        <v>45396.593035561324</v>
      </c>
    </row>
    <row r="55" spans="2:26">
      <c r="B55" t="s">
        <v>242</v>
      </c>
      <c r="C55" s="74"/>
      <c r="D55" s="70">
        <v>0</v>
      </c>
      <c r="E55" s="70">
        <v>0.01</v>
      </c>
      <c r="F55" s="70">
        <v>1.7000000000000001E-2</v>
      </c>
      <c r="G55" s="70">
        <v>2.3E-2</v>
      </c>
      <c r="H55" s="70">
        <v>0.03</v>
      </c>
      <c r="I55" s="70">
        <v>3.7999999999999999E-2</v>
      </c>
      <c r="J55" s="70">
        <v>5.3999999999999999E-2</v>
      </c>
      <c r="K55" s="70">
        <f>J55*1.1</f>
        <v>5.9400000000000001E-2</v>
      </c>
      <c r="L55" s="70">
        <f>K55*1.1</f>
        <v>6.5340000000000009E-2</v>
      </c>
      <c r="M55" s="70">
        <f>L55</f>
        <v>6.5340000000000009E-2</v>
      </c>
      <c r="N55" s="70">
        <f>M55*0.99</f>
        <v>6.4686600000000011E-2</v>
      </c>
      <c r="O55" s="70">
        <f t="shared" ref="O55:R55" si="91">N55*1.025</f>
        <v>6.6303765000000001E-2</v>
      </c>
      <c r="P55" s="70">
        <f t="shared" si="91"/>
        <v>6.7961359124999995E-2</v>
      </c>
      <c r="Q55" s="70">
        <f t="shared" si="91"/>
        <v>6.9660393103124996E-2</v>
      </c>
      <c r="R55" s="70">
        <f t="shared" si="91"/>
        <v>7.1401902930703115E-2</v>
      </c>
      <c r="S55" s="70">
        <f t="shared" ref="S55:U55" si="92">R55*0.9</f>
        <v>6.4261712637632806E-2</v>
      </c>
      <c r="T55" s="70">
        <f t="shared" si="92"/>
        <v>5.783554137386953E-2</v>
      </c>
      <c r="U55" s="70">
        <f t="shared" si="92"/>
        <v>5.2051987236482578E-2</v>
      </c>
      <c r="V55" s="70">
        <f>U55*0.9</f>
        <v>4.6846788512834324E-2</v>
      </c>
      <c r="W55" s="70">
        <f>V55*0.85</f>
        <v>3.9819770235909172E-2</v>
      </c>
      <c r="X55" s="70">
        <f>W55*0.8</f>
        <v>3.1855816188727341E-2</v>
      </c>
      <c r="Y55" s="70">
        <f>X55*0.8</f>
        <v>2.5484652950981873E-2</v>
      </c>
      <c r="Z55" s="70">
        <f>Y55</f>
        <v>2.5484652950981873E-2</v>
      </c>
    </row>
    <row r="56" spans="2:26">
      <c r="B56" t="s">
        <v>243</v>
      </c>
      <c r="C56" s="88">
        <v>7</v>
      </c>
      <c r="D56">
        <f>C56</f>
        <v>7</v>
      </c>
      <c r="E56">
        <f t="shared" ref="E56:P56" si="93">D56</f>
        <v>7</v>
      </c>
      <c r="F56">
        <f t="shared" si="93"/>
        <v>7</v>
      </c>
      <c r="G56">
        <f t="shared" si="93"/>
        <v>7</v>
      </c>
      <c r="H56">
        <f t="shared" si="93"/>
        <v>7</v>
      </c>
      <c r="I56">
        <f t="shared" si="93"/>
        <v>7</v>
      </c>
      <c r="J56">
        <f t="shared" si="93"/>
        <v>7</v>
      </c>
      <c r="K56">
        <f t="shared" si="93"/>
        <v>7</v>
      </c>
      <c r="L56">
        <f t="shared" si="93"/>
        <v>7</v>
      </c>
      <c r="M56">
        <f t="shared" si="93"/>
        <v>7</v>
      </c>
      <c r="N56">
        <f t="shared" si="93"/>
        <v>7</v>
      </c>
      <c r="O56">
        <f t="shared" si="93"/>
        <v>7</v>
      </c>
      <c r="P56">
        <f t="shared" si="93"/>
        <v>7</v>
      </c>
      <c r="Q56">
        <f t="shared" ref="Q56:Y56" si="94">P56</f>
        <v>7</v>
      </c>
      <c r="R56">
        <f t="shared" si="94"/>
        <v>7</v>
      </c>
      <c r="S56">
        <f t="shared" si="94"/>
        <v>7</v>
      </c>
      <c r="T56">
        <f t="shared" si="94"/>
        <v>7</v>
      </c>
      <c r="U56">
        <f t="shared" si="94"/>
        <v>7</v>
      </c>
      <c r="V56">
        <f t="shared" si="94"/>
        <v>7</v>
      </c>
      <c r="W56">
        <f t="shared" si="94"/>
        <v>7</v>
      </c>
      <c r="X56">
        <f t="shared" si="94"/>
        <v>7</v>
      </c>
      <c r="Y56">
        <f t="shared" si="94"/>
        <v>7</v>
      </c>
      <c r="Z56">
        <f>Y56</f>
        <v>7</v>
      </c>
    </row>
    <row r="57" spans="2:26">
      <c r="B57" t="s">
        <v>244</v>
      </c>
      <c r="C57" s="46"/>
      <c r="D57" s="46">
        <f t="shared" ref="D57:P57" si="95">D39*0.7</f>
        <v>5751.6549999999997</v>
      </c>
      <c r="E57" s="46">
        <f t="shared" si="95"/>
        <v>5960.8499999999985</v>
      </c>
      <c r="F57" s="46">
        <f t="shared" si="95"/>
        <v>6104.9099999999989</v>
      </c>
      <c r="G57" s="46">
        <f t="shared" si="95"/>
        <v>6109.915</v>
      </c>
      <c r="H57" s="46">
        <f t="shared" si="95"/>
        <v>6167.14</v>
      </c>
      <c r="I57" s="46">
        <f t="shared" si="95"/>
        <v>6316.2749999999996</v>
      </c>
      <c r="J57" s="46">
        <f t="shared" si="95"/>
        <v>6442.6004999999996</v>
      </c>
      <c r="K57" s="46">
        <f t="shared" si="95"/>
        <v>6571.4525100000001</v>
      </c>
      <c r="L57" s="46">
        <f t="shared" si="95"/>
        <v>6702.8815601999995</v>
      </c>
      <c r="M57" s="46">
        <f t="shared" si="95"/>
        <v>6836.9391914039988</v>
      </c>
      <c r="N57" s="46">
        <f t="shared" si="95"/>
        <v>7178.7861509741997</v>
      </c>
      <c r="O57" s="46">
        <f t="shared" si="95"/>
        <v>7537.7254585229102</v>
      </c>
      <c r="P57" s="46">
        <f t="shared" si="95"/>
        <v>7914.6117314490566</v>
      </c>
      <c r="Q57" s="46">
        <f>Q39*0.7</f>
        <v>8310.3423180215104</v>
      </c>
      <c r="R57" s="46">
        <f>R39*0.7</f>
        <v>8725.8594339225856</v>
      </c>
      <c r="S57" s="46">
        <f>S39*0.7</f>
        <v>9162.1524056187154</v>
      </c>
      <c r="T57" s="46">
        <f>T39*0.7</f>
        <v>9620.2600258996517</v>
      </c>
      <c r="U57" s="46">
        <f t="shared" ref="U57:Z57" si="96">U39*0.7</f>
        <v>10101.273027194635</v>
      </c>
      <c r="V57" s="46">
        <f t="shared" si="96"/>
        <v>10606.336678554368</v>
      </c>
      <c r="W57" s="46">
        <f t="shared" si="96"/>
        <v>11136.653512482086</v>
      </c>
      <c r="X57" s="46">
        <f t="shared" si="96"/>
        <v>11693.486188106192</v>
      </c>
      <c r="Y57" s="46">
        <f t="shared" si="96"/>
        <v>12278.160497511502</v>
      </c>
      <c r="Z57" s="46">
        <f t="shared" si="96"/>
        <v>12892.068522387077</v>
      </c>
    </row>
    <row r="58" spans="2:26">
      <c r="B58" t="s">
        <v>245</v>
      </c>
      <c r="C58" s="1"/>
      <c r="D58" s="1">
        <f t="shared" ref="D58:P58" si="97">D57*D56*D55*D53/1000000</f>
        <v>0</v>
      </c>
      <c r="E58" s="1">
        <f t="shared" si="97"/>
        <v>28.952222288332244</v>
      </c>
      <c r="F58" s="1">
        <f t="shared" si="97"/>
        <v>49.400116618075828</v>
      </c>
      <c r="G58" s="1">
        <f t="shared" si="97"/>
        <v>65.552440816326538</v>
      </c>
      <c r="H58" s="1">
        <f t="shared" si="97"/>
        <v>84.57792000000002</v>
      </c>
      <c r="I58" s="1">
        <f t="shared" si="97"/>
        <v>107.52826559999998</v>
      </c>
      <c r="J58" s="1">
        <f t="shared" si="97"/>
        <v>152.74220347008</v>
      </c>
      <c r="K58" s="1">
        <f t="shared" si="97"/>
        <v>167.94921724756117</v>
      </c>
      <c r="L58" s="1">
        <f t="shared" si="97"/>
        <v>184.67024131672838</v>
      </c>
      <c r="M58" s="1">
        <f t="shared" si="97"/>
        <v>184.59637322020163</v>
      </c>
      <c r="N58" s="1">
        <f t="shared" si="97"/>
        <v>188.05017136315166</v>
      </c>
      <c r="O58" s="1">
        <f t="shared" si="97"/>
        <v>198.34121699100012</v>
      </c>
      <c r="P58" s="1">
        <f t="shared" si="97"/>
        <v>209.19544009083265</v>
      </c>
      <c r="Q58" s="1">
        <f>Q57*Q56*Q55*Q53/1000000</f>
        <v>220.64366054980346</v>
      </c>
      <c r="R58" s="1">
        <f>R57*R56*R55*R53/1000000</f>
        <v>232.71838487339147</v>
      </c>
      <c r="S58" s="1">
        <f>S57*S56*S55*S53/1000000</f>
        <v>215.52049623124782</v>
      </c>
      <c r="T58" s="1">
        <f>T57*T56*T55*T53/1000000</f>
        <v>199.59353155975865</v>
      </c>
      <c r="U58" s="1">
        <f t="shared" ref="U58:Z58" si="98">U57*U56*U55*U53/1000000</f>
        <v>184.84356957749247</v>
      </c>
      <c r="V58" s="1">
        <f t="shared" si="98"/>
        <v>171.18362978571582</v>
      </c>
      <c r="W58" s="1">
        <f t="shared" si="98"/>
        <v>149.72576179207633</v>
      </c>
      <c r="X58" s="1">
        <f t="shared" si="98"/>
        <v>123.25424710723723</v>
      </c>
      <c r="Y58" s="1">
        <f t="shared" si="98"/>
        <v>101.4628962186777</v>
      </c>
      <c r="Z58" s="1">
        <f t="shared" si="98"/>
        <v>104.40532020901934</v>
      </c>
    </row>
    <row r="60" spans="2:26">
      <c r="B60" s="97" t="s">
        <v>253</v>
      </c>
      <c r="C60" s="96"/>
      <c r="D60" s="96"/>
      <c r="E60" s="96"/>
      <c r="F60" s="96"/>
      <c r="G60" s="96"/>
      <c r="H60" s="96"/>
      <c r="I60" s="96"/>
      <c r="J60" s="96"/>
      <c r="K60" s="96"/>
      <c r="L60" s="96"/>
      <c r="M60" s="96"/>
      <c r="N60" s="96"/>
      <c r="O60" s="96"/>
      <c r="P60" s="96"/>
      <c r="Q60" s="96"/>
      <c r="R60" s="96"/>
      <c r="S60" s="96"/>
      <c r="T60" s="96"/>
      <c r="U60" s="96"/>
      <c r="V60" s="96"/>
      <c r="W60" s="96"/>
      <c r="X60" s="96"/>
      <c r="Y60" s="96"/>
      <c r="Z60" s="96"/>
    </row>
    <row r="61" spans="2:26">
      <c r="B61" t="s">
        <v>254</v>
      </c>
      <c r="C61" s="81">
        <v>0.7</v>
      </c>
      <c r="D61" s="35">
        <f t="shared" ref="D61:I61" si="99">C61</f>
        <v>0.7</v>
      </c>
      <c r="E61" s="35">
        <f t="shared" si="99"/>
        <v>0.7</v>
      </c>
      <c r="F61" s="35">
        <f t="shared" si="99"/>
        <v>0.7</v>
      </c>
      <c r="G61" s="35">
        <f t="shared" si="99"/>
        <v>0.7</v>
      </c>
      <c r="H61" s="35">
        <f t="shared" si="99"/>
        <v>0.7</v>
      </c>
      <c r="I61" s="35">
        <f t="shared" si="99"/>
        <v>0.7</v>
      </c>
      <c r="J61" s="35">
        <f t="shared" ref="J61:P61" si="100">I61</f>
        <v>0.7</v>
      </c>
      <c r="K61" s="35">
        <f t="shared" si="100"/>
        <v>0.7</v>
      </c>
      <c r="L61" s="35">
        <f t="shared" si="100"/>
        <v>0.7</v>
      </c>
      <c r="M61" s="35">
        <f t="shared" si="100"/>
        <v>0.7</v>
      </c>
      <c r="N61" s="35">
        <f t="shared" si="100"/>
        <v>0.7</v>
      </c>
      <c r="O61" s="35">
        <f t="shared" si="100"/>
        <v>0.7</v>
      </c>
      <c r="P61" s="35">
        <f t="shared" si="100"/>
        <v>0.7</v>
      </c>
      <c r="Q61" s="35">
        <f t="shared" ref="Q61:Z61" si="101">P61</f>
        <v>0.7</v>
      </c>
      <c r="R61" s="35">
        <f t="shared" si="101"/>
        <v>0.7</v>
      </c>
      <c r="S61" s="35">
        <f t="shared" si="101"/>
        <v>0.7</v>
      </c>
      <c r="T61" s="35">
        <f t="shared" si="101"/>
        <v>0.7</v>
      </c>
      <c r="U61" s="35">
        <f t="shared" si="101"/>
        <v>0.7</v>
      </c>
      <c r="V61" s="35">
        <f t="shared" si="101"/>
        <v>0.7</v>
      </c>
      <c r="W61" s="35">
        <f t="shared" si="101"/>
        <v>0.7</v>
      </c>
      <c r="X61" s="35">
        <f t="shared" si="101"/>
        <v>0.7</v>
      </c>
      <c r="Y61" s="35">
        <f t="shared" si="101"/>
        <v>0.7</v>
      </c>
      <c r="Z61" s="35">
        <f t="shared" si="101"/>
        <v>0.7</v>
      </c>
    </row>
    <row r="62" spans="2:26">
      <c r="B62" t="s">
        <v>255</v>
      </c>
      <c r="C62" s="1">
        <f t="shared" ref="C62:P62" si="102">C61*C51</f>
        <v>126433.32766576557</v>
      </c>
      <c r="D62" s="1">
        <f t="shared" si="102"/>
        <v>123904.66111245025</v>
      </c>
      <c r="E62" s="1">
        <f t="shared" si="102"/>
        <v>121426.56789020126</v>
      </c>
      <c r="F62" s="1">
        <f t="shared" si="102"/>
        <v>118998.03653239725</v>
      </c>
      <c r="G62" s="1">
        <f t="shared" si="102"/>
        <v>116618.07580174928</v>
      </c>
      <c r="H62" s="1">
        <f t="shared" si="102"/>
        <v>114285.71428571429</v>
      </c>
      <c r="I62" s="1">
        <f t="shared" si="102"/>
        <v>112000</v>
      </c>
      <c r="J62" s="1">
        <f t="shared" si="102"/>
        <v>109760</v>
      </c>
      <c r="K62" s="1">
        <f t="shared" si="102"/>
        <v>107564.79999999999</v>
      </c>
      <c r="L62" s="1">
        <f t="shared" si="102"/>
        <v>105413.504</v>
      </c>
      <c r="M62" s="1">
        <f t="shared" si="102"/>
        <v>103305.23392</v>
      </c>
      <c r="N62" s="1">
        <f t="shared" si="102"/>
        <v>101239.12924160001</v>
      </c>
      <c r="O62" s="1">
        <f t="shared" si="102"/>
        <v>99214.346656768001</v>
      </c>
      <c r="P62" s="1">
        <f t="shared" si="102"/>
        <v>97230.059723632643</v>
      </c>
      <c r="Q62" s="1">
        <f t="shared" ref="Q62:Z62" si="103">Q61*Q51</f>
        <v>95285.458529159994</v>
      </c>
      <c r="R62" s="1">
        <f t="shared" si="103"/>
        <v>93379.749358576781</v>
      </c>
      <c r="S62" s="1">
        <f t="shared" si="103"/>
        <v>91512.154371405253</v>
      </c>
      <c r="T62" s="1">
        <f t="shared" si="103"/>
        <v>89681.911283977141</v>
      </c>
      <c r="U62" s="1">
        <f t="shared" si="103"/>
        <v>87888.273058297607</v>
      </c>
      <c r="V62" s="1">
        <f t="shared" si="103"/>
        <v>86130.50759713164</v>
      </c>
      <c r="W62" s="1">
        <f t="shared" si="103"/>
        <v>84407.89744518901</v>
      </c>
      <c r="X62" s="1">
        <f t="shared" si="103"/>
        <v>82719.739496285227</v>
      </c>
      <c r="Y62" s="1">
        <f t="shared" si="103"/>
        <v>81065.344706359509</v>
      </c>
      <c r="Z62" s="1">
        <f t="shared" si="103"/>
        <v>79444.037812232316</v>
      </c>
    </row>
    <row r="63" spans="2:26">
      <c r="B63" t="s">
        <v>256</v>
      </c>
      <c r="C63" s="1">
        <f t="shared" ref="C63:P63" si="104">C62-C51*C55</f>
        <v>126433.32766576557</v>
      </c>
      <c r="D63" s="1">
        <f t="shared" si="104"/>
        <v>123904.66111245025</v>
      </c>
      <c r="E63" s="1">
        <f t="shared" si="104"/>
        <v>119691.90263462695</v>
      </c>
      <c r="F63" s="1">
        <f t="shared" si="104"/>
        <v>116108.08421661046</v>
      </c>
      <c r="G63" s="1">
        <f t="shared" si="104"/>
        <v>112786.33902540608</v>
      </c>
      <c r="H63" s="1">
        <f t="shared" si="104"/>
        <v>109387.75510204081</v>
      </c>
      <c r="I63" s="1">
        <f t="shared" si="104"/>
        <v>105920</v>
      </c>
      <c r="J63" s="1">
        <f t="shared" si="104"/>
        <v>101292.8</v>
      </c>
      <c r="K63" s="1">
        <f t="shared" si="104"/>
        <v>98437.158399999986</v>
      </c>
      <c r="L63" s="1">
        <f t="shared" si="104"/>
        <v>95573.906355200001</v>
      </c>
      <c r="M63" s="1">
        <f t="shared" si="104"/>
        <v>93662.428228096003</v>
      </c>
      <c r="N63" s="1">
        <f t="shared" si="104"/>
        <v>91883.67915931475</v>
      </c>
      <c r="O63" s="1">
        <f t="shared" si="104"/>
        <v>89816.797049112458</v>
      </c>
      <c r="P63" s="1">
        <f t="shared" si="104"/>
        <v>87790.221142742652</v>
      </c>
      <c r="Q63" s="1">
        <f t="shared" ref="Q63:Z63" si="105">Q62-Q51*Q55</f>
        <v>85803.140674655995</v>
      </c>
      <c r="R63" s="1">
        <f t="shared" si="105"/>
        <v>83854.76107372751</v>
      </c>
      <c r="S63" s="1">
        <f t="shared" si="105"/>
        <v>83111.114704168198</v>
      </c>
      <c r="T63" s="1">
        <f t="shared" si="105"/>
        <v>82272.194297474052</v>
      </c>
      <c r="U63" s="1">
        <f t="shared" si="105"/>
        <v>81352.902676201891</v>
      </c>
      <c r="V63" s="1">
        <f t="shared" si="105"/>
        <v>80366.310920123215</v>
      </c>
      <c r="W63" s="1">
        <f t="shared" si="105"/>
        <v>79606.321613240987</v>
      </c>
      <c r="X63" s="1">
        <f t="shared" si="105"/>
        <v>78955.304044037985</v>
      </c>
      <c r="Y63" s="1">
        <f t="shared" si="105"/>
        <v>78114.027311797676</v>
      </c>
      <c r="Z63" s="1">
        <f t="shared" si="105"/>
        <v>76551.746765561707</v>
      </c>
    </row>
    <row r="64" spans="2:26">
      <c r="B64" t="s">
        <v>250</v>
      </c>
      <c r="C64" s="81">
        <v>0.4</v>
      </c>
      <c r="D64" s="35">
        <f t="shared" ref="D64:I64" si="106">C64</f>
        <v>0.4</v>
      </c>
      <c r="E64" s="35">
        <f t="shared" si="106"/>
        <v>0.4</v>
      </c>
      <c r="F64" s="35">
        <f t="shared" si="106"/>
        <v>0.4</v>
      </c>
      <c r="G64" s="35">
        <f t="shared" si="106"/>
        <v>0.4</v>
      </c>
      <c r="H64" s="35">
        <f t="shared" si="106"/>
        <v>0.4</v>
      </c>
      <c r="I64" s="35">
        <f t="shared" si="106"/>
        <v>0.4</v>
      </c>
      <c r="J64" s="35">
        <f t="shared" ref="J64:P64" si="107">I64</f>
        <v>0.4</v>
      </c>
      <c r="K64" s="35">
        <f t="shared" si="107"/>
        <v>0.4</v>
      </c>
      <c r="L64" s="35">
        <f t="shared" si="107"/>
        <v>0.4</v>
      </c>
      <c r="M64" s="35">
        <f t="shared" si="107"/>
        <v>0.4</v>
      </c>
      <c r="N64" s="35">
        <f t="shared" si="107"/>
        <v>0.4</v>
      </c>
      <c r="O64" s="35">
        <f t="shared" si="107"/>
        <v>0.4</v>
      </c>
      <c r="P64" s="35">
        <f t="shared" si="107"/>
        <v>0.4</v>
      </c>
      <c r="Q64" s="35">
        <f t="shared" ref="Q64:Z64" si="108">P64</f>
        <v>0.4</v>
      </c>
      <c r="R64" s="35">
        <f t="shared" si="108"/>
        <v>0.4</v>
      </c>
      <c r="S64" s="35">
        <f t="shared" si="108"/>
        <v>0.4</v>
      </c>
      <c r="T64" s="35">
        <f t="shared" si="108"/>
        <v>0.4</v>
      </c>
      <c r="U64" s="35">
        <f t="shared" si="108"/>
        <v>0.4</v>
      </c>
      <c r="V64" s="35">
        <f t="shared" si="108"/>
        <v>0.4</v>
      </c>
      <c r="W64" s="35">
        <f t="shared" si="108"/>
        <v>0.4</v>
      </c>
      <c r="X64" s="35">
        <f t="shared" si="108"/>
        <v>0.4</v>
      </c>
      <c r="Y64" s="35">
        <f t="shared" si="108"/>
        <v>0.4</v>
      </c>
      <c r="Z64" s="35">
        <f t="shared" si="108"/>
        <v>0.4</v>
      </c>
    </row>
    <row r="65" spans="2:26">
      <c r="B65" t="s">
        <v>251</v>
      </c>
      <c r="C65" s="1">
        <f t="shared" ref="C65:P65" si="109">C64*C63</f>
        <v>50573.331066306229</v>
      </c>
      <c r="D65" s="1">
        <f t="shared" si="109"/>
        <v>49561.864444980107</v>
      </c>
      <c r="E65" s="1">
        <f t="shared" si="109"/>
        <v>47876.761053850787</v>
      </c>
      <c r="F65" s="1">
        <f t="shared" si="109"/>
        <v>46443.233686644184</v>
      </c>
      <c r="G65" s="1">
        <f t="shared" si="109"/>
        <v>45114.535610162435</v>
      </c>
      <c r="H65" s="1">
        <f t="shared" si="109"/>
        <v>43755.102040816331</v>
      </c>
      <c r="I65" s="1">
        <f t="shared" si="109"/>
        <v>42368</v>
      </c>
      <c r="J65" s="1">
        <f t="shared" si="109"/>
        <v>40517.120000000003</v>
      </c>
      <c r="K65" s="1">
        <f t="shared" si="109"/>
        <v>39374.863359999996</v>
      </c>
      <c r="L65" s="1">
        <f t="shared" si="109"/>
        <v>38229.562542079999</v>
      </c>
      <c r="M65" s="1">
        <f t="shared" si="109"/>
        <v>37464.971291238406</v>
      </c>
      <c r="N65" s="1">
        <f t="shared" si="109"/>
        <v>36753.471663725904</v>
      </c>
      <c r="O65" s="1">
        <f t="shared" si="109"/>
        <v>35926.718819644986</v>
      </c>
      <c r="P65" s="1">
        <f t="shared" si="109"/>
        <v>35116.088457097059</v>
      </c>
      <c r="Q65" s="1">
        <f t="shared" ref="Q65:Z65" si="110">Q64*Q63</f>
        <v>34321.256269862402</v>
      </c>
      <c r="R65" s="1">
        <f t="shared" si="110"/>
        <v>33541.904429491005</v>
      </c>
      <c r="S65" s="1">
        <f t="shared" si="110"/>
        <v>33244.445881667278</v>
      </c>
      <c r="T65" s="1">
        <f t="shared" si="110"/>
        <v>32908.877718989621</v>
      </c>
      <c r="U65" s="1">
        <f t="shared" si="110"/>
        <v>32541.161070480757</v>
      </c>
      <c r="V65" s="1">
        <f t="shared" si="110"/>
        <v>32146.524368049286</v>
      </c>
      <c r="W65" s="1">
        <f t="shared" si="110"/>
        <v>31842.528645296396</v>
      </c>
      <c r="X65" s="1">
        <f t="shared" si="110"/>
        <v>31582.121617615194</v>
      </c>
      <c r="Y65" s="1">
        <f t="shared" si="110"/>
        <v>31245.610924719073</v>
      </c>
      <c r="Z65" s="1">
        <f t="shared" si="110"/>
        <v>30620.698706224684</v>
      </c>
    </row>
    <row r="67" spans="2:26">
      <c r="B67" t="s">
        <v>242</v>
      </c>
      <c r="C67" s="74"/>
      <c r="D67" s="70">
        <v>0.01</v>
      </c>
      <c r="E67" s="70">
        <f>D67*0.99</f>
        <v>9.9000000000000008E-3</v>
      </c>
      <c r="F67" s="70">
        <v>2.2499999999999999E-2</v>
      </c>
      <c r="G67" s="70">
        <v>2.75E-2</v>
      </c>
      <c r="H67" s="70">
        <f>G67*1.4</f>
        <v>3.85E-2</v>
      </c>
      <c r="I67" s="70">
        <f>H67*1.25</f>
        <v>4.8125000000000001E-2</v>
      </c>
      <c r="J67" s="70">
        <f>I67*1.6</f>
        <v>7.7000000000000013E-2</v>
      </c>
      <c r="K67" s="70">
        <f>J67*1.1</f>
        <v>8.4700000000000025E-2</v>
      </c>
      <c r="L67" s="70">
        <f>K67*1.2</f>
        <v>0.10164000000000002</v>
      </c>
      <c r="M67" s="70">
        <f t="shared" ref="M67:R67" si="111">L67*1.025</f>
        <v>0.10418100000000001</v>
      </c>
      <c r="N67" s="70">
        <f t="shared" si="111"/>
        <v>0.10678552500000001</v>
      </c>
      <c r="O67" s="70">
        <f t="shared" si="111"/>
        <v>0.10945516312499999</v>
      </c>
      <c r="P67" s="70">
        <f t="shared" si="111"/>
        <v>0.11219154220312498</v>
      </c>
      <c r="Q67" s="70">
        <f t="shared" si="111"/>
        <v>0.11499633075820309</v>
      </c>
      <c r="R67" s="70">
        <f t="shared" si="111"/>
        <v>0.11787123902715815</v>
      </c>
      <c r="S67" s="70">
        <f t="shared" ref="S67:U67" si="112">R67*0.85</f>
        <v>0.10019055317308442</v>
      </c>
      <c r="T67" s="70">
        <f t="shared" si="112"/>
        <v>8.5161970197121753E-2</v>
      </c>
      <c r="U67" s="70">
        <f t="shared" si="112"/>
        <v>7.2387674667553484E-2</v>
      </c>
      <c r="V67" s="70">
        <f>U67*0.85</f>
        <v>6.1529523467420459E-2</v>
      </c>
      <c r="W67" s="70">
        <f>V67*0.8</f>
        <v>4.922361877393637E-2</v>
      </c>
      <c r="X67" s="70">
        <f>W67*0.8</f>
        <v>3.9378895019149096E-2</v>
      </c>
      <c r="Y67" s="70">
        <f>X67*0.9</f>
        <v>3.5441005517234191E-2</v>
      </c>
      <c r="Z67" s="70">
        <f>Y67</f>
        <v>3.5441005517234191E-2</v>
      </c>
    </row>
    <row r="68" spans="2:26">
      <c r="B68" t="s">
        <v>243</v>
      </c>
      <c r="C68" s="88">
        <v>4</v>
      </c>
      <c r="D68">
        <f t="shared" ref="D68:I68" si="113">C68</f>
        <v>4</v>
      </c>
      <c r="E68">
        <f t="shared" si="113"/>
        <v>4</v>
      </c>
      <c r="F68">
        <f t="shared" si="113"/>
        <v>4</v>
      </c>
      <c r="G68">
        <f t="shared" si="113"/>
        <v>4</v>
      </c>
      <c r="H68">
        <f t="shared" si="113"/>
        <v>4</v>
      </c>
      <c r="I68">
        <f t="shared" si="113"/>
        <v>4</v>
      </c>
      <c r="J68">
        <f t="shared" ref="J68:P68" si="114">I68</f>
        <v>4</v>
      </c>
      <c r="K68">
        <f t="shared" si="114"/>
        <v>4</v>
      </c>
      <c r="L68">
        <f t="shared" si="114"/>
        <v>4</v>
      </c>
      <c r="M68">
        <f t="shared" si="114"/>
        <v>4</v>
      </c>
      <c r="N68">
        <f t="shared" si="114"/>
        <v>4</v>
      </c>
      <c r="O68">
        <f t="shared" si="114"/>
        <v>4</v>
      </c>
      <c r="P68">
        <f t="shared" si="114"/>
        <v>4</v>
      </c>
      <c r="Q68">
        <f t="shared" ref="Q68:Y68" si="115">P68</f>
        <v>4</v>
      </c>
      <c r="R68">
        <f t="shared" si="115"/>
        <v>4</v>
      </c>
      <c r="S68">
        <f t="shared" si="115"/>
        <v>4</v>
      </c>
      <c r="T68">
        <f t="shared" si="115"/>
        <v>4</v>
      </c>
      <c r="U68">
        <f t="shared" si="115"/>
        <v>4</v>
      </c>
      <c r="V68">
        <f t="shared" si="115"/>
        <v>4</v>
      </c>
      <c r="W68">
        <f t="shared" si="115"/>
        <v>4</v>
      </c>
      <c r="X68">
        <f t="shared" si="115"/>
        <v>4</v>
      </c>
      <c r="Y68">
        <f t="shared" si="115"/>
        <v>4</v>
      </c>
      <c r="Z68">
        <f>Y68</f>
        <v>4</v>
      </c>
    </row>
    <row r="69" spans="2:26">
      <c r="B69" t="s">
        <v>244</v>
      </c>
      <c r="C69" s="46"/>
      <c r="D69" s="46">
        <f t="shared" ref="D69:I69" si="116">D57</f>
        <v>5751.6549999999997</v>
      </c>
      <c r="E69" s="46">
        <f t="shared" si="116"/>
        <v>5960.8499999999985</v>
      </c>
      <c r="F69" s="46">
        <f t="shared" si="116"/>
        <v>6104.9099999999989</v>
      </c>
      <c r="G69" s="46">
        <f t="shared" si="116"/>
        <v>6109.915</v>
      </c>
      <c r="H69" s="46">
        <f t="shared" si="116"/>
        <v>6167.14</v>
      </c>
      <c r="I69" s="46">
        <f t="shared" si="116"/>
        <v>6316.2749999999996</v>
      </c>
      <c r="J69" s="46">
        <f t="shared" ref="J69:P69" si="117">J57</f>
        <v>6442.6004999999996</v>
      </c>
      <c r="K69" s="46">
        <f t="shared" si="117"/>
        <v>6571.4525100000001</v>
      </c>
      <c r="L69" s="46">
        <f t="shared" si="117"/>
        <v>6702.8815601999995</v>
      </c>
      <c r="M69" s="46">
        <f t="shared" si="117"/>
        <v>6836.9391914039988</v>
      </c>
      <c r="N69" s="46">
        <f t="shared" si="117"/>
        <v>7178.7861509741997</v>
      </c>
      <c r="O69" s="46">
        <f t="shared" si="117"/>
        <v>7537.7254585229102</v>
      </c>
      <c r="P69" s="46">
        <f t="shared" si="117"/>
        <v>7914.6117314490566</v>
      </c>
      <c r="Q69" s="46">
        <f>Q57</f>
        <v>8310.3423180215104</v>
      </c>
      <c r="R69" s="46">
        <f>R57</f>
        <v>8725.8594339225856</v>
      </c>
      <c r="S69" s="46">
        <f>S57</f>
        <v>9162.1524056187154</v>
      </c>
      <c r="T69" s="46">
        <f>T57</f>
        <v>9620.2600258996517</v>
      </c>
      <c r="U69" s="46">
        <f t="shared" ref="U69:Z69" si="118">U57</f>
        <v>10101.273027194635</v>
      </c>
      <c r="V69" s="46">
        <f t="shared" si="118"/>
        <v>10606.336678554368</v>
      </c>
      <c r="W69" s="46">
        <f t="shared" si="118"/>
        <v>11136.653512482086</v>
      </c>
      <c r="X69" s="46">
        <f t="shared" si="118"/>
        <v>11693.486188106192</v>
      </c>
      <c r="Y69" s="46">
        <f t="shared" si="118"/>
        <v>12278.160497511502</v>
      </c>
      <c r="Z69" s="46">
        <f t="shared" si="118"/>
        <v>12892.068522387077</v>
      </c>
    </row>
    <row r="70" spans="2:26">
      <c r="B70" t="s">
        <v>258</v>
      </c>
      <c r="C70" s="1"/>
      <c r="D70" s="1">
        <f t="shared" ref="D70:P70" si="119">D69*D68*D67*D65/1000000</f>
        <v>11.40250981777168</v>
      </c>
      <c r="E70" s="1">
        <f t="shared" si="119"/>
        <v>11.301293168662717</v>
      </c>
      <c r="F70" s="1">
        <f t="shared" si="119"/>
        <v>25.517858558933778</v>
      </c>
      <c r="G70" s="1">
        <f t="shared" si="119"/>
        <v>30.321057562682213</v>
      </c>
      <c r="H70" s="1">
        <f t="shared" si="119"/>
        <v>41.555951360000009</v>
      </c>
      <c r="I70" s="1">
        <f t="shared" si="119"/>
        <v>51.514528296000002</v>
      </c>
      <c r="J70" s="1">
        <f t="shared" si="119"/>
        <v>80.39897021173249</v>
      </c>
      <c r="K70" s="1">
        <f t="shared" si="119"/>
        <v>87.66451513012332</v>
      </c>
      <c r="L70" s="1">
        <f t="shared" si="119"/>
        <v>104.1802803147332</v>
      </c>
      <c r="M70" s="1">
        <f t="shared" si="119"/>
        <v>106.74207340767246</v>
      </c>
      <c r="N70" s="1">
        <f t="shared" si="119"/>
        <v>112.69944123219655</v>
      </c>
      <c r="O70" s="1">
        <f t="shared" si="119"/>
        <v>118.5643471395496</v>
      </c>
      <c r="P70" s="1">
        <f t="shared" si="119"/>
        <v>124.72567359361648</v>
      </c>
      <c r="Q70" s="1">
        <f>Q69*Q68*Q67*Q65/1000000</f>
        <v>131.19765247310681</v>
      </c>
      <c r="R70" s="1">
        <f>R69*R68*R67*R65/1000000</f>
        <v>137.99513314240588</v>
      </c>
      <c r="S70" s="1">
        <f>S69*S68*S67*S65/1000000</f>
        <v>122.06843480538917</v>
      </c>
      <c r="T70" s="1">
        <f>T69*T68*T67*T65/1000000</f>
        <v>107.84638052705618</v>
      </c>
      <c r="U70" s="1">
        <f t="shared" ref="U70:Z70" si="120">U69*U68*U67*U65/1000000</f>
        <v>95.177385691733505</v>
      </c>
      <c r="V70" s="1">
        <f t="shared" si="120"/>
        <v>83.915652596299367</v>
      </c>
      <c r="W70" s="1">
        <f t="shared" si="120"/>
        <v>69.822562913316375</v>
      </c>
      <c r="X70" s="1">
        <f t="shared" si="120"/>
        <v>58.171307512742075</v>
      </c>
      <c r="Y70" s="1">
        <f t="shared" si="120"/>
        <v>54.386154611076257</v>
      </c>
      <c r="Z70" s="1">
        <f t="shared" si="120"/>
        <v>55.963353094797455</v>
      </c>
    </row>
    <row r="72" spans="2:26">
      <c r="B72" s="97" t="s">
        <v>257</v>
      </c>
      <c r="C72" s="96"/>
      <c r="D72" s="96"/>
      <c r="E72" s="96"/>
      <c r="F72" s="96"/>
      <c r="G72" s="96"/>
      <c r="H72" s="96"/>
      <c r="I72" s="96"/>
      <c r="J72" s="96"/>
      <c r="K72" s="96"/>
      <c r="L72" s="96"/>
      <c r="M72" s="96"/>
      <c r="N72" s="96"/>
      <c r="O72" s="96"/>
      <c r="P72" s="96"/>
      <c r="Q72" s="96"/>
      <c r="R72" s="96"/>
      <c r="S72" s="96"/>
      <c r="T72" s="96"/>
      <c r="U72" s="96"/>
      <c r="V72" s="96"/>
      <c r="W72" s="96"/>
      <c r="X72" s="96"/>
      <c r="Y72" s="96"/>
      <c r="Z72" s="96"/>
    </row>
    <row r="73" spans="2:26">
      <c r="B73" t="s">
        <v>254</v>
      </c>
      <c r="C73" s="81">
        <v>0.7</v>
      </c>
      <c r="D73" s="35">
        <f t="shared" ref="D73:I73" si="121">C73</f>
        <v>0.7</v>
      </c>
      <c r="E73" s="35">
        <f t="shared" si="121"/>
        <v>0.7</v>
      </c>
      <c r="F73" s="35">
        <f t="shared" si="121"/>
        <v>0.7</v>
      </c>
      <c r="G73" s="35">
        <f t="shared" si="121"/>
        <v>0.7</v>
      </c>
      <c r="H73" s="35">
        <f t="shared" si="121"/>
        <v>0.7</v>
      </c>
      <c r="I73" s="35">
        <f t="shared" si="121"/>
        <v>0.7</v>
      </c>
      <c r="J73" s="35">
        <f t="shared" ref="J73:O73" si="122">I73</f>
        <v>0.7</v>
      </c>
      <c r="K73" s="35">
        <f t="shared" si="122"/>
        <v>0.7</v>
      </c>
      <c r="L73" s="35">
        <f t="shared" si="122"/>
        <v>0.7</v>
      </c>
      <c r="M73" s="35">
        <f t="shared" si="122"/>
        <v>0.7</v>
      </c>
      <c r="N73" s="35">
        <f t="shared" si="122"/>
        <v>0.7</v>
      </c>
      <c r="O73" s="35">
        <f t="shared" si="122"/>
        <v>0.7</v>
      </c>
      <c r="P73" s="35">
        <f>O73</f>
        <v>0.7</v>
      </c>
      <c r="Q73" s="35">
        <f t="shared" ref="Q73:Z73" si="123">P73</f>
        <v>0.7</v>
      </c>
      <c r="R73" s="35">
        <f t="shared" si="123"/>
        <v>0.7</v>
      </c>
      <c r="S73" s="35">
        <f t="shared" si="123"/>
        <v>0.7</v>
      </c>
      <c r="T73" s="35">
        <f t="shared" si="123"/>
        <v>0.7</v>
      </c>
      <c r="U73" s="35">
        <f t="shared" si="123"/>
        <v>0.7</v>
      </c>
      <c r="V73" s="35">
        <f t="shared" si="123"/>
        <v>0.7</v>
      </c>
      <c r="W73" s="35">
        <f t="shared" si="123"/>
        <v>0.7</v>
      </c>
      <c r="X73" s="35">
        <f t="shared" si="123"/>
        <v>0.7</v>
      </c>
      <c r="Y73" s="35">
        <f t="shared" si="123"/>
        <v>0.7</v>
      </c>
      <c r="Z73" s="35">
        <f t="shared" si="123"/>
        <v>0.7</v>
      </c>
    </row>
    <row r="74" spans="2:26">
      <c r="B74" t="s">
        <v>260</v>
      </c>
      <c r="C74" s="1">
        <f t="shared" ref="C74:P74" si="124">C73*C63</f>
        <v>88503.32936603589</v>
      </c>
      <c r="D74" s="1">
        <f t="shared" si="124"/>
        <v>86733.262778715172</v>
      </c>
      <c r="E74" s="1">
        <f t="shared" si="124"/>
        <v>83784.331844238855</v>
      </c>
      <c r="F74" s="1">
        <f t="shared" si="124"/>
        <v>81275.658951627309</v>
      </c>
      <c r="G74" s="1">
        <f t="shared" si="124"/>
        <v>78950.43731778425</v>
      </c>
      <c r="H74" s="1">
        <f t="shared" si="124"/>
        <v>76571.428571428565</v>
      </c>
      <c r="I74" s="1">
        <f t="shared" si="124"/>
        <v>74144</v>
      </c>
      <c r="J74" s="1">
        <f t="shared" si="124"/>
        <v>70904.959999999992</v>
      </c>
      <c r="K74" s="1">
        <f t="shared" si="124"/>
        <v>68906.010879999987</v>
      </c>
      <c r="L74" s="1">
        <f t="shared" si="124"/>
        <v>66901.734448639996</v>
      </c>
      <c r="M74" s="1">
        <f t="shared" si="124"/>
        <v>65563.699759667201</v>
      </c>
      <c r="N74" s="1">
        <f t="shared" si="124"/>
        <v>64318.575411520324</v>
      </c>
      <c r="O74" s="1">
        <f t="shared" si="124"/>
        <v>62871.757934378715</v>
      </c>
      <c r="P74" s="1">
        <f t="shared" si="124"/>
        <v>61453.154799919852</v>
      </c>
      <c r="Q74" s="1">
        <f t="shared" ref="Q74:Z74" si="125">Q73*Q63</f>
        <v>60062.198472259195</v>
      </c>
      <c r="R74" s="1">
        <f t="shared" si="125"/>
        <v>58698.332751609254</v>
      </c>
      <c r="S74" s="1">
        <f t="shared" si="125"/>
        <v>58177.780292917734</v>
      </c>
      <c r="T74" s="1">
        <f t="shared" si="125"/>
        <v>57590.536008231829</v>
      </c>
      <c r="U74" s="1">
        <f t="shared" si="125"/>
        <v>56947.031873341322</v>
      </c>
      <c r="V74" s="1">
        <f t="shared" si="125"/>
        <v>56256.41764408625</v>
      </c>
      <c r="W74" s="1">
        <f t="shared" si="125"/>
        <v>55724.425129268689</v>
      </c>
      <c r="X74" s="1">
        <f t="shared" si="125"/>
        <v>55268.712830826589</v>
      </c>
      <c r="Y74" s="1">
        <f t="shared" si="125"/>
        <v>54679.819118258369</v>
      </c>
      <c r="Z74" s="1">
        <f t="shared" si="125"/>
        <v>53586.222735893192</v>
      </c>
    </row>
    <row r="75" spans="2:26">
      <c r="B75" t="s">
        <v>256</v>
      </c>
      <c r="C75" s="1">
        <f t="shared" ref="C75:P75" si="126">C74-C63*C67</f>
        <v>88503.32936603589</v>
      </c>
      <c r="D75" s="1">
        <f t="shared" si="126"/>
        <v>85494.216167590668</v>
      </c>
      <c r="E75" s="1">
        <f t="shared" si="126"/>
        <v>82599.382008156055</v>
      </c>
      <c r="F75" s="1">
        <f t="shared" si="126"/>
        <v>78663.227056753574</v>
      </c>
      <c r="G75" s="1">
        <f t="shared" si="126"/>
        <v>75848.812994585576</v>
      </c>
      <c r="H75" s="1">
        <f t="shared" si="126"/>
        <v>72360</v>
      </c>
      <c r="I75" s="1">
        <f t="shared" si="126"/>
        <v>69046.600000000006</v>
      </c>
      <c r="J75" s="1">
        <f t="shared" si="126"/>
        <v>63105.414399999994</v>
      </c>
      <c r="K75" s="1">
        <f t="shared" si="126"/>
        <v>60568.383563519987</v>
      </c>
      <c r="L75" s="1">
        <f t="shared" si="126"/>
        <v>57187.602606697466</v>
      </c>
      <c r="M75" s="1">
        <f t="shared" si="126"/>
        <v>55805.854324435932</v>
      </c>
      <c r="N75" s="1">
        <f t="shared" si="126"/>
        <v>54506.728493561342</v>
      </c>
      <c r="O75" s="1">
        <f t="shared" si="126"/>
        <v>53040.845762003097</v>
      </c>
      <c r="P75" s="1">
        <f t="shared" si="126"/>
        <v>51603.834499562166</v>
      </c>
      <c r="Q75" s="1">
        <f t="shared" ref="Q75:Z75" si="127">Q74-Q63*Q67</f>
        <v>50195.152127143825</v>
      </c>
      <c r="R75" s="1">
        <f t="shared" si="127"/>
        <v>48814.268165522684</v>
      </c>
      <c r="S75" s="1">
        <f t="shared" si="127"/>
        <v>49850.83173587545</v>
      </c>
      <c r="T75" s="1">
        <f t="shared" si="127"/>
        <v>50584.073849418535</v>
      </c>
      <c r="U75" s="1">
        <f t="shared" si="127"/>
        <v>51058.084421155276</v>
      </c>
      <c r="V75" s="1">
        <f t="shared" si="127"/>
        <v>51311.516830336521</v>
      </c>
      <c r="W75" s="1">
        <f t="shared" si="127"/>
        <v>51805.913902183143</v>
      </c>
      <c r="X75" s="1">
        <f t="shared" si="127"/>
        <v>52159.540201671422</v>
      </c>
      <c r="Y75" s="1">
        <f t="shared" si="127"/>
        <v>51911.379445327562</v>
      </c>
      <c r="Z75" s="1">
        <f t="shared" si="127"/>
        <v>50873.151856421006</v>
      </c>
    </row>
    <row r="76" spans="2:26">
      <c r="B76" t="s">
        <v>250</v>
      </c>
      <c r="C76" s="81">
        <v>0.2</v>
      </c>
      <c r="D76" s="35">
        <f t="shared" ref="D76:I76" si="128">C76</f>
        <v>0.2</v>
      </c>
      <c r="E76" s="35">
        <f t="shared" si="128"/>
        <v>0.2</v>
      </c>
      <c r="F76" s="35">
        <f t="shared" si="128"/>
        <v>0.2</v>
      </c>
      <c r="G76" s="35">
        <f t="shared" si="128"/>
        <v>0.2</v>
      </c>
      <c r="H76" s="35">
        <f t="shared" si="128"/>
        <v>0.2</v>
      </c>
      <c r="I76" s="35">
        <f t="shared" si="128"/>
        <v>0.2</v>
      </c>
      <c r="J76" s="35">
        <f t="shared" ref="J76:O76" si="129">I76</f>
        <v>0.2</v>
      </c>
      <c r="K76" s="35">
        <f t="shared" si="129"/>
        <v>0.2</v>
      </c>
      <c r="L76" s="35">
        <f t="shared" si="129"/>
        <v>0.2</v>
      </c>
      <c r="M76" s="35">
        <f t="shared" si="129"/>
        <v>0.2</v>
      </c>
      <c r="N76" s="35">
        <f t="shared" si="129"/>
        <v>0.2</v>
      </c>
      <c r="O76" s="35">
        <f t="shared" si="129"/>
        <v>0.2</v>
      </c>
      <c r="P76" s="35">
        <f>O76</f>
        <v>0.2</v>
      </c>
      <c r="Q76" s="35">
        <f t="shared" ref="Q76:Z76" si="130">P76</f>
        <v>0.2</v>
      </c>
      <c r="R76" s="35">
        <f t="shared" si="130"/>
        <v>0.2</v>
      </c>
      <c r="S76" s="35">
        <f t="shared" si="130"/>
        <v>0.2</v>
      </c>
      <c r="T76" s="35">
        <f t="shared" si="130"/>
        <v>0.2</v>
      </c>
      <c r="U76" s="35">
        <f t="shared" si="130"/>
        <v>0.2</v>
      </c>
      <c r="V76" s="35">
        <f t="shared" si="130"/>
        <v>0.2</v>
      </c>
      <c r="W76" s="35">
        <f t="shared" si="130"/>
        <v>0.2</v>
      </c>
      <c r="X76" s="35">
        <f t="shared" si="130"/>
        <v>0.2</v>
      </c>
      <c r="Y76" s="35">
        <f t="shared" si="130"/>
        <v>0.2</v>
      </c>
      <c r="Z76" s="35">
        <f t="shared" si="130"/>
        <v>0.2</v>
      </c>
    </row>
    <row r="77" spans="2:26">
      <c r="B77" t="s">
        <v>251</v>
      </c>
      <c r="C77" s="1">
        <f t="shared" ref="C77:P77" si="131">C76*C75</f>
        <v>17700.665873207177</v>
      </c>
      <c r="D77" s="1">
        <f t="shared" si="131"/>
        <v>17098.843233518135</v>
      </c>
      <c r="E77" s="1">
        <f t="shared" si="131"/>
        <v>16519.876401631213</v>
      </c>
      <c r="F77" s="1">
        <f t="shared" si="131"/>
        <v>15732.645411350715</v>
      </c>
      <c r="G77" s="1">
        <f t="shared" si="131"/>
        <v>15169.762598917116</v>
      </c>
      <c r="H77" s="1">
        <f t="shared" si="131"/>
        <v>14472</v>
      </c>
      <c r="I77" s="1">
        <f t="shared" si="131"/>
        <v>13809.320000000002</v>
      </c>
      <c r="J77" s="1">
        <f t="shared" si="131"/>
        <v>12621.08288</v>
      </c>
      <c r="K77" s="1">
        <f t="shared" si="131"/>
        <v>12113.676712703998</v>
      </c>
      <c r="L77" s="1">
        <f t="shared" si="131"/>
        <v>11437.520521339495</v>
      </c>
      <c r="M77" s="1">
        <f t="shared" si="131"/>
        <v>11161.170864887186</v>
      </c>
      <c r="N77" s="1">
        <f t="shared" si="131"/>
        <v>10901.34569871227</v>
      </c>
      <c r="O77" s="1">
        <f t="shared" si="131"/>
        <v>10608.16915240062</v>
      </c>
      <c r="P77" s="1">
        <f t="shared" si="131"/>
        <v>10320.766899912434</v>
      </c>
      <c r="Q77" s="1">
        <f t="shared" ref="Q77:Z77" si="132">Q76*Q75</f>
        <v>10039.030425428766</v>
      </c>
      <c r="R77" s="1">
        <f t="shared" si="132"/>
        <v>9762.8536331045379</v>
      </c>
      <c r="S77" s="1">
        <f t="shared" si="132"/>
        <v>9970.1663471750908</v>
      </c>
      <c r="T77" s="1">
        <f t="shared" si="132"/>
        <v>10116.814769883707</v>
      </c>
      <c r="U77" s="1">
        <f t="shared" si="132"/>
        <v>10211.616884231056</v>
      </c>
      <c r="V77" s="1">
        <f t="shared" si="132"/>
        <v>10262.303366067305</v>
      </c>
      <c r="W77" s="1">
        <f t="shared" si="132"/>
        <v>10361.182780436629</v>
      </c>
      <c r="X77" s="1">
        <f t="shared" si="132"/>
        <v>10431.908040334285</v>
      </c>
      <c r="Y77" s="1">
        <f t="shared" si="132"/>
        <v>10382.275889065513</v>
      </c>
      <c r="Z77" s="1">
        <f t="shared" si="132"/>
        <v>10174.630371284202</v>
      </c>
    </row>
    <row r="79" spans="2:26">
      <c r="B79" t="s">
        <v>242</v>
      </c>
      <c r="C79" s="74"/>
      <c r="D79" s="70">
        <f t="shared" ref="D79:I79" si="133">(D82*1000000/(D81*D80))/D77</f>
        <v>0.11387437920252123</v>
      </c>
      <c r="E79" s="70">
        <f t="shared" si="133"/>
        <v>0.32410564519583551</v>
      </c>
      <c r="F79" s="70">
        <f t="shared" si="133"/>
        <v>0.3230453893124014</v>
      </c>
      <c r="G79" s="70">
        <f t="shared" si="133"/>
        <v>0.33851405890981506</v>
      </c>
      <c r="H79" s="70">
        <f t="shared" si="133"/>
        <v>0.33936606227859312</v>
      </c>
      <c r="I79" s="70">
        <f t="shared" si="133"/>
        <v>0.30174299313231651</v>
      </c>
      <c r="J79" s="70">
        <f t="shared" ref="J79:P79" si="134">I79</f>
        <v>0.30174299313231651</v>
      </c>
      <c r="K79" s="70">
        <f t="shared" si="134"/>
        <v>0.30174299313231651</v>
      </c>
      <c r="L79" s="70">
        <f t="shared" si="134"/>
        <v>0.30174299313231651</v>
      </c>
      <c r="M79" s="70">
        <f t="shared" si="134"/>
        <v>0.30174299313231651</v>
      </c>
      <c r="N79" s="70">
        <f t="shared" si="134"/>
        <v>0.30174299313231651</v>
      </c>
      <c r="O79" s="70">
        <f t="shared" si="134"/>
        <v>0.30174299313231651</v>
      </c>
      <c r="P79" s="70">
        <f t="shared" si="134"/>
        <v>0.30174299313231651</v>
      </c>
      <c r="Q79" s="70">
        <f t="shared" ref="Q79:T80" si="135">P79</f>
        <v>0.30174299313231651</v>
      </c>
      <c r="R79" s="70">
        <f t="shared" si="135"/>
        <v>0.30174299313231651</v>
      </c>
      <c r="S79" s="70">
        <f t="shared" ref="S79" si="136">R79*0.95</f>
        <v>0.28665584347570067</v>
      </c>
      <c r="T79" s="70">
        <f t="shared" ref="T79" si="137">S79*0.95</f>
        <v>0.27232305130191564</v>
      </c>
      <c r="U79" s="70">
        <f t="shared" ref="U79" si="138">T79*0.95</f>
        <v>0.25870689873681985</v>
      </c>
      <c r="V79" s="70">
        <f t="shared" ref="V79" si="139">U79*0.95</f>
        <v>0.24577155379997884</v>
      </c>
      <c r="W79" s="70">
        <f t="shared" ref="W79:Z79" si="140">V79*0.95</f>
        <v>0.2334829761099799</v>
      </c>
      <c r="X79" s="70">
        <f t="shared" si="140"/>
        <v>0.2218088273044809</v>
      </c>
      <c r="Y79" s="70">
        <f t="shared" si="140"/>
        <v>0.21071838593925685</v>
      </c>
      <c r="Z79" s="70">
        <f t="shared" si="140"/>
        <v>0.200182466642294</v>
      </c>
    </row>
    <row r="80" spans="2:26">
      <c r="B80" t="s">
        <v>243</v>
      </c>
      <c r="C80" s="88">
        <v>3</v>
      </c>
      <c r="D80">
        <f t="shared" ref="D80:I80" si="141">C80</f>
        <v>3</v>
      </c>
      <c r="E80">
        <f t="shared" si="141"/>
        <v>3</v>
      </c>
      <c r="F80">
        <f t="shared" si="141"/>
        <v>3</v>
      </c>
      <c r="G80">
        <f t="shared" si="141"/>
        <v>3</v>
      </c>
      <c r="H80">
        <f t="shared" si="141"/>
        <v>3</v>
      </c>
      <c r="I80">
        <f t="shared" si="141"/>
        <v>3</v>
      </c>
      <c r="J80">
        <f t="shared" ref="J80:O80" si="142">I80</f>
        <v>3</v>
      </c>
      <c r="K80">
        <f t="shared" si="142"/>
        <v>3</v>
      </c>
      <c r="L80">
        <f t="shared" si="142"/>
        <v>3</v>
      </c>
      <c r="M80">
        <f t="shared" si="142"/>
        <v>3</v>
      </c>
      <c r="N80">
        <f t="shared" si="142"/>
        <v>3</v>
      </c>
      <c r="O80">
        <f t="shared" si="142"/>
        <v>3</v>
      </c>
      <c r="P80">
        <f>O80</f>
        <v>3</v>
      </c>
      <c r="Q80">
        <f t="shared" si="135"/>
        <v>3</v>
      </c>
      <c r="R80">
        <f t="shared" si="135"/>
        <v>3</v>
      </c>
      <c r="S80">
        <f t="shared" si="135"/>
        <v>3</v>
      </c>
      <c r="T80">
        <f t="shared" si="135"/>
        <v>3</v>
      </c>
      <c r="U80">
        <f t="shared" ref="U80:Z80" si="143">T80</f>
        <v>3</v>
      </c>
      <c r="V80">
        <f t="shared" si="143"/>
        <v>3</v>
      </c>
      <c r="W80">
        <f t="shared" si="143"/>
        <v>3</v>
      </c>
      <c r="X80">
        <f t="shared" si="143"/>
        <v>3</v>
      </c>
      <c r="Y80">
        <f t="shared" si="143"/>
        <v>3</v>
      </c>
      <c r="Z80">
        <f t="shared" si="143"/>
        <v>3</v>
      </c>
    </row>
    <row r="81" spans="2:26">
      <c r="B81" t="s">
        <v>244</v>
      </c>
      <c r="C81" s="46"/>
      <c r="D81" s="46">
        <f t="shared" ref="D81:I81" si="144">D69</f>
        <v>5751.6549999999997</v>
      </c>
      <c r="E81" s="46">
        <f t="shared" si="144"/>
        <v>5960.8499999999985</v>
      </c>
      <c r="F81" s="46">
        <f t="shared" si="144"/>
        <v>6104.9099999999989</v>
      </c>
      <c r="G81" s="46">
        <f t="shared" si="144"/>
        <v>6109.915</v>
      </c>
      <c r="H81" s="46">
        <f t="shared" si="144"/>
        <v>6167.14</v>
      </c>
      <c r="I81" s="46">
        <f t="shared" si="144"/>
        <v>6316.2749999999996</v>
      </c>
      <c r="J81" s="46">
        <f t="shared" ref="J81:O81" si="145">J69</f>
        <v>6442.6004999999996</v>
      </c>
      <c r="K81" s="46">
        <f t="shared" si="145"/>
        <v>6571.4525100000001</v>
      </c>
      <c r="L81" s="46">
        <f t="shared" si="145"/>
        <v>6702.8815601999995</v>
      </c>
      <c r="M81" s="46">
        <f t="shared" si="145"/>
        <v>6836.9391914039988</v>
      </c>
      <c r="N81" s="46">
        <f t="shared" si="145"/>
        <v>7178.7861509741997</v>
      </c>
      <c r="O81" s="46">
        <f t="shared" si="145"/>
        <v>7537.7254585229102</v>
      </c>
      <c r="P81" s="46">
        <f>P69</f>
        <v>7914.6117314490566</v>
      </c>
      <c r="Q81" s="46">
        <f>Q69</f>
        <v>8310.3423180215104</v>
      </c>
      <c r="R81" s="46">
        <f>R69</f>
        <v>8725.8594339225856</v>
      </c>
      <c r="S81" s="46">
        <f>S69</f>
        <v>9162.1524056187154</v>
      </c>
      <c r="T81" s="46">
        <f>T69</f>
        <v>9620.2600258996517</v>
      </c>
      <c r="U81" s="46">
        <f t="shared" ref="U81:Z81" si="146">U69</f>
        <v>10101.273027194635</v>
      </c>
      <c r="V81" s="46">
        <f t="shared" si="146"/>
        <v>10606.336678554368</v>
      </c>
      <c r="W81" s="46">
        <f t="shared" si="146"/>
        <v>11136.653512482086</v>
      </c>
      <c r="X81" s="46">
        <f t="shared" si="146"/>
        <v>11693.486188106192</v>
      </c>
      <c r="Y81" s="46">
        <f t="shared" si="146"/>
        <v>12278.160497511502</v>
      </c>
      <c r="Z81" s="46">
        <f t="shared" si="146"/>
        <v>12892.068522387077</v>
      </c>
    </row>
    <row r="82" spans="2:26">
      <c r="B82" t="s">
        <v>259</v>
      </c>
      <c r="C82" s="1"/>
      <c r="D82" s="1">
        <f t="shared" ref="D82:I82" si="147">D85-D70-D58</f>
        <v>33.59749018222832</v>
      </c>
      <c r="E82" s="1">
        <f t="shared" si="147"/>
        <v>95.746484543005039</v>
      </c>
      <c r="F82" s="1">
        <f t="shared" si="147"/>
        <v>93.082024822990405</v>
      </c>
      <c r="G82" s="1">
        <f t="shared" si="147"/>
        <v>94.126501620991263</v>
      </c>
      <c r="H82" s="1">
        <f t="shared" si="147"/>
        <v>90.866128639999985</v>
      </c>
      <c r="I82" s="1">
        <f t="shared" si="147"/>
        <v>78.957206104000008</v>
      </c>
      <c r="J82" s="1">
        <f>J81*J79*J77*J80/1000000</f>
        <v>73.60651726921111</v>
      </c>
      <c r="K82" s="1">
        <f t="shared" ref="K82:P82" si="148">K81*K79*K77*K80/1000000</f>
        <v>72.060256150558857</v>
      </c>
      <c r="L82" s="1">
        <f t="shared" si="148"/>
        <v>69.398787139767023</v>
      </c>
      <c r="M82" s="1">
        <f t="shared" si="148"/>
        <v>69.076436106101511</v>
      </c>
      <c r="N82" s="1">
        <f t="shared" si="148"/>
        <v>70.841798291652267</v>
      </c>
      <c r="O82" s="1">
        <f t="shared" si="148"/>
        <v>72.383436881394147</v>
      </c>
      <c r="P82" s="1">
        <f t="shared" si="148"/>
        <v>73.943504969776342</v>
      </c>
      <c r="Q82" s="1">
        <f>Q81*Q79*Q77*Q80/1000000</f>
        <v>75.521243578203709</v>
      </c>
      <c r="R82" s="1">
        <f>R81*R79*R77*R80/1000000</f>
        <v>77.115812663071608</v>
      </c>
      <c r="S82" s="1">
        <f>S81*S79*S77*S80/1000000</f>
        <v>78.556471844176613</v>
      </c>
      <c r="T82" s="1">
        <f>T81*T79*T77*T80/1000000</f>
        <v>79.512657445397394</v>
      </c>
      <c r="U82" s="1">
        <f t="shared" ref="U82:Z82" si="149">U81*U79*U77*U80/1000000</f>
        <v>80.057106086623705</v>
      </c>
      <c r="V82" s="1">
        <f t="shared" si="149"/>
        <v>80.25334212867898</v>
      </c>
      <c r="W82" s="1">
        <f t="shared" si="149"/>
        <v>80.824033170993076</v>
      </c>
      <c r="X82" s="1">
        <f t="shared" si="149"/>
        <v>81.172297324298697</v>
      </c>
      <c r="Y82" s="1">
        <f t="shared" si="149"/>
        <v>80.584136589049166</v>
      </c>
      <c r="Z82" s="1">
        <f t="shared" si="149"/>
        <v>78.775022722624982</v>
      </c>
    </row>
    <row r="83" spans="2:26" ht="13.5" thickBot="1"/>
    <row r="84" spans="2:26" ht="13.5" thickBot="1">
      <c r="B84" s="98" t="s">
        <v>261</v>
      </c>
      <c r="C84" s="99">
        <f>C82+C70+C58</f>
        <v>0</v>
      </c>
      <c r="D84" s="99">
        <f t="shared" ref="D84:I84" si="150">D82+D70+D58</f>
        <v>45</v>
      </c>
      <c r="E84" s="99">
        <f t="shared" si="150"/>
        <v>136</v>
      </c>
      <c r="F84" s="99">
        <f t="shared" si="150"/>
        <v>168</v>
      </c>
      <c r="G84" s="99">
        <f t="shared" si="150"/>
        <v>190</v>
      </c>
      <c r="H84" s="99">
        <f t="shared" si="150"/>
        <v>217</v>
      </c>
      <c r="I84" s="99">
        <f t="shared" si="150"/>
        <v>238</v>
      </c>
      <c r="J84" s="99">
        <f t="shared" ref="J84:Z84" si="151">J82+J70+J58</f>
        <v>306.74769095102363</v>
      </c>
      <c r="K84" s="99">
        <f t="shared" si="151"/>
        <v>327.67398852824334</v>
      </c>
      <c r="L84" s="99">
        <f t="shared" si="151"/>
        <v>358.24930877122858</v>
      </c>
      <c r="M84" s="99">
        <f t="shared" si="151"/>
        <v>360.41488273397556</v>
      </c>
      <c r="N84" s="99">
        <f t="shared" si="151"/>
        <v>371.59141088700051</v>
      </c>
      <c r="O84" s="99">
        <f t="shared" si="151"/>
        <v>389.28900101194387</v>
      </c>
      <c r="P84" s="99">
        <f t="shared" si="151"/>
        <v>407.86461865422547</v>
      </c>
      <c r="Q84" s="99">
        <f t="shared" si="151"/>
        <v>427.36255660111397</v>
      </c>
      <c r="R84" s="99">
        <f t="shared" si="151"/>
        <v>447.82933067886893</v>
      </c>
      <c r="S84" s="99">
        <f t="shared" si="151"/>
        <v>416.14540288081361</v>
      </c>
      <c r="T84" s="99">
        <f t="shared" si="151"/>
        <v>386.95256953221224</v>
      </c>
      <c r="U84" s="99">
        <f t="shared" si="151"/>
        <v>360.07806135584968</v>
      </c>
      <c r="V84" s="99">
        <f t="shared" si="151"/>
        <v>335.35262451069417</v>
      </c>
      <c r="W84" s="99">
        <f t="shared" si="151"/>
        <v>300.37235787638576</v>
      </c>
      <c r="X84" s="99">
        <f t="shared" si="151"/>
        <v>262.59785194427798</v>
      </c>
      <c r="Y84" s="99">
        <f t="shared" si="151"/>
        <v>236.43318741880313</v>
      </c>
      <c r="Z84" s="101">
        <f t="shared" si="151"/>
        <v>239.14369602644177</v>
      </c>
    </row>
    <row r="85" spans="2:26">
      <c r="C85" s="1">
        <f>REVS!AO33</f>
        <v>0</v>
      </c>
      <c r="D85" s="1">
        <f>REVS!AT33</f>
        <v>45</v>
      </c>
      <c r="E85" s="1">
        <f>REVS!AY33</f>
        <v>136</v>
      </c>
      <c r="F85" s="1">
        <f>REVS!BD33-F87</f>
        <v>168</v>
      </c>
      <c r="G85" s="1">
        <f>REVS!BI33-G87</f>
        <v>190</v>
      </c>
      <c r="H85" s="1">
        <f>REVS!BN33-H87</f>
        <v>217</v>
      </c>
      <c r="I85" s="1">
        <f>REVS!BS33-I87</f>
        <v>238</v>
      </c>
      <c r="J85" s="1">
        <f>REVS!BX33-J87</f>
        <v>307</v>
      </c>
    </row>
    <row r="87" spans="2:26">
      <c r="B87" t="s">
        <v>68</v>
      </c>
      <c r="F87">
        <v>5</v>
      </c>
      <c r="G87">
        <v>10</v>
      </c>
      <c r="H87">
        <v>20</v>
      </c>
      <c r="I87">
        <v>25</v>
      </c>
      <c r="J87">
        <f>I87*1.2</f>
        <v>30</v>
      </c>
      <c r="K87">
        <f>J87*1.2</f>
        <v>36</v>
      </c>
      <c r="L87" s="77">
        <f>K87*1.15</f>
        <v>41.4</v>
      </c>
      <c r="M87" s="77">
        <f>L87*1.15</f>
        <v>47.609999999999992</v>
      </c>
      <c r="N87" s="77">
        <f>M87*1.15</f>
        <v>54.751499999999986</v>
      </c>
      <c r="O87" s="77">
        <f t="shared" ref="O87:T87" si="152">N87*1.05</f>
        <v>57.489074999999985</v>
      </c>
      <c r="P87" s="77">
        <f t="shared" si="152"/>
        <v>60.363528749999986</v>
      </c>
      <c r="Q87" s="77">
        <f t="shared" si="152"/>
        <v>63.381705187499989</v>
      </c>
      <c r="R87" s="77">
        <f t="shared" si="152"/>
        <v>66.550790446874984</v>
      </c>
      <c r="S87" s="77">
        <f t="shared" si="152"/>
        <v>69.87832996921874</v>
      </c>
      <c r="T87" s="77">
        <f t="shared" si="152"/>
        <v>73.372246467679673</v>
      </c>
      <c r="U87" s="77">
        <f>T87*1.025</f>
        <v>75.206552629371657</v>
      </c>
      <c r="V87" s="77">
        <f>U87*1.025</f>
        <v>77.086716445105935</v>
      </c>
      <c r="W87" s="77">
        <f>V87*1.025</f>
        <v>79.013884356233575</v>
      </c>
      <c r="X87" s="77">
        <f>W87*1.02</f>
        <v>80.594162043358253</v>
      </c>
      <c r="Y87" s="77">
        <f>X87*1.015</f>
        <v>81.803074474008625</v>
      </c>
      <c r="Z87" s="77">
        <f>Y87*1.01</f>
        <v>82.62110521874871</v>
      </c>
    </row>
    <row r="88" spans="2:26">
      <c r="B88" t="s">
        <v>263</v>
      </c>
      <c r="F88" s="1">
        <f>F87+F84+F42</f>
        <v>288</v>
      </c>
      <c r="G88" s="1">
        <f t="shared" ref="G88:Z88" si="153">G87+G84+G42</f>
        <v>322</v>
      </c>
      <c r="H88" s="1">
        <f t="shared" si="153"/>
        <v>359</v>
      </c>
      <c r="I88" s="1">
        <f t="shared" si="153"/>
        <v>389</v>
      </c>
      <c r="J88" s="1">
        <f t="shared" si="153"/>
        <v>504.5049254999509</v>
      </c>
      <c r="K88" s="1">
        <f t="shared" si="153"/>
        <v>566.27294673774429</v>
      </c>
      <c r="L88" s="1">
        <f t="shared" si="153"/>
        <v>627.57721396090369</v>
      </c>
      <c r="M88" s="1">
        <f t="shared" si="153"/>
        <v>657.87216347574349</v>
      </c>
      <c r="N88" s="1">
        <f t="shared" si="153"/>
        <v>690.62046603991359</v>
      </c>
      <c r="O88" s="1">
        <f t="shared" si="153"/>
        <v>717.16803121153362</v>
      </c>
      <c r="P88" s="1">
        <f t="shared" si="153"/>
        <v>744.87824941710778</v>
      </c>
      <c r="Q88" s="1">
        <f t="shared" si="153"/>
        <v>773.8059857488845</v>
      </c>
      <c r="R88" s="1">
        <f t="shared" si="153"/>
        <v>804.0087682144981</v>
      </c>
      <c r="S88" s="1">
        <f t="shared" si="153"/>
        <v>782.37853061190162</v>
      </c>
      <c r="T88" s="1">
        <f t="shared" si="153"/>
        <v>763.56902136940698</v>
      </c>
      <c r="U88" s="1">
        <f t="shared" si="153"/>
        <v>733.50150099182997</v>
      </c>
      <c r="V88" s="1">
        <f t="shared" si="153"/>
        <v>696.94046732120478</v>
      </c>
      <c r="W88" s="1">
        <f t="shared" si="153"/>
        <v>640.06132178896701</v>
      </c>
      <c r="X88" s="1">
        <f t="shared" si="153"/>
        <v>572.2671859116906</v>
      </c>
      <c r="Y88" s="1">
        <f t="shared" si="153"/>
        <v>547.94147097414384</v>
      </c>
      <c r="Z88" s="1">
        <f t="shared" si="153"/>
        <v>552.24812663686771</v>
      </c>
    </row>
    <row r="91" spans="2:26">
      <c r="B91" s="78" t="s">
        <v>888</v>
      </c>
    </row>
    <row r="92" spans="2:26">
      <c r="B92" s="69">
        <v>43929</v>
      </c>
    </row>
    <row r="105" spans="2:7" ht="13.5" thickBot="1">
      <c r="B105" s="90" t="s">
        <v>203</v>
      </c>
      <c r="C105" s="91" t="s">
        <v>42</v>
      </c>
      <c r="D105" s="91" t="s">
        <v>43</v>
      </c>
      <c r="E105" s="91" t="s">
        <v>238</v>
      </c>
    </row>
    <row r="106" spans="2:7" ht="13.5" thickBot="1">
      <c r="B106" s="92">
        <v>41640</v>
      </c>
      <c r="C106" s="95">
        <v>41612</v>
      </c>
      <c r="D106" s="93">
        <v>91.230999999999995</v>
      </c>
      <c r="E106" s="94" t="s">
        <v>239</v>
      </c>
    </row>
    <row r="107" spans="2:7" ht="13.5" thickBot="1">
      <c r="B107" s="92">
        <v>41548</v>
      </c>
      <c r="C107" s="95">
        <v>41516</v>
      </c>
      <c r="D107" s="93">
        <v>91.38</v>
      </c>
      <c r="E107" s="94" t="s">
        <v>239</v>
      </c>
      <c r="F107" s="34">
        <f>AVERAGE(D107:D110)</f>
        <v>90.232500000000002</v>
      </c>
      <c r="G107" s="70">
        <f>F107/F111-1</f>
        <v>2.4182197906971403E-2</v>
      </c>
    </row>
    <row r="108" spans="2:7" ht="13.5" thickBot="1">
      <c r="B108" s="92">
        <v>41456</v>
      </c>
      <c r="C108" s="95">
        <v>41430</v>
      </c>
      <c r="D108" s="93">
        <v>91.099000000000004</v>
      </c>
      <c r="E108" s="94" t="s">
        <v>239</v>
      </c>
    </row>
    <row r="109" spans="2:7" ht="13.5" thickBot="1">
      <c r="B109" s="92">
        <v>41365</v>
      </c>
      <c r="C109" s="95">
        <v>41338</v>
      </c>
      <c r="D109" s="93">
        <v>89.251999999999995</v>
      </c>
      <c r="E109" s="94" t="s">
        <v>239</v>
      </c>
    </row>
    <row r="110" spans="2:7" ht="13.5" thickBot="1">
      <c r="B110" s="92">
        <v>41275</v>
      </c>
      <c r="C110" s="95">
        <v>41249</v>
      </c>
      <c r="D110" s="93">
        <v>89.198999999999998</v>
      </c>
      <c r="E110" s="94" t="s">
        <v>239</v>
      </c>
    </row>
    <row r="111" spans="2:7" ht="13.5" thickBot="1">
      <c r="B111" s="92">
        <v>41183</v>
      </c>
      <c r="C111" s="95">
        <v>41158</v>
      </c>
      <c r="D111" s="93">
        <v>89.021000000000001</v>
      </c>
      <c r="E111" s="94" t="s">
        <v>239</v>
      </c>
      <c r="F111" s="34">
        <f>AVERAGE(D111:D114)</f>
        <v>88.102000000000004</v>
      </c>
      <c r="G111" s="70">
        <f>F111/F115-1</f>
        <v>9.3659240758667828E-3</v>
      </c>
    </row>
    <row r="112" spans="2:7" ht="13.5" thickBot="1">
      <c r="B112" s="92">
        <v>41091</v>
      </c>
      <c r="C112" s="95">
        <v>41067</v>
      </c>
      <c r="D112" s="93">
        <v>88.866</v>
      </c>
      <c r="E112" s="94" t="s">
        <v>239</v>
      </c>
    </row>
    <row r="113" spans="2:11" ht="13.5" thickBot="1">
      <c r="B113" s="92">
        <v>41000</v>
      </c>
      <c r="C113" s="95">
        <v>41068</v>
      </c>
      <c r="D113" s="93">
        <v>87.347999999999999</v>
      </c>
      <c r="E113" s="94" t="s">
        <v>239</v>
      </c>
    </row>
    <row r="114" spans="2:11" ht="13.5" thickBot="1">
      <c r="B114" s="92">
        <v>40909</v>
      </c>
      <c r="C114" s="95">
        <v>40886</v>
      </c>
      <c r="D114" s="93">
        <v>87.173000000000002</v>
      </c>
      <c r="E114" s="94" t="s">
        <v>239</v>
      </c>
    </row>
    <row r="115" spans="2:11" ht="13.5" thickBot="1">
      <c r="B115" s="92">
        <v>40817</v>
      </c>
      <c r="C115" s="95">
        <v>40801</v>
      </c>
      <c r="D115" s="93">
        <v>87.230999999999995</v>
      </c>
      <c r="E115" s="94" t="s">
        <v>239</v>
      </c>
      <c r="F115" s="34">
        <f>AVERAGE(D115:D118)</f>
        <v>87.284500000000008</v>
      </c>
      <c r="G115" s="70">
        <f>F115/F119-1</f>
        <v>8.1983190579393295E-4</v>
      </c>
      <c r="K115" s="70"/>
    </row>
    <row r="116" spans="2:11" ht="13.5" thickBot="1">
      <c r="B116" s="92">
        <v>40725</v>
      </c>
      <c r="C116" s="95">
        <v>40710</v>
      </c>
      <c r="D116" s="93">
        <v>87.317999999999998</v>
      </c>
      <c r="E116" s="94" t="s">
        <v>239</v>
      </c>
      <c r="K116" s="70"/>
    </row>
    <row r="117" spans="2:11" ht="13.5" thickBot="1">
      <c r="B117" s="92">
        <v>40634</v>
      </c>
      <c r="C117" s="95">
        <v>40611</v>
      </c>
      <c r="D117" s="93">
        <v>87.263000000000005</v>
      </c>
      <c r="E117" s="94" t="s">
        <v>239</v>
      </c>
      <c r="K117" s="70"/>
    </row>
    <row r="118" spans="2:11" ht="13.5" thickBot="1">
      <c r="B118" s="92">
        <v>40544</v>
      </c>
      <c r="C118" s="95">
        <v>40528</v>
      </c>
      <c r="D118" s="93">
        <v>87.325999999999993</v>
      </c>
      <c r="E118" s="94" t="s">
        <v>239</v>
      </c>
      <c r="K118" s="70"/>
    </row>
    <row r="119" spans="2:11" ht="13.5" thickBot="1">
      <c r="B119" s="92">
        <v>40452</v>
      </c>
      <c r="C119" s="95">
        <v>40441</v>
      </c>
      <c r="D119" s="93">
        <v>87.385000000000005</v>
      </c>
      <c r="E119" s="94" t="s">
        <v>239</v>
      </c>
      <c r="F119" s="34">
        <f>AVERAGE(D119:D122)</f>
        <v>87.212999999999994</v>
      </c>
      <c r="G119" s="70">
        <f>F119/F123-1</f>
        <v>2.4167694204685564E-2</v>
      </c>
      <c r="K119" s="70"/>
    </row>
    <row r="120" spans="2:11" ht="13.5" thickBot="1">
      <c r="B120" s="92">
        <v>40360</v>
      </c>
      <c r="C120" s="95">
        <v>40347</v>
      </c>
      <c r="D120" s="93">
        <v>87.242999999999995</v>
      </c>
      <c r="E120" s="94" t="s">
        <v>239</v>
      </c>
      <c r="K120" s="70"/>
    </row>
    <row r="121" spans="2:11" ht="13.5" thickBot="1">
      <c r="B121" s="92">
        <v>40269</v>
      </c>
      <c r="C121" s="95">
        <v>40255</v>
      </c>
      <c r="D121" s="93">
        <v>87.233999999999995</v>
      </c>
      <c r="E121" s="94" t="s">
        <v>239</v>
      </c>
    </row>
    <row r="122" spans="2:11" ht="13.5" thickBot="1">
      <c r="B122" s="92">
        <v>40179</v>
      </c>
      <c r="C122" s="95">
        <v>40162</v>
      </c>
      <c r="D122" s="93">
        <v>86.99</v>
      </c>
      <c r="E122" s="94" t="s">
        <v>239</v>
      </c>
    </row>
    <row r="123" spans="2:11" ht="13.5" thickBot="1">
      <c r="B123" s="92">
        <v>40087</v>
      </c>
      <c r="C123" s="95">
        <v>40087</v>
      </c>
      <c r="D123" s="93">
        <v>86.844999999999999</v>
      </c>
      <c r="E123" s="94" t="s">
        <v>239</v>
      </c>
      <c r="F123" s="34">
        <f>AVERAGE(D123:D126)</f>
        <v>85.154999999999987</v>
      </c>
      <c r="G123" s="70">
        <f>F123/F127-1</f>
        <v>3.6371270529960364E-2</v>
      </c>
    </row>
    <row r="124" spans="2:11" ht="13.5" thickBot="1">
      <c r="B124" s="92">
        <v>39995</v>
      </c>
      <c r="C124" s="95">
        <v>40070</v>
      </c>
      <c r="D124" s="93">
        <v>85.927000000000007</v>
      </c>
      <c r="E124" s="94" t="s">
        <v>239</v>
      </c>
    </row>
    <row r="125" spans="2:11" ht="13.5" thickBot="1">
      <c r="B125" s="92">
        <v>39904</v>
      </c>
      <c r="C125" s="95">
        <v>39888</v>
      </c>
      <c r="D125" s="93">
        <v>84.292000000000002</v>
      </c>
      <c r="E125" s="94" t="s">
        <v>239</v>
      </c>
    </row>
    <row r="126" spans="2:11" ht="13.5" thickBot="1">
      <c r="B126" s="92">
        <v>39814</v>
      </c>
      <c r="C126" s="95">
        <v>39904</v>
      </c>
      <c r="D126" s="93">
        <v>83.555999999999997</v>
      </c>
      <c r="E126" s="94" t="s">
        <v>239</v>
      </c>
    </row>
    <row r="127" spans="2:11" ht="13.5" thickBot="1">
      <c r="B127" s="92">
        <v>39722</v>
      </c>
      <c r="C127" s="95">
        <v>39904</v>
      </c>
      <c r="D127" s="93">
        <v>81.861999999999995</v>
      </c>
      <c r="E127" s="94" t="s">
        <v>239</v>
      </c>
      <c r="F127" s="34">
        <f>AVERAGE(D127:D130)</f>
        <v>82.166499999999999</v>
      </c>
      <c r="G127" s="70"/>
      <c r="H127" s="34"/>
    </row>
    <row r="128" spans="2:11" ht="13.5" thickBot="1">
      <c r="B128" s="92">
        <v>39630</v>
      </c>
      <c r="C128" s="95">
        <v>39615</v>
      </c>
      <c r="D128" s="93">
        <v>81.709000000000003</v>
      </c>
      <c r="E128" s="94" t="s">
        <v>239</v>
      </c>
    </row>
    <row r="129" spans="2:5" ht="13.5" thickBot="1">
      <c r="B129" s="92">
        <v>39539</v>
      </c>
      <c r="C129" s="95">
        <v>39630</v>
      </c>
      <c r="D129" s="93">
        <v>82.233000000000004</v>
      </c>
      <c r="E129" s="94" t="s">
        <v>239</v>
      </c>
    </row>
    <row r="130" spans="2:5" ht="13.5" thickBot="1">
      <c r="B130" s="92">
        <v>39448</v>
      </c>
      <c r="C130" s="95">
        <v>39630</v>
      </c>
      <c r="D130" s="93">
        <v>82.861999999999995</v>
      </c>
      <c r="E130" s="94" t="s">
        <v>239</v>
      </c>
    </row>
  </sheetData>
  <phoneticPr fontId="24" type="noConversion"/>
  <hyperlinks>
    <hyperlink ref="AB6" r:id="rId1"/>
    <hyperlink ref="AB9" r:id="rId2"/>
  </hyperlinks>
  <pageMargins left="0.75" right="0.75" top="1" bottom="1" header="0.5" footer="0.5"/>
  <pageSetup orientation="portrait" r:id="rId3"/>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B197"/>
  <sheetViews>
    <sheetView zoomScale="85" zoomScaleNormal="85" workbookViewId="0">
      <pane xSplit="2" ySplit="2" topLeftCell="C12" activePane="bottomRight" state="frozen"/>
      <selection pane="topRight" activeCell="C1" sqref="C1"/>
      <selection pane="bottomLeft" activeCell="A3" sqref="A3"/>
      <selection pane="bottomRight" activeCell="K24" sqref="K24"/>
    </sheetView>
  </sheetViews>
  <sheetFormatPr defaultRowHeight="12.75" outlineLevelRow="2"/>
  <cols>
    <col min="1" max="1" width="2.42578125" style="350" customWidth="1"/>
    <col min="2" max="2" width="44" style="349" bestFit="1" customWidth="1"/>
    <col min="3" max="9" width="9.140625" style="349"/>
    <col min="10" max="10" width="10.28515625" style="349" bestFit="1" customWidth="1"/>
    <col min="11" max="16384" width="9.140625" style="349"/>
  </cols>
  <sheetData>
    <row r="1" spans="1:26">
      <c r="J1" s="349">
        <f>DCF!C25</f>
        <v>2</v>
      </c>
    </row>
    <row r="2" spans="1:26" ht="13.5" thickBot="1">
      <c r="B2" s="487"/>
      <c r="C2" s="487">
        <v>2009</v>
      </c>
      <c r="D2" s="487">
        <v>2010</v>
      </c>
      <c r="E2" s="487">
        <v>2011</v>
      </c>
      <c r="F2" s="487">
        <v>2012</v>
      </c>
      <c r="G2" s="487">
        <v>2013</v>
      </c>
      <c r="H2" s="487">
        <v>2014</v>
      </c>
      <c r="I2" s="487">
        <v>2015</v>
      </c>
      <c r="J2" s="487">
        <v>2016</v>
      </c>
      <c r="K2" s="487">
        <v>2017</v>
      </c>
      <c r="L2" s="487">
        <v>2018</v>
      </c>
      <c r="M2" s="487">
        <v>2019</v>
      </c>
      <c r="N2" s="487">
        <v>2020</v>
      </c>
      <c r="O2" s="487">
        <v>2021</v>
      </c>
      <c r="P2" s="487">
        <v>2022</v>
      </c>
      <c r="Q2" s="487">
        <v>2023</v>
      </c>
      <c r="R2" s="487">
        <v>2024</v>
      </c>
      <c r="S2" s="487">
        <v>2025</v>
      </c>
      <c r="T2" s="487">
        <v>2026</v>
      </c>
      <c r="U2" s="487">
        <v>2027</v>
      </c>
      <c r="V2" s="487">
        <v>2028</v>
      </c>
      <c r="W2" s="487">
        <v>2029</v>
      </c>
      <c r="X2" s="487">
        <v>2030</v>
      </c>
    </row>
    <row r="3" spans="1:26">
      <c r="B3" s="488" t="s">
        <v>960</v>
      </c>
      <c r="C3" s="488"/>
      <c r="D3" s="488"/>
      <c r="E3" s="488"/>
      <c r="F3" s="488"/>
      <c r="G3" s="488"/>
      <c r="H3" s="488"/>
      <c r="I3" s="488"/>
      <c r="J3" s="488"/>
      <c r="K3" s="488"/>
      <c r="L3" s="488"/>
      <c r="M3" s="488"/>
      <c r="N3" s="488"/>
      <c r="O3" s="488"/>
      <c r="P3" s="488"/>
      <c r="Q3" s="488"/>
      <c r="R3" s="488"/>
      <c r="S3" s="488"/>
      <c r="T3" s="488"/>
      <c r="U3" s="488"/>
      <c r="V3" s="488"/>
      <c r="W3" s="488"/>
      <c r="X3" s="488"/>
    </row>
    <row r="4" spans="1:26">
      <c r="A4" s="489" t="s">
        <v>8</v>
      </c>
      <c r="B4" s="349" t="s">
        <v>961</v>
      </c>
      <c r="C4" s="363">
        <v>17616.7628</v>
      </c>
      <c r="D4" s="363">
        <v>17906.8344</v>
      </c>
      <c r="E4" s="363">
        <v>18317.7176</v>
      </c>
      <c r="F4" s="363">
        <v>18738.574400000001</v>
      </c>
      <c r="G4" s="363">
        <v>20338.218997669297</v>
      </c>
      <c r="H4" s="363">
        <v>20744.983377622684</v>
      </c>
      <c r="I4" s="363">
        <v>21159.883045175138</v>
      </c>
      <c r="J4" s="363">
        <v>21583.080706078643</v>
      </c>
      <c r="K4" s="363">
        <v>22014.742320200217</v>
      </c>
      <c r="L4" s="363">
        <v>22455.037166604223</v>
      </c>
      <c r="M4" s="363">
        <v>22904.137909936308</v>
      </c>
      <c r="N4" s="363">
        <v>23362.220668135033</v>
      </c>
      <c r="O4" s="363">
        <v>23829.465081497732</v>
      </c>
      <c r="P4" s="363">
        <v>24306.054383127688</v>
      </c>
      <c r="Q4" s="363">
        <v>24792.17547079024</v>
      </c>
      <c r="R4" s="363">
        <v>25288.018980206045</v>
      </c>
      <c r="S4" s="363">
        <v>25793.779359810163</v>
      </c>
      <c r="T4" s="363">
        <v>26309.654947006369</v>
      </c>
      <c r="U4" s="363">
        <v>26835.848045946499</v>
      </c>
      <c r="V4" s="363">
        <v>27372.565006865429</v>
      </c>
      <c r="W4" s="363">
        <v>27920.016307002737</v>
      </c>
      <c r="X4" s="363">
        <v>28478.416633142795</v>
      </c>
      <c r="Z4" s="349" t="s">
        <v>6</v>
      </c>
    </row>
    <row r="6" spans="1:26">
      <c r="A6" s="489" t="s">
        <v>8</v>
      </c>
      <c r="B6" s="349" t="s">
        <v>962</v>
      </c>
      <c r="C6" s="363">
        <v>10217.722424000001</v>
      </c>
      <c r="D6" s="363">
        <v>10385.963952000002</v>
      </c>
      <c r="E6" s="363">
        <v>10624.276208000001</v>
      </c>
      <c r="F6" s="363">
        <v>10868.373152000002</v>
      </c>
      <c r="G6" s="363">
        <v>11796.167018648193</v>
      </c>
      <c r="H6" s="363">
        <v>12032.090359021158</v>
      </c>
      <c r="I6" s="363">
        <v>12272.732166201582</v>
      </c>
      <c r="J6" s="363">
        <v>12518.186809525614</v>
      </c>
      <c r="K6" s="363">
        <v>12768.550545716127</v>
      </c>
      <c r="L6" s="363">
        <v>13023.92155663045</v>
      </c>
      <c r="M6" s="363">
        <v>13284.399987763059</v>
      </c>
      <c r="N6" s="363">
        <v>13550.08798751832</v>
      </c>
      <c r="O6" s="363">
        <v>13821.089747268687</v>
      </c>
      <c r="P6" s="363">
        <v>14097.511542214061</v>
      </c>
      <c r="Q6" s="363">
        <v>14379.461773058341</v>
      </c>
      <c r="R6" s="363">
        <v>14667.051008519507</v>
      </c>
      <c r="S6" s="363">
        <v>14960.392028689897</v>
      </c>
      <c r="T6" s="363">
        <v>15259.599869263697</v>
      </c>
      <c r="U6" s="363">
        <v>15564.791866648971</v>
      </c>
      <c r="V6" s="363">
        <v>15876.08770398195</v>
      </c>
      <c r="W6" s="363">
        <v>16193.60945806159</v>
      </c>
      <c r="X6" s="363">
        <v>16517.481647222823</v>
      </c>
      <c r="Z6" s="349" t="s">
        <v>6</v>
      </c>
    </row>
    <row r="8" spans="1:26">
      <c r="B8" s="349" t="s">
        <v>963</v>
      </c>
    </row>
    <row r="9" spans="1:26">
      <c r="A9" s="489" t="s">
        <v>8</v>
      </c>
      <c r="B9" s="348" t="s">
        <v>964</v>
      </c>
      <c r="C9" s="364">
        <v>0.55000000000000004</v>
      </c>
      <c r="D9" s="364">
        <v>0.6</v>
      </c>
      <c r="E9" s="364">
        <v>0.7</v>
      </c>
      <c r="F9" s="364">
        <v>0.71</v>
      </c>
      <c r="G9" s="364">
        <v>0.73</v>
      </c>
      <c r="H9" s="364">
        <v>0.74</v>
      </c>
      <c r="I9" s="364">
        <v>0.75480000000000003</v>
      </c>
      <c r="J9" s="364">
        <v>0.76989600000000002</v>
      </c>
      <c r="K9" s="364">
        <v>0.78529392000000009</v>
      </c>
      <c r="L9" s="364">
        <v>0.80099979840000013</v>
      </c>
      <c r="M9" s="364">
        <v>0.8170197943680001</v>
      </c>
      <c r="N9" s="364">
        <v>0.83336019025536012</v>
      </c>
      <c r="O9" s="364">
        <v>0.85002739406046735</v>
      </c>
      <c r="P9" s="364">
        <v>0.85002739406046735</v>
      </c>
      <c r="Q9" s="364">
        <v>0.85002739406046735</v>
      </c>
      <c r="R9" s="364">
        <v>0.85002739406046735</v>
      </c>
      <c r="S9" s="364">
        <v>0.85002739406046735</v>
      </c>
      <c r="T9" s="364">
        <v>0.85002739406046735</v>
      </c>
      <c r="U9" s="364">
        <v>0.85002739406046735</v>
      </c>
      <c r="V9" s="364">
        <v>0.85002739406046735</v>
      </c>
      <c r="W9" s="364">
        <v>0.85002739406046735</v>
      </c>
      <c r="X9" s="364">
        <v>0.85002739406046735</v>
      </c>
      <c r="Z9" s="349" t="s">
        <v>6</v>
      </c>
    </row>
    <row r="10" spans="1:26">
      <c r="A10" s="489" t="s">
        <v>8</v>
      </c>
      <c r="B10" s="348" t="s">
        <v>107</v>
      </c>
      <c r="C10" s="364">
        <v>0.44999999999999996</v>
      </c>
      <c r="D10" s="364">
        <v>0.4</v>
      </c>
      <c r="E10" s="364">
        <v>0.30000000000000004</v>
      </c>
      <c r="F10" s="364">
        <v>0.29000000000000004</v>
      </c>
      <c r="G10" s="364">
        <v>0.27</v>
      </c>
      <c r="H10" s="364">
        <v>0.26</v>
      </c>
      <c r="I10" s="364">
        <v>0.24519999999999997</v>
      </c>
      <c r="J10" s="364">
        <v>0.23010399999999998</v>
      </c>
      <c r="K10" s="364">
        <v>0.21470607999999991</v>
      </c>
      <c r="L10" s="364">
        <v>0.19900020159999987</v>
      </c>
      <c r="M10" s="364">
        <v>0.1829802056319999</v>
      </c>
      <c r="N10" s="364">
        <v>0.16663980974463988</v>
      </c>
      <c r="O10" s="364">
        <v>0.14997260593953265</v>
      </c>
      <c r="P10" s="364">
        <v>0.14997260593953265</v>
      </c>
      <c r="Q10" s="364">
        <v>0.14997260593953265</v>
      </c>
      <c r="R10" s="364">
        <v>0.14997260593953265</v>
      </c>
      <c r="S10" s="364">
        <v>0.14997260593953265</v>
      </c>
      <c r="T10" s="364">
        <v>0.14997260593953265</v>
      </c>
      <c r="U10" s="364">
        <v>0.14997260593953265</v>
      </c>
      <c r="V10" s="364">
        <v>0.14997260593953265</v>
      </c>
      <c r="W10" s="364">
        <v>0.14997260593953265</v>
      </c>
      <c r="X10" s="364">
        <v>0.14997260593953265</v>
      </c>
      <c r="Z10" s="349" t="s">
        <v>6</v>
      </c>
    </row>
    <row r="12" spans="1:26" outlineLevel="1">
      <c r="B12" s="481" t="s">
        <v>662</v>
      </c>
      <c r="C12" s="479"/>
      <c r="D12" s="479"/>
      <c r="E12" s="479"/>
      <c r="F12" s="479"/>
      <c r="G12" s="479"/>
      <c r="H12" s="479"/>
      <c r="I12" s="479"/>
      <c r="J12" s="479"/>
      <c r="K12" s="480">
        <v>0.1</v>
      </c>
      <c r="L12" s="480">
        <f>K12*1.5</f>
        <v>0.15000000000000002</v>
      </c>
      <c r="M12" s="480">
        <f>L12*1.2</f>
        <v>0.18000000000000002</v>
      </c>
      <c r="N12" s="480">
        <f>M12*1.1</f>
        <v>0.19800000000000004</v>
      </c>
      <c r="O12" s="480">
        <f>N12</f>
        <v>0.19800000000000004</v>
      </c>
      <c r="P12" s="480">
        <f t="shared" ref="P12:X12" si="0">O12</f>
        <v>0.19800000000000004</v>
      </c>
      <c r="Q12" s="480">
        <f t="shared" si="0"/>
        <v>0.19800000000000004</v>
      </c>
      <c r="R12" s="480">
        <f t="shared" si="0"/>
        <v>0.19800000000000004</v>
      </c>
      <c r="S12" s="480">
        <f t="shared" si="0"/>
        <v>0.19800000000000004</v>
      </c>
      <c r="T12" s="480">
        <f t="shared" si="0"/>
        <v>0.19800000000000004</v>
      </c>
      <c r="U12" s="480">
        <f t="shared" si="0"/>
        <v>0.19800000000000004</v>
      </c>
      <c r="V12" s="480">
        <f t="shared" si="0"/>
        <v>0.19800000000000004</v>
      </c>
      <c r="W12" s="480">
        <f t="shared" si="0"/>
        <v>0.19800000000000004</v>
      </c>
      <c r="X12" s="480">
        <f t="shared" si="0"/>
        <v>0.19800000000000004</v>
      </c>
    </row>
    <row r="13" spans="1:26" outlineLevel="1">
      <c r="B13" s="481" t="s">
        <v>663</v>
      </c>
      <c r="C13" s="479"/>
      <c r="D13" s="479"/>
      <c r="E13" s="479"/>
      <c r="F13" s="479"/>
      <c r="G13" s="479"/>
      <c r="H13" s="479"/>
      <c r="I13" s="479"/>
      <c r="J13" s="479"/>
      <c r="K13" s="480">
        <v>0</v>
      </c>
      <c r="L13" s="479">
        <f t="shared" ref="L13:N14" si="1">K13</f>
        <v>0</v>
      </c>
      <c r="M13" s="479">
        <f t="shared" si="1"/>
        <v>0</v>
      </c>
      <c r="N13" s="479">
        <f t="shared" si="1"/>
        <v>0</v>
      </c>
      <c r="O13" s="479">
        <f>N13</f>
        <v>0</v>
      </c>
      <c r="P13" s="479">
        <f t="shared" ref="P13:X13" si="2">O13</f>
        <v>0</v>
      </c>
      <c r="Q13" s="479">
        <f t="shared" si="2"/>
        <v>0</v>
      </c>
      <c r="R13" s="479">
        <f t="shared" si="2"/>
        <v>0</v>
      </c>
      <c r="S13" s="479">
        <f t="shared" si="2"/>
        <v>0</v>
      </c>
      <c r="T13" s="479">
        <f t="shared" si="2"/>
        <v>0</v>
      </c>
      <c r="U13" s="479">
        <f t="shared" si="2"/>
        <v>0</v>
      </c>
      <c r="V13" s="479">
        <f t="shared" si="2"/>
        <v>0</v>
      </c>
      <c r="W13" s="479">
        <f t="shared" si="2"/>
        <v>0</v>
      </c>
      <c r="X13" s="479">
        <f t="shared" si="2"/>
        <v>0</v>
      </c>
    </row>
    <row r="14" spans="1:26" outlineLevel="1">
      <c r="B14" s="481" t="s">
        <v>664</v>
      </c>
      <c r="C14" s="479"/>
      <c r="D14" s="479"/>
      <c r="E14" s="479"/>
      <c r="F14" s="479"/>
      <c r="G14" s="479"/>
      <c r="H14" s="479"/>
      <c r="I14" s="479"/>
      <c r="J14" s="479"/>
      <c r="K14" s="480">
        <f>K13</f>
        <v>0</v>
      </c>
      <c r="L14" s="479">
        <f t="shared" si="1"/>
        <v>0</v>
      </c>
      <c r="M14" s="479">
        <f t="shared" si="1"/>
        <v>0</v>
      </c>
      <c r="N14" s="479">
        <f t="shared" si="1"/>
        <v>0</v>
      </c>
      <c r="O14" s="479">
        <f>N14</f>
        <v>0</v>
      </c>
      <c r="P14" s="479">
        <f t="shared" ref="P14:X14" si="3">O14</f>
        <v>0</v>
      </c>
      <c r="Q14" s="479">
        <f t="shared" si="3"/>
        <v>0</v>
      </c>
      <c r="R14" s="479">
        <f t="shared" si="3"/>
        <v>0</v>
      </c>
      <c r="S14" s="479">
        <f t="shared" si="3"/>
        <v>0</v>
      </c>
      <c r="T14" s="479">
        <f t="shared" si="3"/>
        <v>0</v>
      </c>
      <c r="U14" s="479">
        <f t="shared" si="3"/>
        <v>0</v>
      </c>
      <c r="V14" s="479">
        <f t="shared" si="3"/>
        <v>0</v>
      </c>
      <c r="W14" s="479">
        <f t="shared" si="3"/>
        <v>0</v>
      </c>
      <c r="X14" s="479">
        <f t="shared" si="3"/>
        <v>0</v>
      </c>
    </row>
    <row r="15" spans="1:26">
      <c r="A15" s="490" t="s">
        <v>591</v>
      </c>
      <c r="B15" s="485" t="s">
        <v>9</v>
      </c>
      <c r="C15" s="485"/>
      <c r="D15" s="485"/>
      <c r="E15" s="485"/>
      <c r="F15" s="485"/>
      <c r="G15" s="485"/>
      <c r="H15" s="485"/>
      <c r="I15" s="485"/>
      <c r="J15" s="485"/>
      <c r="K15" s="484">
        <f>CHOOSE($J$1,K12,K13,K14)</f>
        <v>0</v>
      </c>
      <c r="L15" s="484">
        <f>CHOOSE($J$1,L12,L13,L14)</f>
        <v>0</v>
      </c>
      <c r="M15" s="484">
        <f>CHOOSE($J$1,M12,M13,M14)</f>
        <v>0</v>
      </c>
      <c r="N15" s="484">
        <f>CHOOSE($J$1,N12,N13,N14)</f>
        <v>0</v>
      </c>
      <c r="O15" s="484">
        <f t="shared" ref="O15:X15" si="4">CHOOSE($J$1,O12,O13,O14)</f>
        <v>0</v>
      </c>
      <c r="P15" s="484">
        <f t="shared" si="4"/>
        <v>0</v>
      </c>
      <c r="Q15" s="484">
        <f t="shared" si="4"/>
        <v>0</v>
      </c>
      <c r="R15" s="484">
        <f t="shared" si="4"/>
        <v>0</v>
      </c>
      <c r="S15" s="484">
        <f t="shared" si="4"/>
        <v>0</v>
      </c>
      <c r="T15" s="484">
        <f t="shared" si="4"/>
        <v>0</v>
      </c>
      <c r="U15" s="484">
        <f t="shared" si="4"/>
        <v>0</v>
      </c>
      <c r="V15" s="484">
        <f t="shared" si="4"/>
        <v>0</v>
      </c>
      <c r="W15" s="484">
        <f t="shared" si="4"/>
        <v>0</v>
      </c>
      <c r="X15" s="484">
        <f t="shared" si="4"/>
        <v>0</v>
      </c>
    </row>
    <row r="17" spans="1:26">
      <c r="B17" s="349" t="s">
        <v>7</v>
      </c>
      <c r="K17" s="363">
        <f>K15*K9*K6</f>
        <v>0</v>
      </c>
      <c r="L17" s="363">
        <f>L15*L9*L6</f>
        <v>0</v>
      </c>
      <c r="M17" s="363">
        <f>M15*M9*M6</f>
        <v>0</v>
      </c>
      <c r="N17" s="363">
        <f>N15*N9*N6</f>
        <v>0</v>
      </c>
      <c r="O17" s="349">
        <f t="shared" ref="O17:X17" si="5">O15*O9*O6</f>
        <v>0</v>
      </c>
      <c r="P17" s="349">
        <f t="shared" si="5"/>
        <v>0</v>
      </c>
      <c r="Q17" s="349">
        <f t="shared" si="5"/>
        <v>0</v>
      </c>
      <c r="R17" s="349">
        <f t="shared" si="5"/>
        <v>0</v>
      </c>
      <c r="S17" s="349">
        <f t="shared" si="5"/>
        <v>0</v>
      </c>
      <c r="T17" s="349">
        <f t="shared" si="5"/>
        <v>0</v>
      </c>
      <c r="U17" s="349">
        <f t="shared" si="5"/>
        <v>0</v>
      </c>
      <c r="V17" s="349">
        <f t="shared" si="5"/>
        <v>0</v>
      </c>
      <c r="W17" s="349">
        <f t="shared" si="5"/>
        <v>0</v>
      </c>
      <c r="X17" s="349">
        <f t="shared" si="5"/>
        <v>0</v>
      </c>
    </row>
    <row r="19" spans="1:26">
      <c r="A19" s="489" t="s">
        <v>8</v>
      </c>
      <c r="B19" s="349" t="s">
        <v>965</v>
      </c>
      <c r="C19" s="87">
        <v>0.46000000000000008</v>
      </c>
      <c r="D19" s="87">
        <v>0.55000000000000004</v>
      </c>
      <c r="E19" s="87">
        <v>0.64</v>
      </c>
      <c r="F19" s="87">
        <v>0.66999999999999993</v>
      </c>
      <c r="G19" s="87">
        <v>0.69</v>
      </c>
      <c r="H19" s="87">
        <v>0.7</v>
      </c>
      <c r="I19" s="87">
        <v>0.73499999999999999</v>
      </c>
      <c r="J19" s="87">
        <v>0.79</v>
      </c>
      <c r="K19" s="87">
        <v>0.80974999999999997</v>
      </c>
      <c r="L19" s="87">
        <v>0.81784749999999995</v>
      </c>
      <c r="M19" s="87">
        <v>0.82602597499999997</v>
      </c>
      <c r="N19" s="87">
        <v>0.83428623474999997</v>
      </c>
      <c r="O19" s="87">
        <v>0.8426290970975</v>
      </c>
      <c r="P19" s="87">
        <v>0.85105538806847503</v>
      </c>
      <c r="Q19" s="87">
        <v>0.85956594194915981</v>
      </c>
      <c r="R19" s="87">
        <v>0.86816160136865139</v>
      </c>
      <c r="S19" s="87">
        <v>0.87684321738233795</v>
      </c>
      <c r="T19" s="87">
        <v>0.88561164955616134</v>
      </c>
      <c r="U19" s="87">
        <v>0.88561164955616134</v>
      </c>
      <c r="V19" s="87">
        <v>0.88561164955616134</v>
      </c>
      <c r="W19" s="87">
        <v>0.88561164955616134</v>
      </c>
      <c r="X19" s="87">
        <v>0.88561164955616134</v>
      </c>
      <c r="Z19" s="349" t="s">
        <v>6</v>
      </c>
    </row>
    <row r="20" spans="1:26">
      <c r="B20" s="349" t="s">
        <v>966</v>
      </c>
      <c r="K20" s="363">
        <f>K19*K17</f>
        <v>0</v>
      </c>
      <c r="L20" s="363">
        <f>L19*L17</f>
        <v>0</v>
      </c>
      <c r="M20" s="363">
        <f>M19*M17</f>
        <v>0</v>
      </c>
      <c r="N20" s="363">
        <f>N19*N17</f>
        <v>0</v>
      </c>
      <c r="O20" s="349">
        <f t="shared" ref="O20:X20" si="6">O19*O17</f>
        <v>0</v>
      </c>
      <c r="P20" s="349">
        <f t="shared" si="6"/>
        <v>0</v>
      </c>
      <c r="Q20" s="349">
        <f t="shared" si="6"/>
        <v>0</v>
      </c>
      <c r="R20" s="349">
        <f t="shared" si="6"/>
        <v>0</v>
      </c>
      <c r="S20" s="349">
        <f t="shared" si="6"/>
        <v>0</v>
      </c>
      <c r="T20" s="349">
        <f t="shared" si="6"/>
        <v>0</v>
      </c>
      <c r="U20" s="349">
        <f t="shared" si="6"/>
        <v>0</v>
      </c>
      <c r="V20" s="349">
        <f t="shared" si="6"/>
        <v>0</v>
      </c>
      <c r="W20" s="349">
        <f t="shared" si="6"/>
        <v>0</v>
      </c>
      <c r="X20" s="349">
        <f t="shared" si="6"/>
        <v>0</v>
      </c>
    </row>
    <row r="22" spans="1:26">
      <c r="B22" s="491" t="s">
        <v>967</v>
      </c>
      <c r="C22" s="492"/>
      <c r="D22" s="492"/>
      <c r="E22" s="492"/>
      <c r="F22" s="492"/>
      <c r="G22" s="492"/>
      <c r="H22" s="492"/>
      <c r="I22" s="492"/>
      <c r="J22" s="492"/>
      <c r="K22" s="492"/>
      <c r="L22" s="492"/>
      <c r="M22" s="492"/>
      <c r="N22" s="492"/>
      <c r="O22" s="492"/>
      <c r="P22" s="492"/>
      <c r="Q22" s="492"/>
      <c r="R22" s="492"/>
      <c r="S22" s="492"/>
      <c r="T22" s="492"/>
      <c r="U22" s="492"/>
      <c r="V22" s="492"/>
      <c r="W22" s="492"/>
      <c r="X22" s="492"/>
    </row>
    <row r="24" spans="1:26" customFormat="1" ht="12.75" customHeight="1">
      <c r="A24" s="489" t="s">
        <v>8</v>
      </c>
      <c r="B24" s="2" t="s">
        <v>22</v>
      </c>
      <c r="C24" s="400"/>
      <c r="D24" s="399"/>
      <c r="F24" s="46">
        <v>8953.2000000000007</v>
      </c>
      <c r="G24" s="46">
        <v>8953.2000000000007</v>
      </c>
      <c r="H24" s="46">
        <v>9132.264000000001</v>
      </c>
      <c r="I24" s="46">
        <v>9314.9092800000017</v>
      </c>
      <c r="J24" s="46">
        <v>9501.2074656000023</v>
      </c>
      <c r="K24" s="46">
        <v>9691.2316149120034</v>
      </c>
      <c r="L24" s="46">
        <v>9250</v>
      </c>
      <c r="M24" s="46">
        <f t="shared" ref="M24:X24" si="7">L24*1.015</f>
        <v>9388.75</v>
      </c>
      <c r="N24" s="46">
        <f t="shared" si="7"/>
        <v>9529.5812499999993</v>
      </c>
      <c r="O24" s="46">
        <f t="shared" si="7"/>
        <v>9672.5249687499982</v>
      </c>
      <c r="P24" s="46">
        <f t="shared" si="7"/>
        <v>9817.6128432812475</v>
      </c>
      <c r="Q24" s="46">
        <f t="shared" si="7"/>
        <v>9964.8770359304654</v>
      </c>
      <c r="R24" s="46">
        <f t="shared" si="7"/>
        <v>10114.350191469421</v>
      </c>
      <c r="S24" s="46">
        <f t="shared" si="7"/>
        <v>10266.065444341461</v>
      </c>
      <c r="T24" s="46">
        <f t="shared" si="7"/>
        <v>10420.056426006582</v>
      </c>
      <c r="U24" s="46">
        <f t="shared" si="7"/>
        <v>10576.357272396679</v>
      </c>
      <c r="V24" s="46">
        <f t="shared" si="7"/>
        <v>10735.002631482628</v>
      </c>
      <c r="W24" s="46">
        <f t="shared" si="7"/>
        <v>10896.027670954867</v>
      </c>
      <c r="X24" s="46">
        <f t="shared" si="7"/>
        <v>11059.468086019189</v>
      </c>
    </row>
    <row r="25" spans="1:26">
      <c r="J25" s="772"/>
      <c r="K25" s="771"/>
    </row>
    <row r="26" spans="1:26" customFormat="1">
      <c r="B26" s="493" t="s">
        <v>10</v>
      </c>
      <c r="C26" s="475"/>
      <c r="D26" s="475"/>
      <c r="E26" s="475"/>
      <c r="F26" s="475"/>
      <c r="G26" s="475"/>
      <c r="H26" s="475"/>
      <c r="I26" s="475"/>
      <c r="J26" s="475"/>
      <c r="K26" s="475"/>
      <c r="L26" s="475"/>
      <c r="M26" s="475"/>
      <c r="N26" s="475"/>
      <c r="O26" s="475"/>
      <c r="P26" s="475"/>
      <c r="Q26" s="475"/>
      <c r="R26" s="475"/>
      <c r="S26" s="475"/>
      <c r="T26" s="475"/>
      <c r="U26" s="475"/>
      <c r="V26" s="475"/>
      <c r="W26" s="475"/>
      <c r="X26" s="475"/>
    </row>
    <row r="27" spans="1:26" customFormat="1" outlineLevel="1">
      <c r="B27" s="84" t="s">
        <v>11</v>
      </c>
      <c r="C27" s="494">
        <v>6</v>
      </c>
      <c r="D27" s="494">
        <v>6</v>
      </c>
      <c r="E27" s="494">
        <v>6</v>
      </c>
      <c r="F27" s="494">
        <v>6</v>
      </c>
      <c r="G27" s="494">
        <v>6</v>
      </c>
      <c r="H27" s="494">
        <f t="shared" ref="H27:N27" si="8">G27</f>
        <v>6</v>
      </c>
      <c r="I27" s="494">
        <f t="shared" si="8"/>
        <v>6</v>
      </c>
      <c r="J27" s="494">
        <f t="shared" si="8"/>
        <v>6</v>
      </c>
      <c r="K27" s="494">
        <f t="shared" si="8"/>
        <v>6</v>
      </c>
      <c r="L27" s="494">
        <f t="shared" si="8"/>
        <v>6</v>
      </c>
      <c r="M27" s="494">
        <f t="shared" si="8"/>
        <v>6</v>
      </c>
      <c r="N27" s="494">
        <f t="shared" si="8"/>
        <v>6</v>
      </c>
      <c r="O27" s="494">
        <f t="shared" ref="O27:X27" si="9">N27</f>
        <v>6</v>
      </c>
      <c r="P27" s="494">
        <f t="shared" si="9"/>
        <v>6</v>
      </c>
      <c r="Q27" s="494">
        <f t="shared" si="9"/>
        <v>6</v>
      </c>
      <c r="R27" s="494">
        <f t="shared" si="9"/>
        <v>6</v>
      </c>
      <c r="S27" s="494">
        <f t="shared" si="9"/>
        <v>6</v>
      </c>
      <c r="T27" s="494">
        <f t="shared" si="9"/>
        <v>6</v>
      </c>
      <c r="U27" s="494">
        <f t="shared" si="9"/>
        <v>6</v>
      </c>
      <c r="V27" s="494">
        <f t="shared" si="9"/>
        <v>6</v>
      </c>
      <c r="W27" s="494">
        <f t="shared" si="9"/>
        <v>6</v>
      </c>
      <c r="X27" s="494">
        <f t="shared" si="9"/>
        <v>6</v>
      </c>
    </row>
    <row r="28" spans="1:26" customFormat="1" outlineLevel="1">
      <c r="B28" s="346" t="s">
        <v>12</v>
      </c>
      <c r="C28" s="1">
        <f t="shared" ref="C28:N28" si="10">C17</f>
        <v>0</v>
      </c>
      <c r="D28" s="1">
        <f t="shared" si="10"/>
        <v>0</v>
      </c>
      <c r="E28" s="1">
        <f t="shared" si="10"/>
        <v>0</v>
      </c>
      <c r="F28" s="1">
        <f t="shared" si="10"/>
        <v>0</v>
      </c>
      <c r="G28" s="1">
        <f t="shared" si="10"/>
        <v>0</v>
      </c>
      <c r="H28" s="1">
        <f t="shared" si="10"/>
        <v>0</v>
      </c>
      <c r="I28" s="1">
        <f t="shared" si="10"/>
        <v>0</v>
      </c>
      <c r="J28" s="1">
        <f t="shared" si="10"/>
        <v>0</v>
      </c>
      <c r="K28" s="1">
        <f t="shared" si="10"/>
        <v>0</v>
      </c>
      <c r="L28" s="1">
        <f t="shared" si="10"/>
        <v>0</v>
      </c>
      <c r="M28" s="1">
        <f t="shared" si="10"/>
        <v>0</v>
      </c>
      <c r="N28" s="1">
        <f t="shared" si="10"/>
        <v>0</v>
      </c>
      <c r="O28" s="1">
        <f t="shared" ref="O28:X28" si="11">O17</f>
        <v>0</v>
      </c>
      <c r="P28" s="1">
        <f t="shared" si="11"/>
        <v>0</v>
      </c>
      <c r="Q28" s="1">
        <f t="shared" si="11"/>
        <v>0</v>
      </c>
      <c r="R28" s="1">
        <f t="shared" si="11"/>
        <v>0</v>
      </c>
      <c r="S28" s="1">
        <f t="shared" si="11"/>
        <v>0</v>
      </c>
      <c r="T28" s="1">
        <f t="shared" si="11"/>
        <v>0</v>
      </c>
      <c r="U28" s="1">
        <f t="shared" si="11"/>
        <v>0</v>
      </c>
      <c r="V28" s="1">
        <f t="shared" si="11"/>
        <v>0</v>
      </c>
      <c r="W28" s="1">
        <f t="shared" si="11"/>
        <v>0</v>
      </c>
      <c r="X28" s="1">
        <f t="shared" si="11"/>
        <v>0</v>
      </c>
    </row>
    <row r="29" spans="1:26" customFormat="1" outlineLevel="1">
      <c r="B29" s="346" t="s">
        <v>13</v>
      </c>
      <c r="C29" s="46">
        <f t="shared" ref="C29:N29" si="12">C28*C27*C24/1000000</f>
        <v>0</v>
      </c>
      <c r="D29" s="46">
        <f t="shared" si="12"/>
        <v>0</v>
      </c>
      <c r="E29" s="46">
        <f t="shared" si="12"/>
        <v>0</v>
      </c>
      <c r="F29" s="46">
        <f t="shared" si="12"/>
        <v>0</v>
      </c>
      <c r="G29" s="46">
        <f t="shared" si="12"/>
        <v>0</v>
      </c>
      <c r="H29" s="46">
        <f t="shared" si="12"/>
        <v>0</v>
      </c>
      <c r="I29" s="46">
        <f t="shared" si="12"/>
        <v>0</v>
      </c>
      <c r="J29" s="46">
        <f t="shared" si="12"/>
        <v>0</v>
      </c>
      <c r="K29" s="46">
        <f t="shared" si="12"/>
        <v>0</v>
      </c>
      <c r="L29" s="46">
        <f t="shared" si="12"/>
        <v>0</v>
      </c>
      <c r="M29" s="46">
        <f t="shared" si="12"/>
        <v>0</v>
      </c>
      <c r="N29" s="46">
        <f t="shared" si="12"/>
        <v>0</v>
      </c>
      <c r="O29" s="46">
        <f t="shared" ref="O29:X29" si="13">O28*O27*O24/1000000</f>
        <v>0</v>
      </c>
      <c r="P29" s="46">
        <f t="shared" si="13"/>
        <v>0</v>
      </c>
      <c r="Q29" s="46">
        <f t="shared" si="13"/>
        <v>0</v>
      </c>
      <c r="R29" s="46">
        <f t="shared" si="13"/>
        <v>0</v>
      </c>
      <c r="S29" s="46">
        <f t="shared" si="13"/>
        <v>0</v>
      </c>
      <c r="T29" s="46">
        <f t="shared" si="13"/>
        <v>0</v>
      </c>
      <c r="U29" s="46">
        <f t="shared" si="13"/>
        <v>0</v>
      </c>
      <c r="V29" s="46">
        <f t="shared" si="13"/>
        <v>0</v>
      </c>
      <c r="W29" s="46">
        <f t="shared" si="13"/>
        <v>0</v>
      </c>
      <c r="X29" s="46">
        <f t="shared" si="13"/>
        <v>0</v>
      </c>
    </row>
    <row r="30" spans="1:26" customFormat="1" outlineLevel="1">
      <c r="B30" s="346"/>
      <c r="C30" s="45"/>
    </row>
    <row r="31" spans="1:26" customFormat="1" outlineLevel="1">
      <c r="B31" s="346" t="s">
        <v>14</v>
      </c>
      <c r="K31">
        <f>K35-K27</f>
        <v>29</v>
      </c>
      <c r="L31">
        <f>L35-L27</f>
        <v>30</v>
      </c>
      <c r="M31">
        <f>M35-M27</f>
        <v>31</v>
      </c>
      <c r="N31">
        <f>N35-N27</f>
        <v>32</v>
      </c>
      <c r="O31">
        <f t="shared" ref="O31:X31" si="14">O35-O27</f>
        <v>32</v>
      </c>
      <c r="P31">
        <f t="shared" si="14"/>
        <v>32</v>
      </c>
      <c r="Q31">
        <f t="shared" si="14"/>
        <v>32</v>
      </c>
      <c r="R31">
        <f t="shared" si="14"/>
        <v>32</v>
      </c>
      <c r="S31">
        <f t="shared" si="14"/>
        <v>32</v>
      </c>
      <c r="T31">
        <f t="shared" si="14"/>
        <v>32</v>
      </c>
      <c r="U31">
        <f t="shared" si="14"/>
        <v>32</v>
      </c>
      <c r="V31">
        <f t="shared" si="14"/>
        <v>32</v>
      </c>
      <c r="W31">
        <f t="shared" si="14"/>
        <v>32</v>
      </c>
      <c r="X31">
        <f t="shared" si="14"/>
        <v>32</v>
      </c>
    </row>
    <row r="32" spans="1:26" customFormat="1" outlineLevel="2">
      <c r="A32" s="489" t="s">
        <v>8</v>
      </c>
      <c r="B32" s="495" t="s">
        <v>662</v>
      </c>
      <c r="C32" s="496"/>
      <c r="D32" s="496"/>
      <c r="E32" s="496"/>
      <c r="F32" s="496"/>
      <c r="G32" s="496"/>
      <c r="H32" s="497"/>
      <c r="I32" s="497"/>
      <c r="J32" s="498"/>
      <c r="K32" s="497">
        <v>35</v>
      </c>
      <c r="L32" s="497">
        <v>35.5</v>
      </c>
      <c r="M32" s="497">
        <v>36</v>
      </c>
      <c r="N32" s="497">
        <v>36.5</v>
      </c>
      <c r="O32" s="497">
        <v>36.5</v>
      </c>
      <c r="P32" s="497">
        <v>36.5</v>
      </c>
      <c r="Q32" s="497">
        <v>36.5</v>
      </c>
      <c r="R32" s="497">
        <v>36.5</v>
      </c>
      <c r="S32" s="497">
        <v>36.5</v>
      </c>
      <c r="T32" s="497">
        <v>36.5</v>
      </c>
      <c r="U32" s="497">
        <v>36.5</v>
      </c>
      <c r="V32" s="497">
        <v>36.5</v>
      </c>
      <c r="W32" s="497">
        <v>36.5</v>
      </c>
      <c r="X32" s="497">
        <v>36.5</v>
      </c>
      <c r="Z32" s="349" t="s">
        <v>6</v>
      </c>
    </row>
    <row r="33" spans="1:26" customFormat="1" outlineLevel="2">
      <c r="A33" s="489" t="s">
        <v>8</v>
      </c>
      <c r="B33" s="495" t="s">
        <v>663</v>
      </c>
      <c r="C33" s="499"/>
      <c r="D33" s="499"/>
      <c r="E33" s="499"/>
      <c r="F33" s="499"/>
      <c r="G33" s="499"/>
      <c r="H33" s="499"/>
      <c r="I33" s="499"/>
      <c r="J33" s="499"/>
      <c r="K33" s="499">
        <v>35</v>
      </c>
      <c r="L33" s="499">
        <v>36</v>
      </c>
      <c r="M33" s="499">
        <v>37</v>
      </c>
      <c r="N33" s="499">
        <v>38</v>
      </c>
      <c r="O33" s="499">
        <v>38</v>
      </c>
      <c r="P33" s="499">
        <v>38</v>
      </c>
      <c r="Q33" s="499">
        <v>38</v>
      </c>
      <c r="R33" s="499">
        <v>38</v>
      </c>
      <c r="S33" s="499">
        <v>38</v>
      </c>
      <c r="T33" s="499">
        <v>38</v>
      </c>
      <c r="U33" s="499">
        <v>38</v>
      </c>
      <c r="V33" s="499">
        <v>38</v>
      </c>
      <c r="W33" s="499">
        <v>38</v>
      </c>
      <c r="X33" s="499">
        <v>38</v>
      </c>
      <c r="Z33" s="349" t="s">
        <v>6</v>
      </c>
    </row>
    <row r="34" spans="1:26" customFormat="1" outlineLevel="2">
      <c r="A34" s="489" t="s">
        <v>8</v>
      </c>
      <c r="B34" s="495" t="s">
        <v>664</v>
      </c>
      <c r="C34" s="496"/>
      <c r="D34" s="496"/>
      <c r="E34" s="496"/>
      <c r="F34" s="496"/>
      <c r="G34" s="496"/>
      <c r="H34" s="497"/>
      <c r="I34" s="497"/>
      <c r="J34" s="497"/>
      <c r="K34" s="497">
        <v>30</v>
      </c>
      <c r="L34" s="497">
        <v>30</v>
      </c>
      <c r="M34" s="497">
        <v>30</v>
      </c>
      <c r="N34" s="497">
        <v>30</v>
      </c>
      <c r="O34" s="497">
        <v>30</v>
      </c>
      <c r="P34" s="497">
        <v>30</v>
      </c>
      <c r="Q34" s="497">
        <v>30</v>
      </c>
      <c r="R34" s="497">
        <v>30</v>
      </c>
      <c r="S34" s="497">
        <v>30</v>
      </c>
      <c r="T34" s="497">
        <v>30</v>
      </c>
      <c r="U34" s="497">
        <v>30</v>
      </c>
      <c r="V34" s="497">
        <v>30</v>
      </c>
      <c r="W34" s="497">
        <v>30</v>
      </c>
      <c r="X34" s="497">
        <v>30</v>
      </c>
      <c r="Z34" s="349" t="s">
        <v>6</v>
      </c>
    </row>
    <row r="35" spans="1:26" customFormat="1" outlineLevel="1">
      <c r="A35" s="500" t="s">
        <v>591</v>
      </c>
      <c r="B35" s="495" t="s">
        <v>15</v>
      </c>
      <c r="C35" s="499"/>
      <c r="D35" s="499"/>
      <c r="E35" s="499"/>
      <c r="F35" s="499"/>
      <c r="G35" s="499"/>
      <c r="H35" s="501"/>
      <c r="I35" s="501"/>
      <c r="J35" s="501"/>
      <c r="K35" s="501">
        <f>CHOOSE($J$1,K32,K33,K34)</f>
        <v>35</v>
      </c>
      <c r="L35" s="501">
        <f>CHOOSE($J$1,L32,L33,L34)</f>
        <v>36</v>
      </c>
      <c r="M35" s="501">
        <f>CHOOSE($J$1,M32,M33,M34)</f>
        <v>37</v>
      </c>
      <c r="N35" s="501">
        <f>CHOOSE($J$1,N32,N33,N34)</f>
        <v>38</v>
      </c>
      <c r="O35" s="501">
        <f t="shared" ref="O35:X35" si="15">CHOOSE($J$1,O32,O33,O34)</f>
        <v>38</v>
      </c>
      <c r="P35" s="501">
        <f t="shared" si="15"/>
        <v>38</v>
      </c>
      <c r="Q35" s="501">
        <f t="shared" si="15"/>
        <v>38</v>
      </c>
      <c r="R35" s="501">
        <f t="shared" si="15"/>
        <v>38</v>
      </c>
      <c r="S35" s="501">
        <f t="shared" si="15"/>
        <v>38</v>
      </c>
      <c r="T35" s="501">
        <f t="shared" si="15"/>
        <v>38</v>
      </c>
      <c r="U35" s="501">
        <f t="shared" si="15"/>
        <v>38</v>
      </c>
      <c r="V35" s="501">
        <f t="shared" si="15"/>
        <v>38</v>
      </c>
      <c r="W35" s="501">
        <f t="shared" si="15"/>
        <v>38</v>
      </c>
      <c r="X35" s="501">
        <f t="shared" si="15"/>
        <v>38</v>
      </c>
    </row>
    <row r="36" spans="1:26" customFormat="1" outlineLevel="1">
      <c r="B36" s="365" t="s">
        <v>16</v>
      </c>
      <c r="C36">
        <f t="shared" ref="C36:N36" si="16">IF(C35&lt;6,C35,6)</f>
        <v>0</v>
      </c>
      <c r="D36">
        <f t="shared" si="16"/>
        <v>0</v>
      </c>
      <c r="E36">
        <f t="shared" si="16"/>
        <v>0</v>
      </c>
      <c r="F36">
        <f t="shared" si="16"/>
        <v>0</v>
      </c>
      <c r="G36">
        <f t="shared" si="16"/>
        <v>0</v>
      </c>
      <c r="H36">
        <f t="shared" si="16"/>
        <v>0</v>
      </c>
      <c r="I36">
        <f t="shared" si="16"/>
        <v>0</v>
      </c>
      <c r="J36">
        <f t="shared" si="16"/>
        <v>0</v>
      </c>
      <c r="K36">
        <f t="shared" si="16"/>
        <v>6</v>
      </c>
      <c r="L36">
        <f t="shared" si="16"/>
        <v>6</v>
      </c>
      <c r="M36">
        <f t="shared" si="16"/>
        <v>6</v>
      </c>
      <c r="N36">
        <f t="shared" si="16"/>
        <v>6</v>
      </c>
      <c r="O36">
        <f t="shared" ref="O36:X36" si="17">IF(O35&lt;6,O35,6)</f>
        <v>6</v>
      </c>
      <c r="P36">
        <f t="shared" si="17"/>
        <v>6</v>
      </c>
      <c r="Q36">
        <f t="shared" si="17"/>
        <v>6</v>
      </c>
      <c r="R36">
        <f t="shared" si="17"/>
        <v>6</v>
      </c>
      <c r="S36">
        <f t="shared" si="17"/>
        <v>6</v>
      </c>
      <c r="T36">
        <f t="shared" si="17"/>
        <v>6</v>
      </c>
      <c r="U36">
        <f t="shared" si="17"/>
        <v>6</v>
      </c>
      <c r="V36">
        <f t="shared" si="17"/>
        <v>6</v>
      </c>
      <c r="W36">
        <f t="shared" si="17"/>
        <v>6</v>
      </c>
      <c r="X36">
        <f t="shared" si="17"/>
        <v>6</v>
      </c>
    </row>
    <row r="37" spans="1:26" customFormat="1" outlineLevel="1">
      <c r="B37" s="366" t="s">
        <v>17</v>
      </c>
      <c r="C37">
        <f t="shared" ref="C37:J37" si="18">IF(C35&gt;24,12,IF(C35&gt;12,C35-12,0))</f>
        <v>0</v>
      </c>
      <c r="D37">
        <f t="shared" si="18"/>
        <v>0</v>
      </c>
      <c r="E37">
        <f t="shared" si="18"/>
        <v>0</v>
      </c>
      <c r="F37">
        <f t="shared" si="18"/>
        <v>0</v>
      </c>
      <c r="G37">
        <f t="shared" si="18"/>
        <v>0</v>
      </c>
      <c r="H37">
        <f t="shared" si="18"/>
        <v>0</v>
      </c>
      <c r="I37">
        <f t="shared" si="18"/>
        <v>0</v>
      </c>
      <c r="J37">
        <f t="shared" si="18"/>
        <v>0</v>
      </c>
      <c r="K37">
        <f>IF(J35&gt;24,12,IF(J35&gt;12,J35-12,0))</f>
        <v>0</v>
      </c>
      <c r="L37">
        <f>IF(K35&gt;24,12,IF(K35&gt;12,K35-12,0))</f>
        <v>12</v>
      </c>
      <c r="M37">
        <f>IF(L35&gt;24,12,IF(L35&gt;12,L35-12,0))</f>
        <v>12</v>
      </c>
      <c r="N37">
        <f>IF(M35&gt;24,12,IF(M35&gt;12,M35-12,0))</f>
        <v>12</v>
      </c>
      <c r="O37">
        <f t="shared" ref="O37:X37" si="19">IF(N35&gt;24,12,IF(N35&gt;12,N35-12,0))</f>
        <v>12</v>
      </c>
      <c r="P37">
        <f t="shared" si="19"/>
        <v>12</v>
      </c>
      <c r="Q37">
        <f t="shared" si="19"/>
        <v>12</v>
      </c>
      <c r="R37">
        <f t="shared" si="19"/>
        <v>12</v>
      </c>
      <c r="S37">
        <f t="shared" si="19"/>
        <v>12</v>
      </c>
      <c r="T37">
        <f t="shared" si="19"/>
        <v>12</v>
      </c>
      <c r="U37">
        <f t="shared" si="19"/>
        <v>12</v>
      </c>
      <c r="V37">
        <f t="shared" si="19"/>
        <v>12</v>
      </c>
      <c r="W37">
        <f t="shared" si="19"/>
        <v>12</v>
      </c>
      <c r="X37">
        <f t="shared" si="19"/>
        <v>12</v>
      </c>
    </row>
    <row r="38" spans="1:26" customFormat="1" outlineLevel="1">
      <c r="B38" s="366" t="s">
        <v>18</v>
      </c>
      <c r="C38">
        <f t="shared" ref="C38:J38" si="20">IF(C35&gt;36,12,IF(C35&gt;24,C35-24,0))</f>
        <v>0</v>
      </c>
      <c r="D38">
        <f t="shared" si="20"/>
        <v>0</v>
      </c>
      <c r="E38">
        <f t="shared" si="20"/>
        <v>0</v>
      </c>
      <c r="F38">
        <f t="shared" si="20"/>
        <v>0</v>
      </c>
      <c r="G38">
        <f t="shared" si="20"/>
        <v>0</v>
      </c>
      <c r="H38">
        <f t="shared" si="20"/>
        <v>0</v>
      </c>
      <c r="I38">
        <f t="shared" si="20"/>
        <v>0</v>
      </c>
      <c r="J38">
        <f t="shared" si="20"/>
        <v>0</v>
      </c>
      <c r="K38">
        <f>IF(I35&gt;36,12,IF(I35&gt;24,I35-24,0))</f>
        <v>0</v>
      </c>
      <c r="L38">
        <f>IF(J35&gt;36,12,IF(J35&gt;24,J35-24,0))</f>
        <v>0</v>
      </c>
      <c r="M38">
        <f>IF(K35&gt;36,12,IF(K35&gt;24,K35-24,0))</f>
        <v>11</v>
      </c>
      <c r="N38">
        <f>IF(L35&gt;36,12,IF(L35&gt;24,L35-24,0))</f>
        <v>12</v>
      </c>
      <c r="O38">
        <f t="shared" ref="O38:X38" si="21">IF(M35&gt;36,12,IF(M35&gt;24,M35-24,0))</f>
        <v>12</v>
      </c>
      <c r="P38">
        <f t="shared" si="21"/>
        <v>12</v>
      </c>
      <c r="Q38">
        <f t="shared" si="21"/>
        <v>12</v>
      </c>
      <c r="R38">
        <f t="shared" si="21"/>
        <v>12</v>
      </c>
      <c r="S38">
        <f t="shared" si="21"/>
        <v>12</v>
      </c>
      <c r="T38">
        <f t="shared" si="21"/>
        <v>12</v>
      </c>
      <c r="U38">
        <f t="shared" si="21"/>
        <v>12</v>
      </c>
      <c r="V38">
        <f t="shared" si="21"/>
        <v>12</v>
      </c>
      <c r="W38">
        <f t="shared" si="21"/>
        <v>12</v>
      </c>
      <c r="X38">
        <f t="shared" si="21"/>
        <v>12</v>
      </c>
    </row>
    <row r="39" spans="1:26" customFormat="1" outlineLevel="1">
      <c r="B39" s="346" t="s">
        <v>19</v>
      </c>
      <c r="C39" s="1">
        <f t="shared" ref="C39:N39" si="22">C20</f>
        <v>0</v>
      </c>
      <c r="D39" s="1">
        <f t="shared" si="22"/>
        <v>0</v>
      </c>
      <c r="E39" s="1">
        <f t="shared" si="22"/>
        <v>0</v>
      </c>
      <c r="F39" s="1">
        <f t="shared" si="22"/>
        <v>0</v>
      </c>
      <c r="G39" s="1">
        <f t="shared" si="22"/>
        <v>0</v>
      </c>
      <c r="H39" s="1">
        <f t="shared" si="22"/>
        <v>0</v>
      </c>
      <c r="I39" s="1">
        <f t="shared" si="22"/>
        <v>0</v>
      </c>
      <c r="J39" s="1">
        <f t="shared" si="22"/>
        <v>0</v>
      </c>
      <c r="K39" s="1">
        <f t="shared" si="22"/>
        <v>0</v>
      </c>
      <c r="L39" s="1">
        <f t="shared" si="22"/>
        <v>0</v>
      </c>
      <c r="M39" s="1">
        <f t="shared" si="22"/>
        <v>0</v>
      </c>
      <c r="N39" s="1">
        <f t="shared" si="22"/>
        <v>0</v>
      </c>
      <c r="O39" s="1">
        <f t="shared" ref="O39:X39" si="23">O20</f>
        <v>0</v>
      </c>
      <c r="P39" s="1">
        <f t="shared" si="23"/>
        <v>0</v>
      </c>
      <c r="Q39" s="1">
        <f t="shared" si="23"/>
        <v>0</v>
      </c>
      <c r="R39" s="1">
        <f t="shared" si="23"/>
        <v>0</v>
      </c>
      <c r="S39" s="1">
        <f t="shared" si="23"/>
        <v>0</v>
      </c>
      <c r="T39" s="1">
        <f t="shared" si="23"/>
        <v>0</v>
      </c>
      <c r="U39" s="1">
        <f t="shared" si="23"/>
        <v>0</v>
      </c>
      <c r="V39" s="1">
        <f t="shared" si="23"/>
        <v>0</v>
      </c>
      <c r="W39" s="1">
        <f t="shared" si="23"/>
        <v>0</v>
      </c>
      <c r="X39" s="1">
        <f t="shared" si="23"/>
        <v>0</v>
      </c>
    </row>
    <row r="40" spans="1:26" customFormat="1" outlineLevel="1">
      <c r="B40" s="346" t="s">
        <v>20</v>
      </c>
      <c r="C40" s="46"/>
      <c r="D40" s="46"/>
      <c r="E40" s="46"/>
      <c r="F40" s="46"/>
      <c r="G40" s="46">
        <f t="shared" ref="G40:N40" si="24">(G39*G36+F39*F37+E38*E39)*G24/1000000</f>
        <v>0</v>
      </c>
      <c r="H40" s="46">
        <f t="shared" si="24"/>
        <v>0</v>
      </c>
      <c r="I40" s="46">
        <f t="shared" si="24"/>
        <v>0</v>
      </c>
      <c r="J40" s="46">
        <f t="shared" si="24"/>
        <v>0</v>
      </c>
      <c r="K40" s="46">
        <f t="shared" si="24"/>
        <v>0</v>
      </c>
      <c r="L40" s="46">
        <f t="shared" si="24"/>
        <v>0</v>
      </c>
      <c r="M40" s="46">
        <f t="shared" si="24"/>
        <v>0</v>
      </c>
      <c r="N40" s="46">
        <f t="shared" si="24"/>
        <v>0</v>
      </c>
      <c r="O40" s="46">
        <f t="shared" ref="O40:X40" si="25">(O39*O36+N39*N37+M38*M39)*O24/1000000</f>
        <v>0</v>
      </c>
      <c r="P40" s="46">
        <f t="shared" si="25"/>
        <v>0</v>
      </c>
      <c r="Q40" s="46">
        <f t="shared" si="25"/>
        <v>0</v>
      </c>
      <c r="R40" s="46">
        <f t="shared" si="25"/>
        <v>0</v>
      </c>
      <c r="S40" s="46">
        <f t="shared" si="25"/>
        <v>0</v>
      </c>
      <c r="T40" s="46">
        <f t="shared" si="25"/>
        <v>0</v>
      </c>
      <c r="U40" s="46">
        <f t="shared" si="25"/>
        <v>0</v>
      </c>
      <c r="V40" s="46">
        <f t="shared" si="25"/>
        <v>0</v>
      </c>
      <c r="W40" s="46">
        <f t="shared" si="25"/>
        <v>0</v>
      </c>
      <c r="X40" s="46">
        <f t="shared" si="25"/>
        <v>0</v>
      </c>
    </row>
    <row r="41" spans="1:26" customFormat="1">
      <c r="B41" s="353" t="s">
        <v>23</v>
      </c>
      <c r="C41" s="367"/>
      <c r="D41" s="367"/>
      <c r="E41" s="367"/>
      <c r="F41" s="367"/>
      <c r="G41" s="367">
        <f t="shared" ref="G41:N41" si="26">G40+G29</f>
        <v>0</v>
      </c>
      <c r="H41" s="367">
        <f t="shared" si="26"/>
        <v>0</v>
      </c>
      <c r="I41" s="367">
        <f t="shared" si="26"/>
        <v>0</v>
      </c>
      <c r="J41" s="367">
        <f t="shared" si="26"/>
        <v>0</v>
      </c>
      <c r="K41" s="367">
        <f t="shared" si="26"/>
        <v>0</v>
      </c>
      <c r="L41" s="367">
        <f t="shared" si="26"/>
        <v>0</v>
      </c>
      <c r="M41" s="367">
        <f t="shared" si="26"/>
        <v>0</v>
      </c>
      <c r="N41" s="367">
        <f t="shared" si="26"/>
        <v>0</v>
      </c>
      <c r="O41" s="367">
        <f t="shared" ref="O41:X41" si="27">O40+O29</f>
        <v>0</v>
      </c>
      <c r="P41" s="367">
        <f t="shared" si="27"/>
        <v>0</v>
      </c>
      <c r="Q41" s="367">
        <f t="shared" si="27"/>
        <v>0</v>
      </c>
      <c r="R41" s="367">
        <f t="shared" si="27"/>
        <v>0</v>
      </c>
      <c r="S41" s="367">
        <f t="shared" si="27"/>
        <v>0</v>
      </c>
      <c r="T41" s="367">
        <f t="shared" si="27"/>
        <v>0</v>
      </c>
      <c r="U41" s="367">
        <f t="shared" si="27"/>
        <v>0</v>
      </c>
      <c r="V41" s="367">
        <f t="shared" si="27"/>
        <v>0</v>
      </c>
      <c r="W41" s="367">
        <f t="shared" si="27"/>
        <v>0</v>
      </c>
      <c r="X41" s="367">
        <f t="shared" si="27"/>
        <v>0</v>
      </c>
      <c r="Z41" s="78"/>
    </row>
    <row r="42" spans="1:26" customFormat="1">
      <c r="Z42" s="35"/>
    </row>
    <row r="43" spans="1:26" customFormat="1">
      <c r="B43" s="486" t="s">
        <v>24</v>
      </c>
      <c r="C43" s="482">
        <f t="shared" ref="C43:X43" si="28">C41+C29</f>
        <v>0</v>
      </c>
      <c r="D43" s="482">
        <f t="shared" si="28"/>
        <v>0</v>
      </c>
      <c r="E43" s="482">
        <f t="shared" si="28"/>
        <v>0</v>
      </c>
      <c r="F43" s="482">
        <f t="shared" si="28"/>
        <v>0</v>
      </c>
      <c r="G43" s="482">
        <f t="shared" si="28"/>
        <v>0</v>
      </c>
      <c r="H43" s="482">
        <f t="shared" si="28"/>
        <v>0</v>
      </c>
      <c r="I43" s="482">
        <f t="shared" si="28"/>
        <v>0</v>
      </c>
      <c r="J43" s="482">
        <f t="shared" si="28"/>
        <v>0</v>
      </c>
      <c r="K43" s="482">
        <f t="shared" si="28"/>
        <v>0</v>
      </c>
      <c r="L43" s="482">
        <f t="shared" si="28"/>
        <v>0</v>
      </c>
      <c r="M43" s="482">
        <f t="shared" si="28"/>
        <v>0</v>
      </c>
      <c r="N43" s="482">
        <f t="shared" si="28"/>
        <v>0</v>
      </c>
      <c r="O43" s="482">
        <f t="shared" si="28"/>
        <v>0</v>
      </c>
      <c r="P43" s="482">
        <f t="shared" si="28"/>
        <v>0</v>
      </c>
      <c r="Q43" s="482">
        <f t="shared" si="28"/>
        <v>0</v>
      </c>
      <c r="R43" s="482">
        <f t="shared" si="28"/>
        <v>0</v>
      </c>
      <c r="S43" s="482">
        <f t="shared" si="28"/>
        <v>0</v>
      </c>
      <c r="T43" s="482">
        <f t="shared" si="28"/>
        <v>0</v>
      </c>
      <c r="U43" s="482">
        <f t="shared" si="28"/>
        <v>0</v>
      </c>
      <c r="V43" s="482">
        <f t="shared" si="28"/>
        <v>0</v>
      </c>
      <c r="W43" s="482">
        <f t="shared" si="28"/>
        <v>0</v>
      </c>
      <c r="X43" s="482">
        <f t="shared" si="28"/>
        <v>0</v>
      </c>
    </row>
    <row r="44" spans="1:26" customFormat="1">
      <c r="B44" s="27" t="s">
        <v>21</v>
      </c>
      <c r="C44" s="89"/>
      <c r="D44" s="89"/>
      <c r="E44" s="89"/>
      <c r="F44" s="89"/>
      <c r="G44" s="89"/>
      <c r="H44" s="89"/>
      <c r="I44" s="89"/>
      <c r="J44" s="89"/>
      <c r="K44" s="89"/>
      <c r="L44" s="89"/>
      <c r="M44" s="89"/>
      <c r="N44" s="89"/>
    </row>
    <row r="45" spans="1:26" ht="13.5" thickBot="1"/>
    <row r="46" spans="1:26">
      <c r="A46" s="489" t="s">
        <v>8</v>
      </c>
      <c r="B46" s="488" t="s">
        <v>968</v>
      </c>
      <c r="C46" s="488"/>
      <c r="D46" s="488"/>
      <c r="E46" s="488"/>
      <c r="F46" s="488"/>
      <c r="G46" s="488"/>
      <c r="H46" s="488"/>
      <c r="I46" s="488"/>
      <c r="J46" s="488"/>
      <c r="K46" s="488"/>
      <c r="L46" s="488"/>
      <c r="M46" s="488"/>
      <c r="N46" s="488"/>
      <c r="O46" s="488"/>
      <c r="P46" s="488"/>
      <c r="Q46" s="488"/>
      <c r="R46" s="488"/>
      <c r="S46" s="488"/>
      <c r="T46" s="488"/>
      <c r="U46" s="488"/>
      <c r="V46" s="488"/>
      <c r="W46" s="488"/>
      <c r="X46" s="488"/>
    </row>
    <row r="47" spans="1:26">
      <c r="A47" s="489" t="s">
        <v>8</v>
      </c>
      <c r="B47" s="349" t="s">
        <v>969</v>
      </c>
      <c r="C47" s="363">
        <v>49602.619198072018</v>
      </c>
      <c r="D47" s="363">
        <v>51352.710174014181</v>
      </c>
      <c r="E47" s="363">
        <v>53032.10667923461</v>
      </c>
      <c r="F47" s="363">
        <v>54764.470679611652</v>
      </c>
      <c r="G47" s="363">
        <v>55267.308793770004</v>
      </c>
      <c r="H47" s="363">
        <v>57642.339825875402</v>
      </c>
      <c r="I47" s="363">
        <v>59844.919072311401</v>
      </c>
      <c r="J47" s="363">
        <v>61877.901072775203</v>
      </c>
      <c r="K47" s="363">
        <v>63743.741457640266</v>
      </c>
      <c r="L47" s="363">
        <v>65444.507545135282</v>
      </c>
      <c r="M47" s="363">
        <v>66981.888094959315</v>
      </c>
      <c r="N47" s="363">
        <v>68357.202250434886</v>
      </c>
      <c r="O47" s="363">
        <v>69571.407699380303</v>
      </c>
      <c r="P47" s="363">
        <v>70625.1080820481</v>
      </c>
      <c r="Q47" s="363">
        <v>71518.559672723786</v>
      </c>
      <c r="R47" s="363">
        <v>72251.677359903435</v>
      </c>
      <c r="S47" s="363">
        <v>72824.039948366873</v>
      </c>
      <c r="T47" s="363">
        <v>73234.894804929558</v>
      </c>
      <c r="U47" s="363">
        <v>73483.161868188763</v>
      </c>
      <c r="V47" s="363">
        <v>73567.437041173558</v>
      </c>
      <c r="W47" s="363">
        <v>73485.994984459918</v>
      </c>
      <c r="X47" s="363">
        <v>73236.79132602051</v>
      </c>
    </row>
    <row r="48" spans="1:26" outlineLevel="1">
      <c r="A48" s="489" t="s">
        <v>8</v>
      </c>
      <c r="B48" s="481" t="s">
        <v>662</v>
      </c>
      <c r="C48" s="479"/>
      <c r="D48" s="479"/>
      <c r="E48" s="479"/>
      <c r="F48" s="479"/>
      <c r="G48" s="479"/>
      <c r="H48" s="479">
        <v>0.30075641833221178</v>
      </c>
      <c r="I48" s="479">
        <v>0.30977911088217813</v>
      </c>
      <c r="J48" s="479">
        <v>0.31907248420864348</v>
      </c>
      <c r="K48" s="479">
        <v>0.32864465873490278</v>
      </c>
      <c r="L48" s="479">
        <v>0.3385039984969499</v>
      </c>
      <c r="M48" s="479">
        <v>0.34865911845185843</v>
      </c>
      <c r="N48" s="479">
        <v>0.35911889200541419</v>
      </c>
      <c r="O48" s="479">
        <v>0.36989245876557664</v>
      </c>
      <c r="P48" s="479">
        <v>0.38098923252854394</v>
      </c>
      <c r="Q48" s="479">
        <v>0.39241890950440028</v>
      </c>
      <c r="R48" s="479">
        <v>0.40419147678953232</v>
      </c>
      <c r="S48" s="479">
        <v>0.41631722109321828</v>
      </c>
      <c r="T48" s="479">
        <v>0.42880673772601485</v>
      </c>
      <c r="U48" s="479">
        <v>0.44167093985779532</v>
      </c>
      <c r="V48" s="479">
        <v>0.45492106805352917</v>
      </c>
      <c r="W48" s="479">
        <v>0.46856870009513507</v>
      </c>
      <c r="X48" s="479">
        <v>0.48262576109798916</v>
      </c>
    </row>
    <row r="49" spans="1:27" outlineLevel="1">
      <c r="A49" s="489" t="s">
        <v>8</v>
      </c>
      <c r="B49" s="481" t="s">
        <v>970</v>
      </c>
      <c r="C49" s="479"/>
      <c r="D49" s="479"/>
      <c r="E49" s="479"/>
      <c r="F49" s="479"/>
      <c r="G49" s="479"/>
      <c r="H49" s="479">
        <v>0.29199652265263282</v>
      </c>
      <c r="I49" s="479">
        <v>0.3</v>
      </c>
      <c r="J49" s="479">
        <v>0.3</v>
      </c>
      <c r="K49" s="479">
        <v>0.3</v>
      </c>
      <c r="L49" s="479">
        <v>0.30599999999999999</v>
      </c>
      <c r="M49" s="479">
        <v>0.31212000000000001</v>
      </c>
      <c r="N49" s="479">
        <v>0.31836239999999999</v>
      </c>
      <c r="O49" s="479">
        <v>0.31517877599999999</v>
      </c>
      <c r="P49" s="479">
        <v>0.31202698823999997</v>
      </c>
      <c r="Q49" s="479">
        <v>0.30890671835759997</v>
      </c>
      <c r="R49" s="479">
        <v>0.30581765117402399</v>
      </c>
      <c r="S49" s="479">
        <v>0.30275947466228376</v>
      </c>
      <c r="T49" s="479">
        <v>0.30275947466228376</v>
      </c>
      <c r="U49" s="479">
        <v>0.30275947466228376</v>
      </c>
      <c r="V49" s="479">
        <v>0.30275947466228376</v>
      </c>
      <c r="W49" s="479">
        <v>0.30275947466228376</v>
      </c>
      <c r="X49" s="479">
        <v>0.30275947466228376</v>
      </c>
    </row>
    <row r="50" spans="1:27" outlineLevel="1">
      <c r="A50" s="489" t="s">
        <v>8</v>
      </c>
      <c r="B50" s="481" t="s">
        <v>664</v>
      </c>
      <c r="C50" s="479"/>
      <c r="D50" s="479"/>
      <c r="E50" s="479"/>
      <c r="F50" s="479"/>
      <c r="G50" s="479"/>
      <c r="H50" s="479">
        <v>0.29199652265263282</v>
      </c>
      <c r="I50" s="479">
        <v>0.3</v>
      </c>
      <c r="J50" s="479">
        <v>0.3</v>
      </c>
      <c r="K50" s="479">
        <v>0.3</v>
      </c>
      <c r="L50" s="479">
        <v>0.30599999999999999</v>
      </c>
      <c r="M50" s="479">
        <v>0.31212000000000001</v>
      </c>
      <c r="N50" s="479">
        <v>0.31836239999999999</v>
      </c>
      <c r="O50" s="479">
        <v>0.31517877599999999</v>
      </c>
      <c r="P50" s="479">
        <v>0.31202698823999997</v>
      </c>
      <c r="Q50" s="479">
        <v>0.30890671835759997</v>
      </c>
      <c r="R50" s="479">
        <v>0.30581765117402399</v>
      </c>
      <c r="S50" s="479">
        <v>0.30275947466228376</v>
      </c>
      <c r="T50" s="479">
        <v>0.30275947466228376</v>
      </c>
      <c r="U50" s="479">
        <v>0.30275947466228376</v>
      </c>
      <c r="V50" s="479">
        <v>0.30275947466228376</v>
      </c>
      <c r="W50" s="479">
        <v>0.30275947466228376</v>
      </c>
      <c r="X50" s="479">
        <v>0.30275947466228376</v>
      </c>
    </row>
    <row r="51" spans="1:27">
      <c r="A51" s="490" t="s">
        <v>591</v>
      </c>
      <c r="B51" s="502" t="s">
        <v>971</v>
      </c>
      <c r="C51" s="476">
        <v>0.29552691912142703</v>
      </c>
      <c r="D51" s="476">
        <v>0.29464033836406273</v>
      </c>
      <c r="E51" s="476">
        <v>0.29375641734897051</v>
      </c>
      <c r="F51" s="476">
        <v>0.29287514809692361</v>
      </c>
      <c r="G51" s="476">
        <v>0.29199652265263282</v>
      </c>
      <c r="H51" s="484">
        <f t="shared" ref="H51:X51" si="29">CHOOSE($J$1,H48,H49,H50)</f>
        <v>0.29199652265263282</v>
      </c>
      <c r="I51" s="484">
        <f t="shared" si="29"/>
        <v>0.3</v>
      </c>
      <c r="J51" s="484">
        <f t="shared" si="29"/>
        <v>0.3</v>
      </c>
      <c r="K51" s="484">
        <f t="shared" si="29"/>
        <v>0.3</v>
      </c>
      <c r="L51" s="484">
        <f t="shared" si="29"/>
        <v>0.30599999999999999</v>
      </c>
      <c r="M51" s="484">
        <f t="shared" si="29"/>
        <v>0.31212000000000001</v>
      </c>
      <c r="N51" s="484">
        <f t="shared" si="29"/>
        <v>0.31836239999999999</v>
      </c>
      <c r="O51" s="484">
        <f t="shared" si="29"/>
        <v>0.31517877599999999</v>
      </c>
      <c r="P51" s="484">
        <f t="shared" si="29"/>
        <v>0.31202698823999997</v>
      </c>
      <c r="Q51" s="484">
        <f t="shared" si="29"/>
        <v>0.30890671835759997</v>
      </c>
      <c r="R51" s="484">
        <f t="shared" si="29"/>
        <v>0.30581765117402399</v>
      </c>
      <c r="S51" s="484">
        <f t="shared" si="29"/>
        <v>0.30275947466228376</v>
      </c>
      <c r="T51" s="484">
        <f t="shared" si="29"/>
        <v>0.30275947466228376</v>
      </c>
      <c r="U51" s="484">
        <f t="shared" si="29"/>
        <v>0.30275947466228376</v>
      </c>
      <c r="V51" s="484">
        <f t="shared" si="29"/>
        <v>0.30275947466228376</v>
      </c>
      <c r="W51" s="484">
        <f t="shared" si="29"/>
        <v>0.30275947466228376</v>
      </c>
      <c r="X51" s="484">
        <f t="shared" si="29"/>
        <v>0.30275947466228376</v>
      </c>
    </row>
    <row r="52" spans="1:27">
      <c r="A52" s="489" t="s">
        <v>8</v>
      </c>
      <c r="B52" s="348" t="s">
        <v>972</v>
      </c>
      <c r="C52" s="85">
        <v>0.19110740769852283</v>
      </c>
      <c r="D52" s="85">
        <v>0.19053408547542727</v>
      </c>
      <c r="E52" s="85">
        <v>0.189962483219001</v>
      </c>
      <c r="F52" s="613">
        <v>0.189392595769344</v>
      </c>
      <c r="G52" s="613">
        <v>0.18882441798203597</v>
      </c>
      <c r="H52" s="613">
        <v>0.19071266216185634</v>
      </c>
      <c r="I52" s="613">
        <v>0.19261978878347491</v>
      </c>
      <c r="J52" s="613">
        <v>0.19454598667130965</v>
      </c>
      <c r="K52" s="613">
        <v>0.19649144653802275</v>
      </c>
      <c r="L52" s="613">
        <v>0.19845636100340297</v>
      </c>
      <c r="M52" s="613">
        <v>0.20044092461343699</v>
      </c>
      <c r="N52" s="613">
        <v>0.20244533385957136</v>
      </c>
      <c r="O52" s="613">
        <v>0.20446978719816708</v>
      </c>
      <c r="P52" s="613">
        <v>0.20651448507014875</v>
      </c>
      <c r="Q52" s="613">
        <v>0.20857962992085025</v>
      </c>
      <c r="R52" s="613">
        <v>0.21066542622005874</v>
      </c>
      <c r="S52" s="613">
        <v>0.21277208048225932</v>
      </c>
      <c r="T52" s="613">
        <v>0.21489980128708192</v>
      </c>
      <c r="U52" s="613">
        <v>0.21704879929995274</v>
      </c>
      <c r="V52" s="613">
        <v>0.21921928729295229</v>
      </c>
      <c r="W52" s="613">
        <v>0.2214114801658818</v>
      </c>
      <c r="X52" s="613">
        <v>0.22362559496754061</v>
      </c>
      <c r="Y52" s="617"/>
      <c r="Z52" s="617"/>
      <c r="AA52" s="617"/>
    </row>
    <row r="53" spans="1:27">
      <c r="A53" s="489" t="s">
        <v>8</v>
      </c>
      <c r="B53" s="348" t="s">
        <v>973</v>
      </c>
      <c r="C53" s="613">
        <v>8.6565869130434903E-2</v>
      </c>
      <c r="D53" s="613">
        <v>8.6479303261304472E-2</v>
      </c>
      <c r="E53" s="613">
        <v>8.6392823958043166E-2</v>
      </c>
      <c r="F53" s="613">
        <v>8.6306431134085121E-2</v>
      </c>
      <c r="G53" s="613">
        <v>8.622012470295104E-2</v>
      </c>
      <c r="H53" s="613">
        <v>8.8661469869754428E-2</v>
      </c>
      <c r="I53" s="613">
        <v>8.3037159353926304E-2</v>
      </c>
      <c r="J53" s="613">
        <v>8.5354391984717504E-2</v>
      </c>
      <c r="K53" s="694">
        <v>8.7609928331444098E-2</v>
      </c>
      <c r="L53" s="613">
        <v>8.3804000117369215E-2</v>
      </c>
      <c r="M53" s="613">
        <v>7.9816832896127565E-2</v>
      </c>
      <c r="N53" s="613">
        <v>7.564624607489745E-2</v>
      </c>
      <c r="O53" s="613">
        <v>8.0840876936957073E-2</v>
      </c>
      <c r="P53" s="613">
        <v>8.5943072423624201E-2</v>
      </c>
      <c r="Q53" s="613">
        <v>9.0953351997984988E-2</v>
      </c>
      <c r="R53" s="613">
        <v>9.5872225879588047E-2</v>
      </c>
      <c r="S53" s="613">
        <v>0.10070019509639111</v>
      </c>
      <c r="T53" s="613">
        <v>0.10241015678915916</v>
      </c>
      <c r="U53" s="613">
        <v>0.1040604644489031</v>
      </c>
      <c r="V53" s="613">
        <v>0.10565128907179222</v>
      </c>
      <c r="W53" s="613">
        <v>0.1071827956885924</v>
      </c>
      <c r="X53" s="613">
        <v>0.10865514338176596</v>
      </c>
      <c r="Y53" s="623"/>
      <c r="Z53" s="617"/>
      <c r="AA53" s="617"/>
    </row>
    <row r="54" spans="1:27">
      <c r="B54" s="348" t="s">
        <v>974</v>
      </c>
      <c r="C54" s="85">
        <f>1-C51-C52-C53</f>
        <v>0.42679980404961521</v>
      </c>
      <c r="D54" s="85">
        <f t="shared" ref="D54:N54" si="30">1-D51-D52-D53</f>
        <v>0.42834627289920546</v>
      </c>
      <c r="E54" s="85">
        <f t="shared" si="30"/>
        <v>0.42988827547398534</v>
      </c>
      <c r="F54" s="613">
        <f t="shared" si="30"/>
        <v>0.43142582499964732</v>
      </c>
      <c r="G54" s="613">
        <f t="shared" si="30"/>
        <v>0.43295893466238011</v>
      </c>
      <c r="H54" s="613">
        <f t="shared" si="30"/>
        <v>0.42862934531575636</v>
      </c>
      <c r="I54" s="613">
        <f t="shared" si="30"/>
        <v>0.4243430518625988</v>
      </c>
      <c r="J54" s="613">
        <f t="shared" si="30"/>
        <v>0.42009962134397283</v>
      </c>
      <c r="K54" s="613">
        <f t="shared" si="30"/>
        <v>0.41589862513053311</v>
      </c>
      <c r="L54" s="613">
        <f t="shared" si="30"/>
        <v>0.41173963887922777</v>
      </c>
      <c r="M54" s="613">
        <f t="shared" si="30"/>
        <v>0.40762224249043549</v>
      </c>
      <c r="N54" s="613">
        <f t="shared" si="30"/>
        <v>0.40354602006553114</v>
      </c>
      <c r="O54" s="613">
        <f t="shared" ref="O54:X54" si="31">1-O51-O52-O53</f>
        <v>0.39951055986487582</v>
      </c>
      <c r="P54" s="613">
        <f t="shared" si="31"/>
        <v>0.39551545426622708</v>
      </c>
      <c r="Q54" s="613">
        <f t="shared" si="31"/>
        <v>0.39156029972356482</v>
      </c>
      <c r="R54" s="613">
        <f t="shared" si="31"/>
        <v>0.38764469672632917</v>
      </c>
      <c r="S54" s="613">
        <f t="shared" si="31"/>
        <v>0.38376824975906587</v>
      </c>
      <c r="T54" s="613">
        <f t="shared" si="31"/>
        <v>0.37993056726147523</v>
      </c>
      <c r="U54" s="613">
        <f t="shared" si="31"/>
        <v>0.37613126158886045</v>
      </c>
      <c r="V54" s="613">
        <f t="shared" si="31"/>
        <v>0.37236994897297182</v>
      </c>
      <c r="W54" s="613">
        <f t="shared" si="31"/>
        <v>0.36864624948324209</v>
      </c>
      <c r="X54" s="613">
        <f t="shared" si="31"/>
        <v>0.3649597869884097</v>
      </c>
      <c r="Y54" s="617"/>
      <c r="Z54" s="617"/>
      <c r="AA54" s="617"/>
    </row>
    <row r="56" spans="1:27">
      <c r="A56" s="489" t="s">
        <v>8</v>
      </c>
      <c r="B56" s="503" t="s">
        <v>25</v>
      </c>
      <c r="C56" s="503"/>
      <c r="D56" s="503"/>
      <c r="E56" s="503"/>
      <c r="F56" s="503"/>
      <c r="G56" s="503"/>
      <c r="H56" s="503"/>
      <c r="I56" s="503"/>
      <c r="J56" s="503"/>
      <c r="K56" s="503"/>
      <c r="L56" s="503"/>
      <c r="M56" s="503"/>
      <c r="N56" s="503"/>
      <c r="O56" s="503"/>
      <c r="P56" s="503"/>
      <c r="Q56" s="503"/>
      <c r="R56" s="503"/>
      <c r="S56" s="503"/>
      <c r="T56" s="503"/>
      <c r="U56" s="503"/>
      <c r="V56" s="503"/>
      <c r="W56" s="503"/>
      <c r="X56" s="503"/>
    </row>
    <row r="57" spans="1:27">
      <c r="A57" s="489" t="s">
        <v>8</v>
      </c>
      <c r="B57" s="348" t="s">
        <v>204</v>
      </c>
    </row>
    <row r="58" spans="1:27" outlineLevel="1">
      <c r="A58" s="489" t="s">
        <v>8</v>
      </c>
      <c r="B58" s="478" t="s">
        <v>662</v>
      </c>
      <c r="C58" s="485"/>
      <c r="D58" s="485"/>
      <c r="E58" s="485"/>
      <c r="F58" s="485"/>
      <c r="G58" s="485"/>
      <c r="H58" s="485"/>
      <c r="I58" s="479">
        <v>0.13500000000000001</v>
      </c>
      <c r="J58" s="479">
        <v>0.15000000000000002</v>
      </c>
      <c r="K58" s="479">
        <v>0.16500000000000001</v>
      </c>
      <c r="L58" s="479">
        <v>0.18</v>
      </c>
      <c r="M58" s="479">
        <v>0.19350000000000001</v>
      </c>
      <c r="N58" s="479">
        <v>0.20801249999999999</v>
      </c>
      <c r="O58" s="479">
        <v>0.22361343749999998</v>
      </c>
      <c r="P58" s="479">
        <v>0.24038444531249997</v>
      </c>
      <c r="Q58" s="479">
        <v>0.24639405644531248</v>
      </c>
      <c r="R58" s="479">
        <v>0.25255390785644527</v>
      </c>
      <c r="S58" s="479">
        <v>0.25886775555285635</v>
      </c>
      <c r="T58" s="479">
        <v>0.26533944944167775</v>
      </c>
      <c r="U58" s="479">
        <v>0.27197293567771963</v>
      </c>
      <c r="V58" s="479">
        <v>0.27877225906966263</v>
      </c>
      <c r="W58" s="479">
        <v>0.28574156554640417</v>
      </c>
      <c r="X58" s="479">
        <v>0.29288510468506423</v>
      </c>
    </row>
    <row r="59" spans="1:27" outlineLevel="1">
      <c r="A59" s="489" t="s">
        <v>8</v>
      </c>
      <c r="B59" s="478" t="s">
        <v>970</v>
      </c>
      <c r="C59" s="485"/>
      <c r="D59" s="485"/>
      <c r="E59" s="485"/>
      <c r="F59" s="485"/>
      <c r="G59" s="485"/>
      <c r="H59" s="485"/>
      <c r="I59" s="479">
        <v>0.09</v>
      </c>
      <c r="J59" s="479">
        <v>0.1</v>
      </c>
      <c r="K59" s="479">
        <v>0.11</v>
      </c>
      <c r="L59" s="479">
        <v>0.12</v>
      </c>
      <c r="M59" s="479">
        <v>0.129</v>
      </c>
      <c r="N59" s="479">
        <v>0.13867499999999999</v>
      </c>
      <c r="O59" s="479">
        <v>0.14907562499999999</v>
      </c>
      <c r="P59" s="479">
        <v>0.16025629687499998</v>
      </c>
      <c r="Q59" s="479">
        <v>0.16426270429687498</v>
      </c>
      <c r="R59" s="479">
        <v>0.16836927190429685</v>
      </c>
      <c r="S59" s="479">
        <v>0.17257850370190425</v>
      </c>
      <c r="T59" s="479">
        <v>0.17689296629445184</v>
      </c>
      <c r="U59" s="479">
        <v>0.1813152904518131</v>
      </c>
      <c r="V59" s="479">
        <v>0.18584817271310841</v>
      </c>
      <c r="W59" s="479">
        <v>0.19049437703093611</v>
      </c>
      <c r="X59" s="479">
        <v>0.19525673645670949</v>
      </c>
    </row>
    <row r="60" spans="1:27" outlineLevel="1">
      <c r="A60" s="489" t="s">
        <v>8</v>
      </c>
      <c r="B60" s="478" t="s">
        <v>664</v>
      </c>
      <c r="C60" s="485"/>
      <c r="D60" s="485"/>
      <c r="E60" s="485"/>
      <c r="F60" s="485"/>
      <c r="G60" s="485"/>
      <c r="H60" s="485"/>
      <c r="I60" s="479">
        <v>0</v>
      </c>
      <c r="J60" s="479">
        <v>0</v>
      </c>
      <c r="K60" s="479">
        <v>0</v>
      </c>
      <c r="L60" s="479">
        <v>0</v>
      </c>
      <c r="M60" s="479">
        <v>0</v>
      </c>
      <c r="N60" s="479">
        <v>0</v>
      </c>
      <c r="O60" s="479">
        <v>0</v>
      </c>
      <c r="P60" s="479">
        <v>0</v>
      </c>
      <c r="Q60" s="479">
        <v>0</v>
      </c>
      <c r="R60" s="479">
        <v>0</v>
      </c>
      <c r="S60" s="479">
        <v>0</v>
      </c>
      <c r="T60" s="479">
        <v>0</v>
      </c>
      <c r="U60" s="479">
        <v>0</v>
      </c>
      <c r="V60" s="479">
        <v>0</v>
      </c>
      <c r="W60" s="479">
        <v>0</v>
      </c>
      <c r="X60" s="479">
        <v>0</v>
      </c>
    </row>
    <row r="61" spans="1:27">
      <c r="A61" s="490" t="s">
        <v>591</v>
      </c>
      <c r="B61" s="478" t="s">
        <v>975</v>
      </c>
      <c r="C61" s="485"/>
      <c r="D61" s="485"/>
      <c r="E61" s="485"/>
      <c r="F61" s="485"/>
      <c r="G61" s="485"/>
      <c r="H61" s="485"/>
      <c r="I61" s="484">
        <f t="shared" ref="I61:N61" si="32">CHOOSE($J$1,I58,I59,I60)</f>
        <v>0.09</v>
      </c>
      <c r="J61" s="484">
        <f t="shared" si="32"/>
        <v>0.1</v>
      </c>
      <c r="K61" s="484">
        <f t="shared" si="32"/>
        <v>0.11</v>
      </c>
      <c r="L61" s="484">
        <f t="shared" si="32"/>
        <v>0.12</v>
      </c>
      <c r="M61" s="484">
        <f t="shared" si="32"/>
        <v>0.129</v>
      </c>
      <c r="N61" s="484">
        <f t="shared" si="32"/>
        <v>0.13867499999999999</v>
      </c>
      <c r="O61" s="484">
        <f t="shared" ref="O61:X61" si="33">CHOOSE($J$1,O58,O59,O60)</f>
        <v>0.14907562499999999</v>
      </c>
      <c r="P61" s="484">
        <f t="shared" si="33"/>
        <v>0.16025629687499998</v>
      </c>
      <c r="Q61" s="484">
        <f t="shared" si="33"/>
        <v>0.16426270429687498</v>
      </c>
      <c r="R61" s="484">
        <f t="shared" si="33"/>
        <v>0.16836927190429685</v>
      </c>
      <c r="S61" s="484">
        <f t="shared" si="33"/>
        <v>0.17257850370190425</v>
      </c>
      <c r="T61" s="484">
        <f t="shared" si="33"/>
        <v>0.17689296629445184</v>
      </c>
      <c r="U61" s="484">
        <f t="shared" si="33"/>
        <v>0.1813152904518131</v>
      </c>
      <c r="V61" s="484">
        <f t="shared" si="33"/>
        <v>0.18584817271310841</v>
      </c>
      <c r="W61" s="484">
        <f t="shared" si="33"/>
        <v>0.19049437703093611</v>
      </c>
      <c r="X61" s="484">
        <f t="shared" si="33"/>
        <v>0.19525673645670949</v>
      </c>
    </row>
    <row r="62" spans="1:27">
      <c r="B62" s="346" t="s">
        <v>236</v>
      </c>
      <c r="C62" s="85">
        <f>1-C61</f>
        <v>1</v>
      </c>
      <c r="D62" s="85">
        <f t="shared" ref="D62:N62" si="34">1-D61</f>
        <v>1</v>
      </c>
      <c r="E62" s="85">
        <f t="shared" si="34"/>
        <v>1</v>
      </c>
      <c r="F62" s="85">
        <f t="shared" si="34"/>
        <v>1</v>
      </c>
      <c r="G62" s="85">
        <f t="shared" si="34"/>
        <v>1</v>
      </c>
      <c r="H62" s="85">
        <f t="shared" si="34"/>
        <v>1</v>
      </c>
      <c r="I62" s="85">
        <f t="shared" si="34"/>
        <v>0.91</v>
      </c>
      <c r="J62" s="85">
        <f t="shared" si="34"/>
        <v>0.9</v>
      </c>
      <c r="K62" s="85">
        <f t="shared" si="34"/>
        <v>0.89</v>
      </c>
      <c r="L62" s="85">
        <f t="shared" si="34"/>
        <v>0.88</v>
      </c>
      <c r="M62" s="85">
        <f t="shared" si="34"/>
        <v>0.871</v>
      </c>
      <c r="N62" s="85">
        <f t="shared" si="34"/>
        <v>0.86132500000000001</v>
      </c>
      <c r="O62" s="85">
        <f t="shared" ref="O62:X62" si="35">1-O61</f>
        <v>0.85092437499999996</v>
      </c>
      <c r="P62" s="85">
        <f t="shared" si="35"/>
        <v>0.83974370312500002</v>
      </c>
      <c r="Q62" s="85">
        <f t="shared" si="35"/>
        <v>0.83573729570312505</v>
      </c>
      <c r="R62" s="85">
        <f t="shared" si="35"/>
        <v>0.83163072809570315</v>
      </c>
      <c r="S62" s="85">
        <f t="shared" si="35"/>
        <v>0.82742149629809569</v>
      </c>
      <c r="T62" s="85">
        <f t="shared" si="35"/>
        <v>0.82310703370554816</v>
      </c>
      <c r="U62" s="85">
        <f t="shared" si="35"/>
        <v>0.81868470954818684</v>
      </c>
      <c r="V62" s="85">
        <f t="shared" si="35"/>
        <v>0.81415182728689162</v>
      </c>
      <c r="W62" s="85">
        <f t="shared" si="35"/>
        <v>0.80950562296906392</v>
      </c>
      <c r="X62" s="85">
        <f t="shared" si="35"/>
        <v>0.80474326354329051</v>
      </c>
    </row>
    <row r="64" spans="1:27">
      <c r="B64" s="348" t="s">
        <v>976</v>
      </c>
    </row>
    <row r="65" spans="1:26">
      <c r="B65" s="346" t="s">
        <v>977</v>
      </c>
      <c r="C65" s="363">
        <f>C61*C51*C47</f>
        <v>0</v>
      </c>
      <c r="D65" s="363">
        <f t="shared" ref="D65:X65" si="36">D61*D51*D47</f>
        <v>0</v>
      </c>
      <c r="E65" s="363">
        <f t="shared" si="36"/>
        <v>0</v>
      </c>
      <c r="F65" s="363">
        <f t="shared" si="36"/>
        <v>0</v>
      </c>
      <c r="G65" s="363">
        <f t="shared" si="36"/>
        <v>0</v>
      </c>
      <c r="H65" s="363">
        <f t="shared" si="36"/>
        <v>0</v>
      </c>
      <c r="I65" s="363">
        <f t="shared" si="36"/>
        <v>1615.8128149524077</v>
      </c>
      <c r="J65" s="363">
        <f t="shared" si="36"/>
        <v>1856.337032183256</v>
      </c>
      <c r="K65" s="363">
        <f t="shared" si="36"/>
        <v>2103.5434681021288</v>
      </c>
      <c r="L65" s="363">
        <f t="shared" si="36"/>
        <v>2403.1223170573671</v>
      </c>
      <c r="M65" s="363">
        <f t="shared" si="36"/>
        <v>2696.9239116736326</v>
      </c>
      <c r="N65" s="363">
        <f t="shared" si="36"/>
        <v>3017.8956842731413</v>
      </c>
      <c r="O65" s="363">
        <f t="shared" si="36"/>
        <v>3268.8454993485593</v>
      </c>
      <c r="P65" s="363">
        <f t="shared" si="36"/>
        <v>3531.5583618319006</v>
      </c>
      <c r="Q65" s="363">
        <f t="shared" si="36"/>
        <v>3628.9842368856462</v>
      </c>
      <c r="R65" s="363">
        <f t="shared" si="36"/>
        <v>3720.260200555595</v>
      </c>
      <c r="S65" s="363">
        <f t="shared" si="36"/>
        <v>3805.0398561921393</v>
      </c>
      <c r="T65" s="363">
        <f t="shared" si="36"/>
        <v>3922.1696041476048</v>
      </c>
      <c r="U65" s="363">
        <f t="shared" si="36"/>
        <v>4033.8524453452869</v>
      </c>
      <c r="V65" s="363">
        <f t="shared" si="36"/>
        <v>4139.4406925100238</v>
      </c>
      <c r="W65" s="363">
        <f t="shared" si="36"/>
        <v>4238.2296224750144</v>
      </c>
      <c r="X65" s="363">
        <f t="shared" si="36"/>
        <v>4329.4534826883055</v>
      </c>
    </row>
    <row r="67" spans="1:26">
      <c r="B67" s="503" t="s">
        <v>978</v>
      </c>
      <c r="C67" s="503"/>
      <c r="D67" s="503"/>
      <c r="E67" s="503"/>
      <c r="F67" s="503"/>
      <c r="G67" s="503"/>
      <c r="H67" s="503"/>
      <c r="I67" s="503"/>
      <c r="J67" s="503"/>
      <c r="K67" s="503"/>
      <c r="L67" s="503"/>
      <c r="M67" s="503"/>
      <c r="N67" s="503"/>
      <c r="O67" s="503"/>
      <c r="P67" s="503"/>
      <c r="Q67" s="503"/>
      <c r="R67" s="503"/>
      <c r="S67" s="503"/>
      <c r="T67" s="503"/>
      <c r="U67" s="503"/>
      <c r="V67" s="503"/>
      <c r="W67" s="503"/>
      <c r="X67" s="503"/>
    </row>
    <row r="68" spans="1:26">
      <c r="B68" s="348" t="s">
        <v>204</v>
      </c>
    </row>
    <row r="69" spans="1:26">
      <c r="A69" s="489" t="s">
        <v>8</v>
      </c>
      <c r="B69" s="346" t="s">
        <v>975</v>
      </c>
      <c r="C69" s="369">
        <v>0</v>
      </c>
      <c r="D69" s="369">
        <v>0</v>
      </c>
      <c r="E69" s="369">
        <v>0</v>
      </c>
      <c r="F69" s="369">
        <v>4.9000000000000002E-2</v>
      </c>
      <c r="G69" s="369">
        <v>0.27500000000000002</v>
      </c>
      <c r="H69" s="369">
        <v>0.25</v>
      </c>
      <c r="I69" s="369">
        <v>0.26500000000000001</v>
      </c>
      <c r="J69" s="369">
        <v>0.3</v>
      </c>
      <c r="K69" s="369">
        <v>0.30299999999999999</v>
      </c>
      <c r="L69" s="369">
        <v>0.30602999999999997</v>
      </c>
      <c r="M69" s="369">
        <v>0.30602999999999997</v>
      </c>
      <c r="N69" s="369">
        <v>0.30602999999999997</v>
      </c>
      <c r="O69" s="369">
        <v>0.30602999999999997</v>
      </c>
      <c r="P69" s="369">
        <v>0.30602999999999997</v>
      </c>
      <c r="Q69" s="369">
        <v>0.30602999999999997</v>
      </c>
      <c r="R69" s="369">
        <v>0.30602999999999997</v>
      </c>
      <c r="S69" s="369">
        <v>0.30602999999999997</v>
      </c>
      <c r="T69" s="369">
        <v>0.30602999999999997</v>
      </c>
      <c r="U69" s="369">
        <v>0.30602999999999997</v>
      </c>
      <c r="V69" s="369">
        <v>0.30602999999999997</v>
      </c>
      <c r="W69" s="369">
        <v>0.30602999999999997</v>
      </c>
      <c r="X69" s="369">
        <v>0.30602999999999997</v>
      </c>
    </row>
    <row r="70" spans="1:26">
      <c r="B70" s="346" t="s">
        <v>236</v>
      </c>
      <c r="C70" s="87">
        <f>1-C69</f>
        <v>1</v>
      </c>
      <c r="D70" s="87">
        <f t="shared" ref="D70:N70" si="37">1-D69</f>
        <v>1</v>
      </c>
      <c r="E70" s="87">
        <f t="shared" si="37"/>
        <v>1</v>
      </c>
      <c r="F70" s="87">
        <f t="shared" si="37"/>
        <v>0.95099999999999996</v>
      </c>
      <c r="G70" s="87">
        <f t="shared" si="37"/>
        <v>0.72499999999999998</v>
      </c>
      <c r="H70" s="87">
        <f t="shared" si="37"/>
        <v>0.75</v>
      </c>
      <c r="I70" s="87">
        <f t="shared" si="37"/>
        <v>0.73499999999999999</v>
      </c>
      <c r="J70" s="87">
        <f t="shared" si="37"/>
        <v>0.7</v>
      </c>
      <c r="K70" s="87">
        <f t="shared" si="37"/>
        <v>0.69700000000000006</v>
      </c>
      <c r="L70" s="87">
        <f t="shared" si="37"/>
        <v>0.69396999999999998</v>
      </c>
      <c r="M70" s="87">
        <f t="shared" si="37"/>
        <v>0.69396999999999998</v>
      </c>
      <c r="N70" s="87">
        <f t="shared" si="37"/>
        <v>0.69396999999999998</v>
      </c>
      <c r="O70" s="87">
        <f t="shared" ref="O70:X70" si="38">1-O69</f>
        <v>0.69396999999999998</v>
      </c>
      <c r="P70" s="87">
        <f t="shared" si="38"/>
        <v>0.69396999999999998</v>
      </c>
      <c r="Q70" s="87">
        <f t="shared" si="38"/>
        <v>0.69396999999999998</v>
      </c>
      <c r="R70" s="87">
        <f t="shared" si="38"/>
        <v>0.69396999999999998</v>
      </c>
      <c r="S70" s="87">
        <f t="shared" si="38"/>
        <v>0.69396999999999998</v>
      </c>
      <c r="T70" s="87">
        <f t="shared" si="38"/>
        <v>0.69396999999999998</v>
      </c>
      <c r="U70" s="87">
        <f t="shared" si="38"/>
        <v>0.69396999999999998</v>
      </c>
      <c r="V70" s="87">
        <f t="shared" si="38"/>
        <v>0.69396999999999998</v>
      </c>
      <c r="W70" s="87">
        <f t="shared" si="38"/>
        <v>0.69396999999999998</v>
      </c>
      <c r="X70" s="87">
        <f t="shared" si="38"/>
        <v>0.69396999999999998</v>
      </c>
    </row>
    <row r="72" spans="1:26">
      <c r="B72" s="348" t="s">
        <v>976</v>
      </c>
    </row>
    <row r="73" spans="1:26">
      <c r="B73" s="346" t="s">
        <v>977</v>
      </c>
      <c r="C73" s="363">
        <f>C69*C52*C47</f>
        <v>0</v>
      </c>
      <c r="D73" s="363">
        <f t="shared" ref="D73:X73" si="39">D69*D52*D47</f>
        <v>0</v>
      </c>
      <c r="E73" s="363">
        <f t="shared" si="39"/>
        <v>0</v>
      </c>
      <c r="F73" s="363">
        <f t="shared" si="39"/>
        <v>508.2272776393433</v>
      </c>
      <c r="G73" s="363">
        <f t="shared" si="39"/>
        <v>2869.849789514697</v>
      </c>
      <c r="H73" s="363">
        <f t="shared" si="39"/>
        <v>2748.2810203577733</v>
      </c>
      <c r="I73" s="363">
        <f t="shared" si="39"/>
        <v>3054.7386529402843</v>
      </c>
      <c r="J73" s="363">
        <f t="shared" si="39"/>
        <v>3611.4291952058225</v>
      </c>
      <c r="K73" s="363">
        <f t="shared" si="39"/>
        <v>3795.1052899275123</v>
      </c>
      <c r="L73" s="363">
        <f t="shared" si="39"/>
        <v>3974.6805537750442</v>
      </c>
      <c r="M73" s="363">
        <f t="shared" si="39"/>
        <v>4108.7317214723316</v>
      </c>
      <c r="N73" s="363">
        <f t="shared" si="39"/>
        <v>4235.0257270753718</v>
      </c>
      <c r="O73" s="363">
        <f t="shared" si="39"/>
        <v>4353.3535413028003</v>
      </c>
      <c r="P73" s="363">
        <f t="shared" si="39"/>
        <v>4463.4805487827125</v>
      </c>
      <c r="Q73" s="363">
        <f t="shared" si="39"/>
        <v>4565.1458203980155</v>
      </c>
      <c r="R73" s="363">
        <f t="shared" si="39"/>
        <v>4658.0613321904802</v>
      </c>
      <c r="S73" s="363">
        <f t="shared" si="39"/>
        <v>4741.9111292894459</v>
      </c>
      <c r="T73" s="363">
        <f t="shared" si="39"/>
        <v>4816.3504332332968</v>
      </c>
      <c r="U73" s="363">
        <f t="shared" si="39"/>
        <v>4881.0046909514276</v>
      </c>
      <c r="V73" s="363">
        <f t="shared" si="39"/>
        <v>4935.4685635708565</v>
      </c>
      <c r="W73" s="363">
        <f t="shared" si="39"/>
        <v>4979.3048531050108</v>
      </c>
      <c r="X73" s="363">
        <f t="shared" si="39"/>
        <v>5012.04336497227</v>
      </c>
    </row>
    <row r="75" spans="1:26">
      <c r="B75" s="503" t="s">
        <v>979</v>
      </c>
      <c r="C75" s="503"/>
      <c r="D75" s="503"/>
      <c r="E75" s="503"/>
      <c r="F75" s="503"/>
      <c r="G75" s="503"/>
      <c r="H75" s="503"/>
      <c r="I75" s="503"/>
      <c r="J75" s="503"/>
      <c r="K75" s="503"/>
      <c r="L75" s="503"/>
      <c r="M75" s="503"/>
      <c r="N75" s="503"/>
      <c r="O75" s="503"/>
      <c r="P75" s="503"/>
      <c r="Q75" s="503"/>
      <c r="R75" s="503"/>
      <c r="S75" s="503"/>
      <c r="T75" s="503"/>
      <c r="U75" s="503"/>
      <c r="V75" s="503"/>
      <c r="W75" s="503"/>
      <c r="X75" s="503"/>
    </row>
    <row r="76" spans="1:26">
      <c r="B76" s="348" t="s">
        <v>204</v>
      </c>
    </row>
    <row r="77" spans="1:26">
      <c r="A77" s="489" t="s">
        <v>8</v>
      </c>
      <c r="B77" s="346" t="s">
        <v>975</v>
      </c>
      <c r="C77" s="369">
        <v>0</v>
      </c>
      <c r="D77" s="369">
        <v>0</v>
      </c>
      <c r="E77" s="369">
        <v>0</v>
      </c>
      <c r="F77" s="369">
        <v>0.14799999999999999</v>
      </c>
      <c r="G77" s="369">
        <v>0.37</v>
      </c>
      <c r="H77" s="369">
        <v>0.37</v>
      </c>
      <c r="I77" s="369">
        <v>0.37</v>
      </c>
      <c r="J77" s="369">
        <v>0.37</v>
      </c>
      <c r="K77" s="369">
        <v>0.36814999999999998</v>
      </c>
      <c r="L77" s="369">
        <v>0.36630924999999998</v>
      </c>
      <c r="M77" s="369">
        <v>0.36447770374999999</v>
      </c>
      <c r="N77" s="369">
        <v>0.36265531523125</v>
      </c>
      <c r="O77" s="369">
        <v>0.36084203865509373</v>
      </c>
      <c r="P77" s="369">
        <v>0.35903782846181825</v>
      </c>
      <c r="Q77" s="369">
        <v>0.35724263931950917</v>
      </c>
      <c r="R77" s="369">
        <v>0.35545642612291162</v>
      </c>
      <c r="S77" s="369">
        <v>0.35367914399229705</v>
      </c>
      <c r="T77" s="369">
        <v>0.35191074827233554</v>
      </c>
      <c r="U77" s="369">
        <v>0.35015119453097387</v>
      </c>
      <c r="V77" s="369">
        <v>0.34840043855831898</v>
      </c>
      <c r="W77" s="369">
        <v>0.3466584363655274</v>
      </c>
      <c r="X77" s="369">
        <v>0.34492514418369974</v>
      </c>
    </row>
    <row r="78" spans="1:26">
      <c r="B78" s="346" t="s">
        <v>236</v>
      </c>
      <c r="C78" s="87">
        <f>1-C77</f>
        <v>1</v>
      </c>
      <c r="D78" s="87">
        <f t="shared" ref="D78:N78" si="40">1-D77</f>
        <v>1</v>
      </c>
      <c r="E78" s="87">
        <f t="shared" si="40"/>
        <v>1</v>
      </c>
      <c r="F78" s="87">
        <f t="shared" si="40"/>
        <v>0.85199999999999998</v>
      </c>
      <c r="G78" s="87">
        <f t="shared" si="40"/>
        <v>0.63</v>
      </c>
      <c r="H78" s="87">
        <f t="shared" si="40"/>
        <v>0.63</v>
      </c>
      <c r="I78" s="87">
        <f t="shared" si="40"/>
        <v>0.63</v>
      </c>
      <c r="J78" s="87">
        <f t="shared" si="40"/>
        <v>0.63</v>
      </c>
      <c r="K78" s="87">
        <f t="shared" si="40"/>
        <v>0.63185000000000002</v>
      </c>
      <c r="L78" s="87">
        <f t="shared" si="40"/>
        <v>0.63369074999999997</v>
      </c>
      <c r="M78" s="87">
        <f t="shared" si="40"/>
        <v>0.63552229625000001</v>
      </c>
      <c r="N78" s="87">
        <f t="shared" si="40"/>
        <v>0.63734468476875006</v>
      </c>
      <c r="O78" s="87">
        <f t="shared" ref="O78:X78" si="41">1-O77</f>
        <v>0.63915796134490632</v>
      </c>
      <c r="P78" s="87">
        <f t="shared" si="41"/>
        <v>0.64096217153818169</v>
      </c>
      <c r="Q78" s="87">
        <f t="shared" si="41"/>
        <v>0.64275736068049083</v>
      </c>
      <c r="R78" s="87">
        <f t="shared" si="41"/>
        <v>0.64454357387708838</v>
      </c>
      <c r="S78" s="87">
        <f t="shared" si="41"/>
        <v>0.64632085600770295</v>
      </c>
      <c r="T78" s="87">
        <f t="shared" si="41"/>
        <v>0.64808925172766441</v>
      </c>
      <c r="U78" s="87">
        <f t="shared" si="41"/>
        <v>0.64984880546902613</v>
      </c>
      <c r="V78" s="87">
        <f t="shared" si="41"/>
        <v>0.65159956144168096</v>
      </c>
      <c r="W78" s="87">
        <f t="shared" si="41"/>
        <v>0.6533415636344726</v>
      </c>
      <c r="X78" s="87">
        <f t="shared" si="41"/>
        <v>0.65507485581630021</v>
      </c>
    </row>
    <row r="80" spans="1:26">
      <c r="B80" s="348" t="s">
        <v>976</v>
      </c>
      <c r="F80" s="617"/>
      <c r="G80" s="617"/>
      <c r="H80" s="617"/>
      <c r="I80" s="617"/>
      <c r="J80" s="617"/>
      <c r="K80" s="617"/>
      <c r="L80" s="617"/>
      <c r="M80" s="617"/>
      <c r="N80" s="617"/>
      <c r="O80" s="617"/>
      <c r="P80" s="617"/>
      <c r="Q80" s="617"/>
      <c r="R80" s="617"/>
      <c r="S80" s="617"/>
      <c r="T80" s="617"/>
      <c r="U80" s="617"/>
      <c r="V80" s="617"/>
      <c r="W80" s="617"/>
      <c r="X80" s="617"/>
      <c r="Y80" s="617"/>
      <c r="Z80" s="617"/>
    </row>
    <row r="81" spans="1:26">
      <c r="B81" s="346" t="s">
        <v>977</v>
      </c>
      <c r="C81" s="363">
        <f>C77*C53*C47</f>
        <v>0</v>
      </c>
      <c r="D81" s="363">
        <f t="shared" ref="D81:X81" si="42">D77*D53*D47</f>
        <v>0</v>
      </c>
      <c r="E81" s="363">
        <f t="shared" si="42"/>
        <v>0</v>
      </c>
      <c r="F81" s="618">
        <f t="shared" si="42"/>
        <v>699.52585056106989</v>
      </c>
      <c r="G81" s="618">
        <f t="shared" si="42"/>
        <v>1763.1070747922802</v>
      </c>
      <c r="H81" s="618">
        <f t="shared" si="42"/>
        <v>1890.9421930067792</v>
      </c>
      <c r="I81" s="618">
        <f t="shared" si="42"/>
        <v>1838.6602701662277</v>
      </c>
      <c r="J81" s="618">
        <f t="shared" si="42"/>
        <v>1954.173730642174</v>
      </c>
      <c r="K81" s="618">
        <f t="shared" si="42"/>
        <v>2055.9648281040654</v>
      </c>
      <c r="L81" s="618">
        <f t="shared" si="42"/>
        <v>2009.0273007726291</v>
      </c>
      <c r="M81" s="618">
        <f t="shared" si="42"/>
        <v>1948.6006486086214</v>
      </c>
      <c r="N81" s="618">
        <f t="shared" si="42"/>
        <v>1875.2782113701962</v>
      </c>
      <c r="O81" s="618">
        <f t="shared" si="42"/>
        <v>2029.4527041989015</v>
      </c>
      <c r="P81" s="618">
        <f t="shared" si="42"/>
        <v>2179.2658304786487</v>
      </c>
      <c r="Q81" s="618">
        <f t="shared" si="42"/>
        <v>2323.8107584723375</v>
      </c>
      <c r="R81" s="618">
        <f t="shared" si="42"/>
        <v>2462.2214732772773</v>
      </c>
      <c r="S81" s="618">
        <f t="shared" si="42"/>
        <v>2593.6688769474076</v>
      </c>
      <c r="T81" s="618">
        <f t="shared" si="42"/>
        <v>2639.3295772174351</v>
      </c>
      <c r="U81" s="618">
        <f t="shared" si="42"/>
        <v>2677.4983216155397</v>
      </c>
      <c r="V81" s="618">
        <f t="shared" si="42"/>
        <v>2707.9405123885404</v>
      </c>
      <c r="W81" s="618">
        <f t="shared" si="42"/>
        <v>2730.4324285224247</v>
      </c>
      <c r="X81" s="618">
        <f t="shared" si="42"/>
        <v>2744.7604823053944</v>
      </c>
      <c r="Y81" s="617"/>
      <c r="Z81" s="617"/>
    </row>
    <row r="82" spans="1:26">
      <c r="F82" s="617"/>
      <c r="G82" s="617"/>
      <c r="H82" s="617"/>
      <c r="I82" s="617"/>
      <c r="J82" s="617"/>
      <c r="K82" s="617"/>
      <c r="L82" s="617"/>
      <c r="M82" s="617"/>
      <c r="N82" s="617"/>
      <c r="O82" s="617"/>
      <c r="P82" s="617"/>
      <c r="Q82" s="617"/>
      <c r="R82" s="617"/>
      <c r="S82" s="617"/>
      <c r="T82" s="617"/>
      <c r="U82" s="617"/>
      <c r="V82" s="617"/>
      <c r="W82" s="617"/>
      <c r="X82" s="617"/>
      <c r="Y82" s="617"/>
      <c r="Z82" s="617"/>
    </row>
    <row r="83" spans="1:26">
      <c r="B83" s="491" t="s">
        <v>26</v>
      </c>
      <c r="C83" s="491"/>
      <c r="D83" s="491"/>
      <c r="E83" s="491"/>
      <c r="F83" s="491"/>
      <c r="G83" s="491"/>
      <c r="H83" s="491"/>
      <c r="I83" s="491"/>
      <c r="J83" s="491"/>
      <c r="K83" s="491"/>
      <c r="L83" s="491"/>
      <c r="M83" s="491"/>
      <c r="N83" s="491"/>
      <c r="O83" s="491"/>
      <c r="P83" s="491"/>
      <c r="Q83" s="491"/>
      <c r="R83" s="491"/>
      <c r="S83" s="491"/>
      <c r="T83" s="491"/>
      <c r="U83" s="491"/>
      <c r="V83" s="491"/>
      <c r="W83" s="491"/>
      <c r="X83" s="491"/>
    </row>
    <row r="85" spans="1:26">
      <c r="A85" s="489" t="s">
        <v>8</v>
      </c>
      <c r="B85" s="349" t="s">
        <v>22</v>
      </c>
      <c r="C85" s="368"/>
      <c r="D85" s="368"/>
      <c r="E85" s="368"/>
      <c r="F85" s="368">
        <f t="shared" ref="F85:N85" si="43">F24</f>
        <v>8953.2000000000007</v>
      </c>
      <c r="G85" s="368">
        <f t="shared" si="43"/>
        <v>8953.2000000000007</v>
      </c>
      <c r="H85" s="368">
        <f t="shared" si="43"/>
        <v>9132.264000000001</v>
      </c>
      <c r="I85" s="368">
        <f t="shared" si="43"/>
        <v>9314.9092800000017</v>
      </c>
      <c r="J85" s="368">
        <f t="shared" si="43"/>
        <v>9501.2074656000023</v>
      </c>
      <c r="K85" s="368">
        <f t="shared" si="43"/>
        <v>9691.2316149120034</v>
      </c>
      <c r="L85" s="368">
        <f t="shared" si="43"/>
        <v>9250</v>
      </c>
      <c r="M85" s="368">
        <f t="shared" si="43"/>
        <v>9388.75</v>
      </c>
      <c r="N85" s="368">
        <f t="shared" si="43"/>
        <v>9529.5812499999993</v>
      </c>
      <c r="O85" s="368">
        <f t="shared" ref="O85:X85" si="44">O24</f>
        <v>9672.5249687499982</v>
      </c>
      <c r="P85" s="368">
        <f t="shared" si="44"/>
        <v>9817.6128432812475</v>
      </c>
      <c r="Q85" s="368">
        <f t="shared" si="44"/>
        <v>9964.8770359304654</v>
      </c>
      <c r="R85" s="368">
        <f t="shared" si="44"/>
        <v>10114.350191469421</v>
      </c>
      <c r="S85" s="368">
        <f t="shared" si="44"/>
        <v>10266.065444341461</v>
      </c>
      <c r="T85" s="368">
        <f t="shared" si="44"/>
        <v>10420.056426006582</v>
      </c>
      <c r="U85" s="368">
        <f t="shared" si="44"/>
        <v>10576.357272396679</v>
      </c>
      <c r="V85" s="368">
        <f t="shared" si="44"/>
        <v>10735.002631482628</v>
      </c>
      <c r="W85" s="368">
        <f t="shared" si="44"/>
        <v>10896.027670954867</v>
      </c>
      <c r="X85" s="368">
        <f t="shared" si="44"/>
        <v>11059.468086019189</v>
      </c>
    </row>
    <row r="87" spans="1:26">
      <c r="A87" s="489" t="s">
        <v>8</v>
      </c>
      <c r="B87" s="348" t="s">
        <v>980</v>
      </c>
      <c r="C87" s="370"/>
      <c r="D87" s="370"/>
      <c r="E87" s="370"/>
      <c r="F87" s="612">
        <v>8.1033750000000015</v>
      </c>
      <c r="G87" s="612">
        <v>8.5085437500000012</v>
      </c>
      <c r="H87" s="612">
        <v>8.9339709375000016</v>
      </c>
      <c r="I87" s="612">
        <v>9.3806694843750016</v>
      </c>
      <c r="J87" s="612">
        <v>9.8497029585937526</v>
      </c>
      <c r="K87" s="612">
        <v>10.342188106523441</v>
      </c>
      <c r="L87" s="612">
        <f>K87</f>
        <v>10.342188106523441</v>
      </c>
      <c r="M87" s="612">
        <v>11.402262387442095</v>
      </c>
      <c r="N87" s="612">
        <v>11.972375506814201</v>
      </c>
      <c r="O87" s="612">
        <v>12.570994282154912</v>
      </c>
      <c r="P87" s="612">
        <v>13.199543996262658</v>
      </c>
      <c r="Q87" s="612">
        <v>13.859521196075791</v>
      </c>
      <c r="R87" s="612">
        <v>14.552497255879581</v>
      </c>
      <c r="S87" s="612">
        <v>15.28012211867356</v>
      </c>
      <c r="T87" s="612">
        <v>16.044128224607238</v>
      </c>
      <c r="U87" s="612">
        <v>16.8463346358376</v>
      </c>
      <c r="V87" s="612">
        <v>17.688651367629483</v>
      </c>
      <c r="W87" s="612">
        <v>18.573083936010956</v>
      </c>
      <c r="X87" s="612">
        <v>19.501738132811504</v>
      </c>
    </row>
    <row r="88" spans="1:26">
      <c r="A88" s="489" t="s">
        <v>8</v>
      </c>
      <c r="B88" s="348" t="s">
        <v>981</v>
      </c>
      <c r="C88" s="370"/>
      <c r="D88" s="370"/>
      <c r="E88" s="370"/>
      <c r="F88" s="612">
        <v>6.5</v>
      </c>
      <c r="G88" s="612">
        <v>6.6950000000000003</v>
      </c>
      <c r="H88" s="612">
        <v>7.2</v>
      </c>
      <c r="I88" s="612">
        <v>7.2720000000000002</v>
      </c>
      <c r="J88" s="612">
        <v>7.3447200000000006</v>
      </c>
      <c r="K88" s="612">
        <v>7.3447200000000006</v>
      </c>
      <c r="L88" s="612">
        <v>7.3447200000000006</v>
      </c>
      <c r="M88" s="612">
        <v>7.3447200000000006</v>
      </c>
      <c r="N88" s="612">
        <v>7.3447200000000006</v>
      </c>
      <c r="O88" s="612">
        <v>7.3447200000000006</v>
      </c>
      <c r="P88" s="612">
        <v>7.3447200000000006</v>
      </c>
      <c r="Q88" s="612">
        <v>7.3447200000000006</v>
      </c>
      <c r="R88" s="612">
        <v>7.3447200000000006</v>
      </c>
      <c r="S88" s="612">
        <v>7.3447200000000006</v>
      </c>
      <c r="T88" s="612">
        <v>7.3447200000000006</v>
      </c>
      <c r="U88" s="612">
        <v>7.3447200000000006</v>
      </c>
      <c r="V88" s="612">
        <v>7.3447200000000006</v>
      </c>
      <c r="W88" s="612">
        <v>7.3447200000000006</v>
      </c>
      <c r="X88" s="612">
        <v>7.3447200000000006</v>
      </c>
    </row>
    <row r="89" spans="1:26">
      <c r="A89" s="489" t="s">
        <v>8</v>
      </c>
      <c r="B89" s="348" t="s">
        <v>982</v>
      </c>
      <c r="C89" s="370"/>
      <c r="D89" s="370"/>
      <c r="E89" s="620"/>
      <c r="F89" s="621">
        <v>5.5</v>
      </c>
      <c r="G89" s="621">
        <v>5.61</v>
      </c>
      <c r="H89" s="621">
        <v>6.75</v>
      </c>
      <c r="I89" s="621">
        <v>6.8849999999999998</v>
      </c>
      <c r="J89" s="621">
        <v>6.8849999999999998</v>
      </c>
      <c r="K89" s="621">
        <v>6.8849999999999998</v>
      </c>
      <c r="L89" s="621">
        <v>6.8849999999999998</v>
      </c>
      <c r="M89" s="621">
        <v>6.8849999999999998</v>
      </c>
      <c r="N89" s="621">
        <v>6.8849999999999998</v>
      </c>
      <c r="O89" s="621">
        <v>6.8849999999999998</v>
      </c>
      <c r="P89" s="621">
        <v>6.8849999999999998</v>
      </c>
      <c r="Q89" s="621">
        <v>6.8849999999999998</v>
      </c>
      <c r="R89" s="621">
        <v>6.8849999999999998</v>
      </c>
      <c r="S89" s="621">
        <v>6.8849999999999998</v>
      </c>
      <c r="T89" s="621">
        <v>6.8849999999999998</v>
      </c>
      <c r="U89" s="621">
        <v>6.8849999999999998</v>
      </c>
      <c r="V89" s="621">
        <v>6.8849999999999998</v>
      </c>
      <c r="W89" s="621">
        <v>6.8849999999999998</v>
      </c>
      <c r="X89" s="621">
        <v>6.8849999999999998</v>
      </c>
      <c r="Y89" s="617"/>
    </row>
    <row r="90" spans="1:26">
      <c r="E90" s="617"/>
      <c r="F90" s="617"/>
      <c r="G90" s="617"/>
      <c r="H90" s="617"/>
      <c r="I90" s="617"/>
      <c r="J90" s="617"/>
      <c r="K90" s="617"/>
      <c r="L90" s="617"/>
      <c r="M90" s="617"/>
      <c r="N90" s="617"/>
      <c r="O90" s="617"/>
      <c r="P90" s="617"/>
      <c r="Q90" s="617"/>
      <c r="R90" s="617"/>
      <c r="S90" s="617"/>
      <c r="T90" s="617"/>
      <c r="U90" s="617"/>
      <c r="V90" s="617"/>
      <c r="W90" s="617"/>
      <c r="X90" s="617"/>
      <c r="Y90" s="617"/>
    </row>
    <row r="91" spans="1:26">
      <c r="B91" s="40" t="s">
        <v>983</v>
      </c>
      <c r="C91" s="40"/>
      <c r="D91" s="40"/>
      <c r="E91" s="622"/>
      <c r="F91" s="616">
        <f>F85*((F87*F65)+(F88*F73)+(F89*F81))/1000000</f>
        <v>64.023164652882244</v>
      </c>
      <c r="G91" s="616">
        <f t="shared" ref="G91:N91" si="45">G85*((G87*G65)+(G88*G73)+(G89*G81))/1000000</f>
        <v>260.57997648204827</v>
      </c>
      <c r="H91" s="616">
        <f t="shared" si="45"/>
        <v>297.26873771161405</v>
      </c>
      <c r="I91" s="616">
        <f t="shared" si="45"/>
        <v>466.03088595401067</v>
      </c>
      <c r="J91" s="616">
        <f t="shared" si="45"/>
        <v>553.57636347823211</v>
      </c>
      <c r="K91" s="616">
        <f t="shared" si="45"/>
        <v>618.15080683749829</v>
      </c>
      <c r="L91" s="616">
        <f t="shared" si="45"/>
        <v>627.877158860789</v>
      </c>
      <c r="M91" s="616">
        <f t="shared" si="45"/>
        <v>698.00317866385546</v>
      </c>
      <c r="N91" s="616">
        <f t="shared" si="45"/>
        <v>763.77448625220643</v>
      </c>
      <c r="O91" s="616">
        <f t="shared" ref="O91:X91" si="46">O85*((O87*O65)+(O88*O73)+(O89*O81))/1000000</f>
        <v>841.89253763025772</v>
      </c>
      <c r="P91" s="616">
        <f t="shared" si="46"/>
        <v>926.80444820792979</v>
      </c>
      <c r="Q91" s="616">
        <f t="shared" si="46"/>
        <v>994.74523356969064</v>
      </c>
      <c r="R91" s="616">
        <f t="shared" si="46"/>
        <v>1065.0777642693963</v>
      </c>
      <c r="S91" s="616">
        <f t="shared" si="46"/>
        <v>1137.7561405998158</v>
      </c>
      <c r="T91" s="616">
        <f t="shared" si="46"/>
        <v>1213.6690026351414</v>
      </c>
      <c r="U91" s="616">
        <f t="shared" si="46"/>
        <v>1292.8519762767519</v>
      </c>
      <c r="V91" s="616">
        <f t="shared" si="46"/>
        <v>1375.3140931070147</v>
      </c>
      <c r="W91" s="616">
        <f t="shared" si="46"/>
        <v>1461.022436695971</v>
      </c>
      <c r="X91" s="616">
        <f t="shared" si="46"/>
        <v>1549.8915432327394</v>
      </c>
      <c r="Y91" s="617"/>
    </row>
    <row r="92" spans="1:26">
      <c r="B92" s="27" t="s">
        <v>21</v>
      </c>
      <c r="E92" s="617"/>
      <c r="F92" s="617"/>
      <c r="G92" s="617"/>
      <c r="H92" s="617"/>
      <c r="I92" s="617"/>
      <c r="J92" s="617"/>
      <c r="K92" s="617"/>
      <c r="L92" s="617"/>
      <c r="M92" s="617"/>
      <c r="N92" s="617"/>
      <c r="O92" s="617"/>
      <c r="P92" s="617"/>
      <c r="Q92" s="617"/>
      <c r="R92" s="617"/>
      <c r="S92" s="617"/>
      <c r="T92" s="617"/>
      <c r="U92" s="617"/>
      <c r="V92" s="617"/>
      <c r="W92" s="617"/>
      <c r="X92" s="617"/>
      <c r="Y92" s="617"/>
    </row>
    <row r="93" spans="1:26">
      <c r="E93" s="617"/>
      <c r="F93" s="617"/>
      <c r="G93" s="617"/>
      <c r="H93" s="617"/>
      <c r="I93" s="617"/>
      <c r="J93" s="617"/>
      <c r="K93" s="617"/>
      <c r="L93" s="617"/>
      <c r="M93" s="617"/>
      <c r="N93" s="617"/>
      <c r="O93" s="617"/>
      <c r="P93" s="617"/>
      <c r="Q93" s="617"/>
      <c r="R93" s="617"/>
      <c r="S93" s="617"/>
      <c r="T93" s="617"/>
      <c r="U93" s="617"/>
      <c r="V93" s="617"/>
      <c r="W93" s="617"/>
      <c r="X93" s="617"/>
      <c r="Y93" s="617"/>
    </row>
    <row r="94" spans="1:26">
      <c r="B94" s="486" t="s">
        <v>29</v>
      </c>
      <c r="C94" s="482">
        <f>C91+C43</f>
        <v>0</v>
      </c>
      <c r="D94" s="482">
        <f t="shared" ref="D94:N94" si="47">D91+D43</f>
        <v>0</v>
      </c>
      <c r="E94" s="482">
        <f t="shared" si="47"/>
        <v>0</v>
      </c>
      <c r="F94" s="482">
        <f t="shared" si="47"/>
        <v>64.023164652882244</v>
      </c>
      <c r="G94" s="482">
        <f t="shared" si="47"/>
        <v>260.57997648204827</v>
      </c>
      <c r="H94" s="482">
        <f t="shared" si="47"/>
        <v>297.26873771161405</v>
      </c>
      <c r="I94" s="482">
        <f t="shared" si="47"/>
        <v>466.03088595401067</v>
      </c>
      <c r="J94" s="482">
        <f t="shared" si="47"/>
        <v>553.57636347823211</v>
      </c>
      <c r="K94" s="482">
        <f t="shared" si="47"/>
        <v>618.15080683749829</v>
      </c>
      <c r="L94" s="482">
        <f t="shared" si="47"/>
        <v>627.877158860789</v>
      </c>
      <c r="M94" s="482">
        <f t="shared" si="47"/>
        <v>698.00317866385546</v>
      </c>
      <c r="N94" s="482">
        <f t="shared" si="47"/>
        <v>763.77448625220643</v>
      </c>
      <c r="O94" s="482">
        <f t="shared" ref="O94:U94" si="48">O91+O43</f>
        <v>841.89253763025772</v>
      </c>
      <c r="P94" s="482">
        <f t="shared" si="48"/>
        <v>926.80444820792979</v>
      </c>
      <c r="Q94" s="482">
        <f>Q91+Q43</f>
        <v>994.74523356969064</v>
      </c>
      <c r="R94" s="482">
        <f t="shared" si="48"/>
        <v>1065.0777642693963</v>
      </c>
      <c r="S94" s="482">
        <f t="shared" si="48"/>
        <v>1137.7561405998158</v>
      </c>
      <c r="T94" s="482">
        <f t="shared" si="48"/>
        <v>1213.6690026351414</v>
      </c>
      <c r="U94" s="482">
        <f t="shared" si="48"/>
        <v>1292.8519762767519</v>
      </c>
      <c r="V94" s="482">
        <f>(V91+V43)*V95</f>
        <v>275.06281862140298</v>
      </c>
      <c r="W94" s="482">
        <f>(W91+W43)*W95</f>
        <v>146.1022436695971</v>
      </c>
      <c r="X94" s="482">
        <f>(X91+X43)*X95</f>
        <v>154.98915432327397</v>
      </c>
    </row>
    <row r="95" spans="1:26">
      <c r="F95" s="614"/>
      <c r="G95" s="614"/>
      <c r="H95" s="614"/>
      <c r="I95" s="614"/>
      <c r="J95" s="614"/>
      <c r="K95" s="614"/>
      <c r="L95" s="614"/>
      <c r="M95" s="614"/>
      <c r="N95" s="614"/>
      <c r="V95" s="349">
        <v>0.2</v>
      </c>
      <c r="W95" s="349">
        <v>0.1</v>
      </c>
      <c r="X95" s="349">
        <v>0.1</v>
      </c>
    </row>
    <row r="97" spans="1:26" ht="13.5" thickBot="1">
      <c r="B97" s="487"/>
      <c r="C97" s="487">
        <f>C2</f>
        <v>2009</v>
      </c>
      <c r="D97" s="487">
        <f t="shared" ref="D97:X97" si="49">D2</f>
        <v>2010</v>
      </c>
      <c r="E97" s="487">
        <f t="shared" si="49"/>
        <v>2011</v>
      </c>
      <c r="F97" s="487">
        <f t="shared" si="49"/>
        <v>2012</v>
      </c>
      <c r="G97" s="487">
        <f t="shared" si="49"/>
        <v>2013</v>
      </c>
      <c r="H97" s="487">
        <f t="shared" si="49"/>
        <v>2014</v>
      </c>
      <c r="I97" s="487">
        <f t="shared" si="49"/>
        <v>2015</v>
      </c>
      <c r="J97" s="487">
        <f t="shared" si="49"/>
        <v>2016</v>
      </c>
      <c r="K97" s="487">
        <f t="shared" si="49"/>
        <v>2017</v>
      </c>
      <c r="L97" s="487">
        <f t="shared" si="49"/>
        <v>2018</v>
      </c>
      <c r="M97" s="487">
        <f t="shared" si="49"/>
        <v>2019</v>
      </c>
      <c r="N97" s="487">
        <f t="shared" si="49"/>
        <v>2020</v>
      </c>
      <c r="O97" s="487">
        <f t="shared" si="49"/>
        <v>2021</v>
      </c>
      <c r="P97" s="487">
        <f t="shared" si="49"/>
        <v>2022</v>
      </c>
      <c r="Q97" s="487">
        <f t="shared" si="49"/>
        <v>2023</v>
      </c>
      <c r="R97" s="487">
        <f t="shared" si="49"/>
        <v>2024</v>
      </c>
      <c r="S97" s="487">
        <f t="shared" si="49"/>
        <v>2025</v>
      </c>
      <c r="T97" s="487">
        <f t="shared" si="49"/>
        <v>2026</v>
      </c>
      <c r="U97" s="487">
        <f t="shared" si="49"/>
        <v>2027</v>
      </c>
      <c r="V97" s="487">
        <f t="shared" si="49"/>
        <v>2028</v>
      </c>
      <c r="W97" s="487">
        <f t="shared" si="49"/>
        <v>2029</v>
      </c>
      <c r="X97" s="487">
        <f t="shared" si="49"/>
        <v>2030</v>
      </c>
    </row>
    <row r="98" spans="1:26">
      <c r="B98" s="488" t="s">
        <v>984</v>
      </c>
      <c r="C98" s="488"/>
      <c r="D98" s="488"/>
      <c r="E98" s="488"/>
      <c r="F98" s="488"/>
      <c r="G98" s="488"/>
      <c r="H98" s="488"/>
      <c r="I98" s="488"/>
      <c r="J98" s="488"/>
      <c r="K98" s="488"/>
      <c r="L98" s="488"/>
      <c r="M98" s="488"/>
      <c r="N98" s="488"/>
      <c r="O98" s="488"/>
      <c r="P98" s="488"/>
      <c r="Q98" s="488"/>
      <c r="R98" s="488"/>
      <c r="S98" s="488"/>
      <c r="T98" s="488"/>
      <c r="U98" s="488"/>
      <c r="V98" s="488"/>
      <c r="W98" s="488"/>
      <c r="X98" s="488"/>
    </row>
    <row r="99" spans="1:26">
      <c r="A99" s="489" t="s">
        <v>8</v>
      </c>
      <c r="B99" s="349" t="s">
        <v>961</v>
      </c>
      <c r="C99" s="363">
        <v>35905.947732479995</v>
      </c>
      <c r="D99" s="363">
        <v>36638.722175999996</v>
      </c>
      <c r="E99" s="363">
        <v>37386.451199999996</v>
      </c>
      <c r="F99" s="363">
        <v>38149.440000000002</v>
      </c>
      <c r="G99" s="363">
        <v>38928</v>
      </c>
      <c r="H99" s="363">
        <v>39706.559999999998</v>
      </c>
      <c r="I99" s="363">
        <v>40500.691200000001</v>
      </c>
      <c r="J99" s="363">
        <v>41310.705024000003</v>
      </c>
      <c r="K99" s="363">
        <v>42136.919124480009</v>
      </c>
      <c r="L99" s="363">
        <v>42979.657506969612</v>
      </c>
      <c r="M99" s="363">
        <v>43839.250657109005</v>
      </c>
      <c r="N99" s="363">
        <v>44716.035670251185</v>
      </c>
      <c r="O99" s="363">
        <v>45610.35638365621</v>
      </c>
      <c r="P99" s="363">
        <v>46522.563511329339</v>
      </c>
      <c r="Q99" s="363">
        <v>47453.014781555925</v>
      </c>
      <c r="R99" s="363">
        <v>48402.075077187044</v>
      </c>
      <c r="S99" s="363">
        <v>49370.116578730784</v>
      </c>
      <c r="T99" s="363">
        <v>50357.5189103054</v>
      </c>
      <c r="U99" s="363">
        <v>51364.669288511504</v>
      </c>
      <c r="V99" s="363">
        <v>52391.962674281742</v>
      </c>
      <c r="W99" s="363">
        <v>53439.801927767374</v>
      </c>
      <c r="X99" s="363">
        <v>54508.597966322719</v>
      </c>
    </row>
    <row r="101" spans="1:26">
      <c r="A101" s="489" t="s">
        <v>8</v>
      </c>
      <c r="B101" s="349" t="s">
        <v>962</v>
      </c>
      <c r="C101" s="363">
        <v>20825.449684838401</v>
      </c>
      <c r="D101" s="363">
        <v>21250.458862079999</v>
      </c>
      <c r="E101" s="363">
        <v>21684.141695999999</v>
      </c>
      <c r="F101" s="363">
        <v>22126.675200000005</v>
      </c>
      <c r="G101" s="363">
        <v>22578.240000000002</v>
      </c>
      <c r="H101" s="363">
        <v>23029.804800000002</v>
      </c>
      <c r="I101" s="363">
        <v>23490.400896000003</v>
      </c>
      <c r="J101" s="363">
        <v>23960.208913920003</v>
      </c>
      <c r="K101" s="363">
        <v>24439.413092198407</v>
      </c>
      <c r="L101" s="363">
        <v>24928.20135404238</v>
      </c>
      <c r="M101" s="363">
        <v>25426.765381123227</v>
      </c>
      <c r="N101" s="363">
        <v>25935.30068874569</v>
      </c>
      <c r="O101" s="363">
        <v>26454.006702520604</v>
      </c>
      <c r="P101" s="363">
        <v>26983.086836571019</v>
      </c>
      <c r="Q101" s="363">
        <v>27522.74857330244</v>
      </c>
      <c r="R101" s="363">
        <v>28073.20354476849</v>
      </c>
      <c r="S101" s="363">
        <v>28634.667615663857</v>
      </c>
      <c r="T101" s="363">
        <v>29207.360967977136</v>
      </c>
      <c r="U101" s="363">
        <v>29791.508187336676</v>
      </c>
      <c r="V101" s="363">
        <v>30387.338351083414</v>
      </c>
      <c r="W101" s="363">
        <v>30995.085118105082</v>
      </c>
      <c r="X101" s="363">
        <v>31614.98682046718</v>
      </c>
    </row>
    <row r="103" spans="1:26">
      <c r="B103" s="349" t="s">
        <v>963</v>
      </c>
    </row>
    <row r="104" spans="1:26">
      <c r="A104" s="489" t="s">
        <v>8</v>
      </c>
      <c r="B104" s="348" t="s">
        <v>964</v>
      </c>
      <c r="C104" s="364">
        <v>0.35</v>
      </c>
      <c r="D104" s="364">
        <v>0.43</v>
      </c>
      <c r="E104" s="364">
        <v>0.45</v>
      </c>
      <c r="F104" s="364">
        <v>0.47</v>
      </c>
      <c r="G104" s="364">
        <v>0.5</v>
      </c>
      <c r="H104" s="364">
        <v>0.51249999999999996</v>
      </c>
      <c r="I104" s="364">
        <v>0.52531249999999996</v>
      </c>
      <c r="J104" s="364">
        <v>0.53844531249999994</v>
      </c>
      <c r="K104" s="364">
        <v>0.55190644531249988</v>
      </c>
      <c r="L104" s="364">
        <v>0.56570410644531233</v>
      </c>
      <c r="M104" s="364">
        <v>0.57984670910644509</v>
      </c>
      <c r="N104" s="364">
        <v>0.59434287683410614</v>
      </c>
      <c r="O104" s="364">
        <v>0.60920144875495874</v>
      </c>
      <c r="P104" s="364">
        <v>0.62443148497383261</v>
      </c>
      <c r="Q104" s="364">
        <v>0.64004227209817832</v>
      </c>
      <c r="R104" s="364">
        <v>0.65604332890063277</v>
      </c>
      <c r="S104" s="364">
        <v>0.67244441212314854</v>
      </c>
      <c r="T104" s="364">
        <v>0.68925552242622723</v>
      </c>
      <c r="U104" s="364">
        <v>0.70648691048688284</v>
      </c>
      <c r="V104" s="364">
        <v>0.7241490832490548</v>
      </c>
      <c r="W104" s="364">
        <v>0.74225281033028112</v>
      </c>
      <c r="X104" s="364">
        <v>0.76080913058853805</v>
      </c>
    </row>
    <row r="105" spans="1:26">
      <c r="A105" s="489" t="s">
        <v>8</v>
      </c>
      <c r="B105" s="348" t="s">
        <v>107</v>
      </c>
      <c r="C105" s="364">
        <v>0</v>
      </c>
      <c r="D105" s="364">
        <v>0</v>
      </c>
      <c r="E105" s="364">
        <v>0</v>
      </c>
      <c r="F105" s="364">
        <v>0</v>
      </c>
      <c r="G105" s="364">
        <v>0</v>
      </c>
      <c r="H105" s="364">
        <v>0</v>
      </c>
      <c r="I105" s="364">
        <v>0</v>
      </c>
      <c r="J105" s="364">
        <v>0</v>
      </c>
      <c r="K105" s="364">
        <v>0</v>
      </c>
      <c r="L105" s="364">
        <v>0</v>
      </c>
      <c r="M105" s="364">
        <v>0</v>
      </c>
      <c r="N105" s="364">
        <v>0</v>
      </c>
      <c r="O105" s="364">
        <v>0</v>
      </c>
      <c r="P105" s="364">
        <v>0</v>
      </c>
      <c r="Q105" s="364">
        <v>0</v>
      </c>
      <c r="R105" s="364">
        <v>0</v>
      </c>
      <c r="S105" s="364">
        <v>0</v>
      </c>
      <c r="T105" s="364">
        <v>0</v>
      </c>
      <c r="U105" s="364">
        <v>0</v>
      </c>
      <c r="V105" s="364">
        <v>0</v>
      </c>
      <c r="W105" s="364">
        <v>0</v>
      </c>
      <c r="X105" s="364">
        <v>0</v>
      </c>
    </row>
    <row r="107" spans="1:26" outlineLevel="1">
      <c r="B107" s="481" t="s">
        <v>662</v>
      </c>
      <c r="C107" s="479"/>
      <c r="D107" s="479"/>
      <c r="E107" s="479"/>
      <c r="F107" s="479"/>
      <c r="G107" s="479"/>
      <c r="H107" s="479"/>
      <c r="I107" s="479"/>
      <c r="J107" s="479"/>
      <c r="K107" s="480">
        <v>0</v>
      </c>
      <c r="L107" s="480">
        <v>0.1</v>
      </c>
      <c r="M107" s="480">
        <f>L107*1.5</f>
        <v>0.15000000000000002</v>
      </c>
      <c r="N107" s="480">
        <f>M107*1.2</f>
        <v>0.18000000000000002</v>
      </c>
      <c r="O107" s="480">
        <f>N107</f>
        <v>0.18000000000000002</v>
      </c>
      <c r="P107" s="480">
        <f t="shared" ref="P107:X109" si="50">O107</f>
        <v>0.18000000000000002</v>
      </c>
      <c r="Q107" s="480">
        <f t="shared" si="50"/>
        <v>0.18000000000000002</v>
      </c>
      <c r="R107" s="480">
        <f t="shared" si="50"/>
        <v>0.18000000000000002</v>
      </c>
      <c r="S107" s="480">
        <f t="shared" si="50"/>
        <v>0.18000000000000002</v>
      </c>
      <c r="T107" s="480">
        <f t="shared" si="50"/>
        <v>0.18000000000000002</v>
      </c>
      <c r="U107" s="480">
        <f t="shared" si="50"/>
        <v>0.18000000000000002</v>
      </c>
      <c r="V107" s="480">
        <f t="shared" si="50"/>
        <v>0.18000000000000002</v>
      </c>
      <c r="W107" s="480">
        <f t="shared" si="50"/>
        <v>0.18000000000000002</v>
      </c>
      <c r="X107" s="480">
        <f t="shared" si="50"/>
        <v>0.18000000000000002</v>
      </c>
    </row>
    <row r="108" spans="1:26" outlineLevel="1">
      <c r="B108" s="481" t="s">
        <v>663</v>
      </c>
      <c r="C108" s="479"/>
      <c r="D108" s="479"/>
      <c r="E108" s="479"/>
      <c r="F108" s="479"/>
      <c r="G108" s="479"/>
      <c r="H108" s="479"/>
      <c r="I108" s="479"/>
      <c r="J108" s="479"/>
      <c r="K108" s="480">
        <v>0</v>
      </c>
      <c r="L108" s="479">
        <f t="shared" ref="L108:N109" si="51">K108</f>
        <v>0</v>
      </c>
      <c r="M108" s="479">
        <f t="shared" si="51"/>
        <v>0</v>
      </c>
      <c r="N108" s="479">
        <f t="shared" si="51"/>
        <v>0</v>
      </c>
      <c r="O108" s="479">
        <f>N108</f>
        <v>0</v>
      </c>
      <c r="P108" s="479">
        <f t="shared" si="50"/>
        <v>0</v>
      </c>
      <c r="Q108" s="479">
        <f t="shared" si="50"/>
        <v>0</v>
      </c>
      <c r="R108" s="479">
        <f t="shared" si="50"/>
        <v>0</v>
      </c>
      <c r="S108" s="479">
        <f t="shared" si="50"/>
        <v>0</v>
      </c>
      <c r="T108" s="479">
        <f t="shared" si="50"/>
        <v>0</v>
      </c>
      <c r="U108" s="479">
        <f t="shared" si="50"/>
        <v>0</v>
      </c>
      <c r="V108" s="479">
        <f t="shared" si="50"/>
        <v>0</v>
      </c>
      <c r="W108" s="479">
        <f t="shared" si="50"/>
        <v>0</v>
      </c>
      <c r="X108" s="479">
        <f t="shared" si="50"/>
        <v>0</v>
      </c>
    </row>
    <row r="109" spans="1:26" outlineLevel="1">
      <c r="B109" s="481" t="s">
        <v>664</v>
      </c>
      <c r="C109" s="479"/>
      <c r="D109" s="479"/>
      <c r="E109" s="479"/>
      <c r="F109" s="479"/>
      <c r="G109" s="479"/>
      <c r="H109" s="479"/>
      <c r="I109" s="479"/>
      <c r="J109" s="479"/>
      <c r="K109" s="480">
        <f>K108</f>
        <v>0</v>
      </c>
      <c r="L109" s="479">
        <f t="shared" si="51"/>
        <v>0</v>
      </c>
      <c r="M109" s="479">
        <f t="shared" si="51"/>
        <v>0</v>
      </c>
      <c r="N109" s="479">
        <f t="shared" si="51"/>
        <v>0</v>
      </c>
      <c r="O109" s="479">
        <f>N109</f>
        <v>0</v>
      </c>
      <c r="P109" s="479">
        <f t="shared" si="50"/>
        <v>0</v>
      </c>
      <c r="Q109" s="479">
        <f t="shared" si="50"/>
        <v>0</v>
      </c>
      <c r="R109" s="479">
        <f t="shared" si="50"/>
        <v>0</v>
      </c>
      <c r="S109" s="479">
        <f t="shared" si="50"/>
        <v>0</v>
      </c>
      <c r="T109" s="479">
        <f t="shared" si="50"/>
        <v>0</v>
      </c>
      <c r="U109" s="479">
        <f t="shared" si="50"/>
        <v>0</v>
      </c>
      <c r="V109" s="479">
        <f t="shared" si="50"/>
        <v>0</v>
      </c>
      <c r="W109" s="479">
        <f t="shared" si="50"/>
        <v>0</v>
      </c>
      <c r="X109" s="479">
        <f t="shared" si="50"/>
        <v>0</v>
      </c>
    </row>
    <row r="110" spans="1:26">
      <c r="A110" s="490" t="s">
        <v>591</v>
      </c>
      <c r="B110" s="485" t="s">
        <v>9</v>
      </c>
      <c r="C110" s="485"/>
      <c r="D110" s="485"/>
      <c r="E110" s="485"/>
      <c r="F110" s="485"/>
      <c r="G110" s="485"/>
      <c r="H110" s="485"/>
      <c r="I110" s="485"/>
      <c r="J110" s="485"/>
      <c r="K110" s="484">
        <f>CHOOSE($J$1,K107,K108,K109)</f>
        <v>0</v>
      </c>
      <c r="L110" s="484">
        <f>CHOOSE($J$1,L107,L108,L109)</f>
        <v>0</v>
      </c>
      <c r="M110" s="484">
        <f>CHOOSE($J$1,M107,M108,M109)</f>
        <v>0</v>
      </c>
      <c r="N110" s="484">
        <f>CHOOSE($J$1,N107,N108,N109)</f>
        <v>0</v>
      </c>
      <c r="O110" s="484">
        <f t="shared" ref="O110:X110" si="52">CHOOSE($J$1,O107,O108,O109)</f>
        <v>0</v>
      </c>
      <c r="P110" s="484">
        <f t="shared" si="52"/>
        <v>0</v>
      </c>
      <c r="Q110" s="484">
        <f t="shared" si="52"/>
        <v>0</v>
      </c>
      <c r="R110" s="484">
        <f t="shared" si="52"/>
        <v>0</v>
      </c>
      <c r="S110" s="484">
        <f t="shared" si="52"/>
        <v>0</v>
      </c>
      <c r="T110" s="484">
        <f t="shared" si="52"/>
        <v>0</v>
      </c>
      <c r="U110" s="484">
        <f t="shared" si="52"/>
        <v>0</v>
      </c>
      <c r="V110" s="484">
        <f t="shared" si="52"/>
        <v>0</v>
      </c>
      <c r="W110" s="484">
        <f t="shared" si="52"/>
        <v>0</v>
      </c>
      <c r="X110" s="484">
        <f t="shared" si="52"/>
        <v>0</v>
      </c>
    </row>
    <row r="112" spans="1:26">
      <c r="B112" s="349" t="s">
        <v>7</v>
      </c>
      <c r="F112" s="617"/>
      <c r="G112" s="617"/>
      <c r="H112" s="617"/>
      <c r="I112" s="617"/>
      <c r="J112" s="617"/>
      <c r="K112" s="618">
        <f>K110*K104*K101</f>
        <v>0</v>
      </c>
      <c r="L112" s="618">
        <f>L110*L104*L101</f>
        <v>0</v>
      </c>
      <c r="M112" s="618">
        <f>M110*M104*M101</f>
        <v>0</v>
      </c>
      <c r="N112" s="618">
        <f>N110*N104*N101</f>
        <v>0</v>
      </c>
      <c r="O112" s="618">
        <f t="shared" ref="O112:X112" si="53">O110*O104*O101</f>
        <v>0</v>
      </c>
      <c r="P112" s="618">
        <f t="shared" si="53"/>
        <v>0</v>
      </c>
      <c r="Q112" s="618">
        <f t="shared" si="53"/>
        <v>0</v>
      </c>
      <c r="R112" s="618">
        <f t="shared" si="53"/>
        <v>0</v>
      </c>
      <c r="S112" s="618">
        <f t="shared" si="53"/>
        <v>0</v>
      </c>
      <c r="T112" s="618">
        <f t="shared" si="53"/>
        <v>0</v>
      </c>
      <c r="U112" s="618">
        <f t="shared" si="53"/>
        <v>0</v>
      </c>
      <c r="V112" s="618">
        <f t="shared" si="53"/>
        <v>0</v>
      </c>
      <c r="W112" s="618">
        <f t="shared" si="53"/>
        <v>0</v>
      </c>
      <c r="X112" s="618">
        <f t="shared" si="53"/>
        <v>0</v>
      </c>
      <c r="Y112" s="617"/>
      <c r="Z112" s="617"/>
    </row>
    <row r="113" spans="1:27">
      <c r="F113" s="617"/>
      <c r="G113" s="617"/>
      <c r="H113" s="617"/>
      <c r="I113" s="617"/>
      <c r="J113" s="617"/>
      <c r="K113" s="617"/>
      <c r="L113" s="617"/>
      <c r="M113" s="617"/>
      <c r="N113" s="617"/>
      <c r="O113" s="617"/>
      <c r="P113" s="617"/>
      <c r="Q113" s="617"/>
      <c r="R113" s="617"/>
      <c r="S113" s="617"/>
      <c r="T113" s="617"/>
      <c r="U113" s="617"/>
      <c r="V113" s="617"/>
      <c r="W113" s="617"/>
      <c r="X113" s="617"/>
      <c r="Y113" s="617"/>
      <c r="Z113" s="617"/>
    </row>
    <row r="114" spans="1:27">
      <c r="A114" s="489" t="s">
        <v>8</v>
      </c>
      <c r="B114" s="349" t="s">
        <v>965</v>
      </c>
      <c r="C114" s="87">
        <v>0.01</v>
      </c>
      <c r="D114" s="87">
        <v>0.02</v>
      </c>
      <c r="E114" s="87">
        <v>0.02</v>
      </c>
      <c r="F114" s="619">
        <v>0.03</v>
      </c>
      <c r="G114" s="619">
        <v>0.05</v>
      </c>
      <c r="H114" s="619">
        <v>0.05</v>
      </c>
      <c r="I114" s="619">
        <v>0.2</v>
      </c>
      <c r="J114" s="619">
        <v>0.35</v>
      </c>
      <c r="K114" s="619">
        <v>0.37</v>
      </c>
      <c r="L114" s="619">
        <v>0.39</v>
      </c>
      <c r="M114" s="619">
        <v>0.45</v>
      </c>
      <c r="N114" s="619">
        <v>0.55000000000000004</v>
      </c>
      <c r="O114" s="619">
        <v>0.65</v>
      </c>
      <c r="P114" s="619">
        <v>0.65</v>
      </c>
      <c r="Q114" s="619">
        <v>0.65</v>
      </c>
      <c r="R114" s="619">
        <v>0.65</v>
      </c>
      <c r="S114" s="619">
        <v>0.65</v>
      </c>
      <c r="T114" s="619">
        <v>0.65</v>
      </c>
      <c r="U114" s="619">
        <v>0.65</v>
      </c>
      <c r="V114" s="619">
        <v>0.65</v>
      </c>
      <c r="W114" s="619">
        <v>0.65</v>
      </c>
      <c r="X114" s="619">
        <v>0.65</v>
      </c>
      <c r="Y114" s="617"/>
      <c r="Z114" s="617"/>
      <c r="AA114" s="615"/>
    </row>
    <row r="115" spans="1:27">
      <c r="B115" s="349" t="s">
        <v>966</v>
      </c>
      <c r="F115" s="617"/>
      <c r="G115" s="617"/>
      <c r="H115" s="617"/>
      <c r="I115" s="617"/>
      <c r="J115" s="617"/>
      <c r="K115" s="618">
        <f>K114*K112</f>
        <v>0</v>
      </c>
      <c r="L115" s="618">
        <f>L114*L112</f>
        <v>0</v>
      </c>
      <c r="M115" s="618">
        <f>M114*M112</f>
        <v>0</v>
      </c>
      <c r="N115" s="618">
        <f>N114*N112</f>
        <v>0</v>
      </c>
      <c r="O115" s="618">
        <f t="shared" ref="O115:X115" si="54">O114*O112</f>
        <v>0</v>
      </c>
      <c r="P115" s="618">
        <f t="shared" si="54"/>
        <v>0</v>
      </c>
      <c r="Q115" s="618">
        <f t="shared" si="54"/>
        <v>0</v>
      </c>
      <c r="R115" s="618">
        <f t="shared" si="54"/>
        <v>0</v>
      </c>
      <c r="S115" s="618">
        <f t="shared" si="54"/>
        <v>0</v>
      </c>
      <c r="T115" s="618">
        <f t="shared" si="54"/>
        <v>0</v>
      </c>
      <c r="U115" s="618">
        <f t="shared" si="54"/>
        <v>0</v>
      </c>
      <c r="V115" s="618">
        <f t="shared" si="54"/>
        <v>0</v>
      </c>
      <c r="W115" s="618">
        <f t="shared" si="54"/>
        <v>0</v>
      </c>
      <c r="X115" s="618">
        <f t="shared" si="54"/>
        <v>0</v>
      </c>
      <c r="Y115" s="617"/>
      <c r="Z115" s="617"/>
    </row>
    <row r="117" spans="1:27">
      <c r="B117" s="491" t="s">
        <v>985</v>
      </c>
      <c r="C117" s="492"/>
      <c r="D117" s="492"/>
      <c r="E117" s="492"/>
      <c r="F117" s="492"/>
      <c r="G117" s="492"/>
      <c r="H117" s="492"/>
      <c r="I117" s="492"/>
      <c r="J117" s="492"/>
      <c r="K117" s="492"/>
      <c r="L117" s="492"/>
      <c r="M117" s="492"/>
      <c r="N117" s="492"/>
      <c r="O117" s="492"/>
      <c r="P117" s="492"/>
      <c r="Q117" s="492"/>
      <c r="R117" s="492"/>
      <c r="S117" s="492"/>
      <c r="T117" s="492"/>
      <c r="U117" s="492"/>
      <c r="V117" s="492"/>
      <c r="W117" s="492"/>
      <c r="X117" s="492"/>
    </row>
    <row r="119" spans="1:27">
      <c r="A119" s="489" t="s">
        <v>8</v>
      </c>
      <c r="B119" s="2" t="s">
        <v>22</v>
      </c>
      <c r="C119" s="400"/>
      <c r="D119" s="399"/>
      <c r="E119"/>
      <c r="F119" s="46">
        <v>7610.22</v>
      </c>
      <c r="G119" s="46">
        <v>8953.2000000000007</v>
      </c>
      <c r="H119" s="46">
        <v>8863.6680000000015</v>
      </c>
      <c r="I119" s="46">
        <v>8775.0313200000019</v>
      </c>
      <c r="J119" s="46">
        <v>8687.2810068000017</v>
      </c>
      <c r="K119" s="46">
        <v>8600.4081967320017</v>
      </c>
      <c r="L119" s="46">
        <v>8514.4041147646822</v>
      </c>
      <c r="M119" s="46">
        <v>8429.2600736170352</v>
      </c>
      <c r="N119" s="46">
        <v>8344.9674728808641</v>
      </c>
      <c r="O119" s="46">
        <v>8261.5177981520555</v>
      </c>
      <c r="P119" s="46">
        <v>8178.9026201705346</v>
      </c>
      <c r="Q119" s="46">
        <v>8097.1135939688293</v>
      </c>
      <c r="R119" s="46">
        <v>8016.1424580291405</v>
      </c>
      <c r="S119" s="46">
        <v>7935.9810334488493</v>
      </c>
      <c r="T119" s="46">
        <v>7856.6212231143609</v>
      </c>
      <c r="U119" s="46">
        <v>7778.0550108832176</v>
      </c>
      <c r="V119" s="46">
        <v>7700.2744607743853</v>
      </c>
      <c r="W119" s="46">
        <v>7623.2717161666415</v>
      </c>
      <c r="X119" s="46">
        <v>7547.0389990049753</v>
      </c>
    </row>
    <row r="121" spans="1:27">
      <c r="A121"/>
      <c r="B121" s="493" t="s">
        <v>10</v>
      </c>
      <c r="C121" s="475"/>
      <c r="D121" s="475"/>
      <c r="E121" s="475"/>
      <c r="F121" s="475"/>
      <c r="G121" s="475"/>
      <c r="H121" s="475"/>
      <c r="I121" s="475"/>
      <c r="J121" s="475"/>
      <c r="K121" s="475"/>
      <c r="L121" s="475"/>
      <c r="M121" s="475"/>
      <c r="N121" s="475"/>
      <c r="O121" s="475"/>
      <c r="P121" s="475"/>
      <c r="Q121" s="475"/>
      <c r="R121" s="475"/>
      <c r="S121" s="475"/>
      <c r="T121" s="475"/>
      <c r="U121" s="475"/>
      <c r="V121" s="475"/>
      <c r="W121" s="475"/>
      <c r="X121" s="475"/>
    </row>
    <row r="122" spans="1:27" outlineLevel="1">
      <c r="A122"/>
      <c r="B122" s="84" t="s">
        <v>11</v>
      </c>
      <c r="C122" s="494">
        <v>6</v>
      </c>
      <c r="D122" s="494">
        <v>6</v>
      </c>
      <c r="E122" s="494">
        <v>6</v>
      </c>
      <c r="F122" s="494">
        <v>6</v>
      </c>
      <c r="G122" s="494">
        <v>6</v>
      </c>
      <c r="H122" s="494">
        <f t="shared" ref="H122:N122" si="55">G122</f>
        <v>6</v>
      </c>
      <c r="I122" s="494">
        <f t="shared" si="55"/>
        <v>6</v>
      </c>
      <c r="J122" s="494">
        <f t="shared" si="55"/>
        <v>6</v>
      </c>
      <c r="K122" s="494">
        <f t="shared" si="55"/>
        <v>6</v>
      </c>
      <c r="L122" s="494">
        <f t="shared" si="55"/>
        <v>6</v>
      </c>
      <c r="M122" s="494">
        <f t="shared" si="55"/>
        <v>6</v>
      </c>
      <c r="N122" s="494">
        <f t="shared" si="55"/>
        <v>6</v>
      </c>
      <c r="O122" s="494">
        <f t="shared" ref="O122:X122" si="56">N122</f>
        <v>6</v>
      </c>
      <c r="P122" s="494">
        <f t="shared" si="56"/>
        <v>6</v>
      </c>
      <c r="Q122" s="494">
        <f t="shared" si="56"/>
        <v>6</v>
      </c>
      <c r="R122" s="494">
        <f t="shared" si="56"/>
        <v>6</v>
      </c>
      <c r="S122" s="494">
        <f t="shared" si="56"/>
        <v>6</v>
      </c>
      <c r="T122" s="494">
        <f t="shared" si="56"/>
        <v>6</v>
      </c>
      <c r="U122" s="494">
        <f t="shared" si="56"/>
        <v>6</v>
      </c>
      <c r="V122" s="494">
        <f t="shared" si="56"/>
        <v>6</v>
      </c>
      <c r="W122" s="494">
        <f t="shared" si="56"/>
        <v>6</v>
      </c>
      <c r="X122" s="494">
        <f t="shared" si="56"/>
        <v>6</v>
      </c>
    </row>
    <row r="123" spans="1:27" outlineLevel="1">
      <c r="A123"/>
      <c r="B123" s="346" t="s">
        <v>12</v>
      </c>
      <c r="C123" s="1">
        <f t="shared" ref="C123:N123" si="57">C112</f>
        <v>0</v>
      </c>
      <c r="D123" s="1">
        <f t="shared" si="57"/>
        <v>0</v>
      </c>
      <c r="E123" s="1">
        <f t="shared" si="57"/>
        <v>0</v>
      </c>
      <c r="F123" s="1">
        <f t="shared" si="57"/>
        <v>0</v>
      </c>
      <c r="G123" s="1">
        <f t="shared" si="57"/>
        <v>0</v>
      </c>
      <c r="H123" s="1">
        <f t="shared" si="57"/>
        <v>0</v>
      </c>
      <c r="I123" s="1">
        <f t="shared" si="57"/>
        <v>0</v>
      </c>
      <c r="J123" s="1">
        <f t="shared" si="57"/>
        <v>0</v>
      </c>
      <c r="K123" s="1">
        <f t="shared" si="57"/>
        <v>0</v>
      </c>
      <c r="L123" s="1">
        <f t="shared" si="57"/>
        <v>0</v>
      </c>
      <c r="M123" s="1">
        <f t="shared" si="57"/>
        <v>0</v>
      </c>
      <c r="N123" s="1">
        <f t="shared" si="57"/>
        <v>0</v>
      </c>
      <c r="O123" s="1">
        <f t="shared" ref="O123:X123" si="58">O112</f>
        <v>0</v>
      </c>
      <c r="P123" s="1">
        <f t="shared" si="58"/>
        <v>0</v>
      </c>
      <c r="Q123" s="1">
        <f t="shared" si="58"/>
        <v>0</v>
      </c>
      <c r="R123" s="1">
        <f t="shared" si="58"/>
        <v>0</v>
      </c>
      <c r="S123" s="1">
        <f t="shared" si="58"/>
        <v>0</v>
      </c>
      <c r="T123" s="1">
        <f t="shared" si="58"/>
        <v>0</v>
      </c>
      <c r="U123" s="1">
        <f t="shared" si="58"/>
        <v>0</v>
      </c>
      <c r="V123" s="1">
        <f t="shared" si="58"/>
        <v>0</v>
      </c>
      <c r="W123" s="1">
        <f t="shared" si="58"/>
        <v>0</v>
      </c>
      <c r="X123" s="1">
        <f t="shared" si="58"/>
        <v>0</v>
      </c>
    </row>
    <row r="124" spans="1:27" outlineLevel="1">
      <c r="A124"/>
      <c r="B124" s="346" t="s">
        <v>13</v>
      </c>
      <c r="C124" s="46">
        <f t="shared" ref="C124:N124" si="59">C123*C122*C119/1000000</f>
        <v>0</v>
      </c>
      <c r="D124" s="46">
        <f t="shared" si="59"/>
        <v>0</v>
      </c>
      <c r="E124" s="46">
        <f t="shared" si="59"/>
        <v>0</v>
      </c>
      <c r="F124" s="46">
        <f t="shared" si="59"/>
        <v>0</v>
      </c>
      <c r="G124" s="46">
        <f t="shared" si="59"/>
        <v>0</v>
      </c>
      <c r="H124" s="46">
        <f t="shared" si="59"/>
        <v>0</v>
      </c>
      <c r="I124" s="46">
        <f t="shared" si="59"/>
        <v>0</v>
      </c>
      <c r="J124" s="46">
        <f t="shared" si="59"/>
        <v>0</v>
      </c>
      <c r="K124" s="46">
        <f t="shared" si="59"/>
        <v>0</v>
      </c>
      <c r="L124" s="46">
        <f t="shared" si="59"/>
        <v>0</v>
      </c>
      <c r="M124" s="46">
        <f t="shared" si="59"/>
        <v>0</v>
      </c>
      <c r="N124" s="46">
        <f t="shared" si="59"/>
        <v>0</v>
      </c>
      <c r="O124" s="46">
        <f t="shared" ref="O124:X124" si="60">O123*O122*O119/1000000</f>
        <v>0</v>
      </c>
      <c r="P124" s="46">
        <f t="shared" si="60"/>
        <v>0</v>
      </c>
      <c r="Q124" s="46">
        <f t="shared" si="60"/>
        <v>0</v>
      </c>
      <c r="R124" s="46">
        <f t="shared" si="60"/>
        <v>0</v>
      </c>
      <c r="S124" s="46">
        <f t="shared" si="60"/>
        <v>0</v>
      </c>
      <c r="T124" s="46">
        <f t="shared" si="60"/>
        <v>0</v>
      </c>
      <c r="U124" s="46">
        <f t="shared" si="60"/>
        <v>0</v>
      </c>
      <c r="V124" s="46">
        <f t="shared" si="60"/>
        <v>0</v>
      </c>
      <c r="W124" s="46">
        <f t="shared" si="60"/>
        <v>0</v>
      </c>
      <c r="X124" s="46">
        <f t="shared" si="60"/>
        <v>0</v>
      </c>
    </row>
    <row r="125" spans="1:27" outlineLevel="1">
      <c r="A125"/>
      <c r="B125" s="346"/>
      <c r="C125" s="45"/>
      <c r="D125"/>
      <c r="E125"/>
      <c r="F125"/>
      <c r="G125"/>
      <c r="H125"/>
      <c r="I125"/>
      <c r="J125"/>
      <c r="K125"/>
      <c r="L125"/>
      <c r="M125"/>
      <c r="N125"/>
      <c r="O125"/>
      <c r="P125"/>
      <c r="Q125"/>
      <c r="R125"/>
      <c r="S125"/>
      <c r="T125"/>
      <c r="U125"/>
      <c r="V125"/>
      <c r="W125"/>
      <c r="X125"/>
    </row>
    <row r="126" spans="1:27" outlineLevel="1">
      <c r="A126"/>
      <c r="B126" s="346" t="s">
        <v>14</v>
      </c>
      <c r="C126"/>
      <c r="D126"/>
      <c r="E126"/>
      <c r="F126"/>
      <c r="G126"/>
      <c r="H126"/>
      <c r="I126"/>
      <c r="J126"/>
      <c r="K126">
        <f>K130-K122</f>
        <v>26</v>
      </c>
      <c r="L126">
        <f>L130-L122</f>
        <v>27</v>
      </c>
      <c r="M126">
        <f>M130-M122</f>
        <v>27.5</v>
      </c>
      <c r="N126">
        <f>N130-N122</f>
        <v>28</v>
      </c>
      <c r="O126">
        <f t="shared" ref="O126:X126" si="61">O130-O122</f>
        <v>28</v>
      </c>
      <c r="P126">
        <f t="shared" si="61"/>
        <v>28</v>
      </c>
      <c r="Q126">
        <f t="shared" si="61"/>
        <v>28</v>
      </c>
      <c r="R126">
        <f t="shared" si="61"/>
        <v>28</v>
      </c>
      <c r="S126">
        <f t="shared" si="61"/>
        <v>28</v>
      </c>
      <c r="T126">
        <f t="shared" si="61"/>
        <v>28</v>
      </c>
      <c r="U126">
        <f t="shared" si="61"/>
        <v>28</v>
      </c>
      <c r="V126">
        <f t="shared" si="61"/>
        <v>28</v>
      </c>
      <c r="W126">
        <f t="shared" si="61"/>
        <v>28</v>
      </c>
      <c r="X126">
        <f t="shared" si="61"/>
        <v>28</v>
      </c>
    </row>
    <row r="127" spans="1:27" outlineLevel="2">
      <c r="A127" s="489" t="s">
        <v>8</v>
      </c>
      <c r="B127" s="495" t="s">
        <v>662</v>
      </c>
      <c r="C127" s="496"/>
      <c r="D127" s="496"/>
      <c r="E127" s="496"/>
      <c r="F127" s="496"/>
      <c r="G127" s="496"/>
      <c r="H127" s="497"/>
      <c r="I127" s="497"/>
      <c r="J127" s="498"/>
      <c r="K127" s="497">
        <v>34.5</v>
      </c>
      <c r="L127" s="497">
        <v>35</v>
      </c>
      <c r="M127" s="497">
        <v>35.5</v>
      </c>
      <c r="N127" s="497">
        <v>36</v>
      </c>
      <c r="O127" s="497">
        <v>36.5</v>
      </c>
      <c r="P127" s="497">
        <v>37</v>
      </c>
      <c r="Q127" s="497">
        <v>37.5</v>
      </c>
      <c r="R127" s="497">
        <v>38</v>
      </c>
      <c r="S127" s="497">
        <v>38.5</v>
      </c>
      <c r="T127" s="497">
        <v>39</v>
      </c>
      <c r="U127" s="497">
        <v>39.5</v>
      </c>
      <c r="V127" s="497">
        <v>40</v>
      </c>
      <c r="W127" s="497">
        <v>40.5</v>
      </c>
      <c r="X127" s="497">
        <v>41</v>
      </c>
    </row>
    <row r="128" spans="1:27" outlineLevel="2">
      <c r="A128" s="489" t="s">
        <v>8</v>
      </c>
      <c r="B128" s="495" t="s">
        <v>663</v>
      </c>
      <c r="C128" s="499"/>
      <c r="D128" s="499"/>
      <c r="E128" s="499"/>
      <c r="F128" s="499"/>
      <c r="G128" s="499"/>
      <c r="H128" s="499"/>
      <c r="I128" s="499"/>
      <c r="J128" s="499"/>
      <c r="K128" s="499">
        <v>32</v>
      </c>
      <c r="L128" s="499">
        <v>33</v>
      </c>
      <c r="M128" s="499">
        <v>33.5</v>
      </c>
      <c r="N128" s="499">
        <v>34</v>
      </c>
      <c r="O128" s="499">
        <v>34</v>
      </c>
      <c r="P128" s="499">
        <v>34</v>
      </c>
      <c r="Q128" s="499">
        <v>34</v>
      </c>
      <c r="R128" s="499">
        <v>34</v>
      </c>
      <c r="S128" s="499">
        <v>34</v>
      </c>
      <c r="T128" s="499">
        <v>34</v>
      </c>
      <c r="U128" s="499">
        <v>34</v>
      </c>
      <c r="V128" s="499">
        <v>34</v>
      </c>
      <c r="W128" s="499">
        <v>34</v>
      </c>
      <c r="X128" s="499">
        <v>34</v>
      </c>
    </row>
    <row r="129" spans="1:24" outlineLevel="2">
      <c r="A129" s="489" t="s">
        <v>8</v>
      </c>
      <c r="B129" s="495" t="s">
        <v>664</v>
      </c>
      <c r="C129" s="496"/>
      <c r="D129" s="496"/>
      <c r="E129" s="496"/>
      <c r="F129" s="496"/>
      <c r="G129" s="496"/>
      <c r="H129" s="497"/>
      <c r="I129" s="497"/>
      <c r="J129" s="497"/>
      <c r="K129" s="497">
        <v>32</v>
      </c>
      <c r="L129" s="497">
        <v>33</v>
      </c>
      <c r="M129" s="497">
        <v>33.5</v>
      </c>
      <c r="N129" s="497">
        <v>34</v>
      </c>
      <c r="O129" s="497">
        <v>34</v>
      </c>
      <c r="P129" s="497">
        <v>34</v>
      </c>
      <c r="Q129" s="497">
        <v>34</v>
      </c>
      <c r="R129" s="497">
        <v>34</v>
      </c>
      <c r="S129" s="497">
        <v>34</v>
      </c>
      <c r="T129" s="497">
        <v>34</v>
      </c>
      <c r="U129" s="497">
        <v>34</v>
      </c>
      <c r="V129" s="497">
        <v>34</v>
      </c>
      <c r="W129" s="497">
        <v>34</v>
      </c>
      <c r="X129" s="497">
        <v>34</v>
      </c>
    </row>
    <row r="130" spans="1:24" outlineLevel="1">
      <c r="A130" s="500" t="s">
        <v>591</v>
      </c>
      <c r="B130" s="495" t="s">
        <v>15</v>
      </c>
      <c r="C130" s="499"/>
      <c r="D130" s="499"/>
      <c r="E130" s="499"/>
      <c r="F130" s="499"/>
      <c r="G130" s="499"/>
      <c r="H130" s="501"/>
      <c r="I130" s="501"/>
      <c r="J130" s="501"/>
      <c r="K130" s="501">
        <f>CHOOSE($J$1,K127,K128,K129)</f>
        <v>32</v>
      </c>
      <c r="L130" s="501">
        <f>CHOOSE($J$1,L127,L128,L129)</f>
        <v>33</v>
      </c>
      <c r="M130" s="501">
        <f>CHOOSE($J$1,M127,M128,M129)</f>
        <v>33.5</v>
      </c>
      <c r="N130" s="501">
        <f>CHOOSE($J$1,N127,N128,N129)</f>
        <v>34</v>
      </c>
      <c r="O130" s="501">
        <f t="shared" ref="O130:X130" si="62">CHOOSE($J$1,O127,O128,O129)</f>
        <v>34</v>
      </c>
      <c r="P130" s="501">
        <f t="shared" si="62"/>
        <v>34</v>
      </c>
      <c r="Q130" s="501">
        <f t="shared" si="62"/>
        <v>34</v>
      </c>
      <c r="R130" s="501">
        <f t="shared" si="62"/>
        <v>34</v>
      </c>
      <c r="S130" s="501">
        <f t="shared" si="62"/>
        <v>34</v>
      </c>
      <c r="T130" s="501">
        <f t="shared" si="62"/>
        <v>34</v>
      </c>
      <c r="U130" s="501">
        <f t="shared" si="62"/>
        <v>34</v>
      </c>
      <c r="V130" s="501">
        <f t="shared" si="62"/>
        <v>34</v>
      </c>
      <c r="W130" s="501">
        <f t="shared" si="62"/>
        <v>34</v>
      </c>
      <c r="X130" s="501">
        <f t="shared" si="62"/>
        <v>34</v>
      </c>
    </row>
    <row r="131" spans="1:24" outlineLevel="1">
      <c r="A131"/>
      <c r="B131" s="365" t="s">
        <v>16</v>
      </c>
      <c r="C131">
        <f>IF(C130&lt;6,C130,6)</f>
        <v>0</v>
      </c>
      <c r="D131">
        <f>IF(D130&lt;6,D130,6)</f>
        <v>0</v>
      </c>
      <c r="E131">
        <f>IF(E130&lt;6,E130,6)</f>
        <v>0</v>
      </c>
      <c r="F131">
        <f>IF(F130&lt;6,F130,6)</f>
        <v>0</v>
      </c>
      <c r="G131">
        <f>IF(G130&lt;6,G130,6)</f>
        <v>0</v>
      </c>
      <c r="H131">
        <f t="shared" ref="H131:N131" si="63">IF(H130&lt;6,H130,6)</f>
        <v>0</v>
      </c>
      <c r="I131">
        <f t="shared" si="63"/>
        <v>0</v>
      </c>
      <c r="J131">
        <f t="shared" si="63"/>
        <v>0</v>
      </c>
      <c r="K131">
        <f t="shared" si="63"/>
        <v>6</v>
      </c>
      <c r="L131">
        <f t="shared" si="63"/>
        <v>6</v>
      </c>
      <c r="M131">
        <f t="shared" si="63"/>
        <v>6</v>
      </c>
      <c r="N131">
        <f t="shared" si="63"/>
        <v>6</v>
      </c>
      <c r="O131">
        <f t="shared" ref="O131:X131" si="64">IF(O130&lt;6,O130,6)</f>
        <v>6</v>
      </c>
      <c r="P131">
        <f t="shared" si="64"/>
        <v>6</v>
      </c>
      <c r="Q131">
        <f t="shared" si="64"/>
        <v>6</v>
      </c>
      <c r="R131">
        <f t="shared" si="64"/>
        <v>6</v>
      </c>
      <c r="S131">
        <f t="shared" si="64"/>
        <v>6</v>
      </c>
      <c r="T131">
        <f t="shared" si="64"/>
        <v>6</v>
      </c>
      <c r="U131">
        <f t="shared" si="64"/>
        <v>6</v>
      </c>
      <c r="V131">
        <f t="shared" si="64"/>
        <v>6</v>
      </c>
      <c r="W131">
        <f t="shared" si="64"/>
        <v>6</v>
      </c>
      <c r="X131">
        <f t="shared" si="64"/>
        <v>6</v>
      </c>
    </row>
    <row r="132" spans="1:24" outlineLevel="1">
      <c r="A132"/>
      <c r="B132" s="366" t="s">
        <v>17</v>
      </c>
      <c r="C132">
        <f t="shared" ref="C132:J132" si="65">IF(C130&gt;24,12,IF(C130&gt;12,C130-12,0))</f>
        <v>0</v>
      </c>
      <c r="D132">
        <f t="shared" si="65"/>
        <v>0</v>
      </c>
      <c r="E132">
        <f t="shared" si="65"/>
        <v>0</v>
      </c>
      <c r="F132">
        <f t="shared" si="65"/>
        <v>0</v>
      </c>
      <c r="G132">
        <f t="shared" si="65"/>
        <v>0</v>
      </c>
      <c r="H132">
        <f t="shared" si="65"/>
        <v>0</v>
      </c>
      <c r="I132">
        <f t="shared" si="65"/>
        <v>0</v>
      </c>
      <c r="J132">
        <f t="shared" si="65"/>
        <v>0</v>
      </c>
      <c r="K132">
        <f>IF(J130&gt;24,12,IF(J130&gt;12,J130-12,0))</f>
        <v>0</v>
      </c>
      <c r="L132">
        <f>IF(K130&gt;24,12,IF(K130&gt;12,K130-12,0))</f>
        <v>12</v>
      </c>
      <c r="M132">
        <f>IF(L130&gt;24,12,IF(L130&gt;12,L130-12,0))</f>
        <v>12</v>
      </c>
      <c r="N132">
        <f>IF(M130&gt;24,12,IF(M130&gt;12,M130-12,0))</f>
        <v>12</v>
      </c>
      <c r="O132">
        <f t="shared" ref="O132:X132" si="66">IF(N130&gt;24,12,IF(N130&gt;12,N130-12,0))</f>
        <v>12</v>
      </c>
      <c r="P132">
        <f t="shared" si="66"/>
        <v>12</v>
      </c>
      <c r="Q132">
        <f t="shared" si="66"/>
        <v>12</v>
      </c>
      <c r="R132">
        <f t="shared" si="66"/>
        <v>12</v>
      </c>
      <c r="S132">
        <f t="shared" si="66"/>
        <v>12</v>
      </c>
      <c r="T132">
        <f t="shared" si="66"/>
        <v>12</v>
      </c>
      <c r="U132">
        <f t="shared" si="66"/>
        <v>12</v>
      </c>
      <c r="V132">
        <f t="shared" si="66"/>
        <v>12</v>
      </c>
      <c r="W132">
        <f t="shared" si="66"/>
        <v>12</v>
      </c>
      <c r="X132">
        <f t="shared" si="66"/>
        <v>12</v>
      </c>
    </row>
    <row r="133" spans="1:24" outlineLevel="1">
      <c r="A133"/>
      <c r="B133" s="366" t="s">
        <v>18</v>
      </c>
      <c r="C133">
        <f t="shared" ref="C133:J133" si="67">IF(C130&gt;36,12,IF(C130&gt;24,C130-24,0))</f>
        <v>0</v>
      </c>
      <c r="D133">
        <f t="shared" si="67"/>
        <v>0</v>
      </c>
      <c r="E133">
        <f t="shared" si="67"/>
        <v>0</v>
      </c>
      <c r="F133">
        <f t="shared" si="67"/>
        <v>0</v>
      </c>
      <c r="G133">
        <f t="shared" si="67"/>
        <v>0</v>
      </c>
      <c r="H133">
        <f t="shared" si="67"/>
        <v>0</v>
      </c>
      <c r="I133">
        <f t="shared" si="67"/>
        <v>0</v>
      </c>
      <c r="J133">
        <f t="shared" si="67"/>
        <v>0</v>
      </c>
      <c r="K133">
        <f>IF(I130&gt;36,12,IF(I130&gt;24,I130-24,0))</f>
        <v>0</v>
      </c>
      <c r="L133">
        <f>IF(J130&gt;36,12,IF(J130&gt;24,J130-24,0))</f>
        <v>0</v>
      </c>
      <c r="M133">
        <f>IF(K130&gt;36,12,IF(K130&gt;24,K130-24,0))</f>
        <v>8</v>
      </c>
      <c r="N133">
        <f>IF(L130&gt;36,12,IF(L130&gt;24,L130-24,0))</f>
        <v>9</v>
      </c>
      <c r="O133">
        <f t="shared" ref="O133:X133" si="68">IF(M130&gt;36,12,IF(M130&gt;24,M130-24,0))</f>
        <v>9.5</v>
      </c>
      <c r="P133">
        <f t="shared" si="68"/>
        <v>10</v>
      </c>
      <c r="Q133">
        <f t="shared" si="68"/>
        <v>10</v>
      </c>
      <c r="R133">
        <f t="shared" si="68"/>
        <v>10</v>
      </c>
      <c r="S133">
        <f t="shared" si="68"/>
        <v>10</v>
      </c>
      <c r="T133">
        <f t="shared" si="68"/>
        <v>10</v>
      </c>
      <c r="U133">
        <f t="shared" si="68"/>
        <v>10</v>
      </c>
      <c r="V133">
        <f t="shared" si="68"/>
        <v>10</v>
      </c>
      <c r="W133">
        <f t="shared" si="68"/>
        <v>10</v>
      </c>
      <c r="X133">
        <f t="shared" si="68"/>
        <v>10</v>
      </c>
    </row>
    <row r="134" spans="1:24" outlineLevel="1">
      <c r="A134"/>
      <c r="B134" s="346" t="s">
        <v>19</v>
      </c>
      <c r="C134" s="1">
        <f t="shared" ref="C134:N134" si="69">C115</f>
        <v>0</v>
      </c>
      <c r="D134" s="1">
        <f t="shared" si="69"/>
        <v>0</v>
      </c>
      <c r="E134" s="1">
        <f t="shared" si="69"/>
        <v>0</v>
      </c>
      <c r="F134" s="1">
        <f t="shared" si="69"/>
        <v>0</v>
      </c>
      <c r="G134" s="1">
        <f t="shared" si="69"/>
        <v>0</v>
      </c>
      <c r="H134" s="1">
        <f t="shared" si="69"/>
        <v>0</v>
      </c>
      <c r="I134" s="1">
        <f t="shared" si="69"/>
        <v>0</v>
      </c>
      <c r="J134" s="1">
        <f t="shared" si="69"/>
        <v>0</v>
      </c>
      <c r="K134" s="1">
        <f t="shared" si="69"/>
        <v>0</v>
      </c>
      <c r="L134" s="1">
        <f t="shared" si="69"/>
        <v>0</v>
      </c>
      <c r="M134" s="1">
        <f t="shared" si="69"/>
        <v>0</v>
      </c>
      <c r="N134" s="1">
        <f t="shared" si="69"/>
        <v>0</v>
      </c>
      <c r="O134" s="1">
        <f t="shared" ref="O134:X134" si="70">O115</f>
        <v>0</v>
      </c>
      <c r="P134" s="1">
        <f t="shared" si="70"/>
        <v>0</v>
      </c>
      <c r="Q134" s="1">
        <f t="shared" si="70"/>
        <v>0</v>
      </c>
      <c r="R134" s="1">
        <f t="shared" si="70"/>
        <v>0</v>
      </c>
      <c r="S134" s="1">
        <f t="shared" si="70"/>
        <v>0</v>
      </c>
      <c r="T134" s="1">
        <f t="shared" si="70"/>
        <v>0</v>
      </c>
      <c r="U134" s="1">
        <f t="shared" si="70"/>
        <v>0</v>
      </c>
      <c r="V134" s="1">
        <f t="shared" si="70"/>
        <v>0</v>
      </c>
      <c r="W134" s="1">
        <f t="shared" si="70"/>
        <v>0</v>
      </c>
      <c r="X134" s="1">
        <f t="shared" si="70"/>
        <v>0</v>
      </c>
    </row>
    <row r="135" spans="1:24" outlineLevel="1">
      <c r="A135"/>
      <c r="B135" s="346" t="s">
        <v>20</v>
      </c>
      <c r="C135" s="46"/>
      <c r="D135" s="46"/>
      <c r="E135" s="46"/>
      <c r="F135" s="46"/>
      <c r="G135" s="46">
        <f t="shared" ref="G135:N135" si="71">(G134*G131+F134*F132+E133*E134)*G119/1000000</f>
        <v>0</v>
      </c>
      <c r="H135" s="46">
        <f t="shared" si="71"/>
        <v>0</v>
      </c>
      <c r="I135" s="46">
        <f t="shared" si="71"/>
        <v>0</v>
      </c>
      <c r="J135" s="46">
        <f t="shared" si="71"/>
        <v>0</v>
      </c>
      <c r="K135" s="46">
        <f t="shared" si="71"/>
        <v>0</v>
      </c>
      <c r="L135" s="46">
        <f t="shared" si="71"/>
        <v>0</v>
      </c>
      <c r="M135" s="46">
        <f t="shared" si="71"/>
        <v>0</v>
      </c>
      <c r="N135" s="46">
        <f t="shared" si="71"/>
        <v>0</v>
      </c>
      <c r="O135" s="46">
        <f t="shared" ref="O135:X135" si="72">(O134*O131+N134*N132+M133*M134)*O119/1000000</f>
        <v>0</v>
      </c>
      <c r="P135" s="46">
        <f t="shared" si="72"/>
        <v>0</v>
      </c>
      <c r="Q135" s="46">
        <f t="shared" si="72"/>
        <v>0</v>
      </c>
      <c r="R135" s="46">
        <f t="shared" si="72"/>
        <v>0</v>
      </c>
      <c r="S135" s="46">
        <f t="shared" si="72"/>
        <v>0</v>
      </c>
      <c r="T135" s="46">
        <f t="shared" si="72"/>
        <v>0</v>
      </c>
      <c r="U135" s="46">
        <f t="shared" si="72"/>
        <v>0</v>
      </c>
      <c r="V135" s="46">
        <f t="shared" si="72"/>
        <v>0</v>
      </c>
      <c r="W135" s="46">
        <f t="shared" si="72"/>
        <v>0</v>
      </c>
      <c r="X135" s="46">
        <f t="shared" si="72"/>
        <v>0</v>
      </c>
    </row>
    <row r="136" spans="1:24">
      <c r="A136"/>
      <c r="B136" s="353" t="s">
        <v>23</v>
      </c>
      <c r="C136" s="367"/>
      <c r="D136" s="367"/>
      <c r="E136" s="367"/>
      <c r="F136" s="367"/>
      <c r="G136" s="367">
        <f t="shared" ref="G136:N136" si="73">G135+G124</f>
        <v>0</v>
      </c>
      <c r="H136" s="367">
        <f t="shared" si="73"/>
        <v>0</v>
      </c>
      <c r="I136" s="367">
        <f t="shared" si="73"/>
        <v>0</v>
      </c>
      <c r="J136" s="367">
        <f t="shared" si="73"/>
        <v>0</v>
      </c>
      <c r="K136" s="367">
        <f t="shared" si="73"/>
        <v>0</v>
      </c>
      <c r="L136" s="367">
        <f t="shared" si="73"/>
        <v>0</v>
      </c>
      <c r="M136" s="367">
        <f t="shared" si="73"/>
        <v>0</v>
      </c>
      <c r="N136" s="367">
        <f t="shared" si="73"/>
        <v>0</v>
      </c>
      <c r="O136" s="367">
        <f t="shared" ref="O136:X136" si="74">O135+O124</f>
        <v>0</v>
      </c>
      <c r="P136" s="367">
        <f t="shared" si="74"/>
        <v>0</v>
      </c>
      <c r="Q136" s="367">
        <f t="shared" si="74"/>
        <v>0</v>
      </c>
      <c r="R136" s="367">
        <f t="shared" si="74"/>
        <v>0</v>
      </c>
      <c r="S136" s="367">
        <f t="shared" si="74"/>
        <v>0</v>
      </c>
      <c r="T136" s="367">
        <f t="shared" si="74"/>
        <v>0</v>
      </c>
      <c r="U136" s="367">
        <f t="shared" si="74"/>
        <v>0</v>
      </c>
      <c r="V136" s="367">
        <f t="shared" si="74"/>
        <v>0</v>
      </c>
      <c r="W136" s="367">
        <f t="shared" si="74"/>
        <v>0</v>
      </c>
      <c r="X136" s="367">
        <f t="shared" si="74"/>
        <v>0</v>
      </c>
    </row>
    <row r="137" spans="1:24">
      <c r="A137"/>
      <c r="B137"/>
      <c r="C137"/>
      <c r="D137"/>
      <c r="E137"/>
      <c r="F137"/>
      <c r="G137"/>
      <c r="H137"/>
      <c r="I137"/>
      <c r="J137"/>
      <c r="K137"/>
      <c r="L137"/>
      <c r="M137"/>
      <c r="N137"/>
      <c r="O137"/>
      <c r="P137"/>
      <c r="Q137"/>
      <c r="R137"/>
      <c r="S137"/>
      <c r="T137"/>
      <c r="U137"/>
      <c r="V137"/>
      <c r="W137"/>
      <c r="X137"/>
    </row>
    <row r="138" spans="1:24">
      <c r="A138"/>
      <c r="B138" s="486" t="s">
        <v>24</v>
      </c>
      <c r="C138" s="482">
        <f t="shared" ref="C138:N138" si="75">C136+C124</f>
        <v>0</v>
      </c>
      <c r="D138" s="482">
        <f t="shared" si="75"/>
        <v>0</v>
      </c>
      <c r="E138" s="482">
        <f t="shared" si="75"/>
        <v>0</v>
      </c>
      <c r="F138" s="482">
        <f t="shared" si="75"/>
        <v>0</v>
      </c>
      <c r="G138" s="482">
        <f t="shared" si="75"/>
        <v>0</v>
      </c>
      <c r="H138" s="482">
        <f t="shared" si="75"/>
        <v>0</v>
      </c>
      <c r="I138" s="482">
        <f t="shared" si="75"/>
        <v>0</v>
      </c>
      <c r="J138" s="482">
        <f t="shared" si="75"/>
        <v>0</v>
      </c>
      <c r="K138" s="482">
        <f t="shared" si="75"/>
        <v>0</v>
      </c>
      <c r="L138" s="482">
        <f t="shared" si="75"/>
        <v>0</v>
      </c>
      <c r="M138" s="482">
        <f t="shared" si="75"/>
        <v>0</v>
      </c>
      <c r="N138" s="482">
        <f t="shared" si="75"/>
        <v>0</v>
      </c>
      <c r="O138" s="482">
        <f t="shared" ref="O138:X138" si="76">O136+O124</f>
        <v>0</v>
      </c>
      <c r="P138" s="482">
        <f t="shared" si="76"/>
        <v>0</v>
      </c>
      <c r="Q138" s="482">
        <f t="shared" si="76"/>
        <v>0</v>
      </c>
      <c r="R138" s="482">
        <f t="shared" si="76"/>
        <v>0</v>
      </c>
      <c r="S138" s="482">
        <f t="shared" si="76"/>
        <v>0</v>
      </c>
      <c r="T138" s="482">
        <f t="shared" si="76"/>
        <v>0</v>
      </c>
      <c r="U138" s="482">
        <f t="shared" si="76"/>
        <v>0</v>
      </c>
      <c r="V138" s="482">
        <f t="shared" si="76"/>
        <v>0</v>
      </c>
      <c r="W138" s="482">
        <f t="shared" si="76"/>
        <v>0</v>
      </c>
      <c r="X138" s="482">
        <f t="shared" si="76"/>
        <v>0</v>
      </c>
    </row>
    <row r="139" spans="1:24">
      <c r="A139"/>
      <c r="B139" s="27" t="s">
        <v>21</v>
      </c>
      <c r="C139" s="89"/>
      <c r="D139" s="89"/>
      <c r="E139" s="89"/>
      <c r="F139" s="89"/>
      <c r="G139" s="89"/>
      <c r="H139" s="89"/>
      <c r="I139" s="89"/>
      <c r="J139" s="89"/>
      <c r="K139" s="89"/>
      <c r="L139" s="89"/>
      <c r="M139" s="89"/>
      <c r="N139" s="89"/>
    </row>
    <row r="140" spans="1:24" ht="13.5" thickBot="1"/>
    <row r="141" spans="1:24">
      <c r="A141" s="489" t="s">
        <v>8</v>
      </c>
      <c r="B141" s="488" t="s">
        <v>986</v>
      </c>
      <c r="C141" s="488"/>
      <c r="D141" s="488"/>
      <c r="E141" s="488"/>
      <c r="F141" s="488"/>
      <c r="G141" s="488"/>
      <c r="H141" s="488"/>
      <c r="I141" s="488"/>
      <c r="J141" s="488"/>
      <c r="K141" s="488"/>
      <c r="L141" s="488"/>
      <c r="M141" s="488"/>
      <c r="N141" s="488"/>
      <c r="O141" s="488"/>
      <c r="P141" s="488"/>
      <c r="Q141" s="488"/>
      <c r="R141" s="488"/>
      <c r="S141" s="488"/>
      <c r="T141" s="488"/>
      <c r="U141" s="488"/>
      <c r="V141" s="488"/>
      <c r="W141" s="488"/>
      <c r="X141" s="488"/>
    </row>
    <row r="142" spans="1:24">
      <c r="A142" s="489" t="s">
        <v>8</v>
      </c>
      <c r="B142" s="349" t="s">
        <v>969</v>
      </c>
      <c r="C142" s="363">
        <v>47621.47979118301</v>
      </c>
      <c r="D142" s="363">
        <v>49428.590106296964</v>
      </c>
      <c r="E142" s="363">
        <v>51297.637525178186</v>
      </c>
      <c r="F142" s="363">
        <v>53230.637789395063</v>
      </c>
      <c r="G142" s="363">
        <v>55229.67032967032</v>
      </c>
      <c r="H142" s="363">
        <v>60666.747252747249</v>
      </c>
      <c r="I142" s="363">
        <v>65512.471208791198</v>
      </c>
      <c r="J142" s="363">
        <v>69817.01920439559</v>
      </c>
      <c r="K142" s="363">
        <v>73625.131218153838</v>
      </c>
      <c r="L142" s="363">
        <v>76976.638312066352</v>
      </c>
      <c r="M142" s="363">
        <v>79906.937403833726</v>
      </c>
      <c r="N142" s="363">
        <v>82447.41801690335</v>
      </c>
      <c r="O142" s="363">
        <v>84625.845792915119</v>
      </c>
      <c r="P142" s="363">
        <v>86466.707072175224</v>
      </c>
      <c r="Q142" s="363">
        <v>87991.518416654697</v>
      </c>
      <c r="R142" s="363">
        <v>89219.104561973712</v>
      </c>
      <c r="S142" s="363">
        <v>90165.847935581696</v>
      </c>
      <c r="T142" s="363">
        <v>90845.912563998601</v>
      </c>
      <c r="U142" s="363">
        <v>91271.444909054117</v>
      </c>
      <c r="V142" s="363">
        <v>91452.753918405244</v>
      </c>
      <c r="W142" s="363">
        <v>91398.47234640157</v>
      </c>
      <c r="X142" s="363">
        <v>91115.701195057482</v>
      </c>
    </row>
    <row r="143" spans="1:24">
      <c r="A143" s="489" t="s">
        <v>8</v>
      </c>
      <c r="B143" s="481" t="s">
        <v>662</v>
      </c>
      <c r="C143" s="479"/>
      <c r="D143" s="479"/>
      <c r="E143" s="479"/>
      <c r="F143" s="479"/>
      <c r="G143" s="479"/>
      <c r="H143" s="479">
        <v>0.40100855777628275</v>
      </c>
      <c r="I143" s="479">
        <v>0.19261978878347491</v>
      </c>
      <c r="J143" s="479">
        <v>0.19454598667130965</v>
      </c>
      <c r="K143" s="479">
        <v>0.19649144653802275</v>
      </c>
      <c r="L143" s="479">
        <v>0.19845636100340297</v>
      </c>
      <c r="M143" s="479">
        <v>0.20044092461343699</v>
      </c>
      <c r="N143" s="479">
        <v>0.20244533385957136</v>
      </c>
      <c r="O143" s="479">
        <v>0.20446978719816708</v>
      </c>
      <c r="P143" s="479">
        <v>0.20651448507014875</v>
      </c>
      <c r="Q143" s="479">
        <v>0.20857962992085025</v>
      </c>
      <c r="R143" s="479">
        <v>0.21066542622005874</v>
      </c>
      <c r="S143" s="479">
        <v>0.21277208048225932</v>
      </c>
      <c r="T143" s="479">
        <v>0.21489980128708192</v>
      </c>
      <c r="U143" s="479">
        <v>0.21704879929995274</v>
      </c>
      <c r="V143" s="479">
        <v>0.21921928729295229</v>
      </c>
      <c r="W143" s="479">
        <v>0.2214114801658818</v>
      </c>
      <c r="X143" s="479">
        <v>0.22362559496754061</v>
      </c>
    </row>
    <row r="144" spans="1:24">
      <c r="A144" s="489" t="s">
        <v>8</v>
      </c>
      <c r="B144" s="481" t="s">
        <v>970</v>
      </c>
      <c r="C144" s="479"/>
      <c r="D144" s="479"/>
      <c r="E144" s="479"/>
      <c r="F144" s="479"/>
      <c r="G144" s="479"/>
      <c r="H144" s="479">
        <v>0.3893286968701774</v>
      </c>
      <c r="I144" s="479">
        <v>0.3893286968701774</v>
      </c>
      <c r="J144" s="479">
        <v>0.3893286968701774</v>
      </c>
      <c r="K144" s="479">
        <v>0.3893286968701774</v>
      </c>
      <c r="L144" s="479">
        <v>0.3893286968701774</v>
      </c>
      <c r="M144" s="479">
        <v>0.3893286968701774</v>
      </c>
      <c r="N144" s="479">
        <v>0.3893286968701774</v>
      </c>
      <c r="O144" s="479">
        <v>0.3893286968701774</v>
      </c>
      <c r="P144" s="479">
        <v>0.3893286968701774</v>
      </c>
      <c r="Q144" s="479">
        <v>0.3893286968701774</v>
      </c>
      <c r="R144" s="479">
        <v>0.3893286968701774</v>
      </c>
      <c r="S144" s="479">
        <v>0.3893286968701774</v>
      </c>
      <c r="T144" s="479">
        <v>0.3893286968701774</v>
      </c>
      <c r="U144" s="479">
        <v>0.3893286968701774</v>
      </c>
      <c r="V144" s="479">
        <v>0.3893286968701774</v>
      </c>
      <c r="W144" s="479">
        <v>0.3893286968701774</v>
      </c>
      <c r="X144" s="479">
        <v>0.3893286968701774</v>
      </c>
    </row>
    <row r="145" spans="1:28">
      <c r="A145" s="489" t="s">
        <v>8</v>
      </c>
      <c r="B145" s="481" t="s">
        <v>664</v>
      </c>
      <c r="C145" s="479"/>
      <c r="D145" s="479"/>
      <c r="E145" s="479"/>
      <c r="F145" s="479"/>
      <c r="G145" s="479"/>
      <c r="H145" s="479">
        <v>0.3893286968701774</v>
      </c>
      <c r="I145" s="479">
        <v>0.3893286968701774</v>
      </c>
      <c r="J145" s="479">
        <v>0.3893286968701774</v>
      </c>
      <c r="K145" s="479">
        <v>0.3893286968701774</v>
      </c>
      <c r="L145" s="479">
        <v>0.3893286968701774</v>
      </c>
      <c r="M145" s="479">
        <v>0.3893286968701774</v>
      </c>
      <c r="N145" s="479">
        <v>0.3893286968701774</v>
      </c>
      <c r="O145" s="479">
        <v>0.3893286968701774</v>
      </c>
      <c r="P145" s="479">
        <v>0.3893286968701774</v>
      </c>
      <c r="Q145" s="479">
        <v>0.3893286968701774</v>
      </c>
      <c r="R145" s="479">
        <v>0.3893286968701774</v>
      </c>
      <c r="S145" s="479">
        <v>0.3893286968701774</v>
      </c>
      <c r="T145" s="479">
        <v>0.3893286968701774</v>
      </c>
      <c r="U145" s="479">
        <v>0.3893286968701774</v>
      </c>
      <c r="V145" s="479">
        <v>0.3893286968701774</v>
      </c>
      <c r="W145" s="479">
        <v>0.3893286968701774</v>
      </c>
      <c r="X145" s="479">
        <v>0.3893286968701774</v>
      </c>
    </row>
    <row r="146" spans="1:28">
      <c r="A146" s="490" t="s">
        <v>591</v>
      </c>
      <c r="B146" s="502" t="s">
        <v>971</v>
      </c>
      <c r="C146" s="476">
        <v>0.39403589216190288</v>
      </c>
      <c r="D146" s="476">
        <v>0.39285378448541719</v>
      </c>
      <c r="E146" s="476">
        <v>0.39167522313196096</v>
      </c>
      <c r="F146" s="476">
        <v>0.39050019746256509</v>
      </c>
      <c r="G146" s="476">
        <v>0.3893286968701774</v>
      </c>
      <c r="H146" s="484">
        <f t="shared" ref="H146:N146" si="77">CHOOSE($J$1,H143,H144,H145)</f>
        <v>0.3893286968701774</v>
      </c>
      <c r="I146" s="484">
        <f t="shared" si="77"/>
        <v>0.3893286968701774</v>
      </c>
      <c r="J146" s="484">
        <f t="shared" si="77"/>
        <v>0.3893286968701774</v>
      </c>
      <c r="K146" s="484">
        <f t="shared" si="77"/>
        <v>0.3893286968701774</v>
      </c>
      <c r="L146" s="484">
        <f t="shared" si="77"/>
        <v>0.3893286968701774</v>
      </c>
      <c r="M146" s="484">
        <f t="shared" si="77"/>
        <v>0.3893286968701774</v>
      </c>
      <c r="N146" s="484">
        <f t="shared" si="77"/>
        <v>0.3893286968701774</v>
      </c>
      <c r="O146" s="484">
        <f t="shared" ref="O146:X146" si="78">CHOOSE($J$1,O143,O144,O145)</f>
        <v>0.3893286968701774</v>
      </c>
      <c r="P146" s="484">
        <f t="shared" si="78"/>
        <v>0.3893286968701774</v>
      </c>
      <c r="Q146" s="484">
        <f t="shared" si="78"/>
        <v>0.3893286968701774</v>
      </c>
      <c r="R146" s="484">
        <f t="shared" si="78"/>
        <v>0.3893286968701774</v>
      </c>
      <c r="S146" s="484">
        <f t="shared" si="78"/>
        <v>0.3893286968701774</v>
      </c>
      <c r="T146" s="484">
        <f t="shared" si="78"/>
        <v>0.3893286968701774</v>
      </c>
      <c r="U146" s="484">
        <f t="shared" si="78"/>
        <v>0.3893286968701774</v>
      </c>
      <c r="V146" s="484">
        <f t="shared" si="78"/>
        <v>0.3893286968701774</v>
      </c>
      <c r="W146" s="484">
        <f t="shared" si="78"/>
        <v>0.3893286968701774</v>
      </c>
      <c r="X146" s="484">
        <f t="shared" si="78"/>
        <v>0.3893286968701774</v>
      </c>
    </row>
    <row r="147" spans="1:28">
      <c r="A147" s="489" t="s">
        <v>8</v>
      </c>
      <c r="B147" s="348" t="s">
        <v>972</v>
      </c>
      <c r="C147" s="85">
        <v>0.18716704877690385</v>
      </c>
      <c r="D147" s="85">
        <v>0.18660554763057313</v>
      </c>
      <c r="E147" s="85">
        <v>0.1860457309876814</v>
      </c>
      <c r="F147" s="613">
        <v>0.18548759379471835</v>
      </c>
      <c r="G147" s="613">
        <v>0.18548759379471835</v>
      </c>
      <c r="H147" s="613">
        <v>0.18734246973266555</v>
      </c>
      <c r="I147" s="613">
        <v>0.1892158944299922</v>
      </c>
      <c r="J147" s="613">
        <v>0.19110805337429213</v>
      </c>
      <c r="K147" s="613">
        <v>0.19301913390803505</v>
      </c>
      <c r="L147" s="613">
        <v>0.19494932524711539</v>
      </c>
      <c r="M147" s="613">
        <v>0.19689881849958654</v>
      </c>
      <c r="N147" s="613">
        <v>0.1988678066845824</v>
      </c>
      <c r="O147" s="613">
        <v>0.20085648475142823</v>
      </c>
      <c r="P147" s="613">
        <v>0.2028650495989425</v>
      </c>
      <c r="Q147" s="613">
        <v>0.20489370009493194</v>
      </c>
      <c r="R147" s="613">
        <v>0.20694263709588126</v>
      </c>
      <c r="S147" s="613">
        <v>0.20901206346684006</v>
      </c>
      <c r="T147" s="613">
        <v>0.21110218410150847</v>
      </c>
      <c r="U147" s="613">
        <v>0.21321320594252355</v>
      </c>
      <c r="V147" s="613">
        <v>0.21534533800194877</v>
      </c>
      <c r="W147" s="613">
        <v>0.21749879138196826</v>
      </c>
      <c r="X147" s="613">
        <v>0.21967377929578794</v>
      </c>
      <c r="Y147" s="617"/>
      <c r="Z147" s="617"/>
      <c r="AA147" s="617"/>
    </row>
    <row r="148" spans="1:28">
      <c r="A148" s="489" t="s">
        <v>8</v>
      </c>
      <c r="B148" s="348" t="s">
        <v>973</v>
      </c>
      <c r="C148" s="85">
        <v>8.9550899100449916E-2</v>
      </c>
      <c r="D148" s="85">
        <v>8.9461348201349461E-2</v>
      </c>
      <c r="E148" s="85">
        <v>8.9371886853148105E-2</v>
      </c>
      <c r="F148" s="613">
        <v>8.9282514966294954E-2</v>
      </c>
      <c r="G148" s="613">
        <v>8.9193232451328652E-2</v>
      </c>
      <c r="H148" s="613">
        <v>9.0698261282219195E-2</v>
      </c>
      <c r="I148" s="613">
        <v>9.2151142306041933E-2</v>
      </c>
      <c r="J148" s="613">
        <v>9.3552026025679857E-2</v>
      </c>
      <c r="K148" s="613">
        <v>9.4901057729235461E-2</v>
      </c>
      <c r="L148" s="613">
        <v>9.6198377505080646E-2</v>
      </c>
      <c r="M148" s="613">
        <v>9.7444120256385713E-2</v>
      </c>
      <c r="N148" s="613">
        <v>9.8638415715128436E-2</v>
      </c>
      <c r="O148" s="613">
        <v>9.9781388455583653E-2</v>
      </c>
      <c r="P148" s="613">
        <v>0.10087315790729756</v>
      </c>
      <c r="Q148" s="613">
        <v>0.10191383836754397</v>
      </c>
      <c r="R148" s="613">
        <v>0.1029035390132681</v>
      </c>
      <c r="S148" s="613">
        <v>0.10384236391251594</v>
      </c>
      <c r="T148" s="613">
        <v>0.10473041203535222</v>
      </c>
      <c r="U148" s="613">
        <v>0.10556777726426675</v>
      </c>
      <c r="V148" s="613">
        <v>0.10635454840407188</v>
      </c>
      <c r="W148" s="613">
        <v>0.10709080919129044</v>
      </c>
      <c r="X148" s="613">
        <v>0.10777663830303641</v>
      </c>
      <c r="Y148" s="617"/>
      <c r="Z148" s="617"/>
      <c r="AA148" s="617"/>
      <c r="AB148" s="615"/>
    </row>
    <row r="149" spans="1:28">
      <c r="B149" s="348" t="s">
        <v>974</v>
      </c>
      <c r="C149" s="85">
        <f t="shared" ref="C149:N149" si="79">1-C146-C147-C148</f>
        <v>0.32924615996074336</v>
      </c>
      <c r="D149" s="85">
        <f t="shared" si="79"/>
        <v>0.33107931968266024</v>
      </c>
      <c r="E149" s="85">
        <f t="shared" si="79"/>
        <v>0.33290715902720958</v>
      </c>
      <c r="F149" s="613">
        <f t="shared" si="79"/>
        <v>0.33472969377642164</v>
      </c>
      <c r="G149" s="613">
        <f t="shared" si="79"/>
        <v>0.33599047688377554</v>
      </c>
      <c r="H149" s="613">
        <f t="shared" si="79"/>
        <v>0.33263057211493779</v>
      </c>
      <c r="I149" s="613">
        <f t="shared" si="79"/>
        <v>0.3293042663937884</v>
      </c>
      <c r="J149" s="613">
        <f t="shared" si="79"/>
        <v>0.32601122372985053</v>
      </c>
      <c r="K149" s="613">
        <f t="shared" si="79"/>
        <v>0.32275111149255203</v>
      </c>
      <c r="L149" s="613">
        <f t="shared" si="79"/>
        <v>0.3195236003776265</v>
      </c>
      <c r="M149" s="613">
        <f t="shared" si="79"/>
        <v>0.31632836437385026</v>
      </c>
      <c r="N149" s="613">
        <f t="shared" si="79"/>
        <v>0.31316508073011173</v>
      </c>
      <c r="O149" s="613">
        <f t="shared" ref="O149:X149" si="80">1-O146-O147-O148</f>
        <v>0.31003342992281063</v>
      </c>
      <c r="P149" s="613">
        <f t="shared" si="80"/>
        <v>0.30693309562358251</v>
      </c>
      <c r="Q149" s="613">
        <f t="shared" si="80"/>
        <v>0.30386376466734666</v>
      </c>
      <c r="R149" s="613">
        <f t="shared" si="80"/>
        <v>0.30082512702067321</v>
      </c>
      <c r="S149" s="613">
        <f t="shared" si="80"/>
        <v>0.2978168757504665</v>
      </c>
      <c r="T149" s="613">
        <f t="shared" si="80"/>
        <v>0.29483870699296183</v>
      </c>
      <c r="U149" s="613">
        <f t="shared" si="80"/>
        <v>0.29189031992303222</v>
      </c>
      <c r="V149" s="613">
        <f t="shared" si="80"/>
        <v>0.28897141672380189</v>
      </c>
      <c r="W149" s="613">
        <f t="shared" si="80"/>
        <v>0.28608170255656384</v>
      </c>
      <c r="X149" s="613">
        <f t="shared" si="80"/>
        <v>0.28322088553099822</v>
      </c>
      <c r="Y149" s="617"/>
      <c r="Z149" s="617"/>
      <c r="AA149" s="617"/>
    </row>
    <row r="151" spans="1:28">
      <c r="B151" s="503" t="s">
        <v>25</v>
      </c>
      <c r="C151" s="503"/>
      <c r="D151" s="503"/>
      <c r="E151" s="503"/>
      <c r="F151" s="503"/>
      <c r="G151" s="503"/>
      <c r="H151" s="503"/>
      <c r="I151" s="503"/>
      <c r="J151" s="503"/>
      <c r="K151" s="503"/>
      <c r="L151" s="503"/>
      <c r="M151" s="503"/>
      <c r="N151" s="503"/>
      <c r="O151" s="503"/>
      <c r="P151" s="503"/>
      <c r="Q151" s="503"/>
      <c r="R151" s="503"/>
      <c r="S151" s="503"/>
      <c r="T151" s="503"/>
      <c r="U151" s="503"/>
      <c r="V151" s="503"/>
      <c r="W151" s="503"/>
      <c r="X151" s="503"/>
    </row>
    <row r="152" spans="1:28">
      <c r="A152" s="489" t="s">
        <v>8</v>
      </c>
      <c r="B152" s="348" t="s">
        <v>204</v>
      </c>
    </row>
    <row r="153" spans="1:28">
      <c r="A153" s="489" t="s">
        <v>8</v>
      </c>
      <c r="B153" s="478" t="s">
        <v>664</v>
      </c>
      <c r="C153" s="485"/>
      <c r="D153" s="485"/>
      <c r="E153" s="485"/>
      <c r="F153" s="485"/>
      <c r="G153" s="485"/>
      <c r="H153" s="485"/>
      <c r="I153" s="479">
        <v>0</v>
      </c>
      <c r="J153" s="479">
        <v>2.2499999999999999E-2</v>
      </c>
      <c r="K153" s="479">
        <v>4.4999999999999998E-2</v>
      </c>
      <c r="L153" s="479">
        <v>7.5000000000000011E-2</v>
      </c>
      <c r="M153" s="479">
        <v>8.2500000000000018E-2</v>
      </c>
      <c r="N153" s="479">
        <v>9.0750000000000025E-2</v>
      </c>
      <c r="O153" s="479">
        <v>9.9825000000000025E-2</v>
      </c>
      <c r="P153" s="479">
        <v>0.10980750000000003</v>
      </c>
      <c r="Q153" s="479">
        <v>0.12078825000000004</v>
      </c>
      <c r="R153" s="479">
        <v>0.13286707500000006</v>
      </c>
      <c r="S153" s="479">
        <v>0.14615378250000005</v>
      </c>
      <c r="T153" s="479">
        <v>0.16076916075000008</v>
      </c>
      <c r="U153" s="479">
        <v>0.17684607682500009</v>
      </c>
      <c r="V153" s="479">
        <v>0.19453068450750011</v>
      </c>
      <c r="W153" s="479">
        <v>0.21398375295825012</v>
      </c>
      <c r="X153" s="479">
        <v>0.23538212825407515</v>
      </c>
    </row>
    <row r="154" spans="1:28">
      <c r="A154" s="489" t="s">
        <v>8</v>
      </c>
      <c r="B154" s="478" t="s">
        <v>662</v>
      </c>
      <c r="C154" s="485"/>
      <c r="D154" s="485"/>
      <c r="E154" s="485"/>
      <c r="F154" s="485"/>
      <c r="G154" s="485"/>
      <c r="H154" s="485"/>
      <c r="I154" s="479">
        <v>0</v>
      </c>
      <c r="J154" s="479">
        <v>1.4999999999999999E-2</v>
      </c>
      <c r="K154" s="479">
        <v>0.03</v>
      </c>
      <c r="L154" s="479">
        <v>0.05</v>
      </c>
      <c r="M154" s="479">
        <v>5.5000000000000007E-2</v>
      </c>
      <c r="N154" s="479">
        <v>6.0500000000000012E-2</v>
      </c>
      <c r="O154" s="479">
        <v>6.6550000000000012E-2</v>
      </c>
      <c r="P154" s="479">
        <v>7.320500000000002E-2</v>
      </c>
      <c r="Q154" s="479">
        <v>8.0525500000000028E-2</v>
      </c>
      <c r="R154" s="479">
        <v>8.8578050000000033E-2</v>
      </c>
      <c r="S154" s="479">
        <v>9.7435855000000043E-2</v>
      </c>
      <c r="T154" s="479">
        <v>0.10717944050000006</v>
      </c>
      <c r="U154" s="479">
        <v>0.11789738455000007</v>
      </c>
      <c r="V154" s="479">
        <v>0.12968712300500007</v>
      </c>
      <c r="W154" s="479">
        <v>0.14265583530550008</v>
      </c>
      <c r="X154" s="479">
        <v>0.1569214188360501</v>
      </c>
    </row>
    <row r="155" spans="1:28">
      <c r="A155" s="489" t="s">
        <v>8</v>
      </c>
      <c r="B155" s="478" t="s">
        <v>663</v>
      </c>
      <c r="C155" s="485"/>
      <c r="D155" s="485"/>
      <c r="E155" s="485"/>
      <c r="F155" s="485"/>
      <c r="G155" s="485"/>
      <c r="H155" s="485"/>
      <c r="I155" s="479">
        <v>0</v>
      </c>
      <c r="J155" s="479">
        <v>1.125E-2</v>
      </c>
      <c r="K155" s="479">
        <v>1.4999999999999999E-2</v>
      </c>
      <c r="L155" s="479">
        <v>2.5000000000000001E-2</v>
      </c>
      <c r="M155" s="479">
        <v>2.7500000000000004E-2</v>
      </c>
      <c r="N155" s="479">
        <v>3.0250000000000006E-2</v>
      </c>
      <c r="O155" s="479">
        <v>3.3275000000000006E-2</v>
      </c>
      <c r="P155" s="479">
        <v>3.660250000000001E-2</v>
      </c>
      <c r="Q155" s="479">
        <v>4.0262750000000014E-2</v>
      </c>
      <c r="R155" s="479">
        <v>4.4289025000000017E-2</v>
      </c>
      <c r="S155" s="479">
        <v>4.8717927500000022E-2</v>
      </c>
      <c r="T155" s="479">
        <v>5.3589720250000028E-2</v>
      </c>
      <c r="U155" s="479">
        <v>5.8948692275000034E-2</v>
      </c>
      <c r="V155" s="479">
        <v>6.4843561502500036E-2</v>
      </c>
      <c r="W155" s="479">
        <v>7.1327917652750039E-2</v>
      </c>
      <c r="X155" s="479">
        <v>7.8460709418025049E-2</v>
      </c>
    </row>
    <row r="156" spans="1:28">
      <c r="A156" s="490" t="s">
        <v>591</v>
      </c>
      <c r="B156" s="478" t="s">
        <v>987</v>
      </c>
      <c r="C156" s="485"/>
      <c r="D156" s="485"/>
      <c r="E156" s="485"/>
      <c r="F156" s="485"/>
      <c r="G156" s="485"/>
      <c r="H156" s="485"/>
      <c r="I156" s="484">
        <f t="shared" ref="I156:N156" si="81">CHOOSE($J$1,I153,I154,I155)</f>
        <v>0</v>
      </c>
      <c r="J156" s="484">
        <f t="shared" si="81"/>
        <v>1.4999999999999999E-2</v>
      </c>
      <c r="K156" s="484">
        <f t="shared" si="81"/>
        <v>0.03</v>
      </c>
      <c r="L156" s="484">
        <f t="shared" si="81"/>
        <v>0.05</v>
      </c>
      <c r="M156" s="484">
        <f t="shared" si="81"/>
        <v>5.5000000000000007E-2</v>
      </c>
      <c r="N156" s="484">
        <f t="shared" si="81"/>
        <v>6.0500000000000012E-2</v>
      </c>
      <c r="O156" s="484">
        <f t="shared" ref="O156:X156" si="82">CHOOSE($J$1,O153,O154,O155)</f>
        <v>6.6550000000000012E-2</v>
      </c>
      <c r="P156" s="484">
        <f t="shared" si="82"/>
        <v>7.320500000000002E-2</v>
      </c>
      <c r="Q156" s="484">
        <f t="shared" si="82"/>
        <v>8.0525500000000028E-2</v>
      </c>
      <c r="R156" s="484">
        <f t="shared" si="82"/>
        <v>8.8578050000000033E-2</v>
      </c>
      <c r="S156" s="484">
        <f t="shared" si="82"/>
        <v>9.7435855000000043E-2</v>
      </c>
      <c r="T156" s="484">
        <f t="shared" si="82"/>
        <v>0.10717944050000006</v>
      </c>
      <c r="U156" s="484">
        <f t="shared" si="82"/>
        <v>0.11789738455000007</v>
      </c>
      <c r="V156" s="484">
        <f t="shared" si="82"/>
        <v>0.12968712300500007</v>
      </c>
      <c r="W156" s="484">
        <f t="shared" si="82"/>
        <v>0.14265583530550008</v>
      </c>
      <c r="X156" s="484">
        <f t="shared" si="82"/>
        <v>0.1569214188360501</v>
      </c>
    </row>
    <row r="157" spans="1:28">
      <c r="B157" s="346" t="s">
        <v>107</v>
      </c>
      <c r="C157" s="85">
        <f t="shared" ref="C157:N157" si="83">1-C156</f>
        <v>1</v>
      </c>
      <c r="D157" s="85">
        <f t="shared" si="83"/>
        <v>1</v>
      </c>
      <c r="E157" s="85">
        <f t="shared" si="83"/>
        <v>1</v>
      </c>
      <c r="F157" s="85">
        <f t="shared" si="83"/>
        <v>1</v>
      </c>
      <c r="G157" s="85">
        <f t="shared" si="83"/>
        <v>1</v>
      </c>
      <c r="H157" s="85">
        <f t="shared" si="83"/>
        <v>1</v>
      </c>
      <c r="I157" s="85">
        <f t="shared" si="83"/>
        <v>1</v>
      </c>
      <c r="J157" s="85">
        <f t="shared" si="83"/>
        <v>0.98499999999999999</v>
      </c>
      <c r="K157" s="85">
        <f t="shared" si="83"/>
        <v>0.97</v>
      </c>
      <c r="L157" s="85">
        <f t="shared" si="83"/>
        <v>0.95</v>
      </c>
      <c r="M157" s="85">
        <f t="shared" si="83"/>
        <v>0.94499999999999995</v>
      </c>
      <c r="N157" s="85">
        <f t="shared" si="83"/>
        <v>0.9395</v>
      </c>
      <c r="O157" s="85">
        <f t="shared" ref="O157:X157" si="84">1-O156</f>
        <v>0.93345</v>
      </c>
      <c r="P157" s="85">
        <f t="shared" si="84"/>
        <v>0.92679500000000004</v>
      </c>
      <c r="Q157" s="85">
        <f t="shared" si="84"/>
        <v>0.91947449999999997</v>
      </c>
      <c r="R157" s="85">
        <f t="shared" si="84"/>
        <v>0.91142194999999993</v>
      </c>
      <c r="S157" s="85">
        <f t="shared" si="84"/>
        <v>0.90256414499999993</v>
      </c>
      <c r="T157" s="85">
        <f t="shared" si="84"/>
        <v>0.89282055949999994</v>
      </c>
      <c r="U157" s="85">
        <f t="shared" si="84"/>
        <v>0.88210261544999991</v>
      </c>
      <c r="V157" s="85">
        <f t="shared" si="84"/>
        <v>0.87031287699499993</v>
      </c>
      <c r="W157" s="85">
        <f t="shared" si="84"/>
        <v>0.85734416469449992</v>
      </c>
      <c r="X157" s="85">
        <f t="shared" si="84"/>
        <v>0.84307858116394985</v>
      </c>
    </row>
    <row r="159" spans="1:28">
      <c r="B159" s="348" t="s">
        <v>976</v>
      </c>
    </row>
    <row r="160" spans="1:28">
      <c r="B160" s="346" t="s">
        <v>977</v>
      </c>
      <c r="C160" s="363">
        <f>C156*C146*C142</f>
        <v>0</v>
      </c>
      <c r="D160" s="363">
        <f t="shared" ref="D160:X160" si="85">D156*D146*D142</f>
        <v>0</v>
      </c>
      <c r="E160" s="363">
        <f t="shared" si="85"/>
        <v>0</v>
      </c>
      <c r="F160" s="363">
        <f t="shared" si="85"/>
        <v>0</v>
      </c>
      <c r="G160" s="363">
        <f t="shared" si="85"/>
        <v>0</v>
      </c>
      <c r="H160" s="363">
        <f t="shared" si="85"/>
        <v>0</v>
      </c>
      <c r="I160" s="363">
        <f t="shared" si="85"/>
        <v>0</v>
      </c>
      <c r="J160" s="363">
        <f t="shared" si="85"/>
        <v>407.72653659311226</v>
      </c>
      <c r="K160" s="363">
        <f t="shared" si="85"/>
        <v>859.9312918217895</v>
      </c>
      <c r="L160" s="363">
        <f t="shared" si="85"/>
        <v>1498.4607141741883</v>
      </c>
      <c r="M160" s="363">
        <f t="shared" si="85"/>
        <v>1711.0535095676782</v>
      </c>
      <c r="N160" s="363">
        <f t="shared" si="85"/>
        <v>1941.9983219183223</v>
      </c>
      <c r="O160" s="363">
        <f t="shared" si="85"/>
        <v>2192.6408360753385</v>
      </c>
      <c r="P160" s="363">
        <f t="shared" si="85"/>
        <v>2464.3709521851183</v>
      </c>
      <c r="Q160" s="363">
        <f t="shared" si="85"/>
        <v>2758.6122370547646</v>
      </c>
      <c r="R160" s="363">
        <f t="shared" si="85"/>
        <v>3076.8079680604628</v>
      </c>
      <c r="S160" s="363">
        <f t="shared" si="85"/>
        <v>3420.4030718629706</v>
      </c>
      <c r="T160" s="363">
        <f t="shared" si="85"/>
        <v>3790.8211375586848</v>
      </c>
      <c r="U160" s="363">
        <f t="shared" si="85"/>
        <v>4189.4355413109415</v>
      </c>
      <c r="V160" s="363">
        <f t="shared" si="85"/>
        <v>4617.5335538746986</v>
      </c>
      <c r="W160" s="363">
        <f t="shared" si="85"/>
        <v>5076.2721101852758</v>
      </c>
      <c r="X160" s="363">
        <f t="shared" si="85"/>
        <v>5566.6236972298939</v>
      </c>
    </row>
    <row r="162" spans="1:27">
      <c r="B162" s="503" t="s">
        <v>978</v>
      </c>
      <c r="C162" s="503"/>
      <c r="D162" s="503"/>
      <c r="E162" s="503"/>
      <c r="F162" s="503"/>
      <c r="G162" s="503"/>
      <c r="H162" s="503"/>
      <c r="I162" s="503"/>
      <c r="J162" s="503"/>
      <c r="K162" s="503"/>
      <c r="L162" s="503"/>
      <c r="M162" s="503"/>
      <c r="N162" s="503"/>
      <c r="O162" s="503"/>
      <c r="P162" s="503"/>
      <c r="Q162" s="503"/>
      <c r="R162" s="503"/>
      <c r="S162" s="503"/>
      <c r="T162" s="503"/>
      <c r="U162" s="503"/>
      <c r="V162" s="503"/>
      <c r="W162" s="503"/>
      <c r="X162" s="503"/>
    </row>
    <row r="163" spans="1:27">
      <c r="B163" s="348" t="s">
        <v>206</v>
      </c>
    </row>
    <row r="164" spans="1:27">
      <c r="A164" s="489" t="s">
        <v>8</v>
      </c>
      <c r="B164" s="346" t="s">
        <v>987</v>
      </c>
      <c r="C164" s="369">
        <v>0</v>
      </c>
      <c r="D164" s="369">
        <v>0</v>
      </c>
      <c r="E164" s="369">
        <v>0</v>
      </c>
      <c r="F164" s="369">
        <v>0</v>
      </c>
      <c r="G164" s="369">
        <v>0</v>
      </c>
      <c r="H164" s="369">
        <v>0</v>
      </c>
      <c r="I164" s="369">
        <v>0.02</v>
      </c>
      <c r="J164" s="369">
        <v>0.1</v>
      </c>
      <c r="K164" s="369">
        <v>0.15</v>
      </c>
      <c r="L164" s="369">
        <v>0.15</v>
      </c>
      <c r="M164" s="369">
        <v>0.15</v>
      </c>
      <c r="N164" s="369">
        <v>0.15</v>
      </c>
      <c r="O164" s="369">
        <v>0.15</v>
      </c>
      <c r="P164" s="369">
        <v>0.15</v>
      </c>
      <c r="Q164" s="369">
        <v>0.15</v>
      </c>
      <c r="R164" s="369">
        <v>0.15</v>
      </c>
      <c r="S164" s="369">
        <v>0.15</v>
      </c>
      <c r="T164" s="369">
        <v>0.15</v>
      </c>
      <c r="U164" s="369">
        <v>0.15</v>
      </c>
      <c r="V164" s="369">
        <v>0.15</v>
      </c>
      <c r="W164" s="369">
        <v>0.15</v>
      </c>
      <c r="X164" s="369">
        <v>0.15</v>
      </c>
    </row>
    <row r="165" spans="1:27">
      <c r="B165" s="346" t="s">
        <v>107</v>
      </c>
      <c r="C165" s="87">
        <f t="shared" ref="C165:N165" si="86">1-C164</f>
        <v>1</v>
      </c>
      <c r="D165" s="87">
        <f t="shared" si="86"/>
        <v>1</v>
      </c>
      <c r="E165" s="87">
        <f t="shared" si="86"/>
        <v>1</v>
      </c>
      <c r="F165" s="87">
        <f t="shared" si="86"/>
        <v>1</v>
      </c>
      <c r="G165" s="87">
        <f t="shared" si="86"/>
        <v>1</v>
      </c>
      <c r="H165" s="87">
        <f t="shared" si="86"/>
        <v>1</v>
      </c>
      <c r="I165" s="87">
        <f t="shared" si="86"/>
        <v>0.98</v>
      </c>
      <c r="J165" s="87">
        <f t="shared" si="86"/>
        <v>0.9</v>
      </c>
      <c r="K165" s="87">
        <f t="shared" si="86"/>
        <v>0.85</v>
      </c>
      <c r="L165" s="87">
        <f t="shared" si="86"/>
        <v>0.85</v>
      </c>
      <c r="M165" s="87">
        <f t="shared" si="86"/>
        <v>0.85</v>
      </c>
      <c r="N165" s="87">
        <f t="shared" si="86"/>
        <v>0.85</v>
      </c>
      <c r="O165" s="87">
        <f t="shared" ref="O165:X165" si="87">1-O164</f>
        <v>0.85</v>
      </c>
      <c r="P165" s="87">
        <f t="shared" si="87"/>
        <v>0.85</v>
      </c>
      <c r="Q165" s="87">
        <f t="shared" si="87"/>
        <v>0.85</v>
      </c>
      <c r="R165" s="87">
        <f t="shared" si="87"/>
        <v>0.85</v>
      </c>
      <c r="S165" s="87">
        <f t="shared" si="87"/>
        <v>0.85</v>
      </c>
      <c r="T165" s="87">
        <f t="shared" si="87"/>
        <v>0.85</v>
      </c>
      <c r="U165" s="87">
        <f t="shared" si="87"/>
        <v>0.85</v>
      </c>
      <c r="V165" s="87">
        <f t="shared" si="87"/>
        <v>0.85</v>
      </c>
      <c r="W165" s="87">
        <f t="shared" si="87"/>
        <v>0.85</v>
      </c>
      <c r="X165" s="87">
        <f t="shared" si="87"/>
        <v>0.85</v>
      </c>
    </row>
    <row r="167" spans="1:27">
      <c r="B167" s="348" t="s">
        <v>976</v>
      </c>
    </row>
    <row r="168" spans="1:27">
      <c r="B168" s="346" t="s">
        <v>977</v>
      </c>
      <c r="C168" s="363">
        <f>C164*C147*C142</f>
        <v>0</v>
      </c>
      <c r="D168" s="363">
        <f t="shared" ref="D168:X168" si="88">D164*D147*D142</f>
        <v>0</v>
      </c>
      <c r="E168" s="363">
        <f t="shared" si="88"/>
        <v>0</v>
      </c>
      <c r="F168" s="363">
        <f t="shared" si="88"/>
        <v>0</v>
      </c>
      <c r="G168" s="363">
        <f t="shared" si="88"/>
        <v>0</v>
      </c>
      <c r="H168" s="363">
        <f t="shared" si="88"/>
        <v>0</v>
      </c>
      <c r="I168" s="363">
        <f t="shared" si="88"/>
        <v>247.92001672181078</v>
      </c>
      <c r="J168" s="363">
        <f t="shared" si="88"/>
        <v>1334.2594632547612</v>
      </c>
      <c r="K168" s="363">
        <f t="shared" si="88"/>
        <v>2131.6588592390231</v>
      </c>
      <c r="L168" s="363">
        <f t="shared" si="88"/>
        <v>2250.9815548092879</v>
      </c>
      <c r="M168" s="363">
        <f t="shared" si="88"/>
        <v>2360.0372347102921</v>
      </c>
      <c r="N168" s="363">
        <f t="shared" si="88"/>
        <v>2459.4205781742735</v>
      </c>
      <c r="O168" s="363">
        <f t="shared" si="88"/>
        <v>2549.6474857622056</v>
      </c>
      <c r="P168" s="363">
        <f t="shared" si="88"/>
        <v>2631.1609228281086</v>
      </c>
      <c r="Q168" s="363">
        <f t="shared" si="88"/>
        <v>2704.3361678039591</v>
      </c>
      <c r="R168" s="363">
        <f t="shared" si="88"/>
        <v>2769.4855166082011</v>
      </c>
      <c r="S168" s="363">
        <f t="shared" si="88"/>
        <v>2826.8624896879878</v>
      </c>
      <c r="T168" s="363">
        <f t="shared" si="88"/>
        <v>2876.6655838432157</v>
      </c>
      <c r="U168" s="363">
        <f t="shared" si="88"/>
        <v>2919.0416070098772</v>
      </c>
      <c r="V168" s="363">
        <f t="shared" si="88"/>
        <v>2954.0886305652034</v>
      </c>
      <c r="W168" s="363">
        <f t="shared" si="88"/>
        <v>2981.8585904250881</v>
      </c>
      <c r="X168" s="363">
        <f t="shared" si="88"/>
        <v>3002.3595652056028</v>
      </c>
    </row>
    <row r="170" spans="1:27">
      <c r="B170" s="503" t="s">
        <v>979</v>
      </c>
      <c r="C170" s="503"/>
      <c r="D170" s="503"/>
      <c r="E170" s="503"/>
      <c r="F170" s="503"/>
      <c r="G170" s="503"/>
      <c r="H170" s="503"/>
      <c r="I170" s="503"/>
      <c r="J170" s="503"/>
      <c r="K170" s="503"/>
      <c r="L170" s="503"/>
      <c r="M170" s="503"/>
      <c r="N170" s="503"/>
      <c r="O170" s="503"/>
      <c r="P170" s="503"/>
      <c r="Q170" s="503"/>
      <c r="R170" s="503"/>
      <c r="S170" s="503"/>
      <c r="T170" s="503"/>
      <c r="U170" s="503"/>
      <c r="V170" s="503"/>
      <c r="W170" s="503"/>
      <c r="X170" s="503"/>
    </row>
    <row r="171" spans="1:27">
      <c r="B171" s="348" t="s">
        <v>988</v>
      </c>
    </row>
    <row r="172" spans="1:27">
      <c r="A172" s="489" t="s">
        <v>8</v>
      </c>
      <c r="B172" s="346" t="s">
        <v>987</v>
      </c>
      <c r="C172" s="369">
        <v>0</v>
      </c>
      <c r="D172" s="369">
        <v>0</v>
      </c>
      <c r="E172" s="369">
        <v>0</v>
      </c>
      <c r="F172" s="369">
        <v>0</v>
      </c>
      <c r="G172" s="369">
        <v>0.01</v>
      </c>
      <c r="H172" s="369">
        <v>8.5000000000000006E-2</v>
      </c>
      <c r="I172" s="369">
        <v>0.1</v>
      </c>
      <c r="J172" s="369">
        <v>0.125</v>
      </c>
      <c r="K172" s="369">
        <v>0.15</v>
      </c>
      <c r="L172" s="369">
        <v>0.17499999999999999</v>
      </c>
      <c r="M172" s="369">
        <v>0.17499999999999999</v>
      </c>
      <c r="N172" s="369">
        <v>0.17499999999999999</v>
      </c>
      <c r="O172" s="369">
        <v>0.17499999999999999</v>
      </c>
      <c r="P172" s="369">
        <v>0.17499999999999999</v>
      </c>
      <c r="Q172" s="369">
        <v>0.17499999999999999</v>
      </c>
      <c r="R172" s="369">
        <v>0.17499999999999999</v>
      </c>
      <c r="S172" s="369">
        <v>0.17499999999999999</v>
      </c>
      <c r="T172" s="369">
        <v>0.17499999999999999</v>
      </c>
      <c r="U172" s="369">
        <v>0.17499999999999999</v>
      </c>
      <c r="V172" s="369">
        <v>0.17499999999999999</v>
      </c>
      <c r="W172" s="369">
        <v>0.17499999999999999</v>
      </c>
      <c r="X172" s="369">
        <v>0.17499999999999999</v>
      </c>
    </row>
    <row r="173" spans="1:27">
      <c r="B173" s="346" t="s">
        <v>107</v>
      </c>
      <c r="C173" s="87">
        <f t="shared" ref="C173:N173" si="89">1-C172</f>
        <v>1</v>
      </c>
      <c r="D173" s="87">
        <f t="shared" si="89"/>
        <v>1</v>
      </c>
      <c r="E173" s="87">
        <f t="shared" si="89"/>
        <v>1</v>
      </c>
      <c r="F173" s="87">
        <f t="shared" si="89"/>
        <v>1</v>
      </c>
      <c r="G173" s="87">
        <f t="shared" si="89"/>
        <v>0.99</v>
      </c>
      <c r="H173" s="87">
        <f t="shared" si="89"/>
        <v>0.91500000000000004</v>
      </c>
      <c r="I173" s="87">
        <f t="shared" si="89"/>
        <v>0.9</v>
      </c>
      <c r="J173" s="87">
        <f t="shared" si="89"/>
        <v>0.875</v>
      </c>
      <c r="K173" s="87">
        <f t="shared" si="89"/>
        <v>0.85</v>
      </c>
      <c r="L173" s="87">
        <f t="shared" si="89"/>
        <v>0.82499999999999996</v>
      </c>
      <c r="M173" s="87">
        <f t="shared" si="89"/>
        <v>0.82499999999999996</v>
      </c>
      <c r="N173" s="87">
        <f t="shared" si="89"/>
        <v>0.82499999999999996</v>
      </c>
      <c r="O173" s="87">
        <f t="shared" ref="O173:X173" si="90">1-O172</f>
        <v>0.82499999999999996</v>
      </c>
      <c r="P173" s="87">
        <f t="shared" si="90"/>
        <v>0.82499999999999996</v>
      </c>
      <c r="Q173" s="87">
        <f t="shared" si="90"/>
        <v>0.82499999999999996</v>
      </c>
      <c r="R173" s="87">
        <f t="shared" si="90"/>
        <v>0.82499999999999996</v>
      </c>
      <c r="S173" s="87">
        <f t="shared" si="90"/>
        <v>0.82499999999999996</v>
      </c>
      <c r="T173" s="87">
        <f t="shared" si="90"/>
        <v>0.82499999999999996</v>
      </c>
      <c r="U173" s="87">
        <f t="shared" si="90"/>
        <v>0.82499999999999996</v>
      </c>
      <c r="V173" s="87">
        <f t="shared" si="90"/>
        <v>0.82499999999999996</v>
      </c>
      <c r="W173" s="87">
        <f t="shared" si="90"/>
        <v>0.82499999999999996</v>
      </c>
      <c r="X173" s="87">
        <f t="shared" si="90"/>
        <v>0.82499999999999996</v>
      </c>
    </row>
    <row r="175" spans="1:27">
      <c r="B175" s="348" t="s">
        <v>989</v>
      </c>
    </row>
    <row r="176" spans="1:27">
      <c r="B176" s="346" t="s">
        <v>977</v>
      </c>
      <c r="C176" s="363">
        <f>C172*C148*C142</f>
        <v>0</v>
      </c>
      <c r="D176" s="363">
        <f t="shared" ref="D176:N176" si="91">D172*D148*D142</f>
        <v>0</v>
      </c>
      <c r="E176" s="363">
        <f t="shared" si="91"/>
        <v>0</v>
      </c>
      <c r="F176" s="618">
        <f t="shared" si="91"/>
        <v>0</v>
      </c>
      <c r="G176" s="618">
        <f t="shared" si="91"/>
        <v>49.261128239245345</v>
      </c>
      <c r="H176" s="618">
        <f t="shared" si="91"/>
        <v>467.701321945122</v>
      </c>
      <c r="I176" s="618">
        <f t="shared" si="91"/>
        <v>603.70490571817925</v>
      </c>
      <c r="J176" s="618">
        <f t="shared" si="91"/>
        <v>816.44044970562584</v>
      </c>
      <c r="K176" s="618">
        <f t="shared" si="91"/>
        <v>1048.0654242084829</v>
      </c>
      <c r="L176" s="618">
        <f t="shared" si="91"/>
        <v>1295.8798494978373</v>
      </c>
      <c r="M176" s="618">
        <f t="shared" si="91"/>
        <v>1362.6307130972652</v>
      </c>
      <c r="N176" s="618">
        <f t="shared" si="91"/>
        <v>1423.1844712732993</v>
      </c>
      <c r="O176" s="618">
        <f t="shared" ref="O176:X176" si="92">O172*O148*O142</f>
        <v>1477.7147686779069</v>
      </c>
      <c r="P176" s="618">
        <f t="shared" si="92"/>
        <v>1526.3797143377253</v>
      </c>
      <c r="Q176" s="618">
        <f t="shared" si="92"/>
        <v>1569.3218424852</v>
      </c>
      <c r="R176" s="618">
        <f t="shared" si="92"/>
        <v>1606.6682812288336</v>
      </c>
      <c r="S176" s="618">
        <f t="shared" si="92"/>
        <v>1638.5310889162683</v>
      </c>
      <c r="T176" s="618">
        <f t="shared" si="92"/>
        <v>1665.0077245471518</v>
      </c>
      <c r="U176" s="618">
        <f t="shared" si="92"/>
        <v>1686.181624180693</v>
      </c>
      <c r="V176" s="618">
        <f t="shared" si="92"/>
        <v>1702.122860077623</v>
      </c>
      <c r="W176" s="618">
        <f t="shared" si="92"/>
        <v>1712.8888634241869</v>
      </c>
      <c r="X176" s="618">
        <f t="shared" si="92"/>
        <v>1718.5251949997692</v>
      </c>
      <c r="Y176" s="617"/>
      <c r="Z176" s="617"/>
      <c r="AA176" s="617"/>
    </row>
    <row r="178" spans="1:28">
      <c r="B178" s="491" t="s">
        <v>26</v>
      </c>
      <c r="C178" s="491"/>
      <c r="D178" s="491"/>
      <c r="E178" s="491"/>
      <c r="F178" s="491"/>
      <c r="G178" s="491"/>
      <c r="H178" s="491"/>
      <c r="I178" s="491"/>
      <c r="J178" s="491"/>
      <c r="K178" s="491"/>
      <c r="L178" s="491"/>
      <c r="M178" s="491"/>
      <c r="N178" s="491"/>
      <c r="O178" s="491"/>
      <c r="P178" s="491"/>
      <c r="Q178" s="491"/>
      <c r="R178" s="491"/>
      <c r="S178" s="491"/>
      <c r="T178" s="491"/>
      <c r="U178" s="491"/>
      <c r="V178" s="491"/>
      <c r="W178" s="491"/>
      <c r="X178" s="491"/>
    </row>
    <row r="180" spans="1:28">
      <c r="A180" s="489" t="s">
        <v>8</v>
      </c>
      <c r="B180" s="349" t="s">
        <v>22</v>
      </c>
      <c r="C180" s="368"/>
      <c r="D180" s="368"/>
      <c r="E180" s="368"/>
      <c r="F180" s="368">
        <f t="shared" ref="F180:X180" si="93">F119</f>
        <v>7610.22</v>
      </c>
      <c r="G180" s="368">
        <f t="shared" si="93"/>
        <v>8953.2000000000007</v>
      </c>
      <c r="H180" s="368">
        <f t="shared" si="93"/>
        <v>8863.6680000000015</v>
      </c>
      <c r="I180" s="368">
        <f t="shared" si="93"/>
        <v>8775.0313200000019</v>
      </c>
      <c r="J180" s="368">
        <f t="shared" si="93"/>
        <v>8687.2810068000017</v>
      </c>
      <c r="K180" s="368">
        <f t="shared" si="93"/>
        <v>8600.4081967320017</v>
      </c>
      <c r="L180" s="368">
        <f t="shared" si="93"/>
        <v>8514.4041147646822</v>
      </c>
      <c r="M180" s="368">
        <f t="shared" si="93"/>
        <v>8429.2600736170352</v>
      </c>
      <c r="N180" s="368">
        <f t="shared" si="93"/>
        <v>8344.9674728808641</v>
      </c>
      <c r="O180" s="368">
        <f t="shared" si="93"/>
        <v>8261.5177981520555</v>
      </c>
      <c r="P180" s="368">
        <f t="shared" si="93"/>
        <v>8178.9026201705346</v>
      </c>
      <c r="Q180" s="368">
        <f t="shared" si="93"/>
        <v>8097.1135939688293</v>
      </c>
      <c r="R180" s="368">
        <f t="shared" si="93"/>
        <v>8016.1424580291405</v>
      </c>
      <c r="S180" s="368">
        <f t="shared" si="93"/>
        <v>7935.9810334488493</v>
      </c>
      <c r="T180" s="368">
        <f t="shared" si="93"/>
        <v>7856.6212231143609</v>
      </c>
      <c r="U180" s="368">
        <f t="shared" si="93"/>
        <v>7778.0550108832176</v>
      </c>
      <c r="V180" s="368">
        <f t="shared" si="93"/>
        <v>7700.2744607743853</v>
      </c>
      <c r="W180" s="368">
        <f t="shared" si="93"/>
        <v>7623.2717161666415</v>
      </c>
      <c r="X180" s="368">
        <f t="shared" si="93"/>
        <v>7547.0389990049753</v>
      </c>
    </row>
    <row r="182" spans="1:28">
      <c r="A182" s="489" t="s">
        <v>8</v>
      </c>
      <c r="B182" s="348" t="s">
        <v>980</v>
      </c>
      <c r="C182" s="370"/>
      <c r="D182" s="370"/>
      <c r="E182" s="370"/>
      <c r="F182" s="612">
        <v>6.8878687500000009</v>
      </c>
      <c r="G182" s="612">
        <v>7.2322621875000008</v>
      </c>
      <c r="H182" s="612">
        <v>7.5938752968750007</v>
      </c>
      <c r="I182" s="612">
        <v>7.9735690617187513</v>
      </c>
      <c r="J182" s="612">
        <v>8.4</v>
      </c>
      <c r="K182" s="612">
        <v>8.48</v>
      </c>
      <c r="L182" s="612">
        <v>8.9040000000000017</v>
      </c>
      <c r="M182" s="612">
        <v>9.3492000000000015</v>
      </c>
      <c r="N182" s="612">
        <v>9.8166600000000006</v>
      </c>
      <c r="O182" s="612">
        <v>10.307493000000001</v>
      </c>
      <c r="P182" s="612">
        <v>10.822867650000003</v>
      </c>
      <c r="Q182" s="612">
        <v>11.364011032500002</v>
      </c>
      <c r="R182" s="612">
        <v>11.932211584125003</v>
      </c>
      <c r="S182" s="612">
        <v>12.528822163331254</v>
      </c>
      <c r="T182" s="612">
        <v>13.155263271497816</v>
      </c>
      <c r="U182" s="612">
        <v>13.813026435072707</v>
      </c>
      <c r="V182" s="612">
        <v>14.503677756826344</v>
      </c>
      <c r="W182" s="612">
        <v>15.22886164466766</v>
      </c>
      <c r="X182" s="612">
        <v>15.990304726901044</v>
      </c>
    </row>
    <row r="183" spans="1:28">
      <c r="A183" s="489" t="s">
        <v>8</v>
      </c>
      <c r="B183" s="348" t="s">
        <v>981</v>
      </c>
      <c r="C183" s="370"/>
      <c r="D183" s="370"/>
      <c r="E183" s="370"/>
      <c r="F183" s="612">
        <v>6</v>
      </c>
      <c r="G183" s="612">
        <v>6.18</v>
      </c>
      <c r="H183" s="612">
        <v>6.3654000000000002</v>
      </c>
      <c r="I183" s="612">
        <v>6.4290539999999998</v>
      </c>
      <c r="J183" s="612">
        <v>6.4933445399999998</v>
      </c>
      <c r="K183" s="612">
        <v>6.5582779854000002</v>
      </c>
      <c r="L183" s="612">
        <v>6.6238607652540002</v>
      </c>
      <c r="M183" s="612">
        <v>6.6900993729065403</v>
      </c>
      <c r="N183" s="612">
        <v>6.757000366635606</v>
      </c>
      <c r="O183" s="612">
        <v>6.824570370301962</v>
      </c>
      <c r="P183" s="612">
        <v>6.8928160740049815</v>
      </c>
      <c r="Q183" s="612">
        <v>6.9617442347450318</v>
      </c>
      <c r="R183" s="612">
        <v>7.0313616770924821</v>
      </c>
      <c r="S183" s="612">
        <v>7.1016752938634067</v>
      </c>
      <c r="T183" s="612">
        <v>7.172692046802041</v>
      </c>
      <c r="U183" s="612">
        <v>7.2444189672700618</v>
      </c>
      <c r="V183" s="612">
        <v>7.3168631569427625</v>
      </c>
      <c r="W183" s="612">
        <v>7.3900317885121902</v>
      </c>
      <c r="X183" s="612">
        <v>7.4639321063973121</v>
      </c>
    </row>
    <row r="184" spans="1:28">
      <c r="A184" s="489" t="s">
        <v>8</v>
      </c>
      <c r="B184" s="348" t="s">
        <v>982</v>
      </c>
      <c r="C184" s="370"/>
      <c r="D184" s="370"/>
      <c r="E184" s="370"/>
      <c r="F184" s="612">
        <v>3.5</v>
      </c>
      <c r="G184" s="612">
        <v>3.5700000000000003</v>
      </c>
      <c r="H184" s="612">
        <v>6</v>
      </c>
      <c r="I184" s="612">
        <v>6.12</v>
      </c>
      <c r="J184" s="612">
        <v>6.12</v>
      </c>
      <c r="K184" s="612">
        <v>6.12</v>
      </c>
      <c r="L184" s="612">
        <v>6.12</v>
      </c>
      <c r="M184" s="612">
        <v>6.12</v>
      </c>
      <c r="N184" s="612">
        <v>6.12</v>
      </c>
      <c r="O184" s="612">
        <v>6.12</v>
      </c>
      <c r="P184" s="612">
        <v>6.12</v>
      </c>
      <c r="Q184" s="612">
        <v>6.12</v>
      </c>
      <c r="R184" s="612">
        <v>6.12</v>
      </c>
      <c r="S184" s="612">
        <v>6.12</v>
      </c>
      <c r="T184" s="612">
        <v>6.12</v>
      </c>
      <c r="U184" s="612">
        <v>6.12</v>
      </c>
      <c r="V184" s="612">
        <v>6.12</v>
      </c>
      <c r="W184" s="612">
        <v>6.12</v>
      </c>
      <c r="X184" s="612">
        <v>6.12</v>
      </c>
    </row>
    <row r="186" spans="1:28">
      <c r="B186" s="40" t="s">
        <v>983</v>
      </c>
      <c r="C186" s="40"/>
      <c r="D186" s="40"/>
      <c r="E186" s="40"/>
      <c r="F186" s="616">
        <f>F180*((F182*F160)+(F183*F168)+(F184*F176))/1000000</f>
        <v>0</v>
      </c>
      <c r="G186" s="616">
        <f t="shared" ref="G186:X186" si="94">G180*((G182*G160)+(G183*G168)+(G184*G176))/1000000</f>
        <v>1.574529698065253</v>
      </c>
      <c r="H186" s="616">
        <f>H180*((H182*H160)+(H183*H168)+(H184*H176))/1000000</f>
        <v>24.873295445296062</v>
      </c>
      <c r="I186" s="616">
        <f t="shared" si="94"/>
        <v>46.407325251897497</v>
      </c>
      <c r="J186" s="616">
        <f t="shared" si="94"/>
        <v>148.42501815345082</v>
      </c>
      <c r="K186" s="616">
        <f t="shared" si="94"/>
        <v>238.11424792327938</v>
      </c>
      <c r="L186" s="616">
        <f t="shared" si="94"/>
        <v>308.07895983272937</v>
      </c>
      <c r="M186" s="616">
        <f t="shared" si="94"/>
        <v>338.22545178567003</v>
      </c>
      <c r="N186" s="616">
        <f t="shared" si="94"/>
        <v>370.45089725361248</v>
      </c>
      <c r="O186" s="616">
        <f t="shared" si="94"/>
        <v>405.18195297511949</v>
      </c>
      <c r="P186" s="616">
        <f t="shared" si="94"/>
        <v>442.88032064091766</v>
      </c>
      <c r="Q186" s="616">
        <f t="shared" si="94"/>
        <v>484.04582552204261</v>
      </c>
      <c r="R186" s="616">
        <f t="shared" si="94"/>
        <v>529.21921506142507</v>
      </c>
      <c r="S186" s="616">
        <f t="shared" si="94"/>
        <v>578.98450784316083</v>
      </c>
      <c r="T186" s="616">
        <f t="shared" si="94"/>
        <v>633.97067288117648</v>
      </c>
      <c r="U186" s="616">
        <f t="shared" si="94"/>
        <v>694.85235620114327</v>
      </c>
      <c r="V186" s="616">
        <f t="shared" si="94"/>
        <v>762.34929345589558</v>
      </c>
      <c r="W186" s="616">
        <f t="shared" si="94"/>
        <v>837.22395045467863</v>
      </c>
      <c r="X186" s="616">
        <f t="shared" si="94"/>
        <v>920.27681392907516</v>
      </c>
      <c r="Y186" s="617"/>
      <c r="Z186" s="617"/>
      <c r="AA186" s="617"/>
      <c r="AB186" s="617"/>
    </row>
    <row r="187" spans="1:28">
      <c r="B187" s="27" t="s">
        <v>21</v>
      </c>
    </row>
    <row r="189" spans="1:28">
      <c r="B189" s="486" t="s">
        <v>30</v>
      </c>
      <c r="C189" s="482">
        <f>C186+C138</f>
        <v>0</v>
      </c>
      <c r="D189" s="482">
        <f t="shared" ref="D189:S189" si="95">D186+D138</f>
        <v>0</v>
      </c>
      <c r="E189" s="482">
        <f t="shared" si="95"/>
        <v>0</v>
      </c>
      <c r="F189" s="482">
        <f t="shared" si="95"/>
        <v>0</v>
      </c>
      <c r="G189" s="482">
        <f t="shared" si="95"/>
        <v>1.574529698065253</v>
      </c>
      <c r="H189" s="482">
        <f t="shared" si="95"/>
        <v>24.873295445296062</v>
      </c>
      <c r="I189" s="482">
        <f t="shared" si="95"/>
        <v>46.407325251897497</v>
      </c>
      <c r="J189" s="482">
        <f t="shared" si="95"/>
        <v>148.42501815345082</v>
      </c>
      <c r="K189" s="482">
        <f t="shared" si="95"/>
        <v>238.11424792327938</v>
      </c>
      <c r="L189" s="482">
        <f t="shared" si="95"/>
        <v>308.07895983272937</v>
      </c>
      <c r="M189" s="482">
        <f t="shared" si="95"/>
        <v>338.22545178567003</v>
      </c>
      <c r="N189" s="482">
        <f t="shared" si="95"/>
        <v>370.45089725361248</v>
      </c>
      <c r="O189" s="482">
        <f t="shared" si="95"/>
        <v>405.18195297511949</v>
      </c>
      <c r="P189" s="482">
        <f t="shared" si="95"/>
        <v>442.88032064091766</v>
      </c>
      <c r="Q189" s="482">
        <f t="shared" si="95"/>
        <v>484.04582552204261</v>
      </c>
      <c r="R189" s="482">
        <f t="shared" si="95"/>
        <v>529.21921506142507</v>
      </c>
      <c r="S189" s="482">
        <f t="shared" si="95"/>
        <v>578.98450784316083</v>
      </c>
      <c r="T189" s="482">
        <f>(T186+T138)*T190</f>
        <v>507.17653830494123</v>
      </c>
      <c r="U189" s="482">
        <f>(U186+U138)*U190</f>
        <v>347.42617810057163</v>
      </c>
      <c r="V189" s="482">
        <f>(V186+V138)*V190</f>
        <v>304.93971738235825</v>
      </c>
      <c r="W189" s="482">
        <f>(W186+W138)*W190</f>
        <v>251.16718513640359</v>
      </c>
      <c r="X189" s="482">
        <f>(X186+X138)*X190</f>
        <v>184.05536278581505</v>
      </c>
    </row>
    <row r="190" spans="1:28">
      <c r="G190" s="614"/>
      <c r="H190" s="614"/>
      <c r="I190" s="614"/>
      <c r="J190" s="614"/>
      <c r="K190" s="614"/>
      <c r="L190" s="614"/>
      <c r="M190" s="614"/>
      <c r="N190" s="614"/>
      <c r="T190" s="349">
        <v>0.8</v>
      </c>
      <c r="U190" s="349">
        <v>0.5</v>
      </c>
      <c r="V190" s="349">
        <v>0.4</v>
      </c>
      <c r="W190" s="349">
        <v>0.3</v>
      </c>
      <c r="X190" s="349">
        <v>0.2</v>
      </c>
    </row>
    <row r="193" spans="2:10">
      <c r="B193" s="78" t="s">
        <v>889</v>
      </c>
    </row>
    <row r="194" spans="2:10">
      <c r="B194" s="743" t="s">
        <v>890</v>
      </c>
    </row>
    <row r="195" spans="2:10">
      <c r="J195" s="666">
        <f>$J$180*J182</f>
        <v>72973.160457120015</v>
      </c>
    </row>
    <row r="196" spans="2:10">
      <c r="B196" s="349" t="s">
        <v>891</v>
      </c>
    </row>
    <row r="197" spans="2:10">
      <c r="B197" s="349" t="s">
        <v>892</v>
      </c>
    </row>
  </sheetData>
  <phoneticPr fontId="57" type="noConversion"/>
  <pageMargins left="0.7" right="0.7" top="0.75" bottom="0.75" header="0.3" footer="0.3"/>
  <pageSetup orientation="portrait" horizontalDpi="90" verticalDpi="90"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dimension ref="B1:V49"/>
  <sheetViews>
    <sheetView showGridLines="0" zoomScaleNormal="100" workbookViewId="0">
      <pane xSplit="2" ySplit="2" topLeftCell="C19" activePane="bottomRight" state="frozen"/>
      <selection pane="topRight" activeCell="C1" sqref="C1"/>
      <selection pane="bottomLeft" activeCell="A3" sqref="A3"/>
      <selection pane="bottomRight" activeCell="H44" sqref="H44"/>
    </sheetView>
  </sheetViews>
  <sheetFormatPr defaultRowHeight="12.75" outlineLevelRow="1"/>
  <cols>
    <col min="1" max="1" width="1.85546875" style="711" customWidth="1"/>
    <col min="2" max="2" width="37.7109375" style="711" bestFit="1" customWidth="1"/>
    <col min="3" max="19" width="9.28515625" style="711" customWidth="1"/>
    <col min="20" max="20" width="9.140625" style="711"/>
    <col min="21" max="21" width="6.140625" style="711" customWidth="1"/>
    <col min="22" max="22" width="5" style="711" customWidth="1"/>
    <col min="23" max="25" width="7.140625" style="711" customWidth="1"/>
    <col min="26" max="245" width="9.140625" style="711"/>
    <col min="246" max="246" width="1.85546875" style="711" customWidth="1"/>
    <col min="247" max="247" width="37.7109375" style="711" bestFit="1" customWidth="1"/>
    <col min="248" max="273" width="9.28515625" style="711" customWidth="1"/>
    <col min="274" max="274" width="9.140625" style="711"/>
    <col min="275" max="275" width="6.140625" style="711" customWidth="1"/>
    <col min="276" max="276" width="5" style="711" customWidth="1"/>
    <col min="277" max="281" width="7.140625" style="711" customWidth="1"/>
    <col min="282" max="501" width="9.140625" style="711"/>
    <col min="502" max="502" width="1.85546875" style="711" customWidth="1"/>
    <col min="503" max="503" width="37.7109375" style="711" bestFit="1" customWidth="1"/>
    <col min="504" max="529" width="9.28515625" style="711" customWidth="1"/>
    <col min="530" max="530" width="9.140625" style="711"/>
    <col min="531" max="531" width="6.140625" style="711" customWidth="1"/>
    <col min="532" max="532" width="5" style="711" customWidth="1"/>
    <col min="533" max="537" width="7.140625" style="711" customWidth="1"/>
    <col min="538" max="757" width="9.140625" style="711"/>
    <col min="758" max="758" width="1.85546875" style="711" customWidth="1"/>
    <col min="759" max="759" width="37.7109375" style="711" bestFit="1" customWidth="1"/>
    <col min="760" max="785" width="9.28515625" style="711" customWidth="1"/>
    <col min="786" max="786" width="9.140625" style="711"/>
    <col min="787" max="787" width="6.140625" style="711" customWidth="1"/>
    <col min="788" max="788" width="5" style="711" customWidth="1"/>
    <col min="789" max="793" width="7.140625" style="711" customWidth="1"/>
    <col min="794" max="1013" width="9.140625" style="711"/>
    <col min="1014" max="1014" width="1.85546875" style="711" customWidth="1"/>
    <col min="1015" max="1015" width="37.7109375" style="711" bestFit="1" customWidth="1"/>
    <col min="1016" max="1041" width="9.28515625" style="711" customWidth="1"/>
    <col min="1042" max="1042" width="9.140625" style="711"/>
    <col min="1043" max="1043" width="6.140625" style="711" customWidth="1"/>
    <col min="1044" max="1044" width="5" style="711" customWidth="1"/>
    <col min="1045" max="1049" width="7.140625" style="711" customWidth="1"/>
    <col min="1050" max="1269" width="9.140625" style="711"/>
    <col min="1270" max="1270" width="1.85546875" style="711" customWidth="1"/>
    <col min="1271" max="1271" width="37.7109375" style="711" bestFit="1" customWidth="1"/>
    <col min="1272" max="1297" width="9.28515625" style="711" customWidth="1"/>
    <col min="1298" max="1298" width="9.140625" style="711"/>
    <col min="1299" max="1299" width="6.140625" style="711" customWidth="1"/>
    <col min="1300" max="1300" width="5" style="711" customWidth="1"/>
    <col min="1301" max="1305" width="7.140625" style="711" customWidth="1"/>
    <col min="1306" max="1525" width="9.140625" style="711"/>
    <col min="1526" max="1526" width="1.85546875" style="711" customWidth="1"/>
    <col min="1527" max="1527" width="37.7109375" style="711" bestFit="1" customWidth="1"/>
    <col min="1528" max="1553" width="9.28515625" style="711" customWidth="1"/>
    <col min="1554" max="1554" width="9.140625" style="711"/>
    <col min="1555" max="1555" width="6.140625" style="711" customWidth="1"/>
    <col min="1556" max="1556" width="5" style="711" customWidth="1"/>
    <col min="1557" max="1561" width="7.140625" style="711" customWidth="1"/>
    <col min="1562" max="1781" width="9.140625" style="711"/>
    <col min="1782" max="1782" width="1.85546875" style="711" customWidth="1"/>
    <col min="1783" max="1783" width="37.7109375" style="711" bestFit="1" customWidth="1"/>
    <col min="1784" max="1809" width="9.28515625" style="711" customWidth="1"/>
    <col min="1810" max="1810" width="9.140625" style="711"/>
    <col min="1811" max="1811" width="6.140625" style="711" customWidth="1"/>
    <col min="1812" max="1812" width="5" style="711" customWidth="1"/>
    <col min="1813" max="1817" width="7.140625" style="711" customWidth="1"/>
    <col min="1818" max="2037" width="9.140625" style="711"/>
    <col min="2038" max="2038" width="1.85546875" style="711" customWidth="1"/>
    <col min="2039" max="2039" width="37.7109375" style="711" bestFit="1" customWidth="1"/>
    <col min="2040" max="2065" width="9.28515625" style="711" customWidth="1"/>
    <col min="2066" max="2066" width="9.140625" style="711"/>
    <col min="2067" max="2067" width="6.140625" style="711" customWidth="1"/>
    <col min="2068" max="2068" width="5" style="711" customWidth="1"/>
    <col min="2069" max="2073" width="7.140625" style="711" customWidth="1"/>
    <col min="2074" max="2293" width="9.140625" style="711"/>
    <col min="2294" max="2294" width="1.85546875" style="711" customWidth="1"/>
    <col min="2295" max="2295" width="37.7109375" style="711" bestFit="1" customWidth="1"/>
    <col min="2296" max="2321" width="9.28515625" style="711" customWidth="1"/>
    <col min="2322" max="2322" width="9.140625" style="711"/>
    <col min="2323" max="2323" width="6.140625" style="711" customWidth="1"/>
    <col min="2324" max="2324" width="5" style="711" customWidth="1"/>
    <col min="2325" max="2329" width="7.140625" style="711" customWidth="1"/>
    <col min="2330" max="2549" width="9.140625" style="711"/>
    <col min="2550" max="2550" width="1.85546875" style="711" customWidth="1"/>
    <col min="2551" max="2551" width="37.7109375" style="711" bestFit="1" customWidth="1"/>
    <col min="2552" max="2577" width="9.28515625" style="711" customWidth="1"/>
    <col min="2578" max="2578" width="9.140625" style="711"/>
    <col min="2579" max="2579" width="6.140625" style="711" customWidth="1"/>
    <col min="2580" max="2580" width="5" style="711" customWidth="1"/>
    <col min="2581" max="2585" width="7.140625" style="711" customWidth="1"/>
    <col min="2586" max="2805" width="9.140625" style="711"/>
    <col min="2806" max="2806" width="1.85546875" style="711" customWidth="1"/>
    <col min="2807" max="2807" width="37.7109375" style="711" bestFit="1" customWidth="1"/>
    <col min="2808" max="2833" width="9.28515625" style="711" customWidth="1"/>
    <col min="2834" max="2834" width="9.140625" style="711"/>
    <col min="2835" max="2835" width="6.140625" style="711" customWidth="1"/>
    <col min="2836" max="2836" width="5" style="711" customWidth="1"/>
    <col min="2837" max="2841" width="7.140625" style="711" customWidth="1"/>
    <col min="2842" max="3061" width="9.140625" style="711"/>
    <col min="3062" max="3062" width="1.85546875" style="711" customWidth="1"/>
    <col min="3063" max="3063" width="37.7109375" style="711" bestFit="1" customWidth="1"/>
    <col min="3064" max="3089" width="9.28515625" style="711" customWidth="1"/>
    <col min="3090" max="3090" width="9.140625" style="711"/>
    <col min="3091" max="3091" width="6.140625" style="711" customWidth="1"/>
    <col min="3092" max="3092" width="5" style="711" customWidth="1"/>
    <col min="3093" max="3097" width="7.140625" style="711" customWidth="1"/>
    <col min="3098" max="3317" width="9.140625" style="711"/>
    <col min="3318" max="3318" width="1.85546875" style="711" customWidth="1"/>
    <col min="3319" max="3319" width="37.7109375" style="711" bestFit="1" customWidth="1"/>
    <col min="3320" max="3345" width="9.28515625" style="711" customWidth="1"/>
    <col min="3346" max="3346" width="9.140625" style="711"/>
    <col min="3347" max="3347" width="6.140625" style="711" customWidth="1"/>
    <col min="3348" max="3348" width="5" style="711" customWidth="1"/>
    <col min="3349" max="3353" width="7.140625" style="711" customWidth="1"/>
    <col min="3354" max="3573" width="9.140625" style="711"/>
    <col min="3574" max="3574" width="1.85546875" style="711" customWidth="1"/>
    <col min="3575" max="3575" width="37.7109375" style="711" bestFit="1" customWidth="1"/>
    <col min="3576" max="3601" width="9.28515625" style="711" customWidth="1"/>
    <col min="3602" max="3602" width="9.140625" style="711"/>
    <col min="3603" max="3603" width="6.140625" style="711" customWidth="1"/>
    <col min="3604" max="3604" width="5" style="711" customWidth="1"/>
    <col min="3605" max="3609" width="7.140625" style="711" customWidth="1"/>
    <col min="3610" max="3829" width="9.140625" style="711"/>
    <col min="3830" max="3830" width="1.85546875" style="711" customWidth="1"/>
    <col min="3831" max="3831" width="37.7109375" style="711" bestFit="1" customWidth="1"/>
    <col min="3832" max="3857" width="9.28515625" style="711" customWidth="1"/>
    <col min="3858" max="3858" width="9.140625" style="711"/>
    <col min="3859" max="3859" width="6.140625" style="711" customWidth="1"/>
    <col min="3860" max="3860" width="5" style="711" customWidth="1"/>
    <col min="3861" max="3865" width="7.140625" style="711" customWidth="1"/>
    <col min="3866" max="4085" width="9.140625" style="711"/>
    <col min="4086" max="4086" width="1.85546875" style="711" customWidth="1"/>
    <col min="4087" max="4087" width="37.7109375" style="711" bestFit="1" customWidth="1"/>
    <col min="4088" max="4113" width="9.28515625" style="711" customWidth="1"/>
    <col min="4114" max="4114" width="9.140625" style="711"/>
    <col min="4115" max="4115" width="6.140625" style="711" customWidth="1"/>
    <col min="4116" max="4116" width="5" style="711" customWidth="1"/>
    <col min="4117" max="4121" width="7.140625" style="711" customWidth="1"/>
    <col min="4122" max="4341" width="9.140625" style="711"/>
    <col min="4342" max="4342" width="1.85546875" style="711" customWidth="1"/>
    <col min="4343" max="4343" width="37.7109375" style="711" bestFit="1" customWidth="1"/>
    <col min="4344" max="4369" width="9.28515625" style="711" customWidth="1"/>
    <col min="4370" max="4370" width="9.140625" style="711"/>
    <col min="4371" max="4371" width="6.140625" style="711" customWidth="1"/>
    <col min="4372" max="4372" width="5" style="711" customWidth="1"/>
    <col min="4373" max="4377" width="7.140625" style="711" customWidth="1"/>
    <col min="4378" max="4597" width="9.140625" style="711"/>
    <col min="4598" max="4598" width="1.85546875" style="711" customWidth="1"/>
    <col min="4599" max="4599" width="37.7109375" style="711" bestFit="1" customWidth="1"/>
    <col min="4600" max="4625" width="9.28515625" style="711" customWidth="1"/>
    <col min="4626" max="4626" width="9.140625" style="711"/>
    <col min="4627" max="4627" width="6.140625" style="711" customWidth="1"/>
    <col min="4628" max="4628" width="5" style="711" customWidth="1"/>
    <col min="4629" max="4633" width="7.140625" style="711" customWidth="1"/>
    <col min="4634" max="4853" width="9.140625" style="711"/>
    <col min="4854" max="4854" width="1.85546875" style="711" customWidth="1"/>
    <col min="4855" max="4855" width="37.7109375" style="711" bestFit="1" customWidth="1"/>
    <col min="4856" max="4881" width="9.28515625" style="711" customWidth="1"/>
    <col min="4882" max="4882" width="9.140625" style="711"/>
    <col min="4883" max="4883" width="6.140625" style="711" customWidth="1"/>
    <col min="4884" max="4884" width="5" style="711" customWidth="1"/>
    <col min="4885" max="4889" width="7.140625" style="711" customWidth="1"/>
    <col min="4890" max="5109" width="9.140625" style="711"/>
    <col min="5110" max="5110" width="1.85546875" style="711" customWidth="1"/>
    <col min="5111" max="5111" width="37.7109375" style="711" bestFit="1" customWidth="1"/>
    <col min="5112" max="5137" width="9.28515625" style="711" customWidth="1"/>
    <col min="5138" max="5138" width="9.140625" style="711"/>
    <col min="5139" max="5139" width="6.140625" style="711" customWidth="1"/>
    <col min="5140" max="5140" width="5" style="711" customWidth="1"/>
    <col min="5141" max="5145" width="7.140625" style="711" customWidth="1"/>
    <col min="5146" max="5365" width="9.140625" style="711"/>
    <col min="5366" max="5366" width="1.85546875" style="711" customWidth="1"/>
    <col min="5367" max="5367" width="37.7109375" style="711" bestFit="1" customWidth="1"/>
    <col min="5368" max="5393" width="9.28515625" style="711" customWidth="1"/>
    <col min="5394" max="5394" width="9.140625" style="711"/>
    <col min="5395" max="5395" width="6.140625" style="711" customWidth="1"/>
    <col min="5396" max="5396" width="5" style="711" customWidth="1"/>
    <col min="5397" max="5401" width="7.140625" style="711" customWidth="1"/>
    <col min="5402" max="5621" width="9.140625" style="711"/>
    <col min="5622" max="5622" width="1.85546875" style="711" customWidth="1"/>
    <col min="5623" max="5623" width="37.7109375" style="711" bestFit="1" customWidth="1"/>
    <col min="5624" max="5649" width="9.28515625" style="711" customWidth="1"/>
    <col min="5650" max="5650" width="9.140625" style="711"/>
    <col min="5651" max="5651" width="6.140625" style="711" customWidth="1"/>
    <col min="5652" max="5652" width="5" style="711" customWidth="1"/>
    <col min="5653" max="5657" width="7.140625" style="711" customWidth="1"/>
    <col min="5658" max="5877" width="9.140625" style="711"/>
    <col min="5878" max="5878" width="1.85546875" style="711" customWidth="1"/>
    <col min="5879" max="5879" width="37.7109375" style="711" bestFit="1" customWidth="1"/>
    <col min="5880" max="5905" width="9.28515625" style="711" customWidth="1"/>
    <col min="5906" max="5906" width="9.140625" style="711"/>
    <col min="5907" max="5907" width="6.140625" style="711" customWidth="1"/>
    <col min="5908" max="5908" width="5" style="711" customWidth="1"/>
    <col min="5909" max="5913" width="7.140625" style="711" customWidth="1"/>
    <col min="5914" max="6133" width="9.140625" style="711"/>
    <col min="6134" max="6134" width="1.85546875" style="711" customWidth="1"/>
    <col min="6135" max="6135" width="37.7109375" style="711" bestFit="1" customWidth="1"/>
    <col min="6136" max="6161" width="9.28515625" style="711" customWidth="1"/>
    <col min="6162" max="6162" width="9.140625" style="711"/>
    <col min="6163" max="6163" width="6.140625" style="711" customWidth="1"/>
    <col min="6164" max="6164" width="5" style="711" customWidth="1"/>
    <col min="6165" max="6169" width="7.140625" style="711" customWidth="1"/>
    <col min="6170" max="6389" width="9.140625" style="711"/>
    <col min="6390" max="6390" width="1.85546875" style="711" customWidth="1"/>
    <col min="6391" max="6391" width="37.7109375" style="711" bestFit="1" customWidth="1"/>
    <col min="6392" max="6417" width="9.28515625" style="711" customWidth="1"/>
    <col min="6418" max="6418" width="9.140625" style="711"/>
    <col min="6419" max="6419" width="6.140625" style="711" customWidth="1"/>
    <col min="6420" max="6420" width="5" style="711" customWidth="1"/>
    <col min="6421" max="6425" width="7.140625" style="711" customWidth="1"/>
    <col min="6426" max="6645" width="9.140625" style="711"/>
    <col min="6646" max="6646" width="1.85546875" style="711" customWidth="1"/>
    <col min="6647" max="6647" width="37.7109375" style="711" bestFit="1" customWidth="1"/>
    <col min="6648" max="6673" width="9.28515625" style="711" customWidth="1"/>
    <col min="6674" max="6674" width="9.140625" style="711"/>
    <col min="6675" max="6675" width="6.140625" style="711" customWidth="1"/>
    <col min="6676" max="6676" width="5" style="711" customWidth="1"/>
    <col min="6677" max="6681" width="7.140625" style="711" customWidth="1"/>
    <col min="6682" max="6901" width="9.140625" style="711"/>
    <col min="6902" max="6902" width="1.85546875" style="711" customWidth="1"/>
    <col min="6903" max="6903" width="37.7109375" style="711" bestFit="1" customWidth="1"/>
    <col min="6904" max="6929" width="9.28515625" style="711" customWidth="1"/>
    <col min="6930" max="6930" width="9.140625" style="711"/>
    <col min="6931" max="6931" width="6.140625" style="711" customWidth="1"/>
    <col min="6932" max="6932" width="5" style="711" customWidth="1"/>
    <col min="6933" max="6937" width="7.140625" style="711" customWidth="1"/>
    <col min="6938" max="7157" width="9.140625" style="711"/>
    <col min="7158" max="7158" width="1.85546875" style="711" customWidth="1"/>
    <col min="7159" max="7159" width="37.7109375" style="711" bestFit="1" customWidth="1"/>
    <col min="7160" max="7185" width="9.28515625" style="711" customWidth="1"/>
    <col min="7186" max="7186" width="9.140625" style="711"/>
    <col min="7187" max="7187" width="6.140625" style="711" customWidth="1"/>
    <col min="7188" max="7188" width="5" style="711" customWidth="1"/>
    <col min="7189" max="7193" width="7.140625" style="711" customWidth="1"/>
    <col min="7194" max="7413" width="9.140625" style="711"/>
    <col min="7414" max="7414" width="1.85546875" style="711" customWidth="1"/>
    <col min="7415" max="7415" width="37.7109375" style="711" bestFit="1" customWidth="1"/>
    <col min="7416" max="7441" width="9.28515625" style="711" customWidth="1"/>
    <col min="7442" max="7442" width="9.140625" style="711"/>
    <col min="7443" max="7443" width="6.140625" style="711" customWidth="1"/>
    <col min="7444" max="7444" width="5" style="711" customWidth="1"/>
    <col min="7445" max="7449" width="7.140625" style="711" customWidth="1"/>
    <col min="7450" max="7669" width="9.140625" style="711"/>
    <col min="7670" max="7670" width="1.85546875" style="711" customWidth="1"/>
    <col min="7671" max="7671" width="37.7109375" style="711" bestFit="1" customWidth="1"/>
    <col min="7672" max="7697" width="9.28515625" style="711" customWidth="1"/>
    <col min="7698" max="7698" width="9.140625" style="711"/>
    <col min="7699" max="7699" width="6.140625" style="711" customWidth="1"/>
    <col min="7700" max="7700" width="5" style="711" customWidth="1"/>
    <col min="7701" max="7705" width="7.140625" style="711" customWidth="1"/>
    <col min="7706" max="7925" width="9.140625" style="711"/>
    <col min="7926" max="7926" width="1.85546875" style="711" customWidth="1"/>
    <col min="7927" max="7927" width="37.7109375" style="711" bestFit="1" customWidth="1"/>
    <col min="7928" max="7953" width="9.28515625" style="711" customWidth="1"/>
    <col min="7954" max="7954" width="9.140625" style="711"/>
    <col min="7955" max="7955" width="6.140625" style="711" customWidth="1"/>
    <col min="7956" max="7956" width="5" style="711" customWidth="1"/>
    <col min="7957" max="7961" width="7.140625" style="711" customWidth="1"/>
    <col min="7962" max="8181" width="9.140625" style="711"/>
    <col min="8182" max="8182" width="1.85546875" style="711" customWidth="1"/>
    <col min="8183" max="8183" width="37.7109375" style="711" bestFit="1" customWidth="1"/>
    <col min="8184" max="8209" width="9.28515625" style="711" customWidth="1"/>
    <col min="8210" max="8210" width="9.140625" style="711"/>
    <col min="8211" max="8211" width="6.140625" style="711" customWidth="1"/>
    <col min="8212" max="8212" width="5" style="711" customWidth="1"/>
    <col min="8213" max="8217" width="7.140625" style="711" customWidth="1"/>
    <col min="8218" max="8437" width="9.140625" style="711"/>
    <col min="8438" max="8438" width="1.85546875" style="711" customWidth="1"/>
    <col min="8439" max="8439" width="37.7109375" style="711" bestFit="1" customWidth="1"/>
    <col min="8440" max="8465" width="9.28515625" style="711" customWidth="1"/>
    <col min="8466" max="8466" width="9.140625" style="711"/>
    <col min="8467" max="8467" width="6.140625" style="711" customWidth="1"/>
    <col min="8468" max="8468" width="5" style="711" customWidth="1"/>
    <col min="8469" max="8473" width="7.140625" style="711" customWidth="1"/>
    <col min="8474" max="8693" width="9.140625" style="711"/>
    <col min="8694" max="8694" width="1.85546875" style="711" customWidth="1"/>
    <col min="8695" max="8695" width="37.7109375" style="711" bestFit="1" customWidth="1"/>
    <col min="8696" max="8721" width="9.28515625" style="711" customWidth="1"/>
    <col min="8722" max="8722" width="9.140625" style="711"/>
    <col min="8723" max="8723" width="6.140625" style="711" customWidth="1"/>
    <col min="8724" max="8724" width="5" style="711" customWidth="1"/>
    <col min="8725" max="8729" width="7.140625" style="711" customWidth="1"/>
    <col min="8730" max="8949" width="9.140625" style="711"/>
    <col min="8950" max="8950" width="1.85546875" style="711" customWidth="1"/>
    <col min="8951" max="8951" width="37.7109375" style="711" bestFit="1" customWidth="1"/>
    <col min="8952" max="8977" width="9.28515625" style="711" customWidth="1"/>
    <col min="8978" max="8978" width="9.140625" style="711"/>
    <col min="8979" max="8979" width="6.140625" style="711" customWidth="1"/>
    <col min="8980" max="8980" width="5" style="711" customWidth="1"/>
    <col min="8981" max="8985" width="7.140625" style="711" customWidth="1"/>
    <col min="8986" max="9205" width="9.140625" style="711"/>
    <col min="9206" max="9206" width="1.85546875" style="711" customWidth="1"/>
    <col min="9207" max="9207" width="37.7109375" style="711" bestFit="1" customWidth="1"/>
    <col min="9208" max="9233" width="9.28515625" style="711" customWidth="1"/>
    <col min="9234" max="9234" width="9.140625" style="711"/>
    <col min="9235" max="9235" width="6.140625" style="711" customWidth="1"/>
    <col min="9236" max="9236" width="5" style="711" customWidth="1"/>
    <col min="9237" max="9241" width="7.140625" style="711" customWidth="1"/>
    <col min="9242" max="9461" width="9.140625" style="711"/>
    <col min="9462" max="9462" width="1.85546875" style="711" customWidth="1"/>
    <col min="9463" max="9463" width="37.7109375" style="711" bestFit="1" customWidth="1"/>
    <col min="9464" max="9489" width="9.28515625" style="711" customWidth="1"/>
    <col min="9490" max="9490" width="9.140625" style="711"/>
    <col min="9491" max="9491" width="6.140625" style="711" customWidth="1"/>
    <col min="9492" max="9492" width="5" style="711" customWidth="1"/>
    <col min="9493" max="9497" width="7.140625" style="711" customWidth="1"/>
    <col min="9498" max="9717" width="9.140625" style="711"/>
    <col min="9718" max="9718" width="1.85546875" style="711" customWidth="1"/>
    <col min="9719" max="9719" width="37.7109375" style="711" bestFit="1" customWidth="1"/>
    <col min="9720" max="9745" width="9.28515625" style="711" customWidth="1"/>
    <col min="9746" max="9746" width="9.140625" style="711"/>
    <col min="9747" max="9747" width="6.140625" style="711" customWidth="1"/>
    <col min="9748" max="9748" width="5" style="711" customWidth="1"/>
    <col min="9749" max="9753" width="7.140625" style="711" customWidth="1"/>
    <col min="9754" max="9973" width="9.140625" style="711"/>
    <col min="9974" max="9974" width="1.85546875" style="711" customWidth="1"/>
    <col min="9975" max="9975" width="37.7109375" style="711" bestFit="1" customWidth="1"/>
    <col min="9976" max="10001" width="9.28515625" style="711" customWidth="1"/>
    <col min="10002" max="10002" width="9.140625" style="711"/>
    <col min="10003" max="10003" width="6.140625" style="711" customWidth="1"/>
    <col min="10004" max="10004" width="5" style="711" customWidth="1"/>
    <col min="10005" max="10009" width="7.140625" style="711" customWidth="1"/>
    <col min="10010" max="10229" width="9.140625" style="711"/>
    <col min="10230" max="10230" width="1.85546875" style="711" customWidth="1"/>
    <col min="10231" max="10231" width="37.7109375" style="711" bestFit="1" customWidth="1"/>
    <col min="10232" max="10257" width="9.28515625" style="711" customWidth="1"/>
    <col min="10258" max="10258" width="9.140625" style="711"/>
    <col min="10259" max="10259" width="6.140625" style="711" customWidth="1"/>
    <col min="10260" max="10260" width="5" style="711" customWidth="1"/>
    <col min="10261" max="10265" width="7.140625" style="711" customWidth="1"/>
    <col min="10266" max="10485" width="9.140625" style="711"/>
    <col min="10486" max="10486" width="1.85546875" style="711" customWidth="1"/>
    <col min="10487" max="10487" width="37.7109375" style="711" bestFit="1" customWidth="1"/>
    <col min="10488" max="10513" width="9.28515625" style="711" customWidth="1"/>
    <col min="10514" max="10514" width="9.140625" style="711"/>
    <col min="10515" max="10515" width="6.140625" style="711" customWidth="1"/>
    <col min="10516" max="10516" width="5" style="711" customWidth="1"/>
    <col min="10517" max="10521" width="7.140625" style="711" customWidth="1"/>
    <col min="10522" max="10741" width="9.140625" style="711"/>
    <col min="10742" max="10742" width="1.85546875" style="711" customWidth="1"/>
    <col min="10743" max="10743" width="37.7109375" style="711" bestFit="1" customWidth="1"/>
    <col min="10744" max="10769" width="9.28515625" style="711" customWidth="1"/>
    <col min="10770" max="10770" width="9.140625" style="711"/>
    <col min="10771" max="10771" width="6.140625" style="711" customWidth="1"/>
    <col min="10772" max="10772" width="5" style="711" customWidth="1"/>
    <col min="10773" max="10777" width="7.140625" style="711" customWidth="1"/>
    <col min="10778" max="10997" width="9.140625" style="711"/>
    <col min="10998" max="10998" width="1.85546875" style="711" customWidth="1"/>
    <col min="10999" max="10999" width="37.7109375" style="711" bestFit="1" customWidth="1"/>
    <col min="11000" max="11025" width="9.28515625" style="711" customWidth="1"/>
    <col min="11026" max="11026" width="9.140625" style="711"/>
    <col min="11027" max="11027" width="6.140625" style="711" customWidth="1"/>
    <col min="11028" max="11028" width="5" style="711" customWidth="1"/>
    <col min="11029" max="11033" width="7.140625" style="711" customWidth="1"/>
    <col min="11034" max="11253" width="9.140625" style="711"/>
    <col min="11254" max="11254" width="1.85546875" style="711" customWidth="1"/>
    <col min="11255" max="11255" width="37.7109375" style="711" bestFit="1" customWidth="1"/>
    <col min="11256" max="11281" width="9.28515625" style="711" customWidth="1"/>
    <col min="11282" max="11282" width="9.140625" style="711"/>
    <col min="11283" max="11283" width="6.140625" style="711" customWidth="1"/>
    <col min="11284" max="11284" width="5" style="711" customWidth="1"/>
    <col min="11285" max="11289" width="7.140625" style="711" customWidth="1"/>
    <col min="11290" max="11509" width="9.140625" style="711"/>
    <col min="11510" max="11510" width="1.85546875" style="711" customWidth="1"/>
    <col min="11511" max="11511" width="37.7109375" style="711" bestFit="1" customWidth="1"/>
    <col min="11512" max="11537" width="9.28515625" style="711" customWidth="1"/>
    <col min="11538" max="11538" width="9.140625" style="711"/>
    <col min="11539" max="11539" width="6.140625" style="711" customWidth="1"/>
    <col min="11540" max="11540" width="5" style="711" customWidth="1"/>
    <col min="11541" max="11545" width="7.140625" style="711" customWidth="1"/>
    <col min="11546" max="11765" width="9.140625" style="711"/>
    <col min="11766" max="11766" width="1.85546875" style="711" customWidth="1"/>
    <col min="11767" max="11767" width="37.7109375" style="711" bestFit="1" customWidth="1"/>
    <col min="11768" max="11793" width="9.28515625" style="711" customWidth="1"/>
    <col min="11794" max="11794" width="9.140625" style="711"/>
    <col min="11795" max="11795" width="6.140625" style="711" customWidth="1"/>
    <col min="11796" max="11796" width="5" style="711" customWidth="1"/>
    <col min="11797" max="11801" width="7.140625" style="711" customWidth="1"/>
    <col min="11802" max="12021" width="9.140625" style="711"/>
    <col min="12022" max="12022" width="1.85546875" style="711" customWidth="1"/>
    <col min="12023" max="12023" width="37.7109375" style="711" bestFit="1" customWidth="1"/>
    <col min="12024" max="12049" width="9.28515625" style="711" customWidth="1"/>
    <col min="12050" max="12050" width="9.140625" style="711"/>
    <col min="12051" max="12051" width="6.140625" style="711" customWidth="1"/>
    <col min="12052" max="12052" width="5" style="711" customWidth="1"/>
    <col min="12053" max="12057" width="7.140625" style="711" customWidth="1"/>
    <col min="12058" max="12277" width="9.140625" style="711"/>
    <col min="12278" max="12278" width="1.85546875" style="711" customWidth="1"/>
    <col min="12279" max="12279" width="37.7109375" style="711" bestFit="1" customWidth="1"/>
    <col min="12280" max="12305" width="9.28515625" style="711" customWidth="1"/>
    <col min="12306" max="12306" width="9.140625" style="711"/>
    <col min="12307" max="12307" width="6.140625" style="711" customWidth="1"/>
    <col min="12308" max="12308" width="5" style="711" customWidth="1"/>
    <col min="12309" max="12313" width="7.140625" style="711" customWidth="1"/>
    <col min="12314" max="12533" width="9.140625" style="711"/>
    <col min="12534" max="12534" width="1.85546875" style="711" customWidth="1"/>
    <col min="12535" max="12535" width="37.7109375" style="711" bestFit="1" customWidth="1"/>
    <col min="12536" max="12561" width="9.28515625" style="711" customWidth="1"/>
    <col min="12562" max="12562" width="9.140625" style="711"/>
    <col min="12563" max="12563" width="6.140625" style="711" customWidth="1"/>
    <col min="12564" max="12564" width="5" style="711" customWidth="1"/>
    <col min="12565" max="12569" width="7.140625" style="711" customWidth="1"/>
    <col min="12570" max="12789" width="9.140625" style="711"/>
    <col min="12790" max="12790" width="1.85546875" style="711" customWidth="1"/>
    <col min="12791" max="12791" width="37.7109375" style="711" bestFit="1" customWidth="1"/>
    <col min="12792" max="12817" width="9.28515625" style="711" customWidth="1"/>
    <col min="12818" max="12818" width="9.140625" style="711"/>
    <col min="12819" max="12819" width="6.140625" style="711" customWidth="1"/>
    <col min="12820" max="12820" width="5" style="711" customWidth="1"/>
    <col min="12821" max="12825" width="7.140625" style="711" customWidth="1"/>
    <col min="12826" max="13045" width="9.140625" style="711"/>
    <col min="13046" max="13046" width="1.85546875" style="711" customWidth="1"/>
    <col min="13047" max="13047" width="37.7109375" style="711" bestFit="1" customWidth="1"/>
    <col min="13048" max="13073" width="9.28515625" style="711" customWidth="1"/>
    <col min="13074" max="13074" width="9.140625" style="711"/>
    <col min="13075" max="13075" width="6.140625" style="711" customWidth="1"/>
    <col min="13076" max="13076" width="5" style="711" customWidth="1"/>
    <col min="13077" max="13081" width="7.140625" style="711" customWidth="1"/>
    <col min="13082" max="13301" width="9.140625" style="711"/>
    <col min="13302" max="13302" width="1.85546875" style="711" customWidth="1"/>
    <col min="13303" max="13303" width="37.7109375" style="711" bestFit="1" customWidth="1"/>
    <col min="13304" max="13329" width="9.28515625" style="711" customWidth="1"/>
    <col min="13330" max="13330" width="9.140625" style="711"/>
    <col min="13331" max="13331" width="6.140625" style="711" customWidth="1"/>
    <col min="13332" max="13332" width="5" style="711" customWidth="1"/>
    <col min="13333" max="13337" width="7.140625" style="711" customWidth="1"/>
    <col min="13338" max="13557" width="9.140625" style="711"/>
    <col min="13558" max="13558" width="1.85546875" style="711" customWidth="1"/>
    <col min="13559" max="13559" width="37.7109375" style="711" bestFit="1" customWidth="1"/>
    <col min="13560" max="13585" width="9.28515625" style="711" customWidth="1"/>
    <col min="13586" max="13586" width="9.140625" style="711"/>
    <col min="13587" max="13587" width="6.140625" style="711" customWidth="1"/>
    <col min="13588" max="13588" width="5" style="711" customWidth="1"/>
    <col min="13589" max="13593" width="7.140625" style="711" customWidth="1"/>
    <col min="13594" max="13813" width="9.140625" style="711"/>
    <col min="13814" max="13814" width="1.85546875" style="711" customWidth="1"/>
    <col min="13815" max="13815" width="37.7109375" style="711" bestFit="1" customWidth="1"/>
    <col min="13816" max="13841" width="9.28515625" style="711" customWidth="1"/>
    <col min="13842" max="13842" width="9.140625" style="711"/>
    <col min="13843" max="13843" width="6.140625" style="711" customWidth="1"/>
    <col min="13844" max="13844" width="5" style="711" customWidth="1"/>
    <col min="13845" max="13849" width="7.140625" style="711" customWidth="1"/>
    <col min="13850" max="14069" width="9.140625" style="711"/>
    <col min="14070" max="14070" width="1.85546875" style="711" customWidth="1"/>
    <col min="14071" max="14071" width="37.7109375" style="711" bestFit="1" customWidth="1"/>
    <col min="14072" max="14097" width="9.28515625" style="711" customWidth="1"/>
    <col min="14098" max="14098" width="9.140625" style="711"/>
    <col min="14099" max="14099" width="6.140625" style="711" customWidth="1"/>
    <col min="14100" max="14100" width="5" style="711" customWidth="1"/>
    <col min="14101" max="14105" width="7.140625" style="711" customWidth="1"/>
    <col min="14106" max="14325" width="9.140625" style="711"/>
    <col min="14326" max="14326" width="1.85546875" style="711" customWidth="1"/>
    <col min="14327" max="14327" width="37.7109375" style="711" bestFit="1" customWidth="1"/>
    <col min="14328" max="14353" width="9.28515625" style="711" customWidth="1"/>
    <col min="14354" max="14354" width="9.140625" style="711"/>
    <col min="14355" max="14355" width="6.140625" style="711" customWidth="1"/>
    <col min="14356" max="14356" width="5" style="711" customWidth="1"/>
    <col min="14357" max="14361" width="7.140625" style="711" customWidth="1"/>
    <col min="14362" max="14581" width="9.140625" style="711"/>
    <col min="14582" max="14582" width="1.85546875" style="711" customWidth="1"/>
    <col min="14583" max="14583" width="37.7109375" style="711" bestFit="1" customWidth="1"/>
    <col min="14584" max="14609" width="9.28515625" style="711" customWidth="1"/>
    <col min="14610" max="14610" width="9.140625" style="711"/>
    <col min="14611" max="14611" width="6.140625" style="711" customWidth="1"/>
    <col min="14612" max="14612" width="5" style="711" customWidth="1"/>
    <col min="14613" max="14617" width="7.140625" style="711" customWidth="1"/>
    <col min="14618" max="14837" width="9.140625" style="711"/>
    <col min="14838" max="14838" width="1.85546875" style="711" customWidth="1"/>
    <col min="14839" max="14839" width="37.7109375" style="711" bestFit="1" customWidth="1"/>
    <col min="14840" max="14865" width="9.28515625" style="711" customWidth="1"/>
    <col min="14866" max="14866" width="9.140625" style="711"/>
    <col min="14867" max="14867" width="6.140625" style="711" customWidth="1"/>
    <col min="14868" max="14868" width="5" style="711" customWidth="1"/>
    <col min="14869" max="14873" width="7.140625" style="711" customWidth="1"/>
    <col min="14874" max="15093" width="9.140625" style="711"/>
    <col min="15094" max="15094" width="1.85546875" style="711" customWidth="1"/>
    <col min="15095" max="15095" width="37.7109375" style="711" bestFit="1" customWidth="1"/>
    <col min="15096" max="15121" width="9.28515625" style="711" customWidth="1"/>
    <col min="15122" max="15122" width="9.140625" style="711"/>
    <col min="15123" max="15123" width="6.140625" style="711" customWidth="1"/>
    <col min="15124" max="15124" width="5" style="711" customWidth="1"/>
    <col min="15125" max="15129" width="7.140625" style="711" customWidth="1"/>
    <col min="15130" max="15349" width="9.140625" style="711"/>
    <col min="15350" max="15350" width="1.85546875" style="711" customWidth="1"/>
    <col min="15351" max="15351" width="37.7109375" style="711" bestFit="1" customWidth="1"/>
    <col min="15352" max="15377" width="9.28515625" style="711" customWidth="1"/>
    <col min="15378" max="15378" width="9.140625" style="711"/>
    <col min="15379" max="15379" width="6.140625" style="711" customWidth="1"/>
    <col min="15380" max="15380" width="5" style="711" customWidth="1"/>
    <col min="15381" max="15385" width="7.140625" style="711" customWidth="1"/>
    <col min="15386" max="15605" width="9.140625" style="711"/>
    <col min="15606" max="15606" width="1.85546875" style="711" customWidth="1"/>
    <col min="15607" max="15607" width="37.7109375" style="711" bestFit="1" customWidth="1"/>
    <col min="15608" max="15633" width="9.28515625" style="711" customWidth="1"/>
    <col min="15634" max="15634" width="9.140625" style="711"/>
    <col min="15635" max="15635" width="6.140625" style="711" customWidth="1"/>
    <col min="15636" max="15636" width="5" style="711" customWidth="1"/>
    <col min="15637" max="15641" width="7.140625" style="711" customWidth="1"/>
    <col min="15642" max="15861" width="9.140625" style="711"/>
    <col min="15862" max="15862" width="1.85546875" style="711" customWidth="1"/>
    <col min="15863" max="15863" width="37.7109375" style="711" bestFit="1" customWidth="1"/>
    <col min="15864" max="15889" width="9.28515625" style="711" customWidth="1"/>
    <col min="15890" max="15890" width="9.140625" style="711"/>
    <col min="15891" max="15891" width="6.140625" style="711" customWidth="1"/>
    <col min="15892" max="15892" width="5" style="711" customWidth="1"/>
    <col min="15893" max="15897" width="7.140625" style="711" customWidth="1"/>
    <col min="15898" max="16117" width="9.140625" style="711"/>
    <col min="16118" max="16118" width="1.85546875" style="711" customWidth="1"/>
    <col min="16119" max="16119" width="37.7109375" style="711" bestFit="1" customWidth="1"/>
    <col min="16120" max="16145" width="9.28515625" style="711" customWidth="1"/>
    <col min="16146" max="16146" width="9.140625" style="711"/>
    <col min="16147" max="16147" width="6.140625" style="711" customWidth="1"/>
    <col min="16148" max="16148" width="5" style="711" customWidth="1"/>
    <col min="16149" max="16153" width="7.140625" style="711" customWidth="1"/>
    <col min="16154" max="16384" width="9.140625" style="711"/>
  </cols>
  <sheetData>
    <row r="1" spans="2:19" ht="7.5" customHeight="1" thickBot="1"/>
    <row r="2" spans="2:19">
      <c r="B2" s="712"/>
      <c r="C2" s="737">
        <v>2014</v>
      </c>
      <c r="D2" s="737">
        <f>C2+1</f>
        <v>2015</v>
      </c>
      <c r="E2" s="713">
        <f t="shared" ref="E2:S2" si="0">D2+1</f>
        <v>2016</v>
      </c>
      <c r="F2" s="713">
        <f t="shared" si="0"/>
        <v>2017</v>
      </c>
      <c r="G2" s="713">
        <f t="shared" si="0"/>
        <v>2018</v>
      </c>
      <c r="H2" s="713">
        <f t="shared" si="0"/>
        <v>2019</v>
      </c>
      <c r="I2" s="713">
        <f t="shared" si="0"/>
        <v>2020</v>
      </c>
      <c r="J2" s="713">
        <f t="shared" si="0"/>
        <v>2021</v>
      </c>
      <c r="K2" s="713">
        <f t="shared" si="0"/>
        <v>2022</v>
      </c>
      <c r="L2" s="713">
        <f t="shared" si="0"/>
        <v>2023</v>
      </c>
      <c r="M2" s="713">
        <f t="shared" si="0"/>
        <v>2024</v>
      </c>
      <c r="N2" s="713">
        <f t="shared" si="0"/>
        <v>2025</v>
      </c>
      <c r="O2" s="713">
        <f t="shared" si="0"/>
        <v>2026</v>
      </c>
      <c r="P2" s="713">
        <f t="shared" si="0"/>
        <v>2027</v>
      </c>
      <c r="Q2" s="713">
        <f t="shared" si="0"/>
        <v>2028</v>
      </c>
      <c r="R2" s="713">
        <f t="shared" si="0"/>
        <v>2029</v>
      </c>
      <c r="S2" s="713">
        <f t="shared" si="0"/>
        <v>2030</v>
      </c>
    </row>
    <row r="3" spans="2:19">
      <c r="B3" s="711" t="s">
        <v>872</v>
      </c>
      <c r="C3" s="714">
        <v>317</v>
      </c>
      <c r="D3" s="714">
        <f>C3*(1+C4)</f>
        <v>323.34000000000003</v>
      </c>
      <c r="E3" s="714">
        <f t="shared" ref="E3:S3" si="1">D3*(1+D4)</f>
        <v>329.80680000000007</v>
      </c>
      <c r="F3" s="714">
        <f t="shared" si="1"/>
        <v>336.40293600000007</v>
      </c>
      <c r="G3" s="714">
        <f t="shared" si="1"/>
        <v>343.1309947200001</v>
      </c>
      <c r="H3" s="714">
        <f t="shared" si="1"/>
        <v>349.99361461440009</v>
      </c>
      <c r="I3" s="714">
        <f t="shared" si="1"/>
        <v>356.99348690668808</v>
      </c>
      <c r="J3" s="714">
        <f t="shared" si="1"/>
        <v>364.13335664482184</v>
      </c>
      <c r="K3" s="714">
        <f t="shared" si="1"/>
        <v>371.41602377771829</v>
      </c>
      <c r="L3" s="714">
        <f t="shared" si="1"/>
        <v>378.84434425327265</v>
      </c>
      <c r="M3" s="714">
        <f t="shared" si="1"/>
        <v>386.4212311383381</v>
      </c>
      <c r="N3" s="714">
        <f t="shared" si="1"/>
        <v>394.1496557611049</v>
      </c>
      <c r="O3" s="714">
        <f t="shared" si="1"/>
        <v>402.03264887632702</v>
      </c>
      <c r="P3" s="714">
        <f t="shared" si="1"/>
        <v>410.07330185385354</v>
      </c>
      <c r="Q3" s="714">
        <f t="shared" si="1"/>
        <v>418.2747678909306</v>
      </c>
      <c r="R3" s="714">
        <f t="shared" si="1"/>
        <v>426.64026324874925</v>
      </c>
      <c r="S3" s="714">
        <f t="shared" si="1"/>
        <v>435.17306851372422</v>
      </c>
    </row>
    <row r="4" spans="2:19" s="717" customFormat="1">
      <c r="B4" s="715" t="s">
        <v>873</v>
      </c>
      <c r="C4" s="716">
        <v>0.02</v>
      </c>
      <c r="D4" s="716">
        <v>0.02</v>
      </c>
      <c r="E4" s="716">
        <v>0.02</v>
      </c>
      <c r="F4" s="716">
        <v>0.02</v>
      </c>
      <c r="G4" s="716">
        <v>0.02</v>
      </c>
      <c r="H4" s="716">
        <v>0.02</v>
      </c>
      <c r="I4" s="716">
        <v>0.02</v>
      </c>
      <c r="J4" s="716">
        <v>0.02</v>
      </c>
      <c r="K4" s="716">
        <v>0.02</v>
      </c>
      <c r="L4" s="716">
        <v>0.02</v>
      </c>
      <c r="M4" s="716">
        <v>0.02</v>
      </c>
      <c r="N4" s="716">
        <v>0.02</v>
      </c>
      <c r="O4" s="716">
        <v>0.02</v>
      </c>
      <c r="P4" s="716">
        <v>0.02</v>
      </c>
      <c r="Q4" s="716">
        <v>0.02</v>
      </c>
      <c r="R4" s="716">
        <v>0.02</v>
      </c>
      <c r="S4" s="716">
        <v>0.02</v>
      </c>
    </row>
    <row r="5" spans="2:19">
      <c r="B5" s="711" t="s">
        <v>874</v>
      </c>
      <c r="C5" s="718">
        <f>(17.1%+5.6%)/2</f>
        <v>0.1135</v>
      </c>
      <c r="D5" s="718">
        <f>C5</f>
        <v>0.1135</v>
      </c>
      <c r="E5" s="718">
        <f t="shared" ref="E5:S6" si="2">D5</f>
        <v>0.1135</v>
      </c>
      <c r="F5" s="718">
        <f t="shared" si="2"/>
        <v>0.1135</v>
      </c>
      <c r="G5" s="718">
        <f t="shared" si="2"/>
        <v>0.1135</v>
      </c>
      <c r="H5" s="718">
        <f t="shared" si="2"/>
        <v>0.1135</v>
      </c>
      <c r="I5" s="718">
        <f t="shared" si="2"/>
        <v>0.1135</v>
      </c>
      <c r="J5" s="718">
        <f t="shared" si="2"/>
        <v>0.1135</v>
      </c>
      <c r="K5" s="718">
        <f t="shared" si="2"/>
        <v>0.1135</v>
      </c>
      <c r="L5" s="718">
        <f t="shared" si="2"/>
        <v>0.1135</v>
      </c>
      <c r="M5" s="718">
        <f t="shared" si="2"/>
        <v>0.1135</v>
      </c>
      <c r="N5" s="718">
        <f t="shared" si="2"/>
        <v>0.1135</v>
      </c>
      <c r="O5" s="718">
        <f t="shared" si="2"/>
        <v>0.1135</v>
      </c>
      <c r="P5" s="718">
        <f t="shared" si="2"/>
        <v>0.1135</v>
      </c>
      <c r="Q5" s="718">
        <f t="shared" si="2"/>
        <v>0.1135</v>
      </c>
      <c r="R5" s="718">
        <f t="shared" si="2"/>
        <v>0.1135</v>
      </c>
      <c r="S5" s="718">
        <f t="shared" si="2"/>
        <v>0.1135</v>
      </c>
    </row>
    <row r="6" spans="2:19">
      <c r="B6" s="719" t="s">
        <v>875</v>
      </c>
      <c r="C6" s="720">
        <v>8.9999999999999993E-3</v>
      </c>
      <c r="D6" s="720">
        <f>C6</f>
        <v>8.9999999999999993E-3</v>
      </c>
      <c r="E6" s="720">
        <f t="shared" si="2"/>
        <v>8.9999999999999993E-3</v>
      </c>
      <c r="F6" s="720">
        <f t="shared" si="2"/>
        <v>8.9999999999999993E-3</v>
      </c>
      <c r="G6" s="720">
        <f t="shared" si="2"/>
        <v>8.9999999999999993E-3</v>
      </c>
      <c r="H6" s="720">
        <f t="shared" si="2"/>
        <v>8.9999999999999993E-3</v>
      </c>
      <c r="I6" s="720">
        <f t="shared" si="2"/>
        <v>8.9999999999999993E-3</v>
      </c>
      <c r="J6" s="720">
        <f t="shared" si="2"/>
        <v>8.9999999999999993E-3</v>
      </c>
      <c r="K6" s="720">
        <f t="shared" si="2"/>
        <v>8.9999999999999993E-3</v>
      </c>
      <c r="L6" s="720">
        <f t="shared" si="2"/>
        <v>8.9999999999999993E-3</v>
      </c>
      <c r="M6" s="720">
        <f t="shared" si="2"/>
        <v>8.9999999999999993E-3</v>
      </c>
      <c r="N6" s="720">
        <f t="shared" si="2"/>
        <v>8.9999999999999993E-3</v>
      </c>
      <c r="O6" s="720">
        <f t="shared" si="2"/>
        <v>8.9999999999999993E-3</v>
      </c>
      <c r="P6" s="720">
        <f t="shared" si="2"/>
        <v>8.9999999999999993E-3</v>
      </c>
      <c r="Q6" s="720">
        <f t="shared" si="2"/>
        <v>8.9999999999999993E-3</v>
      </c>
      <c r="R6" s="720">
        <f t="shared" si="2"/>
        <v>8.9999999999999993E-3</v>
      </c>
      <c r="S6" s="720">
        <f t="shared" si="2"/>
        <v>8.9999999999999993E-3</v>
      </c>
    </row>
    <row r="7" spans="2:19">
      <c r="B7" s="721"/>
      <c r="C7" s="722"/>
      <c r="D7" s="722"/>
      <c r="E7" s="722"/>
      <c r="F7" s="722"/>
      <c r="G7" s="722"/>
      <c r="H7" s="722"/>
      <c r="I7" s="722"/>
      <c r="J7" s="722"/>
      <c r="K7" s="722"/>
      <c r="L7" s="722"/>
      <c r="M7" s="722"/>
      <c r="N7" s="722"/>
      <c r="O7" s="722"/>
      <c r="P7" s="722"/>
      <c r="Q7" s="722"/>
      <c r="R7" s="722"/>
      <c r="S7" s="722"/>
    </row>
    <row r="8" spans="2:19">
      <c r="B8" s="723" t="s">
        <v>876</v>
      </c>
      <c r="C8" s="724">
        <f>C5*C3</f>
        <v>35.979500000000002</v>
      </c>
      <c r="D8" s="724">
        <f t="shared" ref="D8:S8" si="3">D5*D3</f>
        <v>36.699090000000005</v>
      </c>
      <c r="E8" s="724">
        <f t="shared" si="3"/>
        <v>37.433071800000008</v>
      </c>
      <c r="F8" s="724">
        <f t="shared" si="3"/>
        <v>38.181733236000007</v>
      </c>
      <c r="G8" s="724">
        <f t="shared" si="3"/>
        <v>38.945367900720015</v>
      </c>
      <c r="H8" s="724">
        <f t="shared" si="3"/>
        <v>39.724275258734409</v>
      </c>
      <c r="I8" s="724">
        <f t="shared" si="3"/>
        <v>40.5187607639091</v>
      </c>
      <c r="J8" s="724">
        <f t="shared" si="3"/>
        <v>41.329135979187278</v>
      </c>
      <c r="K8" s="724">
        <f t="shared" si="3"/>
        <v>42.155718698771025</v>
      </c>
      <c r="L8" s="724">
        <f t="shared" si="3"/>
        <v>42.99883307274645</v>
      </c>
      <c r="M8" s="724">
        <f t="shared" si="3"/>
        <v>43.858809734201373</v>
      </c>
      <c r="N8" s="724">
        <f t="shared" si="3"/>
        <v>44.735985928885405</v>
      </c>
      <c r="O8" s="724">
        <f t="shared" si="3"/>
        <v>45.630705647463117</v>
      </c>
      <c r="P8" s="724">
        <f t="shared" si="3"/>
        <v>46.543319760412381</v>
      </c>
      <c r="Q8" s="724">
        <f t="shared" si="3"/>
        <v>47.474186155620622</v>
      </c>
      <c r="R8" s="724">
        <f t="shared" si="3"/>
        <v>48.423669878733044</v>
      </c>
      <c r="S8" s="724">
        <f t="shared" si="3"/>
        <v>49.392143276307699</v>
      </c>
    </row>
    <row r="9" spans="2:19" s="717" customFormat="1">
      <c r="B9" s="725" t="s">
        <v>877</v>
      </c>
      <c r="C9" s="726">
        <v>0.08</v>
      </c>
      <c r="D9" s="726">
        <f>C9</f>
        <v>0.08</v>
      </c>
      <c r="E9" s="726">
        <f t="shared" ref="E9:S9" si="4">D9</f>
        <v>0.08</v>
      </c>
      <c r="F9" s="726">
        <f t="shared" si="4"/>
        <v>0.08</v>
      </c>
      <c r="G9" s="726">
        <f t="shared" si="4"/>
        <v>0.08</v>
      </c>
      <c r="H9" s="726">
        <f t="shared" si="4"/>
        <v>0.08</v>
      </c>
      <c r="I9" s="726">
        <f t="shared" si="4"/>
        <v>0.08</v>
      </c>
      <c r="J9" s="726">
        <f t="shared" si="4"/>
        <v>0.08</v>
      </c>
      <c r="K9" s="726">
        <f t="shared" si="4"/>
        <v>0.08</v>
      </c>
      <c r="L9" s="726">
        <f t="shared" si="4"/>
        <v>0.08</v>
      </c>
      <c r="M9" s="726">
        <f t="shared" si="4"/>
        <v>0.08</v>
      </c>
      <c r="N9" s="726">
        <f t="shared" si="4"/>
        <v>0.08</v>
      </c>
      <c r="O9" s="726">
        <f t="shared" si="4"/>
        <v>0.08</v>
      </c>
      <c r="P9" s="726">
        <f t="shared" si="4"/>
        <v>0.08</v>
      </c>
      <c r="Q9" s="726">
        <f t="shared" si="4"/>
        <v>0.08</v>
      </c>
      <c r="R9" s="726">
        <f t="shared" si="4"/>
        <v>0.08</v>
      </c>
      <c r="S9" s="726">
        <f t="shared" si="4"/>
        <v>0.08</v>
      </c>
    </row>
    <row r="10" spans="2:19">
      <c r="B10" s="711" t="s">
        <v>878</v>
      </c>
      <c r="C10" s="727">
        <f>C8*C9</f>
        <v>2.8783600000000003</v>
      </c>
      <c r="D10" s="727">
        <f t="shared" ref="D10:S10" si="5">D8*D9</f>
        <v>2.9359272000000005</v>
      </c>
      <c r="E10" s="727">
        <f t="shared" si="5"/>
        <v>2.9946457440000005</v>
      </c>
      <c r="F10" s="727">
        <f t="shared" si="5"/>
        <v>3.0545386588800008</v>
      </c>
      <c r="G10" s="727">
        <f t="shared" si="5"/>
        <v>3.1156294320576015</v>
      </c>
      <c r="H10" s="727">
        <f t="shared" si="5"/>
        <v>3.1779420206987528</v>
      </c>
      <c r="I10" s="727">
        <f t="shared" si="5"/>
        <v>3.2415008611127281</v>
      </c>
      <c r="J10" s="727">
        <f t="shared" si="5"/>
        <v>3.3063308783349825</v>
      </c>
      <c r="K10" s="727">
        <f t="shared" si="5"/>
        <v>3.3724574959016822</v>
      </c>
      <c r="L10" s="727">
        <f t="shared" si="5"/>
        <v>3.4399066458197161</v>
      </c>
      <c r="M10" s="727">
        <f t="shared" si="5"/>
        <v>3.5087047787361101</v>
      </c>
      <c r="N10" s="727">
        <f t="shared" si="5"/>
        <v>3.5788788743108326</v>
      </c>
      <c r="O10" s="727">
        <f t="shared" si="5"/>
        <v>3.6504564517970493</v>
      </c>
      <c r="P10" s="727">
        <f t="shared" si="5"/>
        <v>3.7234655808329906</v>
      </c>
      <c r="Q10" s="727">
        <f t="shared" si="5"/>
        <v>3.7979348924496499</v>
      </c>
      <c r="R10" s="727">
        <f t="shared" si="5"/>
        <v>3.8738935902986436</v>
      </c>
      <c r="S10" s="727">
        <f t="shared" si="5"/>
        <v>3.9513714621046159</v>
      </c>
    </row>
    <row r="11" spans="2:19" s="717" customFormat="1">
      <c r="B11" s="725" t="s">
        <v>879</v>
      </c>
      <c r="C11" s="728">
        <v>0.16</v>
      </c>
      <c r="D11" s="728">
        <f>C11</f>
        <v>0.16</v>
      </c>
      <c r="E11" s="728">
        <f t="shared" ref="E11:S11" si="6">D11</f>
        <v>0.16</v>
      </c>
      <c r="F11" s="728">
        <f t="shared" si="6"/>
        <v>0.16</v>
      </c>
      <c r="G11" s="728">
        <f t="shared" si="6"/>
        <v>0.16</v>
      </c>
      <c r="H11" s="728">
        <f t="shared" si="6"/>
        <v>0.16</v>
      </c>
      <c r="I11" s="728">
        <f t="shared" si="6"/>
        <v>0.16</v>
      </c>
      <c r="J11" s="728">
        <f t="shared" si="6"/>
        <v>0.16</v>
      </c>
      <c r="K11" s="728">
        <f t="shared" si="6"/>
        <v>0.16</v>
      </c>
      <c r="L11" s="728">
        <f t="shared" si="6"/>
        <v>0.16</v>
      </c>
      <c r="M11" s="728">
        <f t="shared" si="6"/>
        <v>0.16</v>
      </c>
      <c r="N11" s="728">
        <f t="shared" si="6"/>
        <v>0.16</v>
      </c>
      <c r="O11" s="728">
        <f t="shared" si="6"/>
        <v>0.16</v>
      </c>
      <c r="P11" s="728">
        <f t="shared" si="6"/>
        <v>0.16</v>
      </c>
      <c r="Q11" s="728">
        <f t="shared" si="6"/>
        <v>0.16</v>
      </c>
      <c r="R11" s="728">
        <f t="shared" si="6"/>
        <v>0.16</v>
      </c>
      <c r="S11" s="728">
        <f t="shared" si="6"/>
        <v>0.16</v>
      </c>
    </row>
    <row r="12" spans="2:19">
      <c r="B12" s="711" t="s">
        <v>883</v>
      </c>
      <c r="C12" s="729">
        <f>C10*C11*1000000</f>
        <v>460537.60000000003</v>
      </c>
      <c r="D12" s="729">
        <f t="shared" ref="D12:S12" si="7">D10*D11*1000000</f>
        <v>469748.35200000007</v>
      </c>
      <c r="E12" s="729">
        <f t="shared" si="7"/>
        <v>479143.31904000009</v>
      </c>
      <c r="F12" s="729">
        <f t="shared" si="7"/>
        <v>488726.18542080018</v>
      </c>
      <c r="G12" s="729">
        <f t="shared" si="7"/>
        <v>498500.70912921621</v>
      </c>
      <c r="H12" s="729">
        <f t="shared" si="7"/>
        <v>508470.72331180045</v>
      </c>
      <c r="I12" s="729">
        <f t="shared" si="7"/>
        <v>518640.13777803653</v>
      </c>
      <c r="J12" s="729">
        <f t="shared" si="7"/>
        <v>529012.94053359726</v>
      </c>
      <c r="K12" s="729">
        <f t="shared" si="7"/>
        <v>539593.19934426923</v>
      </c>
      <c r="L12" s="729">
        <f t="shared" si="7"/>
        <v>550385.06333115452</v>
      </c>
      <c r="M12" s="729">
        <f t="shared" si="7"/>
        <v>561392.76459777763</v>
      </c>
      <c r="N12" s="729">
        <f t="shared" si="7"/>
        <v>572620.61988973327</v>
      </c>
      <c r="O12" s="729">
        <f t="shared" si="7"/>
        <v>584073.03228752792</v>
      </c>
      <c r="P12" s="729">
        <f t="shared" si="7"/>
        <v>595754.49293327855</v>
      </c>
      <c r="Q12" s="729">
        <f t="shared" si="7"/>
        <v>607669.58279194392</v>
      </c>
      <c r="R12" s="729">
        <f t="shared" si="7"/>
        <v>619822.97444778297</v>
      </c>
      <c r="S12" s="729">
        <f t="shared" si="7"/>
        <v>632219.43393673853</v>
      </c>
    </row>
    <row r="13" spans="2:19" s="717" customFormat="1">
      <c r="B13" s="730" t="s">
        <v>204</v>
      </c>
      <c r="C13" s="731">
        <f>CHOOSE($B$49,C14,C15,C16)</f>
        <v>0</v>
      </c>
      <c r="D13" s="731">
        <f t="shared" ref="D13:S13" si="8">CHOOSE($B$49,D14,D15,D16)</f>
        <v>0</v>
      </c>
      <c r="E13" s="731">
        <f t="shared" si="8"/>
        <v>0</v>
      </c>
      <c r="F13" s="731">
        <f t="shared" si="8"/>
        <v>0</v>
      </c>
      <c r="G13" s="731">
        <f t="shared" si="8"/>
        <v>5.0000000000000001E-3</v>
      </c>
      <c r="H13" s="731">
        <f t="shared" si="8"/>
        <v>0.02</v>
      </c>
      <c r="I13" s="731">
        <f t="shared" si="8"/>
        <v>4.4999999999999998E-2</v>
      </c>
      <c r="J13" s="731">
        <f t="shared" si="8"/>
        <v>7.4999999999999997E-2</v>
      </c>
      <c r="K13" s="731">
        <f t="shared" si="8"/>
        <v>0.1</v>
      </c>
      <c r="L13" s="731">
        <f t="shared" si="8"/>
        <v>0.125</v>
      </c>
      <c r="M13" s="731">
        <f t="shared" si="8"/>
        <v>0.125</v>
      </c>
      <c r="N13" s="731">
        <f t="shared" si="8"/>
        <v>0.125</v>
      </c>
      <c r="O13" s="731">
        <f t="shared" si="8"/>
        <v>0.125</v>
      </c>
      <c r="P13" s="731">
        <f t="shared" si="8"/>
        <v>0.125</v>
      </c>
      <c r="Q13" s="731">
        <f t="shared" si="8"/>
        <v>0.125</v>
      </c>
      <c r="R13" s="731">
        <f t="shared" si="8"/>
        <v>0.125</v>
      </c>
      <c r="S13" s="731">
        <f t="shared" si="8"/>
        <v>0.125</v>
      </c>
    </row>
    <row r="14" spans="2:19" s="717" customFormat="1" outlineLevel="1">
      <c r="B14" s="744" t="s">
        <v>662</v>
      </c>
      <c r="C14" s="745">
        <v>0</v>
      </c>
      <c r="D14" s="745">
        <v>0</v>
      </c>
      <c r="E14" s="745">
        <v>0</v>
      </c>
      <c r="F14" s="745">
        <v>0</v>
      </c>
      <c r="G14" s="745">
        <v>0.01</v>
      </c>
      <c r="H14" s="745">
        <v>0.04</v>
      </c>
      <c r="I14" s="745">
        <v>0.09</v>
      </c>
      <c r="J14" s="745">
        <v>0.15</v>
      </c>
      <c r="K14" s="745">
        <v>0.2</v>
      </c>
      <c r="L14" s="745">
        <v>0.25</v>
      </c>
      <c r="M14" s="745">
        <v>0.25</v>
      </c>
      <c r="N14" s="745">
        <v>0.25</v>
      </c>
      <c r="O14" s="745">
        <v>0.25</v>
      </c>
      <c r="P14" s="745">
        <v>0.25</v>
      </c>
      <c r="Q14" s="745">
        <v>0.25</v>
      </c>
      <c r="R14" s="745">
        <v>0.25</v>
      </c>
      <c r="S14" s="745">
        <v>0.25</v>
      </c>
    </row>
    <row r="15" spans="2:19" s="717" customFormat="1" outlineLevel="1">
      <c r="B15" s="744" t="s">
        <v>663</v>
      </c>
      <c r="C15" s="745">
        <v>0</v>
      </c>
      <c r="D15" s="745">
        <v>0</v>
      </c>
      <c r="E15" s="745">
        <v>0</v>
      </c>
      <c r="F15" s="745">
        <v>0</v>
      </c>
      <c r="G15" s="745">
        <f>G14*0.5</f>
        <v>5.0000000000000001E-3</v>
      </c>
      <c r="H15" s="745">
        <f t="shared" ref="H15:S15" si="9">H14*0.5</f>
        <v>0.02</v>
      </c>
      <c r="I15" s="745">
        <f t="shared" si="9"/>
        <v>4.4999999999999998E-2</v>
      </c>
      <c r="J15" s="745">
        <f t="shared" si="9"/>
        <v>7.4999999999999997E-2</v>
      </c>
      <c r="K15" s="745">
        <f t="shared" si="9"/>
        <v>0.1</v>
      </c>
      <c r="L15" s="745">
        <f t="shared" si="9"/>
        <v>0.125</v>
      </c>
      <c r="M15" s="745">
        <f t="shared" si="9"/>
        <v>0.125</v>
      </c>
      <c r="N15" s="745">
        <f t="shared" si="9"/>
        <v>0.125</v>
      </c>
      <c r="O15" s="745">
        <f t="shared" si="9"/>
        <v>0.125</v>
      </c>
      <c r="P15" s="745">
        <f t="shared" si="9"/>
        <v>0.125</v>
      </c>
      <c r="Q15" s="745">
        <f t="shared" si="9"/>
        <v>0.125</v>
      </c>
      <c r="R15" s="745">
        <f t="shared" si="9"/>
        <v>0.125</v>
      </c>
      <c r="S15" s="745">
        <f t="shared" si="9"/>
        <v>0.125</v>
      </c>
    </row>
    <row r="16" spans="2:19" s="717" customFormat="1" outlineLevel="1">
      <c r="B16" s="744" t="s">
        <v>664</v>
      </c>
      <c r="C16" s="745">
        <v>0</v>
      </c>
      <c r="D16" s="745">
        <v>0</v>
      </c>
      <c r="E16" s="745">
        <v>0</v>
      </c>
      <c r="F16" s="745">
        <v>0</v>
      </c>
      <c r="G16" s="745">
        <v>0</v>
      </c>
      <c r="H16" s="745">
        <v>0</v>
      </c>
      <c r="I16" s="745">
        <v>0</v>
      </c>
      <c r="J16" s="745">
        <v>0</v>
      </c>
      <c r="K16" s="745">
        <v>0</v>
      </c>
      <c r="L16" s="745">
        <v>0</v>
      </c>
      <c r="M16" s="745">
        <v>0</v>
      </c>
      <c r="N16" s="745">
        <v>0</v>
      </c>
      <c r="O16" s="745">
        <v>0</v>
      </c>
      <c r="P16" s="745">
        <v>0</v>
      </c>
      <c r="Q16" s="745">
        <v>0</v>
      </c>
      <c r="R16" s="745">
        <v>0</v>
      </c>
      <c r="S16" s="745">
        <v>0</v>
      </c>
    </row>
    <row r="17" spans="2:19" s="729" customFormat="1">
      <c r="B17" s="732" t="s">
        <v>884</v>
      </c>
      <c r="C17" s="733">
        <f t="shared" ref="C17:S17" si="10">C12*C13</f>
        <v>0</v>
      </c>
      <c r="D17" s="733">
        <f t="shared" si="10"/>
        <v>0</v>
      </c>
      <c r="E17" s="733">
        <f t="shared" si="10"/>
        <v>0</v>
      </c>
      <c r="F17" s="733">
        <f t="shared" si="10"/>
        <v>0</v>
      </c>
      <c r="G17" s="733">
        <f t="shared" si="10"/>
        <v>2492.503545646081</v>
      </c>
      <c r="H17" s="733">
        <f t="shared" si="10"/>
        <v>10169.414466236009</v>
      </c>
      <c r="I17" s="733">
        <f t="shared" si="10"/>
        <v>23338.806200011644</v>
      </c>
      <c r="J17" s="733">
        <f t="shared" si="10"/>
        <v>39675.970540019793</v>
      </c>
      <c r="K17" s="733">
        <f t="shared" si="10"/>
        <v>53959.319934426923</v>
      </c>
      <c r="L17" s="733">
        <f t="shared" si="10"/>
        <v>68798.132916394316</v>
      </c>
      <c r="M17" s="733">
        <f t="shared" si="10"/>
        <v>70174.095574722203</v>
      </c>
      <c r="N17" s="733">
        <f t="shared" si="10"/>
        <v>71577.577486216658</v>
      </c>
      <c r="O17" s="733">
        <f t="shared" si="10"/>
        <v>73009.12903594099</v>
      </c>
      <c r="P17" s="733">
        <f t="shared" si="10"/>
        <v>74469.311616659819</v>
      </c>
      <c r="Q17" s="733">
        <f t="shared" si="10"/>
        <v>75958.69784899299</v>
      </c>
      <c r="R17" s="733">
        <f t="shared" si="10"/>
        <v>77477.871805972871</v>
      </c>
      <c r="S17" s="733">
        <f t="shared" si="10"/>
        <v>79027.429242092316</v>
      </c>
    </row>
    <row r="19" spans="2:19" s="723" customFormat="1">
      <c r="B19" s="723" t="s">
        <v>880</v>
      </c>
      <c r="C19" s="724">
        <f t="shared" ref="C19:S19" si="11">C3*C6</f>
        <v>2.8529999999999998</v>
      </c>
      <c r="D19" s="724">
        <f t="shared" si="11"/>
        <v>2.9100600000000001</v>
      </c>
      <c r="E19" s="724">
        <f t="shared" si="11"/>
        <v>2.9682612000000002</v>
      </c>
      <c r="F19" s="724">
        <f t="shared" si="11"/>
        <v>3.0276264240000006</v>
      </c>
      <c r="G19" s="724">
        <f t="shared" si="11"/>
        <v>3.0881789524800007</v>
      </c>
      <c r="H19" s="724">
        <f t="shared" si="11"/>
        <v>3.1499425315296006</v>
      </c>
      <c r="I19" s="724">
        <f t="shared" si="11"/>
        <v>3.2129413821601926</v>
      </c>
      <c r="J19" s="724">
        <f t="shared" si="11"/>
        <v>3.2772002098033965</v>
      </c>
      <c r="K19" s="724">
        <f t="shared" si="11"/>
        <v>3.3427442139994645</v>
      </c>
      <c r="L19" s="724">
        <f t="shared" si="11"/>
        <v>3.4095990982794535</v>
      </c>
      <c r="M19" s="724">
        <f t="shared" si="11"/>
        <v>3.4777910802450425</v>
      </c>
      <c r="N19" s="724">
        <f t="shared" si="11"/>
        <v>3.5473469018499437</v>
      </c>
      <c r="O19" s="724">
        <f t="shared" si="11"/>
        <v>3.6182938398869431</v>
      </c>
      <c r="P19" s="724">
        <f t="shared" si="11"/>
        <v>3.6906597166846815</v>
      </c>
      <c r="Q19" s="724">
        <f t="shared" si="11"/>
        <v>3.764472911018375</v>
      </c>
      <c r="R19" s="724">
        <f t="shared" si="11"/>
        <v>3.839762369238743</v>
      </c>
      <c r="S19" s="724">
        <f t="shared" si="11"/>
        <v>3.9165576166235176</v>
      </c>
    </row>
    <row r="20" spans="2:19" s="717" customFormat="1">
      <c r="B20" s="725" t="s">
        <v>877</v>
      </c>
      <c r="C20" s="728">
        <v>0.23799999999999999</v>
      </c>
      <c r="D20" s="728">
        <v>0.23799999999999999</v>
      </c>
      <c r="E20" s="728">
        <v>0.23799999999999999</v>
      </c>
      <c r="F20" s="728">
        <v>0.23799999999999999</v>
      </c>
      <c r="G20" s="728">
        <v>0.23799999999999999</v>
      </c>
      <c r="H20" s="728">
        <v>0.23799999999999999</v>
      </c>
      <c r="I20" s="728">
        <v>0.23799999999999999</v>
      </c>
      <c r="J20" s="728">
        <v>0.23799999999999999</v>
      </c>
      <c r="K20" s="728">
        <v>0.23799999999999999</v>
      </c>
      <c r="L20" s="728">
        <v>0.23799999999999999</v>
      </c>
      <c r="M20" s="728">
        <v>0.23799999999999999</v>
      </c>
      <c r="N20" s="728">
        <v>0.23799999999999999</v>
      </c>
      <c r="O20" s="728">
        <v>0.23799999999999999</v>
      </c>
      <c r="P20" s="728">
        <v>0.23799999999999999</v>
      </c>
      <c r="Q20" s="728">
        <v>0.23799999999999999</v>
      </c>
      <c r="R20" s="728">
        <v>0.23799999999999999</v>
      </c>
      <c r="S20" s="728">
        <v>0.23799999999999999</v>
      </c>
    </row>
    <row r="21" spans="2:19">
      <c r="B21" s="711" t="s">
        <v>885</v>
      </c>
      <c r="C21" s="729">
        <f>C19*C20*1000000</f>
        <v>679013.99999999988</v>
      </c>
      <c r="D21" s="729">
        <f t="shared" ref="D21:S21" si="12">D19*D20*1000000</f>
        <v>692594.28</v>
      </c>
      <c r="E21" s="729">
        <f t="shared" si="12"/>
        <v>706446.16559999995</v>
      </c>
      <c r="F21" s="729">
        <f t="shared" si="12"/>
        <v>720575.08891200006</v>
      </c>
      <c r="G21" s="729">
        <f t="shared" si="12"/>
        <v>734986.59069024015</v>
      </c>
      <c r="H21" s="729">
        <f t="shared" si="12"/>
        <v>749686.32250404486</v>
      </c>
      <c r="I21" s="729">
        <f t="shared" si="12"/>
        <v>764680.04895412573</v>
      </c>
      <c r="J21" s="729">
        <f t="shared" si="12"/>
        <v>779973.64993320836</v>
      </c>
      <c r="K21" s="729">
        <f t="shared" si="12"/>
        <v>795573.12293187249</v>
      </c>
      <c r="L21" s="729">
        <f t="shared" si="12"/>
        <v>811484.58539050992</v>
      </c>
      <c r="M21" s="729">
        <f t="shared" si="12"/>
        <v>827714.27709831996</v>
      </c>
      <c r="N21" s="729">
        <f t="shared" si="12"/>
        <v>844268.56264028663</v>
      </c>
      <c r="O21" s="729">
        <f t="shared" si="12"/>
        <v>861153.93389309244</v>
      </c>
      <c r="P21" s="729">
        <f t="shared" si="12"/>
        <v>878377.01257095416</v>
      </c>
      <c r="Q21" s="729">
        <f t="shared" si="12"/>
        <v>895944.55282237323</v>
      </c>
      <c r="R21" s="729">
        <f t="shared" si="12"/>
        <v>913863.44387882075</v>
      </c>
      <c r="S21" s="729">
        <f t="shared" si="12"/>
        <v>932140.7127563972</v>
      </c>
    </row>
    <row r="22" spans="2:19" s="717" customFormat="1">
      <c r="B22" s="725" t="s">
        <v>879</v>
      </c>
      <c r="C22" s="728">
        <v>0.16</v>
      </c>
      <c r="D22" s="728">
        <f>C22</f>
        <v>0.16</v>
      </c>
      <c r="E22" s="728">
        <f t="shared" ref="E22:S22" si="13">D22</f>
        <v>0.16</v>
      </c>
      <c r="F22" s="728">
        <f t="shared" si="13"/>
        <v>0.16</v>
      </c>
      <c r="G22" s="728">
        <f t="shared" si="13"/>
        <v>0.16</v>
      </c>
      <c r="H22" s="728">
        <f t="shared" si="13"/>
        <v>0.16</v>
      </c>
      <c r="I22" s="728">
        <f t="shared" si="13"/>
        <v>0.16</v>
      </c>
      <c r="J22" s="728">
        <f t="shared" si="13"/>
        <v>0.16</v>
      </c>
      <c r="K22" s="728">
        <f t="shared" si="13"/>
        <v>0.16</v>
      </c>
      <c r="L22" s="728">
        <f t="shared" si="13"/>
        <v>0.16</v>
      </c>
      <c r="M22" s="728">
        <f t="shared" si="13"/>
        <v>0.16</v>
      </c>
      <c r="N22" s="728">
        <f t="shared" si="13"/>
        <v>0.16</v>
      </c>
      <c r="O22" s="728">
        <f t="shared" si="13"/>
        <v>0.16</v>
      </c>
      <c r="P22" s="728">
        <f t="shared" si="13"/>
        <v>0.16</v>
      </c>
      <c r="Q22" s="728">
        <f t="shared" si="13"/>
        <v>0.16</v>
      </c>
      <c r="R22" s="728">
        <f t="shared" si="13"/>
        <v>0.16</v>
      </c>
      <c r="S22" s="728">
        <f t="shared" si="13"/>
        <v>0.16</v>
      </c>
    </row>
    <row r="23" spans="2:19">
      <c r="B23" s="711" t="s">
        <v>883</v>
      </c>
      <c r="C23" s="729">
        <f>C21*C22</f>
        <v>108642.23999999999</v>
      </c>
      <c r="D23" s="729">
        <f t="shared" ref="D23:S23" si="14">D21*D22</f>
        <v>110815.08480000001</v>
      </c>
      <c r="E23" s="729">
        <f t="shared" si="14"/>
        <v>113031.38649599999</v>
      </c>
      <c r="F23" s="729">
        <f t="shared" si="14"/>
        <v>115292.01422592001</v>
      </c>
      <c r="G23" s="729">
        <f t="shared" si="14"/>
        <v>117597.85451043842</v>
      </c>
      <c r="H23" s="729">
        <f t="shared" si="14"/>
        <v>119949.81160064718</v>
      </c>
      <c r="I23" s="729">
        <f t="shared" si="14"/>
        <v>122348.80783266012</v>
      </c>
      <c r="J23" s="729">
        <f t="shared" si="14"/>
        <v>124795.78398931334</v>
      </c>
      <c r="K23" s="729">
        <f t="shared" si="14"/>
        <v>127291.6996690996</v>
      </c>
      <c r="L23" s="729">
        <f t="shared" si="14"/>
        <v>129837.5336624816</v>
      </c>
      <c r="M23" s="729">
        <f t="shared" si="14"/>
        <v>132434.28433573121</v>
      </c>
      <c r="N23" s="729">
        <f t="shared" si="14"/>
        <v>135082.97002244586</v>
      </c>
      <c r="O23" s="729">
        <f t="shared" si="14"/>
        <v>137784.6294228948</v>
      </c>
      <c r="P23" s="729">
        <f t="shared" si="14"/>
        <v>140540.32201135266</v>
      </c>
      <c r="Q23" s="729">
        <f t="shared" si="14"/>
        <v>143351.12845157972</v>
      </c>
      <c r="R23" s="729">
        <f t="shared" si="14"/>
        <v>146218.15102061132</v>
      </c>
      <c r="S23" s="729">
        <f t="shared" si="14"/>
        <v>149142.51404102356</v>
      </c>
    </row>
    <row r="24" spans="2:19" s="717" customFormat="1">
      <c r="B24" s="730" t="s">
        <v>204</v>
      </c>
      <c r="C24" s="728">
        <f>CHOOSE($B$49,C25,C26,C27)</f>
        <v>0</v>
      </c>
      <c r="D24" s="728">
        <f t="shared" ref="D24:S24" si="15">CHOOSE($B$49,D25,D26,D27)</f>
        <v>0</v>
      </c>
      <c r="E24" s="728">
        <f t="shared" si="15"/>
        <v>0</v>
      </c>
      <c r="F24" s="728">
        <f t="shared" si="15"/>
        <v>0</v>
      </c>
      <c r="G24" s="728">
        <f t="shared" si="15"/>
        <v>0.01</v>
      </c>
      <c r="H24" s="728">
        <f t="shared" si="15"/>
        <v>0.02</v>
      </c>
      <c r="I24" s="728">
        <f t="shared" si="15"/>
        <v>0.03</v>
      </c>
      <c r="J24" s="728">
        <f t="shared" si="15"/>
        <v>0.04</v>
      </c>
      <c r="K24" s="728">
        <f t="shared" si="15"/>
        <v>0.05</v>
      </c>
      <c r="L24" s="728">
        <f t="shared" si="15"/>
        <v>0.06</v>
      </c>
      <c r="M24" s="728">
        <f t="shared" si="15"/>
        <v>0.06</v>
      </c>
      <c r="N24" s="728">
        <f t="shared" si="15"/>
        <v>0.06</v>
      </c>
      <c r="O24" s="728">
        <f t="shared" si="15"/>
        <v>0.06</v>
      </c>
      <c r="P24" s="728">
        <f t="shared" si="15"/>
        <v>0.06</v>
      </c>
      <c r="Q24" s="728">
        <f t="shared" si="15"/>
        <v>0.06</v>
      </c>
      <c r="R24" s="728">
        <f t="shared" si="15"/>
        <v>0.06</v>
      </c>
      <c r="S24" s="728">
        <f t="shared" si="15"/>
        <v>0.06</v>
      </c>
    </row>
    <row r="25" spans="2:19" s="717" customFormat="1" outlineLevel="1">
      <c r="B25" s="744" t="s">
        <v>662</v>
      </c>
      <c r="C25" s="745">
        <v>0</v>
      </c>
      <c r="D25" s="745">
        <v>0</v>
      </c>
      <c r="E25" s="745">
        <v>0</v>
      </c>
      <c r="F25" s="745">
        <v>0</v>
      </c>
      <c r="G25" s="745">
        <v>0.02</v>
      </c>
      <c r="H25" s="745">
        <v>0.05</v>
      </c>
      <c r="I25" s="745">
        <v>0.1</v>
      </c>
      <c r="J25" s="745">
        <v>0.16</v>
      </c>
      <c r="K25" s="745">
        <v>0.21</v>
      </c>
      <c r="L25" s="745">
        <v>0.25</v>
      </c>
      <c r="M25" s="745">
        <v>0.25</v>
      </c>
      <c r="N25" s="745">
        <v>0.25</v>
      </c>
      <c r="O25" s="745">
        <v>0.25</v>
      </c>
      <c r="P25" s="745">
        <v>0.25</v>
      </c>
      <c r="Q25" s="745">
        <v>0.25</v>
      </c>
      <c r="R25" s="745">
        <v>0.25</v>
      </c>
      <c r="S25" s="745">
        <v>0.25</v>
      </c>
    </row>
    <row r="26" spans="2:19" s="717" customFormat="1" outlineLevel="1">
      <c r="B26" s="744" t="s">
        <v>663</v>
      </c>
      <c r="C26" s="745">
        <v>0</v>
      </c>
      <c r="D26" s="745">
        <v>0</v>
      </c>
      <c r="E26" s="745">
        <v>0</v>
      </c>
      <c r="F26" s="745">
        <v>0</v>
      </c>
      <c r="G26" s="745">
        <v>0.01</v>
      </c>
      <c r="H26" s="745">
        <v>0.02</v>
      </c>
      <c r="I26" s="745">
        <v>0.03</v>
      </c>
      <c r="J26" s="745">
        <v>0.04</v>
      </c>
      <c r="K26" s="745">
        <v>0.05</v>
      </c>
      <c r="L26" s="745">
        <v>0.06</v>
      </c>
      <c r="M26" s="745">
        <f>L26</f>
        <v>0.06</v>
      </c>
      <c r="N26" s="745">
        <f t="shared" ref="N26:S26" si="16">M26</f>
        <v>0.06</v>
      </c>
      <c r="O26" s="745">
        <f t="shared" si="16"/>
        <v>0.06</v>
      </c>
      <c r="P26" s="745">
        <f t="shared" si="16"/>
        <v>0.06</v>
      </c>
      <c r="Q26" s="745">
        <f t="shared" si="16"/>
        <v>0.06</v>
      </c>
      <c r="R26" s="745">
        <f t="shared" si="16"/>
        <v>0.06</v>
      </c>
      <c r="S26" s="745">
        <f t="shared" si="16"/>
        <v>0.06</v>
      </c>
    </row>
    <row r="27" spans="2:19" s="717" customFormat="1" outlineLevel="1">
      <c r="B27" s="744" t="s">
        <v>664</v>
      </c>
      <c r="C27" s="745">
        <v>0</v>
      </c>
      <c r="D27" s="745">
        <v>0</v>
      </c>
      <c r="E27" s="745">
        <v>0</v>
      </c>
      <c r="F27" s="745">
        <v>0</v>
      </c>
      <c r="G27" s="745">
        <v>0</v>
      </c>
      <c r="H27" s="745">
        <v>0</v>
      </c>
      <c r="I27" s="745">
        <v>0</v>
      </c>
      <c r="J27" s="745">
        <v>0</v>
      </c>
      <c r="K27" s="745">
        <v>0</v>
      </c>
      <c r="L27" s="745">
        <v>0</v>
      </c>
      <c r="M27" s="745">
        <v>0</v>
      </c>
      <c r="N27" s="745">
        <v>0</v>
      </c>
      <c r="O27" s="745">
        <v>0</v>
      </c>
      <c r="P27" s="745">
        <v>0</v>
      </c>
      <c r="Q27" s="745">
        <v>0</v>
      </c>
      <c r="R27" s="745">
        <v>0</v>
      </c>
      <c r="S27" s="745">
        <v>0</v>
      </c>
    </row>
    <row r="28" spans="2:19">
      <c r="B28" s="732" t="s">
        <v>884</v>
      </c>
      <c r="C28" s="733">
        <f t="shared" ref="C28:S28" si="17">C23*C24</f>
        <v>0</v>
      </c>
      <c r="D28" s="733">
        <f t="shared" si="17"/>
        <v>0</v>
      </c>
      <c r="E28" s="733">
        <f t="shared" si="17"/>
        <v>0</v>
      </c>
      <c r="F28" s="733">
        <f t="shared" si="17"/>
        <v>0</v>
      </c>
      <c r="G28" s="733">
        <f t="shared" si="17"/>
        <v>1175.9785451043842</v>
      </c>
      <c r="H28" s="733">
        <f t="shared" si="17"/>
        <v>2398.9962320129439</v>
      </c>
      <c r="I28" s="733">
        <f t="shared" si="17"/>
        <v>3670.4642349798037</v>
      </c>
      <c r="J28" s="733">
        <f t="shared" si="17"/>
        <v>4991.8313595725331</v>
      </c>
      <c r="K28" s="733">
        <f t="shared" si="17"/>
        <v>6364.5849834549808</v>
      </c>
      <c r="L28" s="733">
        <f t="shared" si="17"/>
        <v>7790.2520197488957</v>
      </c>
      <c r="M28" s="733">
        <f t="shared" si="17"/>
        <v>7946.0570601438721</v>
      </c>
      <c r="N28" s="733">
        <f t="shared" si="17"/>
        <v>8104.978201346752</v>
      </c>
      <c r="O28" s="733">
        <f t="shared" si="17"/>
        <v>8267.0777653736877</v>
      </c>
      <c r="P28" s="733">
        <f t="shared" si="17"/>
        <v>8432.4193206811597</v>
      </c>
      <c r="Q28" s="733">
        <f t="shared" si="17"/>
        <v>8601.0677070947822</v>
      </c>
      <c r="R28" s="733">
        <f t="shared" si="17"/>
        <v>8773.0890612366784</v>
      </c>
      <c r="S28" s="733">
        <f t="shared" si="17"/>
        <v>8948.5508424614127</v>
      </c>
    </row>
    <row r="30" spans="2:19" s="729" customFormat="1">
      <c r="B30" s="734" t="s">
        <v>886</v>
      </c>
      <c r="C30" s="734">
        <f t="shared" ref="C30:S30" si="18">C17+C28</f>
        <v>0</v>
      </c>
      <c r="D30" s="734">
        <f t="shared" si="18"/>
        <v>0</v>
      </c>
      <c r="E30" s="734">
        <f t="shared" si="18"/>
        <v>0</v>
      </c>
      <c r="F30" s="734">
        <f t="shared" si="18"/>
        <v>0</v>
      </c>
      <c r="G30" s="734">
        <f t="shared" si="18"/>
        <v>3668.4820907504654</v>
      </c>
      <c r="H30" s="734">
        <f t="shared" si="18"/>
        <v>12568.410698248952</v>
      </c>
      <c r="I30" s="734">
        <f t="shared" si="18"/>
        <v>27009.270434991449</v>
      </c>
      <c r="J30" s="734">
        <f t="shared" si="18"/>
        <v>44667.801899592327</v>
      </c>
      <c r="K30" s="734">
        <f t="shared" si="18"/>
        <v>60323.904917881904</v>
      </c>
      <c r="L30" s="734">
        <f t="shared" si="18"/>
        <v>76588.384936143208</v>
      </c>
      <c r="M30" s="734">
        <f t="shared" si="18"/>
        <v>78120.15263486607</v>
      </c>
      <c r="N30" s="734">
        <f t="shared" si="18"/>
        <v>79682.555687563407</v>
      </c>
      <c r="O30" s="734">
        <f t="shared" si="18"/>
        <v>81276.206801314678</v>
      </c>
      <c r="P30" s="734">
        <f t="shared" si="18"/>
        <v>82901.730937340981</v>
      </c>
      <c r="Q30" s="734">
        <f t="shared" si="18"/>
        <v>84559.765556087776</v>
      </c>
      <c r="R30" s="734">
        <f t="shared" si="18"/>
        <v>86250.960867209549</v>
      </c>
      <c r="S30" s="734">
        <f t="shared" si="18"/>
        <v>87975.980084553725</v>
      </c>
    </row>
    <row r="32" spans="2:19" s="729" customFormat="1" ht="15" customHeight="1" thickBot="1">
      <c r="B32" s="729" t="s">
        <v>887</v>
      </c>
      <c r="C32" s="739">
        <v>12500</v>
      </c>
      <c r="D32" s="739">
        <f>C32</f>
        <v>12500</v>
      </c>
      <c r="E32" s="739">
        <f>D32</f>
        <v>12500</v>
      </c>
      <c r="F32" s="739">
        <f t="shared" ref="F32:S32" si="19">E32*1.02</f>
        <v>12750</v>
      </c>
      <c r="G32" s="739">
        <f t="shared" si="19"/>
        <v>13005</v>
      </c>
      <c r="H32" s="739">
        <f t="shared" si="19"/>
        <v>13265.1</v>
      </c>
      <c r="I32" s="739">
        <f t="shared" si="19"/>
        <v>13530.402</v>
      </c>
      <c r="J32" s="739">
        <f t="shared" si="19"/>
        <v>13801.010040000001</v>
      </c>
      <c r="K32" s="739">
        <f t="shared" si="19"/>
        <v>14077.030240800001</v>
      </c>
      <c r="L32" s="739">
        <f t="shared" si="19"/>
        <v>14358.570845616001</v>
      </c>
      <c r="M32" s="739">
        <f t="shared" si="19"/>
        <v>14645.742262528322</v>
      </c>
      <c r="N32" s="739">
        <f t="shared" si="19"/>
        <v>14938.657107778889</v>
      </c>
      <c r="O32" s="739">
        <f t="shared" si="19"/>
        <v>15237.430249934467</v>
      </c>
      <c r="P32" s="739">
        <f t="shared" si="19"/>
        <v>15542.178854933156</v>
      </c>
      <c r="Q32" s="739">
        <f t="shared" si="19"/>
        <v>15853.022432031819</v>
      </c>
      <c r="R32" s="739">
        <f t="shared" si="19"/>
        <v>16170.082880672457</v>
      </c>
      <c r="S32" s="739">
        <f t="shared" si="19"/>
        <v>16493.484538285906</v>
      </c>
    </row>
    <row r="33" spans="2:22" s="729" customFormat="1" ht="15" customHeight="1" thickBot="1">
      <c r="B33" s="738" t="s">
        <v>927</v>
      </c>
      <c r="C33" s="740">
        <f t="shared" ref="C33:S33" si="20">C30*C32/1000000</f>
        <v>0</v>
      </c>
      <c r="D33" s="740">
        <f t="shared" si="20"/>
        <v>0</v>
      </c>
      <c r="E33" s="740">
        <f t="shared" si="20"/>
        <v>0</v>
      </c>
      <c r="F33" s="740">
        <f t="shared" si="20"/>
        <v>0</v>
      </c>
      <c r="G33" s="740">
        <f t="shared" si="20"/>
        <v>47.708609590209804</v>
      </c>
      <c r="H33" s="740">
        <f t="shared" si="20"/>
        <v>166.72122475334217</v>
      </c>
      <c r="I33" s="740">
        <f t="shared" si="20"/>
        <v>365.44628671214923</v>
      </c>
      <c r="J33" s="740">
        <f t="shared" si="20"/>
        <v>616.4607824810048</v>
      </c>
      <c r="K33" s="740">
        <f t="shared" si="20"/>
        <v>849.18143377216745</v>
      </c>
      <c r="L33" s="740">
        <f t="shared" si="20"/>
        <v>1099.6997510569215</v>
      </c>
      <c r="M33" s="740">
        <f t="shared" si="20"/>
        <v>1144.1276209996211</v>
      </c>
      <c r="N33" s="740">
        <f t="shared" si="20"/>
        <v>1190.3503768880062</v>
      </c>
      <c r="O33" s="740">
        <f t="shared" si="20"/>
        <v>1238.4405321142817</v>
      </c>
      <c r="P33" s="740">
        <f t="shared" si="20"/>
        <v>1288.473529611699</v>
      </c>
      <c r="Q33" s="740">
        <f t="shared" si="20"/>
        <v>1340.5278602080111</v>
      </c>
      <c r="R33" s="740">
        <f t="shared" si="20"/>
        <v>1394.6851857604152</v>
      </c>
      <c r="S33" s="740">
        <f t="shared" si="20"/>
        <v>1451.0304672651355</v>
      </c>
      <c r="U33" s="735"/>
      <c r="V33" s="736"/>
    </row>
    <row r="35" spans="2:22">
      <c r="B35" s="786" t="s">
        <v>928</v>
      </c>
      <c r="C35" s="787">
        <v>0</v>
      </c>
      <c r="D35" s="788">
        <f>C35</f>
        <v>0</v>
      </c>
      <c r="E35" s="788">
        <f t="shared" ref="E35:F35" si="21">D35</f>
        <v>0</v>
      </c>
      <c r="F35" s="788">
        <f t="shared" si="21"/>
        <v>0</v>
      </c>
      <c r="G35" s="787">
        <v>0.2</v>
      </c>
      <c r="H35" s="788">
        <f>G35</f>
        <v>0.2</v>
      </c>
      <c r="I35" s="788">
        <f t="shared" ref="I35:S35" si="22">H35</f>
        <v>0.2</v>
      </c>
      <c r="J35" s="788">
        <f t="shared" si="22"/>
        <v>0.2</v>
      </c>
      <c r="K35" s="788">
        <f t="shared" si="22"/>
        <v>0.2</v>
      </c>
      <c r="L35" s="788">
        <f t="shared" si="22"/>
        <v>0.2</v>
      </c>
      <c r="M35" s="788">
        <f t="shared" si="22"/>
        <v>0.2</v>
      </c>
      <c r="N35" s="788">
        <f t="shared" si="22"/>
        <v>0.2</v>
      </c>
      <c r="O35" s="788">
        <f t="shared" si="22"/>
        <v>0.2</v>
      </c>
      <c r="P35" s="788">
        <f t="shared" si="22"/>
        <v>0.2</v>
      </c>
      <c r="Q35" s="788">
        <f t="shared" si="22"/>
        <v>0.2</v>
      </c>
      <c r="R35" s="788">
        <f t="shared" si="22"/>
        <v>0.2</v>
      </c>
      <c r="S35" s="788">
        <f t="shared" si="22"/>
        <v>0.2</v>
      </c>
    </row>
    <row r="36" spans="2:22">
      <c r="B36" s="786" t="s">
        <v>929</v>
      </c>
      <c r="C36" s="789">
        <f>C35*C33</f>
        <v>0</v>
      </c>
      <c r="D36" s="789">
        <f t="shared" ref="D36:S36" si="23">D35*D33</f>
        <v>0</v>
      </c>
      <c r="E36" s="789">
        <f t="shared" si="23"/>
        <v>0</v>
      </c>
      <c r="F36" s="789">
        <f t="shared" si="23"/>
        <v>0</v>
      </c>
      <c r="G36" s="789">
        <f t="shared" si="23"/>
        <v>9.5417219180419615</v>
      </c>
      <c r="H36" s="789">
        <f t="shared" si="23"/>
        <v>33.344244950668433</v>
      </c>
      <c r="I36" s="789">
        <f t="shared" si="23"/>
        <v>73.089257342429846</v>
      </c>
      <c r="J36" s="789">
        <f t="shared" si="23"/>
        <v>123.29215649620096</v>
      </c>
      <c r="K36" s="789">
        <f t="shared" si="23"/>
        <v>169.8362867544335</v>
      </c>
      <c r="L36" s="789">
        <f t="shared" si="23"/>
        <v>219.93995021138431</v>
      </c>
      <c r="M36" s="789">
        <f t="shared" si="23"/>
        <v>228.82552419992422</v>
      </c>
      <c r="N36" s="789">
        <f t="shared" si="23"/>
        <v>238.07007537760126</v>
      </c>
      <c r="O36" s="789">
        <f t="shared" si="23"/>
        <v>247.68810642285635</v>
      </c>
      <c r="P36" s="789">
        <f t="shared" si="23"/>
        <v>257.69470592233978</v>
      </c>
      <c r="Q36" s="789">
        <f t="shared" si="23"/>
        <v>268.10557204160222</v>
      </c>
      <c r="R36" s="789">
        <f t="shared" si="23"/>
        <v>278.93703715208306</v>
      </c>
      <c r="S36" s="789">
        <f t="shared" si="23"/>
        <v>290.20609345302711</v>
      </c>
    </row>
    <row r="37" spans="2:22" ht="15" customHeight="1" thickBot="1"/>
    <row r="38" spans="2:22" ht="15" customHeight="1" thickBot="1">
      <c r="B38" s="783" t="s">
        <v>930</v>
      </c>
      <c r="C38" s="784">
        <f>C39*C33</f>
        <v>0</v>
      </c>
      <c r="D38" s="784">
        <f t="shared" ref="D38:S38" si="24">D39*D33</f>
        <v>0</v>
      </c>
      <c r="E38" s="784">
        <f t="shared" si="24"/>
        <v>0</v>
      </c>
      <c r="F38" s="784">
        <f t="shared" si="24"/>
        <v>0</v>
      </c>
      <c r="G38" s="784">
        <f t="shared" si="24"/>
        <v>11.927152397552451</v>
      </c>
      <c r="H38" s="784">
        <f t="shared" si="24"/>
        <v>58.352428663669755</v>
      </c>
      <c r="I38" s="784">
        <f t="shared" si="24"/>
        <v>164.45082902046715</v>
      </c>
      <c r="J38" s="784">
        <f t="shared" si="24"/>
        <v>308.2303912405024</v>
      </c>
      <c r="K38" s="784">
        <f t="shared" si="24"/>
        <v>467.04978857469212</v>
      </c>
      <c r="L38" s="784">
        <f t="shared" si="24"/>
        <v>604.83486308130693</v>
      </c>
      <c r="M38" s="784">
        <f t="shared" si="24"/>
        <v>629.27019154979166</v>
      </c>
      <c r="N38" s="784">
        <f t="shared" si="24"/>
        <v>654.69270728840343</v>
      </c>
      <c r="O38" s="784">
        <f t="shared" si="24"/>
        <v>681.14229266285497</v>
      </c>
      <c r="P38" s="784">
        <f t="shared" si="24"/>
        <v>708.66044128643443</v>
      </c>
      <c r="Q38" s="784">
        <f t="shared" si="24"/>
        <v>737.29032311440619</v>
      </c>
      <c r="R38" s="784">
        <f t="shared" si="24"/>
        <v>767.07685216822836</v>
      </c>
      <c r="S38" s="785">
        <f t="shared" si="24"/>
        <v>798.06675699582456</v>
      </c>
    </row>
    <row r="39" spans="2:22">
      <c r="B39" s="725" t="s">
        <v>931</v>
      </c>
      <c r="C39" s="782">
        <v>0</v>
      </c>
      <c r="D39" s="728">
        <f>C39</f>
        <v>0</v>
      </c>
      <c r="E39" s="728">
        <f t="shared" ref="E39:F39" si="25">D39</f>
        <v>0</v>
      </c>
      <c r="F39" s="728">
        <f t="shared" si="25"/>
        <v>0</v>
      </c>
      <c r="G39" s="782">
        <v>0.25</v>
      </c>
      <c r="H39" s="782">
        <v>0.35</v>
      </c>
      <c r="I39" s="782">
        <v>0.45</v>
      </c>
      <c r="J39" s="782">
        <v>0.5</v>
      </c>
      <c r="K39" s="782">
        <v>0.55000000000000004</v>
      </c>
      <c r="L39" s="728">
        <f t="shared" ref="L39:S39" si="26">K39</f>
        <v>0.55000000000000004</v>
      </c>
      <c r="M39" s="728">
        <f t="shared" si="26"/>
        <v>0.55000000000000004</v>
      </c>
      <c r="N39" s="728">
        <f t="shared" si="26"/>
        <v>0.55000000000000004</v>
      </c>
      <c r="O39" s="728">
        <f t="shared" si="26"/>
        <v>0.55000000000000004</v>
      </c>
      <c r="P39" s="728">
        <f t="shared" si="26"/>
        <v>0.55000000000000004</v>
      </c>
      <c r="Q39" s="728">
        <f t="shared" si="26"/>
        <v>0.55000000000000004</v>
      </c>
      <c r="R39" s="728">
        <f t="shared" si="26"/>
        <v>0.55000000000000004</v>
      </c>
      <c r="S39" s="728">
        <f t="shared" si="26"/>
        <v>0.55000000000000004</v>
      </c>
    </row>
    <row r="41" spans="2:22">
      <c r="B41" s="786" t="s">
        <v>932</v>
      </c>
      <c r="C41" s="788">
        <v>0</v>
      </c>
      <c r="D41" s="788">
        <f>C41</f>
        <v>0</v>
      </c>
      <c r="E41" s="788">
        <f t="shared" ref="E41:F41" si="27">D41</f>
        <v>0</v>
      </c>
      <c r="F41" s="788">
        <f t="shared" si="27"/>
        <v>0</v>
      </c>
      <c r="G41" s="787">
        <v>0.25</v>
      </c>
      <c r="H41" s="788">
        <f>G41</f>
        <v>0.25</v>
      </c>
      <c r="I41" s="788">
        <f t="shared" ref="I41:S41" si="28">H41</f>
        <v>0.25</v>
      </c>
      <c r="J41" s="788">
        <f t="shared" si="28"/>
        <v>0.25</v>
      </c>
      <c r="K41" s="788">
        <f t="shared" si="28"/>
        <v>0.25</v>
      </c>
      <c r="L41" s="788">
        <f t="shared" si="28"/>
        <v>0.25</v>
      </c>
      <c r="M41" s="788">
        <f t="shared" si="28"/>
        <v>0.25</v>
      </c>
      <c r="N41" s="788">
        <f t="shared" si="28"/>
        <v>0.25</v>
      </c>
      <c r="O41" s="788">
        <f t="shared" si="28"/>
        <v>0.25</v>
      </c>
      <c r="P41" s="788">
        <f t="shared" si="28"/>
        <v>0.25</v>
      </c>
      <c r="Q41" s="788">
        <f t="shared" si="28"/>
        <v>0.25</v>
      </c>
      <c r="R41" s="788">
        <f t="shared" si="28"/>
        <v>0.25</v>
      </c>
      <c r="S41" s="788">
        <f t="shared" si="28"/>
        <v>0.25</v>
      </c>
    </row>
    <row r="42" spans="2:22">
      <c r="B42" s="786" t="s">
        <v>933</v>
      </c>
      <c r="C42" s="789">
        <f>C41*C38</f>
        <v>0</v>
      </c>
      <c r="D42" s="789">
        <f t="shared" ref="D42:S42" si="29">D41*D38</f>
        <v>0</v>
      </c>
      <c r="E42" s="789">
        <f t="shared" si="29"/>
        <v>0</v>
      </c>
      <c r="F42" s="789">
        <f t="shared" si="29"/>
        <v>0</v>
      </c>
      <c r="G42" s="789">
        <f t="shared" si="29"/>
        <v>2.9817880993881127</v>
      </c>
      <c r="H42" s="789">
        <f t="shared" si="29"/>
        <v>14.588107165917439</v>
      </c>
      <c r="I42" s="789">
        <f t="shared" si="29"/>
        <v>41.112707255116788</v>
      </c>
      <c r="J42" s="789">
        <f t="shared" si="29"/>
        <v>77.0575978101256</v>
      </c>
      <c r="K42" s="789">
        <f t="shared" si="29"/>
        <v>116.76244714367303</v>
      </c>
      <c r="L42" s="789">
        <f t="shared" si="29"/>
        <v>151.20871577032673</v>
      </c>
      <c r="M42" s="789">
        <f t="shared" si="29"/>
        <v>157.31754788744792</v>
      </c>
      <c r="N42" s="789">
        <f t="shared" si="29"/>
        <v>163.67317682210086</v>
      </c>
      <c r="O42" s="789">
        <f t="shared" si="29"/>
        <v>170.28557316571374</v>
      </c>
      <c r="P42" s="789">
        <f t="shared" si="29"/>
        <v>177.16511032160861</v>
      </c>
      <c r="Q42" s="789">
        <f t="shared" si="29"/>
        <v>184.32258077860155</v>
      </c>
      <c r="R42" s="789">
        <f t="shared" si="29"/>
        <v>191.76921304205709</v>
      </c>
      <c r="S42" s="789">
        <f t="shared" si="29"/>
        <v>199.51668924895614</v>
      </c>
    </row>
    <row r="44" spans="2:22">
      <c r="B44" s="786" t="s">
        <v>934</v>
      </c>
      <c r="C44" s="789">
        <v>0</v>
      </c>
      <c r="D44" s="789">
        <f>C44</f>
        <v>0</v>
      </c>
      <c r="E44" s="789">
        <f>D44</f>
        <v>0</v>
      </c>
      <c r="F44" s="790">
        <v>250</v>
      </c>
      <c r="G44" s="790">
        <v>75</v>
      </c>
      <c r="H44" s="790">
        <v>100</v>
      </c>
      <c r="I44" s="790">
        <v>0</v>
      </c>
      <c r="J44" s="789">
        <f>I44</f>
        <v>0</v>
      </c>
      <c r="K44" s="789">
        <f t="shared" ref="K44:S44" si="30">J44</f>
        <v>0</v>
      </c>
      <c r="L44" s="789">
        <f t="shared" si="30"/>
        <v>0</v>
      </c>
      <c r="M44" s="789">
        <f t="shared" si="30"/>
        <v>0</v>
      </c>
      <c r="N44" s="789">
        <f t="shared" si="30"/>
        <v>0</v>
      </c>
      <c r="O44" s="789">
        <f t="shared" si="30"/>
        <v>0</v>
      </c>
      <c r="P44" s="789">
        <f t="shared" si="30"/>
        <v>0</v>
      </c>
      <c r="Q44" s="789">
        <f t="shared" si="30"/>
        <v>0</v>
      </c>
      <c r="R44" s="789">
        <f t="shared" si="30"/>
        <v>0</v>
      </c>
      <c r="S44" s="789">
        <f t="shared" si="30"/>
        <v>0</v>
      </c>
    </row>
    <row r="46" spans="2:22">
      <c r="B46" s="711" t="s">
        <v>893</v>
      </c>
    </row>
    <row r="47" spans="2:22" ht="13.5" thickBot="1"/>
    <row r="48" spans="2:22" ht="13.5" thickBot="1">
      <c r="B48" s="741" t="s">
        <v>797</v>
      </c>
    </row>
    <row r="49" spans="2:2" ht="13.5" thickBot="1">
      <c r="B49" s="742">
        <f>DCF!$C$25</f>
        <v>2</v>
      </c>
    </row>
  </sheetData>
  <pageMargins left="0.7" right="0.7" top="0.75" bottom="0.75" header="0.3" footer="0.3"/>
  <pageSetup orientation="portrait" r:id="rId1"/>
  <ignoredErrors>
    <ignoredError sqref="D10 E10:S10 D33:E33" formula="1"/>
  </ignoredErrors>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S171"/>
  <sheetViews>
    <sheetView zoomScaleNormal="100" workbookViewId="0">
      <pane xSplit="2" ySplit="1" topLeftCell="C2" activePane="bottomRight" state="frozen"/>
      <selection pane="topRight" activeCell="C1" sqref="C1"/>
      <selection pane="bottomLeft" activeCell="A2" sqref="A2"/>
      <selection pane="bottomRight" activeCell="C2" sqref="C2"/>
    </sheetView>
  </sheetViews>
  <sheetFormatPr defaultRowHeight="12.75" outlineLevelRow="4" outlineLevelCol="1"/>
  <cols>
    <col min="1" max="1" width="2.85546875" style="244" customWidth="1"/>
    <col min="2" max="2" width="57.7109375" style="244" bestFit="1" customWidth="1"/>
    <col min="3" max="5" width="8.7109375" style="244" customWidth="1"/>
    <col min="6" max="9" width="8.7109375" style="244" hidden="1" customWidth="1" outlineLevel="1"/>
    <col min="10" max="10" width="8.7109375" style="244" customWidth="1" collapsed="1"/>
    <col min="11" max="17" width="8.7109375" style="244" customWidth="1"/>
    <col min="18" max="16384" width="9.140625" style="244"/>
  </cols>
  <sheetData>
    <row r="1" spans="1:17">
      <c r="A1" s="240"/>
      <c r="B1" s="241" t="s">
        <v>546</v>
      </c>
      <c r="C1" s="242" t="s">
        <v>547</v>
      </c>
      <c r="D1" s="242" t="s">
        <v>548</v>
      </c>
      <c r="E1" s="242" t="s">
        <v>549</v>
      </c>
      <c r="F1" s="242" t="s">
        <v>210</v>
      </c>
      <c r="G1" s="242" t="s">
        <v>211</v>
      </c>
      <c r="H1" s="242" t="s">
        <v>212</v>
      </c>
      <c r="I1" s="242" t="s">
        <v>213</v>
      </c>
      <c r="J1" s="243">
        <f>E1+1</f>
        <v>2013</v>
      </c>
      <c r="K1" s="243">
        <f t="shared" ref="K1:Q1" si="0">J1+1</f>
        <v>2014</v>
      </c>
      <c r="L1" s="243">
        <f t="shared" si="0"/>
        <v>2015</v>
      </c>
      <c r="M1" s="243">
        <f t="shared" si="0"/>
        <v>2016</v>
      </c>
      <c r="N1" s="243">
        <f t="shared" si="0"/>
        <v>2017</v>
      </c>
      <c r="O1" s="243">
        <f t="shared" si="0"/>
        <v>2018</v>
      </c>
      <c r="P1" s="243">
        <f t="shared" si="0"/>
        <v>2019</v>
      </c>
      <c r="Q1" s="243">
        <f t="shared" si="0"/>
        <v>2020</v>
      </c>
    </row>
    <row r="2" spans="1:17" ht="13.5" thickBot="1">
      <c r="A2" s="240"/>
      <c r="B2" s="245">
        <v>2</v>
      </c>
      <c r="C2" s="242"/>
      <c r="D2" s="242"/>
      <c r="E2" s="242"/>
      <c r="F2" s="242"/>
      <c r="G2" s="242"/>
      <c r="H2" s="242"/>
      <c r="I2" s="242"/>
      <c r="J2" s="243"/>
      <c r="K2" s="243"/>
      <c r="L2" s="243"/>
      <c r="M2" s="243"/>
      <c r="N2" s="243"/>
      <c r="O2" s="243"/>
      <c r="P2" s="243"/>
      <c r="Q2" s="243"/>
    </row>
    <row r="3" spans="1:17">
      <c r="A3" s="240"/>
      <c r="B3" s="504" t="s">
        <v>550</v>
      </c>
      <c r="C3" s="505"/>
      <c r="D3" s="505"/>
      <c r="E3" s="505"/>
      <c r="F3" s="505"/>
      <c r="G3" s="505"/>
      <c r="H3" s="505"/>
      <c r="I3" s="505"/>
      <c r="J3" s="506"/>
      <c r="K3" s="506"/>
      <c r="L3" s="506"/>
      <c r="M3" s="506"/>
      <c r="N3" s="506"/>
      <c r="O3" s="506"/>
      <c r="P3" s="506"/>
      <c r="Q3" s="506"/>
    </row>
    <row r="4" spans="1:17">
      <c r="A4" s="240"/>
      <c r="C4" s="242"/>
      <c r="D4" s="242"/>
      <c r="E4" s="242"/>
      <c r="F4" s="242"/>
      <c r="G4" s="242"/>
      <c r="H4" s="242"/>
      <c r="I4" s="242"/>
      <c r="J4" s="243"/>
      <c r="K4" s="243"/>
      <c r="L4" s="243"/>
      <c r="M4" s="243"/>
      <c r="N4" s="243"/>
      <c r="O4" s="243"/>
      <c r="P4" s="243"/>
      <c r="Q4" s="243"/>
    </row>
    <row r="5" spans="1:17" outlineLevel="1">
      <c r="A5" s="240"/>
      <c r="B5" s="246" t="s">
        <v>116</v>
      </c>
      <c r="C5" s="247"/>
      <c r="D5" s="247"/>
      <c r="E5" s="247"/>
      <c r="F5" s="247"/>
      <c r="G5" s="247"/>
      <c r="H5" s="247"/>
      <c r="I5" s="247"/>
      <c r="J5" s="247"/>
      <c r="K5" s="247"/>
      <c r="L5" s="247"/>
      <c r="M5" s="247"/>
      <c r="N5" s="247"/>
      <c r="O5" s="247"/>
      <c r="P5" s="247"/>
      <c r="Q5" s="247"/>
    </row>
    <row r="6" spans="1:17" outlineLevel="2">
      <c r="A6" s="240"/>
      <c r="B6" s="248"/>
      <c r="C6" s="249"/>
      <c r="D6" s="249"/>
      <c r="E6" s="249"/>
      <c r="F6" s="249"/>
      <c r="G6" s="249"/>
      <c r="H6" s="249"/>
      <c r="I6" s="249"/>
      <c r="J6" s="249"/>
      <c r="K6" s="249"/>
      <c r="L6" s="249"/>
      <c r="M6" s="249"/>
      <c r="N6" s="249"/>
      <c r="O6" s="249"/>
      <c r="P6" s="249"/>
      <c r="Q6" s="249"/>
    </row>
    <row r="7" spans="1:17" outlineLevel="2">
      <c r="A7" s="240"/>
      <c r="B7" s="248" t="s">
        <v>551</v>
      </c>
      <c r="C7" s="249"/>
      <c r="D7" s="249"/>
      <c r="E7" s="249"/>
      <c r="F7" s="249"/>
      <c r="G7" s="249"/>
      <c r="H7" s="249"/>
      <c r="I7" s="249"/>
      <c r="J7" s="249"/>
      <c r="K7" s="249"/>
      <c r="L7" s="249"/>
      <c r="M7" s="249"/>
      <c r="N7" s="249"/>
      <c r="O7" s="249"/>
      <c r="P7" s="249"/>
      <c r="Q7" s="249"/>
    </row>
    <row r="8" spans="1:17" outlineLevel="2">
      <c r="A8" s="240"/>
      <c r="B8" s="250" t="s">
        <v>552</v>
      </c>
      <c r="C8" s="251">
        <f>24120-2000</f>
        <v>22120</v>
      </c>
      <c r="D8" s="251">
        <f>C8*1.01</f>
        <v>22341.200000000001</v>
      </c>
      <c r="E8" s="251">
        <f t="shared" ref="E8:Q8" si="1">D8*1.01</f>
        <v>22564.612000000001</v>
      </c>
      <c r="F8" s="251"/>
      <c r="G8" s="251"/>
      <c r="H8" s="251"/>
      <c r="I8" s="251"/>
      <c r="J8" s="251">
        <f>E8*1.01</f>
        <v>22790.258120000002</v>
      </c>
      <c r="K8" s="251">
        <f t="shared" si="1"/>
        <v>23018.160701200002</v>
      </c>
      <c r="L8" s="251">
        <f t="shared" si="1"/>
        <v>23248.342308212003</v>
      </c>
      <c r="M8" s="251">
        <f t="shared" si="1"/>
        <v>23480.825731294124</v>
      </c>
      <c r="N8" s="251">
        <f t="shared" si="1"/>
        <v>23715.633988607067</v>
      </c>
      <c r="O8" s="251">
        <f t="shared" si="1"/>
        <v>23952.790328493138</v>
      </c>
      <c r="P8" s="251">
        <f t="shared" si="1"/>
        <v>24192.31823177807</v>
      </c>
      <c r="Q8" s="251">
        <f t="shared" si="1"/>
        <v>24434.24141409585</v>
      </c>
    </row>
    <row r="9" spans="1:17" outlineLevel="2">
      <c r="A9" s="240"/>
      <c r="B9" s="250" t="s">
        <v>242</v>
      </c>
      <c r="C9" s="252">
        <v>0.43</v>
      </c>
      <c r="D9" s="253">
        <v>0.44</v>
      </c>
      <c r="E9" s="253">
        <v>0.439</v>
      </c>
      <c r="F9" s="253"/>
      <c r="G9" s="253"/>
      <c r="H9" s="253"/>
      <c r="I9" s="253"/>
      <c r="J9" s="253">
        <f>E9</f>
        <v>0.439</v>
      </c>
      <c r="K9" s="253">
        <f t="shared" ref="K9:Q9" si="2">J9</f>
        <v>0.439</v>
      </c>
      <c r="L9" s="253">
        <f t="shared" si="2"/>
        <v>0.439</v>
      </c>
      <c r="M9" s="253">
        <f t="shared" si="2"/>
        <v>0.439</v>
      </c>
      <c r="N9" s="253">
        <f t="shared" si="2"/>
        <v>0.439</v>
      </c>
      <c r="O9" s="253">
        <f t="shared" si="2"/>
        <v>0.439</v>
      </c>
      <c r="P9" s="253">
        <f t="shared" si="2"/>
        <v>0.439</v>
      </c>
      <c r="Q9" s="253">
        <f t="shared" si="2"/>
        <v>0.439</v>
      </c>
    </row>
    <row r="10" spans="1:17" outlineLevel="2">
      <c r="A10" s="240"/>
      <c r="B10" s="254" t="s">
        <v>553</v>
      </c>
      <c r="C10" s="251">
        <v>2.9763799999999998</v>
      </c>
      <c r="D10" s="251">
        <v>2.9763799999999998</v>
      </c>
      <c r="E10" s="251">
        <v>2.9763799999999998</v>
      </c>
      <c r="F10" s="251"/>
      <c r="G10" s="251"/>
      <c r="H10" s="251"/>
      <c r="I10" s="251"/>
      <c r="J10" s="251">
        <v>2.9763799999999998</v>
      </c>
      <c r="K10" s="251">
        <v>2.9763799999999998</v>
      </c>
      <c r="L10" s="251">
        <v>2.9763799999999998</v>
      </c>
      <c r="M10" s="251">
        <v>2.9763799999999998</v>
      </c>
      <c r="N10" s="251">
        <v>2.9763799999999998</v>
      </c>
      <c r="O10" s="251">
        <v>2.9763799999999998</v>
      </c>
      <c r="P10" s="251">
        <v>2.9763799999999998</v>
      </c>
      <c r="Q10" s="251">
        <v>2.9763799999999998</v>
      </c>
    </row>
    <row r="11" spans="1:17" outlineLevel="2">
      <c r="A11" s="240"/>
      <c r="B11" s="255" t="s">
        <v>554</v>
      </c>
      <c r="C11" s="256">
        <v>7670</v>
      </c>
      <c r="D11" s="256">
        <f t="shared" ref="D11:Q11" si="3">C11*(1+D12)</f>
        <v>7900.1</v>
      </c>
      <c r="E11" s="256">
        <f t="shared" si="3"/>
        <v>8374.1060000000016</v>
      </c>
      <c r="F11" s="256"/>
      <c r="G11" s="256"/>
      <c r="H11" s="256"/>
      <c r="I11" s="256"/>
      <c r="J11" s="256">
        <f>E11*(1+J12)</f>
        <v>8625.3291800000025</v>
      </c>
      <c r="K11" s="256">
        <f t="shared" si="3"/>
        <v>8797.8357636000019</v>
      </c>
      <c r="L11" s="256">
        <f t="shared" si="3"/>
        <v>8973.7924788720029</v>
      </c>
      <c r="M11" s="256">
        <f t="shared" si="3"/>
        <v>9153.2683284494433</v>
      </c>
      <c r="N11" s="256">
        <f t="shared" si="3"/>
        <v>9336.333695018433</v>
      </c>
      <c r="O11" s="256">
        <f t="shared" si="3"/>
        <v>9523.060368918801</v>
      </c>
      <c r="P11" s="256">
        <f t="shared" si="3"/>
        <v>9713.5215762971766</v>
      </c>
      <c r="Q11" s="256">
        <f t="shared" si="3"/>
        <v>9907.79200782312</v>
      </c>
    </row>
    <row r="12" spans="1:17" outlineLevel="2">
      <c r="A12" s="240"/>
      <c r="B12" s="250" t="s">
        <v>555</v>
      </c>
      <c r="C12" s="256"/>
      <c r="D12" s="252">
        <v>0.03</v>
      </c>
      <c r="E12" s="253">
        <v>0.06</v>
      </c>
      <c r="F12" s="253"/>
      <c r="G12" s="253"/>
      <c r="H12" s="253"/>
      <c r="I12" s="253"/>
      <c r="J12" s="253">
        <v>0.03</v>
      </c>
      <c r="K12" s="253">
        <v>0.02</v>
      </c>
      <c r="L12" s="253">
        <v>0.02</v>
      </c>
      <c r="M12" s="253">
        <v>0.02</v>
      </c>
      <c r="N12" s="253">
        <v>0.02</v>
      </c>
      <c r="O12" s="253">
        <v>0.02</v>
      </c>
      <c r="P12" s="253">
        <v>0.02</v>
      </c>
      <c r="Q12" s="253">
        <v>0.02</v>
      </c>
    </row>
    <row r="13" spans="1:17" outlineLevel="2">
      <c r="A13" s="240"/>
      <c r="B13" s="254" t="s">
        <v>556</v>
      </c>
      <c r="C13" s="256">
        <f t="shared" ref="C13:Q13" si="4">C11*7/8</f>
        <v>6711.25</v>
      </c>
      <c r="D13" s="256">
        <f t="shared" si="4"/>
        <v>6912.5875000000005</v>
      </c>
      <c r="E13" s="256">
        <f t="shared" si="4"/>
        <v>7327.3427500000016</v>
      </c>
      <c r="F13" s="256"/>
      <c r="G13" s="256"/>
      <c r="H13" s="256"/>
      <c r="I13" s="256"/>
      <c r="J13" s="256">
        <f t="shared" si="4"/>
        <v>7547.1630325000024</v>
      </c>
      <c r="K13" s="256">
        <f t="shared" si="4"/>
        <v>7698.1062931500019</v>
      </c>
      <c r="L13" s="256">
        <f t="shared" si="4"/>
        <v>7852.0684190130023</v>
      </c>
      <c r="M13" s="256">
        <f t="shared" si="4"/>
        <v>8009.1097873932631</v>
      </c>
      <c r="N13" s="256">
        <f t="shared" si="4"/>
        <v>8169.2919831411291</v>
      </c>
      <c r="O13" s="256">
        <f t="shared" si="4"/>
        <v>8332.6778228039511</v>
      </c>
      <c r="P13" s="256">
        <f t="shared" si="4"/>
        <v>8499.3313792600293</v>
      </c>
      <c r="Q13" s="256">
        <f t="shared" si="4"/>
        <v>8669.3180068452293</v>
      </c>
    </row>
    <row r="14" spans="1:17" outlineLevel="2">
      <c r="A14" s="240"/>
      <c r="B14" s="257" t="s">
        <v>209</v>
      </c>
      <c r="C14" s="249">
        <f t="shared" ref="C14:Q14" si="5">C8*C9*C10*C13/10^6</f>
        <v>189.99640028368998</v>
      </c>
      <c r="D14" s="249">
        <f t="shared" si="5"/>
        <v>202.249842545707</v>
      </c>
      <c r="E14" s="249">
        <f t="shared" si="5"/>
        <v>216.03657078982152</v>
      </c>
      <c r="F14" s="249"/>
      <c r="G14" s="249"/>
      <c r="H14" s="249"/>
      <c r="I14" s="249"/>
      <c r="J14" s="249">
        <f t="shared" si="5"/>
        <v>224.74284459265144</v>
      </c>
      <c r="K14" s="249">
        <f t="shared" si="5"/>
        <v>231.53007849934946</v>
      </c>
      <c r="L14" s="249">
        <f t="shared" si="5"/>
        <v>238.52228687002983</v>
      </c>
      <c r="M14" s="249">
        <f t="shared" si="5"/>
        <v>245.72565993350474</v>
      </c>
      <c r="N14" s="249">
        <f t="shared" si="5"/>
        <v>253.14657486349668</v>
      </c>
      <c r="O14" s="249">
        <f t="shared" si="5"/>
        <v>260.79160142437422</v>
      </c>
      <c r="P14" s="249">
        <f t="shared" si="5"/>
        <v>268.66750778739026</v>
      </c>
      <c r="Q14" s="249">
        <f t="shared" si="5"/>
        <v>276.78126652256947</v>
      </c>
    </row>
    <row r="15" spans="1:17" outlineLevel="2">
      <c r="A15" s="240"/>
      <c r="B15" s="250"/>
      <c r="C15" s="251"/>
      <c r="D15" s="251"/>
      <c r="E15" s="251"/>
      <c r="F15" s="251"/>
      <c r="G15" s="251"/>
      <c r="H15" s="251"/>
      <c r="I15" s="251"/>
      <c r="J15" s="251"/>
      <c r="K15" s="251"/>
      <c r="L15" s="251"/>
      <c r="M15" s="251"/>
      <c r="N15" s="251"/>
      <c r="O15" s="251"/>
      <c r="P15" s="251"/>
      <c r="Q15" s="251"/>
    </row>
    <row r="16" spans="1:17" outlineLevel="2">
      <c r="A16" s="240"/>
      <c r="B16" s="248" t="s">
        <v>557</v>
      </c>
      <c r="C16" s="249"/>
      <c r="D16" s="249"/>
      <c r="E16" s="249"/>
      <c r="F16" s="249"/>
      <c r="G16" s="249"/>
      <c r="H16" s="249"/>
      <c r="I16" s="249"/>
      <c r="J16" s="249"/>
      <c r="K16" s="249"/>
      <c r="L16" s="249"/>
      <c r="M16" s="249"/>
      <c r="N16" s="249"/>
      <c r="O16" s="249"/>
      <c r="P16" s="249"/>
      <c r="Q16" s="249"/>
    </row>
    <row r="17" spans="1:19" outlineLevel="2">
      <c r="A17" s="240"/>
      <c r="B17" s="250" t="s">
        <v>552</v>
      </c>
      <c r="C17" s="251">
        <v>38365.393142058783</v>
      </c>
      <c r="D17" s="251">
        <f t="shared" ref="D17:Q17" si="6">C17*1.01</f>
        <v>38749.047073479371</v>
      </c>
      <c r="E17" s="251">
        <f t="shared" si="6"/>
        <v>39136.537544214167</v>
      </c>
      <c r="F17" s="251"/>
      <c r="G17" s="251"/>
      <c r="H17" s="251"/>
      <c r="I17" s="251"/>
      <c r="J17" s="251">
        <f>E17*1.01</f>
        <v>39527.902919656306</v>
      </c>
      <c r="K17" s="251">
        <f t="shared" si="6"/>
        <v>39923.181948852871</v>
      </c>
      <c r="L17" s="251">
        <f t="shared" si="6"/>
        <v>40322.413768341401</v>
      </c>
      <c r="M17" s="251">
        <f t="shared" si="6"/>
        <v>40725.637906024815</v>
      </c>
      <c r="N17" s="251">
        <f t="shared" si="6"/>
        <v>41132.894285085065</v>
      </c>
      <c r="O17" s="251">
        <f t="shared" si="6"/>
        <v>41544.223227935916</v>
      </c>
      <c r="P17" s="251">
        <f t="shared" si="6"/>
        <v>41959.665460215278</v>
      </c>
      <c r="Q17" s="251">
        <f t="shared" si="6"/>
        <v>42379.262114817429</v>
      </c>
    </row>
    <row r="18" spans="1:19" outlineLevel="2">
      <c r="A18" s="240"/>
      <c r="B18" s="254" t="s">
        <v>558</v>
      </c>
      <c r="C18" s="252">
        <v>0.7</v>
      </c>
      <c r="D18" s="252">
        <f t="shared" ref="D18:Q18" si="7">C18</f>
        <v>0.7</v>
      </c>
      <c r="E18" s="252">
        <f t="shared" si="7"/>
        <v>0.7</v>
      </c>
      <c r="F18" s="252"/>
      <c r="G18" s="252"/>
      <c r="H18" s="252"/>
      <c r="I18" s="252"/>
      <c r="J18" s="252">
        <f>E18</f>
        <v>0.7</v>
      </c>
      <c r="K18" s="252">
        <f t="shared" si="7"/>
        <v>0.7</v>
      </c>
      <c r="L18" s="252">
        <f t="shared" si="7"/>
        <v>0.7</v>
      </c>
      <c r="M18" s="252">
        <f t="shared" si="7"/>
        <v>0.7</v>
      </c>
      <c r="N18" s="252">
        <f t="shared" si="7"/>
        <v>0.7</v>
      </c>
      <c r="O18" s="252">
        <f t="shared" si="7"/>
        <v>0.7</v>
      </c>
      <c r="P18" s="252">
        <f t="shared" si="7"/>
        <v>0.7</v>
      </c>
      <c r="Q18" s="252">
        <f t="shared" si="7"/>
        <v>0.7</v>
      </c>
    </row>
    <row r="19" spans="1:19" outlineLevel="2">
      <c r="A19" s="240"/>
      <c r="B19" s="250" t="s">
        <v>559</v>
      </c>
      <c r="C19" s="251">
        <f t="shared" ref="C19:Q19" si="8">C18*C17</f>
        <v>26855.775199441148</v>
      </c>
      <c r="D19" s="251">
        <f t="shared" si="8"/>
        <v>27124.332951435557</v>
      </c>
      <c r="E19" s="251">
        <f t="shared" si="8"/>
        <v>27395.576280949914</v>
      </c>
      <c r="F19" s="251"/>
      <c r="G19" s="251"/>
      <c r="H19" s="251"/>
      <c r="I19" s="251"/>
      <c r="J19" s="251">
        <f t="shared" si="8"/>
        <v>27669.532043759413</v>
      </c>
      <c r="K19" s="251">
        <f t="shared" si="8"/>
        <v>27946.22736419701</v>
      </c>
      <c r="L19" s="251">
        <f t="shared" si="8"/>
        <v>28225.689637838979</v>
      </c>
      <c r="M19" s="251">
        <f t="shared" si="8"/>
        <v>28507.946534217368</v>
      </c>
      <c r="N19" s="251">
        <f t="shared" si="8"/>
        <v>28793.025999559544</v>
      </c>
      <c r="O19" s="251">
        <f t="shared" si="8"/>
        <v>29080.95625955514</v>
      </c>
      <c r="P19" s="251">
        <f t="shared" si="8"/>
        <v>29371.765822150694</v>
      </c>
      <c r="Q19" s="251">
        <f t="shared" si="8"/>
        <v>29665.483480372197</v>
      </c>
    </row>
    <row r="20" spans="1:19" outlineLevel="2">
      <c r="A20" s="248"/>
      <c r="B20" s="250" t="s">
        <v>560</v>
      </c>
      <c r="C20" s="258">
        <v>7.0000000000000007E-2</v>
      </c>
      <c r="D20" s="258">
        <v>6.5000000000000002E-2</v>
      </c>
      <c r="E20" s="258">
        <v>6.5000000000000002E-2</v>
      </c>
      <c r="F20" s="258"/>
      <c r="G20" s="258"/>
      <c r="H20" s="258"/>
      <c r="I20" s="258"/>
      <c r="J20" s="258">
        <v>0.06</v>
      </c>
      <c r="K20" s="258">
        <v>5.5E-2</v>
      </c>
      <c r="L20" s="258">
        <v>0.05</v>
      </c>
      <c r="M20" s="258">
        <v>4.4999999999999998E-2</v>
      </c>
      <c r="N20" s="258">
        <v>0.04</v>
      </c>
      <c r="O20" s="258">
        <v>3.5000000000000003E-2</v>
      </c>
      <c r="P20" s="258">
        <v>0.03</v>
      </c>
      <c r="Q20" s="258">
        <v>0.03</v>
      </c>
    </row>
    <row r="21" spans="1:19" outlineLevel="2">
      <c r="A21" s="240"/>
      <c r="B21" s="250" t="s">
        <v>561</v>
      </c>
      <c r="C21" s="251">
        <f t="shared" ref="C21:Q21" si="9">C20*C19</f>
        <v>1879.9042639608806</v>
      </c>
      <c r="D21" s="251">
        <f t="shared" si="9"/>
        <v>1763.0816418433112</v>
      </c>
      <c r="E21" s="251">
        <f t="shared" si="9"/>
        <v>1780.7124582617444</v>
      </c>
      <c r="F21" s="251"/>
      <c r="G21" s="251"/>
      <c r="H21" s="251"/>
      <c r="I21" s="251"/>
      <c r="J21" s="251">
        <f t="shared" si="9"/>
        <v>1660.1719226255648</v>
      </c>
      <c r="K21" s="251">
        <f t="shared" si="9"/>
        <v>1537.0425050308356</v>
      </c>
      <c r="L21" s="251">
        <f t="shared" si="9"/>
        <v>1411.2844818919491</v>
      </c>
      <c r="M21" s="251">
        <f t="shared" si="9"/>
        <v>1282.8575940397816</v>
      </c>
      <c r="N21" s="251">
        <f t="shared" si="9"/>
        <v>1151.7210399823819</v>
      </c>
      <c r="O21" s="251">
        <f t="shared" si="9"/>
        <v>1017.83346908443</v>
      </c>
      <c r="P21" s="251">
        <f t="shared" si="9"/>
        <v>881.1529746645208</v>
      </c>
      <c r="Q21" s="251">
        <f t="shared" si="9"/>
        <v>889.96450441116588</v>
      </c>
    </row>
    <row r="22" spans="1:19" outlineLevel="2">
      <c r="A22" s="240"/>
      <c r="B22" s="254" t="s">
        <v>553</v>
      </c>
      <c r="C22" s="251">
        <v>3</v>
      </c>
      <c r="D22" s="251">
        <v>3</v>
      </c>
      <c r="E22" s="251">
        <v>3.2</v>
      </c>
      <c r="F22" s="251"/>
      <c r="G22" s="251"/>
      <c r="H22" s="251"/>
      <c r="I22" s="251"/>
      <c r="J22" s="251">
        <v>3</v>
      </c>
      <c r="K22" s="251">
        <v>3</v>
      </c>
      <c r="L22" s="251">
        <v>3</v>
      </c>
      <c r="M22" s="251">
        <v>3</v>
      </c>
      <c r="N22" s="251">
        <v>3</v>
      </c>
      <c r="O22" s="251">
        <v>3</v>
      </c>
      <c r="P22" s="251">
        <v>3</v>
      </c>
      <c r="Q22" s="251">
        <v>3</v>
      </c>
    </row>
    <row r="23" spans="1:19" outlineLevel="2">
      <c r="A23" s="240"/>
      <c r="B23" s="254" t="s">
        <v>556</v>
      </c>
      <c r="C23" s="256">
        <f t="shared" ref="C23:Q23" si="10">C11*0.9*0.95</f>
        <v>6557.8499999999995</v>
      </c>
      <c r="D23" s="256">
        <f t="shared" si="10"/>
        <v>6754.5855000000001</v>
      </c>
      <c r="E23" s="256">
        <f t="shared" si="10"/>
        <v>7159.860630000001</v>
      </c>
      <c r="F23" s="256"/>
      <c r="G23" s="259"/>
      <c r="H23" s="256"/>
      <c r="I23" s="256"/>
      <c r="J23" s="256">
        <f t="shared" si="10"/>
        <v>7374.656448900002</v>
      </c>
      <c r="K23" s="256">
        <f t="shared" si="10"/>
        <v>7522.1495778780018</v>
      </c>
      <c r="L23" s="256">
        <f t="shared" si="10"/>
        <v>7672.5925694355619</v>
      </c>
      <c r="M23" s="256">
        <f t="shared" si="10"/>
        <v>7826.0444208242734</v>
      </c>
      <c r="N23" s="256">
        <f t="shared" si="10"/>
        <v>7982.5653092407592</v>
      </c>
      <c r="O23" s="256">
        <f t="shared" si="10"/>
        <v>8142.2166154255747</v>
      </c>
      <c r="P23" s="256">
        <f t="shared" si="10"/>
        <v>8305.0609477340859</v>
      </c>
      <c r="Q23" s="256">
        <f t="shared" si="10"/>
        <v>8471.1621666887677</v>
      </c>
      <c r="S23" s="252"/>
    </row>
    <row r="24" spans="1:19" outlineLevel="2">
      <c r="A24" s="240"/>
      <c r="B24" s="257" t="s">
        <v>209</v>
      </c>
      <c r="C24" s="249">
        <f t="shared" ref="C24:Q24" si="11">(C21*C22*C23)/1000000</f>
        <v>36.984390532247581</v>
      </c>
      <c r="D24" s="249">
        <f t="shared" si="11"/>
        <v>35.726657079933069</v>
      </c>
      <c r="E24" s="249">
        <f t="shared" si="11"/>
        <v>40.798889674428111</v>
      </c>
      <c r="F24" s="249"/>
      <c r="G24" s="249"/>
      <c r="H24" s="249"/>
      <c r="I24" s="249"/>
      <c r="J24" s="249">
        <f t="shared" si="11"/>
        <v>36.729592726420009</v>
      </c>
      <c r="K24" s="249">
        <f t="shared" si="11"/>
        <v>34.685590891194735</v>
      </c>
      <c r="L24" s="249">
        <f t="shared" si="11"/>
        <v>32.484632487371655</v>
      </c>
      <c r="M24" s="249">
        <f t="shared" si="11"/>
        <v>30.11910154964125</v>
      </c>
      <c r="N24" s="249">
        <f t="shared" si="11"/>
        <v>27.581065259058157</v>
      </c>
      <c r="O24" s="249">
        <f t="shared" si="11"/>
        <v>24.862261751146498</v>
      </c>
      <c r="P24" s="249">
        <f t="shared" si="11"/>
        <v>21.954087476598097</v>
      </c>
      <c r="Q24" s="249">
        <f t="shared" si="11"/>
        <v>22.617100918391362</v>
      </c>
    </row>
    <row r="25" spans="1:19" outlineLevel="2">
      <c r="A25" s="240"/>
      <c r="B25" s="248"/>
      <c r="C25" s="249"/>
      <c r="D25" s="249"/>
      <c r="E25" s="249"/>
      <c r="F25" s="260"/>
      <c r="G25" s="260"/>
      <c r="H25" s="260"/>
      <c r="I25" s="261"/>
      <c r="J25" s="249"/>
      <c r="K25" s="249"/>
      <c r="L25" s="249"/>
      <c r="M25" s="249"/>
      <c r="N25" s="249"/>
      <c r="O25" s="249"/>
      <c r="P25" s="249"/>
      <c r="Q25" s="249"/>
    </row>
    <row r="26" spans="1:19" outlineLevel="2">
      <c r="A26" s="240"/>
      <c r="B26" s="336" t="s">
        <v>562</v>
      </c>
      <c r="C26" s="337">
        <f t="shared" ref="C26:Q26" si="12">C24+C14</f>
        <v>226.98079081593755</v>
      </c>
      <c r="D26" s="337">
        <f t="shared" si="12"/>
        <v>237.97649962564006</v>
      </c>
      <c r="E26" s="337">
        <f t="shared" si="12"/>
        <v>256.83546046424965</v>
      </c>
      <c r="F26" s="338">
        <f>J26*0.2225</f>
        <v>58.177617303493399</v>
      </c>
      <c r="G26" s="338">
        <f>J26*0.2825</f>
        <v>73.865963542637672</v>
      </c>
      <c r="H26" s="338">
        <f>J26*0.245</f>
        <v>64.060747143172506</v>
      </c>
      <c r="I26" s="338">
        <f>J26*0.25</f>
        <v>65.368109329767861</v>
      </c>
      <c r="J26" s="337">
        <f t="shared" si="12"/>
        <v>261.47243731907145</v>
      </c>
      <c r="K26" s="337">
        <f t="shared" si="12"/>
        <v>266.21566939054418</v>
      </c>
      <c r="L26" s="337">
        <f t="shared" si="12"/>
        <v>271.0069193574015</v>
      </c>
      <c r="M26" s="337">
        <f t="shared" si="12"/>
        <v>275.84476148314599</v>
      </c>
      <c r="N26" s="337">
        <f t="shared" si="12"/>
        <v>280.72764012255482</v>
      </c>
      <c r="O26" s="337">
        <f t="shared" si="12"/>
        <v>285.65386317552071</v>
      </c>
      <c r="P26" s="337">
        <f t="shared" si="12"/>
        <v>290.62159526398835</v>
      </c>
      <c r="Q26" s="337">
        <f t="shared" si="12"/>
        <v>299.39836744096084</v>
      </c>
    </row>
    <row r="27" spans="1:19" outlineLevel="2">
      <c r="A27" s="240"/>
      <c r="B27" s="254" t="s">
        <v>563</v>
      </c>
      <c r="C27" s="249">
        <v>227</v>
      </c>
      <c r="D27" s="249">
        <v>238</v>
      </c>
      <c r="E27" s="249">
        <v>257</v>
      </c>
      <c r="F27" s="249">
        <v>58</v>
      </c>
      <c r="G27" s="249">
        <v>74</v>
      </c>
      <c r="H27" s="249"/>
      <c r="I27" s="249"/>
      <c r="J27" s="261"/>
      <c r="K27" s="249"/>
      <c r="L27" s="249"/>
      <c r="M27" s="249"/>
      <c r="N27" s="249"/>
      <c r="O27" s="249"/>
      <c r="P27" s="249"/>
      <c r="Q27" s="249"/>
    </row>
    <row r="28" spans="1:19" outlineLevel="1">
      <c r="A28" s="240"/>
      <c r="B28" s="262"/>
      <c r="C28" s="263"/>
      <c r="D28" s="249"/>
      <c r="E28" s="249"/>
      <c r="F28" s="249"/>
      <c r="G28" s="249"/>
      <c r="H28" s="249"/>
      <c r="I28" s="249"/>
      <c r="J28" s="249"/>
      <c r="K28" s="249"/>
      <c r="L28" s="249"/>
      <c r="M28" s="249"/>
      <c r="N28" s="249"/>
      <c r="O28" s="249"/>
      <c r="P28" s="249"/>
      <c r="Q28" s="249"/>
    </row>
    <row r="29" spans="1:19" outlineLevel="1">
      <c r="A29" s="240"/>
      <c r="B29" s="246" t="s">
        <v>233</v>
      </c>
      <c r="C29" s="264"/>
      <c r="D29" s="264"/>
      <c r="E29" s="264"/>
      <c r="F29" s="264"/>
      <c r="G29" s="264"/>
      <c r="H29" s="264"/>
      <c r="I29" s="264"/>
      <c r="J29" s="265"/>
      <c r="K29" s="265"/>
      <c r="L29" s="265"/>
      <c r="M29" s="265"/>
      <c r="N29" s="265"/>
      <c r="O29" s="265"/>
      <c r="P29" s="265"/>
      <c r="Q29" s="265"/>
    </row>
    <row r="30" spans="1:19" outlineLevel="2">
      <c r="A30" s="240"/>
      <c r="B30" s="248"/>
      <c r="C30" s="242"/>
      <c r="D30" s="242"/>
      <c r="E30" s="242"/>
      <c r="F30" s="242"/>
      <c r="G30" s="242"/>
      <c r="H30" s="242"/>
      <c r="I30" s="242"/>
      <c r="J30" s="243"/>
      <c r="K30" s="243"/>
      <c r="L30" s="243"/>
      <c r="M30" s="243"/>
      <c r="N30" s="243"/>
      <c r="O30" s="243"/>
      <c r="P30" s="243"/>
      <c r="Q30" s="243"/>
    </row>
    <row r="31" spans="1:19" outlineLevel="2">
      <c r="A31" s="240"/>
      <c r="B31" s="248" t="s">
        <v>551</v>
      </c>
      <c r="C31" s="249"/>
      <c r="D31" s="249"/>
      <c r="E31" s="249"/>
      <c r="F31" s="249"/>
      <c r="G31" s="249"/>
      <c r="H31" s="249"/>
      <c r="I31" s="249"/>
      <c r="J31" s="249"/>
      <c r="K31" s="249"/>
      <c r="L31" s="249"/>
      <c r="M31" s="249"/>
      <c r="N31" s="249"/>
      <c r="O31" s="249"/>
      <c r="P31" s="249"/>
      <c r="Q31" s="249"/>
    </row>
    <row r="32" spans="1:19" outlineLevel="2">
      <c r="A32" s="240"/>
      <c r="B32" s="250" t="s">
        <v>552</v>
      </c>
      <c r="C32" s="251">
        <v>47945</v>
      </c>
      <c r="D32" s="251">
        <f>C32*1.01</f>
        <v>48424.45</v>
      </c>
      <c r="E32" s="251">
        <f t="shared" ref="E32:Q32" si="13">D32*1.01</f>
        <v>48908.694499999998</v>
      </c>
      <c r="F32" s="251"/>
      <c r="G32" s="251"/>
      <c r="H32" s="251"/>
      <c r="I32" s="251"/>
      <c r="J32" s="251">
        <f>E32*1.01</f>
        <v>49397.781445000001</v>
      </c>
      <c r="K32" s="251">
        <f t="shared" si="13"/>
        <v>49891.759259450002</v>
      </c>
      <c r="L32" s="251">
        <f t="shared" si="13"/>
        <v>50390.676852044504</v>
      </c>
      <c r="M32" s="251">
        <f t="shared" si="13"/>
        <v>50894.583620564947</v>
      </c>
      <c r="N32" s="251">
        <f t="shared" si="13"/>
        <v>51403.529456770593</v>
      </c>
      <c r="O32" s="251">
        <f t="shared" si="13"/>
        <v>51917.564751338301</v>
      </c>
      <c r="P32" s="251">
        <f t="shared" si="13"/>
        <v>52436.740398851682</v>
      </c>
      <c r="Q32" s="251">
        <f t="shared" si="13"/>
        <v>52961.107802840197</v>
      </c>
    </row>
    <row r="33" spans="1:17" outlineLevel="2">
      <c r="A33" s="240"/>
      <c r="B33" s="250" t="s">
        <v>242</v>
      </c>
      <c r="C33" s="252">
        <v>0.32</v>
      </c>
      <c r="D33" s="252">
        <v>0.32</v>
      </c>
      <c r="E33" s="252">
        <v>0.32</v>
      </c>
      <c r="F33" s="253"/>
      <c r="G33" s="253"/>
      <c r="H33" s="253"/>
      <c r="I33" s="253"/>
      <c r="J33" s="253">
        <f>E33</f>
        <v>0.32</v>
      </c>
      <c r="K33" s="253">
        <f>J33</f>
        <v>0.32</v>
      </c>
      <c r="L33" s="253">
        <f t="shared" ref="L33:Q33" si="14">K33</f>
        <v>0.32</v>
      </c>
      <c r="M33" s="253">
        <f t="shared" si="14"/>
        <v>0.32</v>
      </c>
      <c r="N33" s="253">
        <f t="shared" si="14"/>
        <v>0.32</v>
      </c>
      <c r="O33" s="253">
        <f t="shared" si="14"/>
        <v>0.32</v>
      </c>
      <c r="P33" s="253">
        <f t="shared" si="14"/>
        <v>0.32</v>
      </c>
      <c r="Q33" s="253">
        <f t="shared" si="14"/>
        <v>0.32</v>
      </c>
    </row>
    <row r="34" spans="1:17" outlineLevel="2">
      <c r="A34" s="240"/>
      <c r="B34" s="254" t="s">
        <v>553</v>
      </c>
      <c r="C34" s="251">
        <v>2.9676806083650193</v>
      </c>
      <c r="D34" s="251">
        <v>2.9666867170080451</v>
      </c>
      <c r="E34" s="251">
        <v>2.9655091131527072</v>
      </c>
      <c r="F34" s="251"/>
      <c r="G34" s="251"/>
      <c r="H34" s="251"/>
      <c r="I34" s="251"/>
      <c r="J34" s="251">
        <v>2.9643449307140117</v>
      </c>
      <c r="K34" s="251">
        <v>2.9631939415417334</v>
      </c>
      <c r="L34" s="251">
        <v>2.9620559226275973</v>
      </c>
      <c r="M34" s="251">
        <v>2.9609306559612412</v>
      </c>
      <c r="N34" s="251">
        <v>2.9598179283909749</v>
      </c>
      <c r="O34" s="251">
        <v>2.9587175314891816</v>
      </c>
      <c r="P34" s="251">
        <v>2.9587175314891825</v>
      </c>
      <c r="Q34" s="251">
        <v>2.9587175314891816</v>
      </c>
    </row>
    <row r="35" spans="1:17" outlineLevel="2">
      <c r="A35" s="240"/>
      <c r="B35" s="255" t="s">
        <v>554</v>
      </c>
      <c r="C35" s="256">
        <f>C23*0.8</f>
        <v>5246.28</v>
      </c>
      <c r="D35" s="256">
        <f>C35*0.98</f>
        <v>5141.3543999999993</v>
      </c>
      <c r="E35" s="256">
        <f t="shared" ref="E35:Q35" si="15">D35*0.98</f>
        <v>5038.5273119999993</v>
      </c>
      <c r="F35" s="256"/>
      <c r="G35" s="256"/>
      <c r="H35" s="256"/>
      <c r="I35" s="256"/>
      <c r="J35" s="256">
        <f>E35*0.98</f>
        <v>4937.7567657599993</v>
      </c>
      <c r="K35" s="256">
        <f t="shared" si="15"/>
        <v>4839.001630444799</v>
      </c>
      <c r="L35" s="256">
        <f t="shared" si="15"/>
        <v>4742.2215978359027</v>
      </c>
      <c r="M35" s="256">
        <f t="shared" si="15"/>
        <v>4647.3771658791848</v>
      </c>
      <c r="N35" s="256">
        <f t="shared" si="15"/>
        <v>4554.4296225616008</v>
      </c>
      <c r="O35" s="256">
        <f t="shared" si="15"/>
        <v>4463.3410301103686</v>
      </c>
      <c r="P35" s="256">
        <f t="shared" si="15"/>
        <v>4374.0742095081614</v>
      </c>
      <c r="Q35" s="256">
        <f t="shared" si="15"/>
        <v>4286.592725317998</v>
      </c>
    </row>
    <row r="36" spans="1:17" outlineLevel="2">
      <c r="A36" s="240"/>
      <c r="B36" s="250" t="s">
        <v>564</v>
      </c>
      <c r="C36" s="256">
        <f>C35*7/8</f>
        <v>4590.4949999999999</v>
      </c>
      <c r="D36" s="256">
        <f>D35*7/8</f>
        <v>4498.6850999999997</v>
      </c>
      <c r="E36" s="256">
        <f t="shared" ref="E36:Q36" si="16">E35*7/8</f>
        <v>4408.7113979999995</v>
      </c>
      <c r="F36" s="256"/>
      <c r="G36" s="256"/>
      <c r="H36" s="256"/>
      <c r="I36" s="256"/>
      <c r="J36" s="256">
        <f t="shared" si="16"/>
        <v>4320.5371700399992</v>
      </c>
      <c r="K36" s="256">
        <f t="shared" si="16"/>
        <v>4234.1264266391991</v>
      </c>
      <c r="L36" s="256">
        <f t="shared" si="16"/>
        <v>4149.443898106415</v>
      </c>
      <c r="M36" s="256">
        <f t="shared" si="16"/>
        <v>4066.4550201442867</v>
      </c>
      <c r="N36" s="256">
        <f t="shared" si="16"/>
        <v>3985.1259197414006</v>
      </c>
      <c r="O36" s="256">
        <f t="shared" si="16"/>
        <v>3905.4234013465725</v>
      </c>
      <c r="P36" s="256">
        <f t="shared" si="16"/>
        <v>3827.3149333196411</v>
      </c>
      <c r="Q36" s="256">
        <f t="shared" si="16"/>
        <v>3750.7686346532482</v>
      </c>
    </row>
    <row r="37" spans="1:17" outlineLevel="2">
      <c r="A37" s="240"/>
      <c r="B37" s="257" t="s">
        <v>209</v>
      </c>
      <c r="C37" s="249">
        <f t="shared" ref="C37:Q37" si="17">C32*C33*C34*C36/10^6</f>
        <v>209.01140222769581</v>
      </c>
      <c r="D37" s="249">
        <f t="shared" si="17"/>
        <v>206.81020093102333</v>
      </c>
      <c r="E37" s="249">
        <f t="shared" si="17"/>
        <v>204.61948247216839</v>
      </c>
      <c r="F37" s="249"/>
      <c r="G37" s="249"/>
      <c r="H37" s="249"/>
      <c r="I37" s="249"/>
      <c r="J37" s="249">
        <f t="shared" si="17"/>
        <v>202.45285476542915</v>
      </c>
      <c r="K37" s="249">
        <f t="shared" si="17"/>
        <v>200.31002950938611</v>
      </c>
      <c r="L37" s="249">
        <f t="shared" si="17"/>
        <v>198.19072253160547</v>
      </c>
      <c r="M37" s="249">
        <f t="shared" si="17"/>
        <v>196.094653708549</v>
      </c>
      <c r="N37" s="249">
        <f t="shared" si="17"/>
        <v>194.02154688768223</v>
      </c>
      <c r="O37" s="249">
        <f t="shared" si="17"/>
        <v>191.97112981170332</v>
      </c>
      <c r="P37" s="249">
        <f t="shared" si="17"/>
        <v>190.01302428762401</v>
      </c>
      <c r="Q37" s="249">
        <f t="shared" si="17"/>
        <v>188.07489143989014</v>
      </c>
    </row>
    <row r="38" spans="1:17" outlineLevel="2">
      <c r="A38" s="240"/>
      <c r="B38" s="248"/>
      <c r="C38" s="249"/>
      <c r="D38" s="249"/>
      <c r="E38" s="249"/>
      <c r="F38" s="249"/>
      <c r="G38" s="249"/>
      <c r="H38" s="249"/>
      <c r="I38" s="249"/>
      <c r="J38" s="249"/>
      <c r="K38" s="249"/>
      <c r="L38" s="249"/>
      <c r="M38" s="249"/>
      <c r="N38" s="249"/>
      <c r="O38" s="249"/>
      <c r="P38" s="249"/>
      <c r="Q38" s="249"/>
    </row>
    <row r="39" spans="1:17" outlineLevel="2">
      <c r="A39" s="240"/>
      <c r="B39" s="248" t="s">
        <v>557</v>
      </c>
      <c r="C39" s="249"/>
      <c r="D39" s="249"/>
      <c r="E39" s="249"/>
      <c r="F39" s="249"/>
      <c r="G39" s="249"/>
      <c r="H39" s="249"/>
      <c r="I39" s="249"/>
      <c r="J39" s="249"/>
      <c r="K39" s="249"/>
      <c r="L39" s="249"/>
      <c r="M39" s="249"/>
      <c r="N39" s="249"/>
      <c r="O39" s="249"/>
      <c r="P39" s="249"/>
      <c r="Q39" s="249"/>
    </row>
    <row r="40" spans="1:17" outlineLevel="2">
      <c r="A40" s="240"/>
      <c r="B40" s="250" t="s">
        <v>552</v>
      </c>
      <c r="C40" s="251">
        <f>C17*1.6</f>
        <v>61384.629027294053</v>
      </c>
      <c r="D40" s="251">
        <f t="shared" ref="D40:Q40" si="18">C40*1.01</f>
        <v>61998.475317566998</v>
      </c>
      <c r="E40" s="251">
        <f t="shared" si="18"/>
        <v>62618.460070742665</v>
      </c>
      <c r="F40" s="251"/>
      <c r="G40" s="251"/>
      <c r="H40" s="251"/>
      <c r="I40" s="251"/>
      <c r="J40" s="251">
        <f>E40*1.01</f>
        <v>63244.644671450093</v>
      </c>
      <c r="K40" s="251">
        <f t="shared" si="18"/>
        <v>63877.091118164593</v>
      </c>
      <c r="L40" s="251">
        <f t="shared" si="18"/>
        <v>64515.862029346237</v>
      </c>
      <c r="M40" s="251">
        <f t="shared" si="18"/>
        <v>65161.0206496397</v>
      </c>
      <c r="N40" s="251">
        <f t="shared" si="18"/>
        <v>65812.630856136093</v>
      </c>
      <c r="O40" s="251">
        <f t="shared" si="18"/>
        <v>66470.757164697454</v>
      </c>
      <c r="P40" s="251">
        <f t="shared" si="18"/>
        <v>67135.464736344424</v>
      </c>
      <c r="Q40" s="251">
        <f t="shared" si="18"/>
        <v>67806.819383707872</v>
      </c>
    </row>
    <row r="41" spans="1:17" outlineLevel="2">
      <c r="A41" s="240"/>
      <c r="B41" s="266" t="s">
        <v>558</v>
      </c>
      <c r="C41" s="252">
        <v>0.7</v>
      </c>
      <c r="D41" s="252">
        <f t="shared" ref="D41:Q41" si="19">C41</f>
        <v>0.7</v>
      </c>
      <c r="E41" s="252">
        <f t="shared" si="19"/>
        <v>0.7</v>
      </c>
      <c r="F41" s="252"/>
      <c r="G41" s="252"/>
      <c r="H41" s="252"/>
      <c r="I41" s="252"/>
      <c r="J41" s="252">
        <f>E41</f>
        <v>0.7</v>
      </c>
      <c r="K41" s="252">
        <f t="shared" si="19"/>
        <v>0.7</v>
      </c>
      <c r="L41" s="252">
        <f t="shared" si="19"/>
        <v>0.7</v>
      </c>
      <c r="M41" s="252">
        <f t="shared" si="19"/>
        <v>0.7</v>
      </c>
      <c r="N41" s="252">
        <f t="shared" si="19"/>
        <v>0.7</v>
      </c>
      <c r="O41" s="252">
        <f t="shared" si="19"/>
        <v>0.7</v>
      </c>
      <c r="P41" s="252">
        <f t="shared" si="19"/>
        <v>0.7</v>
      </c>
      <c r="Q41" s="252">
        <f t="shared" si="19"/>
        <v>0.7</v>
      </c>
    </row>
    <row r="42" spans="1:17" outlineLevel="2">
      <c r="A42" s="240"/>
      <c r="B42" s="250" t="s">
        <v>559</v>
      </c>
      <c r="C42" s="251">
        <f t="shared" ref="C42:Q42" si="20">C41*C40</f>
        <v>42969.240319105833</v>
      </c>
      <c r="D42" s="251">
        <f t="shared" si="20"/>
        <v>43398.932722296893</v>
      </c>
      <c r="E42" s="251">
        <f t="shared" si="20"/>
        <v>43832.922049519861</v>
      </c>
      <c r="F42" s="251"/>
      <c r="G42" s="251"/>
      <c r="H42" s="251"/>
      <c r="I42" s="251"/>
      <c r="J42" s="251">
        <f t="shared" si="20"/>
        <v>44271.251270015062</v>
      </c>
      <c r="K42" s="251">
        <f t="shared" si="20"/>
        <v>44713.963782715211</v>
      </c>
      <c r="L42" s="251">
        <f t="shared" si="20"/>
        <v>45161.103420542364</v>
      </c>
      <c r="M42" s="251">
        <f t="shared" si="20"/>
        <v>45612.714454747787</v>
      </c>
      <c r="N42" s="251">
        <f t="shared" si="20"/>
        <v>46068.841599295265</v>
      </c>
      <c r="O42" s="251">
        <f t="shared" si="20"/>
        <v>46529.530015288212</v>
      </c>
      <c r="P42" s="251">
        <f t="shared" si="20"/>
        <v>46994.825315441092</v>
      </c>
      <c r="Q42" s="251">
        <f t="shared" si="20"/>
        <v>47464.773568595505</v>
      </c>
    </row>
    <row r="43" spans="1:17" outlineLevel="2">
      <c r="A43" s="248"/>
      <c r="B43" s="250" t="s">
        <v>560</v>
      </c>
      <c r="C43" s="258">
        <v>0.10199999999999999</v>
      </c>
      <c r="D43" s="258">
        <v>0.09</v>
      </c>
      <c r="E43" s="258">
        <v>0.08</v>
      </c>
      <c r="F43" s="258"/>
      <c r="G43" s="258"/>
      <c r="H43" s="258"/>
      <c r="I43" s="258"/>
      <c r="J43" s="258">
        <v>7.0000000000000007E-2</v>
      </c>
      <c r="K43" s="258">
        <v>6.0000000000000005E-2</v>
      </c>
      <c r="L43" s="258">
        <v>4.0000000000000008E-2</v>
      </c>
      <c r="M43" s="258">
        <v>3.0000000000000006E-2</v>
      </c>
      <c r="N43" s="258">
        <v>3.0000000000000006E-2</v>
      </c>
      <c r="O43" s="258">
        <v>3.0000000000000006E-2</v>
      </c>
      <c r="P43" s="258">
        <v>3.0000000000000006E-2</v>
      </c>
      <c r="Q43" s="258">
        <v>3.0000000000000006E-2</v>
      </c>
    </row>
    <row r="44" spans="1:17" outlineLevel="2">
      <c r="A44" s="240"/>
      <c r="B44" s="250" t="s">
        <v>561</v>
      </c>
      <c r="C44" s="251">
        <f t="shared" ref="C44:Q44" si="21">C43*C42</f>
        <v>4382.8625125487943</v>
      </c>
      <c r="D44" s="251">
        <f t="shared" si="21"/>
        <v>3905.9039450067203</v>
      </c>
      <c r="E44" s="251">
        <f t="shared" si="21"/>
        <v>3506.633763961589</v>
      </c>
      <c r="F44" s="251"/>
      <c r="G44" s="251"/>
      <c r="H44" s="251"/>
      <c r="I44" s="251"/>
      <c r="J44" s="251">
        <f t="shared" si="21"/>
        <v>3098.9875889010546</v>
      </c>
      <c r="K44" s="251">
        <f t="shared" si="21"/>
        <v>2682.8378269629129</v>
      </c>
      <c r="L44" s="251">
        <f t="shared" si="21"/>
        <v>1806.4441368216949</v>
      </c>
      <c r="M44" s="251">
        <f t="shared" si="21"/>
        <v>1368.3814336424339</v>
      </c>
      <c r="N44" s="251">
        <f t="shared" si="21"/>
        <v>1382.0652479788582</v>
      </c>
      <c r="O44" s="251">
        <f t="shared" si="21"/>
        <v>1395.8859004586466</v>
      </c>
      <c r="P44" s="251">
        <f t="shared" si="21"/>
        <v>1409.844759463233</v>
      </c>
      <c r="Q44" s="251">
        <f t="shared" si="21"/>
        <v>1423.9432070578655</v>
      </c>
    </row>
    <row r="45" spans="1:17" outlineLevel="2">
      <c r="A45" s="240"/>
      <c r="B45" s="254" t="s">
        <v>553</v>
      </c>
      <c r="C45" s="251">
        <v>4.5</v>
      </c>
      <c r="D45" s="251">
        <f t="shared" ref="D45:Q45" si="22">C45</f>
        <v>4.5</v>
      </c>
      <c r="E45" s="251">
        <f t="shared" si="22"/>
        <v>4.5</v>
      </c>
      <c r="F45" s="251"/>
      <c r="G45" s="267"/>
      <c r="H45" s="251"/>
      <c r="I45" s="251"/>
      <c r="J45" s="251">
        <f>E45</f>
        <v>4.5</v>
      </c>
      <c r="K45" s="251">
        <f t="shared" si="22"/>
        <v>4.5</v>
      </c>
      <c r="L45" s="251">
        <f t="shared" si="22"/>
        <v>4.5</v>
      </c>
      <c r="M45" s="251">
        <f t="shared" si="22"/>
        <v>4.5</v>
      </c>
      <c r="N45" s="251">
        <f t="shared" si="22"/>
        <v>4.5</v>
      </c>
      <c r="O45" s="251">
        <f t="shared" si="22"/>
        <v>4.5</v>
      </c>
      <c r="P45" s="251">
        <f t="shared" si="22"/>
        <v>4.5</v>
      </c>
      <c r="Q45" s="251">
        <f t="shared" si="22"/>
        <v>4.5</v>
      </c>
    </row>
    <row r="46" spans="1:17" outlineLevel="2">
      <c r="A46" s="240"/>
      <c r="B46" s="255" t="s">
        <v>554</v>
      </c>
      <c r="C46" s="256">
        <f t="shared" ref="C46:Q46" si="23">C36</f>
        <v>4590.4949999999999</v>
      </c>
      <c r="D46" s="256">
        <f t="shared" si="23"/>
        <v>4498.6850999999997</v>
      </c>
      <c r="E46" s="256">
        <f t="shared" si="23"/>
        <v>4408.7113979999995</v>
      </c>
      <c r="F46" s="256"/>
      <c r="G46" s="256"/>
      <c r="H46" s="256"/>
      <c r="I46" s="256"/>
      <c r="J46" s="256">
        <f t="shared" si="23"/>
        <v>4320.5371700399992</v>
      </c>
      <c r="K46" s="256">
        <f t="shared" si="23"/>
        <v>4234.1264266391991</v>
      </c>
      <c r="L46" s="256">
        <f t="shared" si="23"/>
        <v>4149.443898106415</v>
      </c>
      <c r="M46" s="256">
        <f t="shared" si="23"/>
        <v>4066.4550201442867</v>
      </c>
      <c r="N46" s="256">
        <f t="shared" si="23"/>
        <v>3985.1259197414006</v>
      </c>
      <c r="O46" s="256">
        <f t="shared" si="23"/>
        <v>3905.4234013465725</v>
      </c>
      <c r="P46" s="256">
        <f t="shared" si="23"/>
        <v>3827.3149333196411</v>
      </c>
      <c r="Q46" s="256">
        <f t="shared" si="23"/>
        <v>3750.7686346532482</v>
      </c>
    </row>
    <row r="47" spans="1:17" outlineLevel="2">
      <c r="A47" s="240"/>
      <c r="B47" s="257" t="s">
        <v>209</v>
      </c>
      <c r="C47" s="249">
        <f t="shared" ref="C47:Q47" si="24">C44*C45*C46/1000000</f>
        <v>90.537788022942053</v>
      </c>
      <c r="D47" s="249">
        <f t="shared" si="24"/>
        <v>79.071443457448268</v>
      </c>
      <c r="E47" s="249">
        <f t="shared" si="24"/>
        <v>69.568813097050935</v>
      </c>
      <c r="F47" s="249"/>
      <c r="G47" s="249"/>
      <c r="H47" s="249"/>
      <c r="I47" s="261"/>
      <c r="J47" s="249">
        <f t="shared" si="24"/>
        <v>60.251809803028387</v>
      </c>
      <c r="K47" s="249">
        <f t="shared" si="24"/>
        <v>51.117635436889287</v>
      </c>
      <c r="L47" s="249">
        <f t="shared" si="24"/>
        <v>33.730823703622015</v>
      </c>
      <c r="M47" s="249">
        <f t="shared" si="24"/>
        <v>25.040076976383798</v>
      </c>
      <c r="N47" s="249">
        <f t="shared" si="24"/>
        <v>24.784668191224686</v>
      </c>
      <c r="O47" s="249">
        <f t="shared" si="24"/>
        <v>24.531864575674188</v>
      </c>
      <c r="P47" s="249">
        <f t="shared" si="24"/>
        <v>24.281639557002311</v>
      </c>
      <c r="Q47" s="249">
        <f t="shared" si="24"/>
        <v>24.033966833520889</v>
      </c>
    </row>
    <row r="48" spans="1:17" outlineLevel="2">
      <c r="A48" s="240"/>
      <c r="B48" s="248"/>
      <c r="C48" s="249"/>
      <c r="D48" s="249"/>
      <c r="E48" s="249"/>
      <c r="F48" s="249"/>
      <c r="G48" s="249"/>
      <c r="H48" s="249"/>
      <c r="I48" s="249"/>
      <c r="J48" s="249"/>
      <c r="K48" s="249"/>
      <c r="L48" s="249"/>
      <c r="M48" s="249"/>
      <c r="N48" s="249"/>
      <c r="O48" s="249"/>
      <c r="P48" s="249"/>
      <c r="Q48" s="249"/>
    </row>
    <row r="49" spans="1:17" outlineLevel="2">
      <c r="A49" s="240"/>
      <c r="B49" s="336" t="s">
        <v>565</v>
      </c>
      <c r="C49" s="337">
        <f t="shared" ref="C49:Q49" si="25">C47+C37</f>
        <v>299.54919025063788</v>
      </c>
      <c r="D49" s="337">
        <f t="shared" si="25"/>
        <v>285.88164438847161</v>
      </c>
      <c r="E49" s="337">
        <f t="shared" si="25"/>
        <v>274.18829556921935</v>
      </c>
      <c r="F49" s="338">
        <f>J49*0.22</f>
        <v>57.795026205060658</v>
      </c>
      <c r="G49" s="338">
        <f>J49*0.245</f>
        <v>64.362642819272097</v>
      </c>
      <c r="H49" s="338">
        <f>J49*0.265</f>
        <v>69.616736110641256</v>
      </c>
      <c r="I49" s="338">
        <f>J49*0.27</f>
        <v>70.930259433483542</v>
      </c>
      <c r="J49" s="337">
        <f t="shared" si="25"/>
        <v>262.70466456845753</v>
      </c>
      <c r="K49" s="337">
        <f t="shared" si="25"/>
        <v>251.4276649462754</v>
      </c>
      <c r="L49" s="337">
        <f t="shared" si="25"/>
        <v>231.92154623522748</v>
      </c>
      <c r="M49" s="337">
        <f t="shared" si="25"/>
        <v>221.1347306849328</v>
      </c>
      <c r="N49" s="337">
        <f t="shared" si="25"/>
        <v>218.80621507890692</v>
      </c>
      <c r="O49" s="337">
        <f t="shared" si="25"/>
        <v>216.5029943873775</v>
      </c>
      <c r="P49" s="337">
        <f t="shared" si="25"/>
        <v>214.29466384462631</v>
      </c>
      <c r="Q49" s="337">
        <f t="shared" si="25"/>
        <v>212.10885827341102</v>
      </c>
    </row>
    <row r="50" spans="1:17" outlineLevel="1">
      <c r="A50" s="240"/>
      <c r="B50" s="248"/>
      <c r="C50" s="249"/>
      <c r="D50" s="249"/>
      <c r="E50" s="249"/>
      <c r="F50" s="268"/>
      <c r="G50" s="268"/>
      <c r="H50" s="268"/>
      <c r="I50" s="268"/>
      <c r="J50" s="249"/>
      <c r="K50" s="249"/>
      <c r="L50" s="249"/>
      <c r="M50" s="249"/>
      <c r="N50" s="249"/>
      <c r="O50" s="249"/>
      <c r="P50" s="249"/>
      <c r="Q50" s="249"/>
    </row>
    <row r="51" spans="1:17" outlineLevel="1">
      <c r="A51" s="240"/>
      <c r="B51" s="246" t="s">
        <v>566</v>
      </c>
      <c r="C51" s="247"/>
      <c r="D51" s="247"/>
      <c r="E51" s="247"/>
      <c r="F51" s="247"/>
      <c r="G51" s="247"/>
      <c r="H51" s="247"/>
      <c r="I51" s="247"/>
      <c r="J51" s="247"/>
      <c r="K51" s="247"/>
      <c r="L51" s="247"/>
      <c r="M51" s="247"/>
      <c r="N51" s="247"/>
      <c r="O51" s="247"/>
      <c r="P51" s="247"/>
      <c r="Q51" s="247"/>
    </row>
    <row r="52" spans="1:17" outlineLevel="2">
      <c r="A52" s="240"/>
      <c r="B52" s="248"/>
      <c r="C52" s="249"/>
      <c r="D52" s="249"/>
      <c r="E52" s="249"/>
      <c r="F52" s="249"/>
      <c r="G52" s="249"/>
      <c r="H52" s="249"/>
      <c r="I52" s="249"/>
      <c r="J52" s="249"/>
      <c r="K52" s="249"/>
      <c r="L52" s="249"/>
      <c r="M52" s="249"/>
      <c r="N52" s="249"/>
      <c r="O52" s="249"/>
      <c r="P52" s="249"/>
      <c r="Q52" s="249"/>
    </row>
    <row r="53" spans="1:17" outlineLevel="2">
      <c r="A53" s="240"/>
      <c r="B53" s="336" t="s">
        <v>567</v>
      </c>
      <c r="C53" s="338">
        <f>C55-C49</f>
        <v>207.45080974936212</v>
      </c>
      <c r="D53" s="338">
        <f>D55-D49</f>
        <v>236.11835561152839</v>
      </c>
      <c r="E53" s="338">
        <f>E55-E49</f>
        <v>225.81170443078065</v>
      </c>
      <c r="F53" s="338">
        <f>J53*0.2225</f>
        <v>50.745535278207178</v>
      </c>
      <c r="G53" s="338">
        <f>J53*0.2575</f>
        <v>58.727979029835275</v>
      </c>
      <c r="H53" s="338">
        <f>J53*0.255</f>
        <v>58.157804476147554</v>
      </c>
      <c r="I53" s="338">
        <f>J53*0.265</f>
        <v>60.438502690898439</v>
      </c>
      <c r="J53" s="338">
        <f>E53*(1+J54)</f>
        <v>228.06982147508845</v>
      </c>
      <c r="K53" s="338">
        <f t="shared" ref="K53:Q53" si="26">J53*(1+K54)</f>
        <v>230.35051968983933</v>
      </c>
      <c r="L53" s="338">
        <f t="shared" si="26"/>
        <v>232.65402488673772</v>
      </c>
      <c r="M53" s="338">
        <f t="shared" si="26"/>
        <v>234.9805651356051</v>
      </c>
      <c r="N53" s="338">
        <f t="shared" si="26"/>
        <v>237.33037078696117</v>
      </c>
      <c r="O53" s="338">
        <f t="shared" si="26"/>
        <v>239.70367449483078</v>
      </c>
      <c r="P53" s="338">
        <f t="shared" si="26"/>
        <v>242.10071123977909</v>
      </c>
      <c r="Q53" s="338">
        <f t="shared" si="26"/>
        <v>244.52171835217689</v>
      </c>
    </row>
    <row r="54" spans="1:17" outlineLevel="2">
      <c r="A54" s="240"/>
      <c r="B54" s="250" t="s">
        <v>568</v>
      </c>
      <c r="C54" s="269"/>
      <c r="D54" s="269"/>
      <c r="E54" s="269"/>
      <c r="F54" s="269"/>
      <c r="G54" s="269"/>
      <c r="H54" s="269"/>
      <c r="I54" s="269"/>
      <c r="J54" s="253">
        <v>0.01</v>
      </c>
      <c r="K54" s="253">
        <f t="shared" ref="K54:Q54" si="27">J54</f>
        <v>0.01</v>
      </c>
      <c r="L54" s="253">
        <f t="shared" si="27"/>
        <v>0.01</v>
      </c>
      <c r="M54" s="253">
        <f t="shared" si="27"/>
        <v>0.01</v>
      </c>
      <c r="N54" s="253">
        <f t="shared" si="27"/>
        <v>0.01</v>
      </c>
      <c r="O54" s="253">
        <f t="shared" si="27"/>
        <v>0.01</v>
      </c>
      <c r="P54" s="253">
        <f t="shared" si="27"/>
        <v>0.01</v>
      </c>
      <c r="Q54" s="253">
        <f t="shared" si="27"/>
        <v>0.01</v>
      </c>
    </row>
    <row r="55" spans="1:17" outlineLevel="2">
      <c r="A55" s="240"/>
      <c r="B55" s="254" t="s">
        <v>569</v>
      </c>
      <c r="C55" s="256">
        <f>706-138-C69</f>
        <v>507</v>
      </c>
      <c r="D55" s="256">
        <f>769-167-D69</f>
        <v>522</v>
      </c>
      <c r="E55" s="256">
        <f>605-E69</f>
        <v>500</v>
      </c>
      <c r="F55" s="256">
        <f>141-F68</f>
        <v>109.28786009520203</v>
      </c>
      <c r="G55" s="256">
        <f>156-G68</f>
        <v>122.93840733329574</v>
      </c>
      <c r="H55" s="256"/>
      <c r="I55" s="270"/>
      <c r="J55" s="240"/>
      <c r="K55" s="240"/>
      <c r="L55" s="240"/>
      <c r="M55" s="240"/>
      <c r="N55" s="240"/>
      <c r="O55" s="240"/>
      <c r="P55" s="240"/>
      <c r="Q55" s="240"/>
    </row>
    <row r="56" spans="1:17" outlineLevel="2">
      <c r="A56" s="240"/>
      <c r="B56" s="254" t="s">
        <v>188</v>
      </c>
      <c r="C56" s="256">
        <f>C49+C53</f>
        <v>507</v>
      </c>
      <c r="D56" s="256">
        <f>D49+D53</f>
        <v>522</v>
      </c>
      <c r="E56" s="256">
        <f>E49+E53</f>
        <v>500</v>
      </c>
      <c r="F56" s="256">
        <f>F49+F53</f>
        <v>108.54056148326784</v>
      </c>
      <c r="G56" s="256">
        <f>G49+G53</f>
        <v>123.09062184910738</v>
      </c>
      <c r="H56" s="256"/>
      <c r="I56" s="270"/>
      <c r="J56" s="256"/>
      <c r="K56" s="256"/>
      <c r="L56" s="256"/>
      <c r="M56" s="240"/>
      <c r="N56" s="240"/>
      <c r="O56" s="240"/>
      <c r="P56" s="240"/>
      <c r="Q56" s="240"/>
    </row>
    <row r="57" spans="1:17" outlineLevel="1">
      <c r="A57" s="240"/>
      <c r="B57" s="240"/>
      <c r="C57" s="256"/>
      <c r="D57" s="256"/>
      <c r="E57" s="256"/>
      <c r="F57" s="240"/>
      <c r="G57" s="240"/>
      <c r="H57" s="240"/>
      <c r="I57" s="240"/>
      <c r="J57" s="240"/>
      <c r="K57" s="240"/>
      <c r="L57" s="240"/>
      <c r="M57" s="240"/>
      <c r="N57" s="240"/>
      <c r="O57" s="240"/>
      <c r="P57" s="240"/>
      <c r="Q57" s="240"/>
    </row>
    <row r="58" spans="1:17" outlineLevel="1">
      <c r="A58" s="240"/>
      <c r="B58" s="246" t="s">
        <v>570</v>
      </c>
      <c r="C58" s="271"/>
      <c r="D58" s="271"/>
      <c r="E58" s="271"/>
      <c r="F58" s="271"/>
      <c r="G58" s="271"/>
      <c r="H58" s="271"/>
      <c r="I58" s="271"/>
      <c r="J58" s="271"/>
      <c r="K58" s="271"/>
      <c r="L58" s="271"/>
      <c r="M58" s="271"/>
      <c r="N58" s="271"/>
      <c r="O58" s="271"/>
      <c r="P58" s="271"/>
      <c r="Q58" s="271"/>
    </row>
    <row r="59" spans="1:17" outlineLevel="2">
      <c r="A59" s="240"/>
      <c r="B59" s="248"/>
      <c r="C59" s="248"/>
      <c r="D59" s="248"/>
      <c r="E59" s="248"/>
      <c r="F59" s="248"/>
      <c r="G59" s="248"/>
      <c r="H59" s="248"/>
      <c r="I59" s="248"/>
      <c r="J59" s="248"/>
      <c r="K59" s="248"/>
      <c r="L59" s="248"/>
      <c r="M59" s="248"/>
      <c r="N59" s="248"/>
      <c r="O59" s="248"/>
      <c r="P59" s="248"/>
      <c r="Q59" s="248"/>
    </row>
    <row r="60" spans="1:17" outlineLevel="2">
      <c r="A60" s="240"/>
      <c r="B60" s="248" t="s">
        <v>551</v>
      </c>
      <c r="C60" s="242"/>
      <c r="D60" s="242"/>
      <c r="E60" s="242"/>
      <c r="F60" s="242"/>
      <c r="G60" s="242"/>
      <c r="H60" s="242"/>
      <c r="I60" s="242"/>
      <c r="J60" s="243"/>
      <c r="K60" s="243"/>
      <c r="L60" s="243"/>
      <c r="M60" s="243"/>
      <c r="N60" s="243"/>
      <c r="O60" s="243"/>
      <c r="P60" s="243"/>
      <c r="Q60" s="243"/>
    </row>
    <row r="61" spans="1:17" outlineLevel="2">
      <c r="A61" s="240"/>
      <c r="B61" s="250" t="s">
        <v>552</v>
      </c>
      <c r="C61" s="251">
        <f>400000*1.01^2</f>
        <v>408040</v>
      </c>
      <c r="D61" s="251">
        <f>C61*1.01</f>
        <v>412120.4</v>
      </c>
      <c r="E61" s="251">
        <f t="shared" ref="E61:Q61" si="28">D61*1.01</f>
        <v>416241.60400000005</v>
      </c>
      <c r="F61" s="251"/>
      <c r="G61" s="251"/>
      <c r="H61" s="251"/>
      <c r="I61" s="251"/>
      <c r="J61" s="251">
        <f>E61*1.01</f>
        <v>420404.02004000003</v>
      </c>
      <c r="K61" s="251">
        <f t="shared" si="28"/>
        <v>424608.06024040002</v>
      </c>
      <c r="L61" s="251">
        <f t="shared" si="28"/>
        <v>428854.14084280404</v>
      </c>
      <c r="M61" s="251">
        <f t="shared" si="28"/>
        <v>433142.68225123209</v>
      </c>
      <c r="N61" s="251">
        <f t="shared" si="28"/>
        <v>437474.10907374445</v>
      </c>
      <c r="O61" s="251">
        <f t="shared" si="28"/>
        <v>441848.8501644819</v>
      </c>
      <c r="P61" s="251">
        <f t="shared" si="28"/>
        <v>446267.33866612671</v>
      </c>
      <c r="Q61" s="251">
        <f t="shared" si="28"/>
        <v>450730.01205278799</v>
      </c>
    </row>
    <row r="62" spans="1:17" outlineLevel="2">
      <c r="A62" s="240"/>
      <c r="B62" s="250" t="s">
        <v>242</v>
      </c>
      <c r="C62" s="272">
        <v>1.2999999999999999E-2</v>
      </c>
      <c r="D62" s="272">
        <v>1.6799999999999999E-2</v>
      </c>
      <c r="E62" s="272">
        <v>2.1999999999999999E-2</v>
      </c>
      <c r="F62" s="272"/>
      <c r="G62" s="272"/>
      <c r="H62" s="272"/>
      <c r="I62" s="272"/>
      <c r="J62" s="272">
        <v>2.7900000000000001E-2</v>
      </c>
      <c r="K62" s="272">
        <v>3.3000000000000002E-2</v>
      </c>
      <c r="L62" s="272">
        <v>3.6999999999999998E-2</v>
      </c>
      <c r="M62" s="272">
        <v>0.04</v>
      </c>
      <c r="N62" s="272">
        <v>0.04</v>
      </c>
      <c r="O62" s="272">
        <v>0.04</v>
      </c>
      <c r="P62" s="272">
        <v>0.04</v>
      </c>
      <c r="Q62" s="272">
        <v>0.04</v>
      </c>
    </row>
    <row r="63" spans="1:17" outlineLevel="2">
      <c r="A63" s="240"/>
      <c r="B63" s="250" t="s">
        <v>552</v>
      </c>
      <c r="C63" s="273">
        <f t="shared" ref="C63:Q63" si="29">C62*C61</f>
        <v>5304.5199999999995</v>
      </c>
      <c r="D63" s="273">
        <f t="shared" si="29"/>
        <v>6923.6227200000003</v>
      </c>
      <c r="E63" s="273">
        <f t="shared" si="29"/>
        <v>9157.3152879999998</v>
      </c>
      <c r="F63" s="273"/>
      <c r="G63" s="273"/>
      <c r="H63" s="273"/>
      <c r="I63" s="273"/>
      <c r="J63" s="273">
        <f t="shared" si="29"/>
        <v>11729.272159116001</v>
      </c>
      <c r="K63" s="273">
        <f t="shared" si="29"/>
        <v>14012.065987933202</v>
      </c>
      <c r="L63" s="273">
        <f t="shared" si="29"/>
        <v>15867.603211183748</v>
      </c>
      <c r="M63" s="273">
        <f t="shared" si="29"/>
        <v>17325.707290049286</v>
      </c>
      <c r="N63" s="273">
        <f t="shared" si="29"/>
        <v>17498.964362949777</v>
      </c>
      <c r="O63" s="273">
        <f t="shared" si="29"/>
        <v>17673.954006579275</v>
      </c>
      <c r="P63" s="273">
        <f t="shared" si="29"/>
        <v>17850.69354664507</v>
      </c>
      <c r="Q63" s="273">
        <f t="shared" si="29"/>
        <v>18029.200482111519</v>
      </c>
    </row>
    <row r="64" spans="1:17" outlineLevel="2">
      <c r="A64" s="240"/>
      <c r="B64" s="254" t="s">
        <v>553</v>
      </c>
      <c r="C64" s="251">
        <v>3</v>
      </c>
      <c r="D64" s="251">
        <f t="shared" ref="D64:Q65" si="30">C64</f>
        <v>3</v>
      </c>
      <c r="E64" s="251">
        <f t="shared" si="30"/>
        <v>3</v>
      </c>
      <c r="F64" s="251"/>
      <c r="G64" s="251"/>
      <c r="H64" s="251"/>
      <c r="I64" s="251"/>
      <c r="J64" s="251">
        <f>E64</f>
        <v>3</v>
      </c>
      <c r="K64" s="251">
        <f t="shared" si="30"/>
        <v>3</v>
      </c>
      <c r="L64" s="251">
        <f t="shared" si="30"/>
        <v>3</v>
      </c>
      <c r="M64" s="251">
        <f t="shared" si="30"/>
        <v>3</v>
      </c>
      <c r="N64" s="251">
        <f t="shared" si="30"/>
        <v>3</v>
      </c>
      <c r="O64" s="251">
        <f t="shared" si="30"/>
        <v>3</v>
      </c>
      <c r="P64" s="251">
        <f t="shared" si="30"/>
        <v>3</v>
      </c>
      <c r="Q64" s="251">
        <f t="shared" si="30"/>
        <v>3</v>
      </c>
    </row>
    <row r="65" spans="1:17" outlineLevel="2">
      <c r="A65" s="240"/>
      <c r="B65" s="255" t="s">
        <v>554</v>
      </c>
      <c r="C65" s="256">
        <f>C11*0.5</f>
        <v>3835</v>
      </c>
      <c r="D65" s="256">
        <f t="shared" si="30"/>
        <v>3835</v>
      </c>
      <c r="E65" s="256">
        <f t="shared" si="30"/>
        <v>3835</v>
      </c>
      <c r="F65" s="256"/>
      <c r="G65" s="256"/>
      <c r="H65" s="256"/>
      <c r="I65" s="256"/>
      <c r="J65" s="256">
        <f>E65</f>
        <v>3835</v>
      </c>
      <c r="K65" s="256">
        <f t="shared" si="30"/>
        <v>3835</v>
      </c>
      <c r="L65" s="256">
        <f t="shared" si="30"/>
        <v>3835</v>
      </c>
      <c r="M65" s="256">
        <f t="shared" si="30"/>
        <v>3835</v>
      </c>
      <c r="N65" s="256">
        <f t="shared" si="30"/>
        <v>3835</v>
      </c>
      <c r="O65" s="256">
        <f t="shared" si="30"/>
        <v>3835</v>
      </c>
      <c r="P65" s="256">
        <f t="shared" si="30"/>
        <v>3835</v>
      </c>
      <c r="Q65" s="256">
        <f t="shared" si="30"/>
        <v>3835</v>
      </c>
    </row>
    <row r="66" spans="1:17" outlineLevel="2">
      <c r="A66" s="240"/>
      <c r="B66" s="250" t="s">
        <v>571</v>
      </c>
      <c r="C66" s="256">
        <f>C64*C65</f>
        <v>11505</v>
      </c>
      <c r="D66" s="256">
        <f t="shared" ref="D66:Q66" si="31">D64*D65</f>
        <v>11505</v>
      </c>
      <c r="E66" s="256">
        <f t="shared" si="31"/>
        <v>11505</v>
      </c>
      <c r="F66" s="256"/>
      <c r="G66" s="256"/>
      <c r="H66" s="256"/>
      <c r="I66" s="270"/>
      <c r="J66" s="256">
        <f t="shared" si="31"/>
        <v>11505</v>
      </c>
      <c r="K66" s="256">
        <f t="shared" si="31"/>
        <v>11505</v>
      </c>
      <c r="L66" s="256">
        <f t="shared" si="31"/>
        <v>11505</v>
      </c>
      <c r="M66" s="256">
        <f t="shared" si="31"/>
        <v>11505</v>
      </c>
      <c r="N66" s="256">
        <f t="shared" si="31"/>
        <v>11505</v>
      </c>
      <c r="O66" s="256">
        <f t="shared" si="31"/>
        <v>11505</v>
      </c>
      <c r="P66" s="256">
        <f t="shared" si="31"/>
        <v>11505</v>
      </c>
      <c r="Q66" s="256">
        <f t="shared" si="31"/>
        <v>11505</v>
      </c>
    </row>
    <row r="67" spans="1:17" outlineLevel="2">
      <c r="A67" s="240"/>
      <c r="B67" s="248"/>
      <c r="C67" s="256"/>
      <c r="D67" s="256"/>
      <c r="E67" s="256"/>
      <c r="F67" s="256"/>
      <c r="G67" s="256"/>
      <c r="H67" s="256"/>
      <c r="I67" s="256"/>
      <c r="J67" s="256"/>
      <c r="K67" s="256"/>
      <c r="L67" s="256"/>
      <c r="M67" s="256"/>
      <c r="N67" s="256"/>
      <c r="O67" s="256"/>
      <c r="P67" s="256"/>
      <c r="Q67" s="256"/>
    </row>
    <row r="68" spans="1:17" outlineLevel="2">
      <c r="A68" s="240"/>
      <c r="B68" s="336" t="s">
        <v>572</v>
      </c>
      <c r="C68" s="338">
        <f t="shared" ref="C68:Q68" si="32">(C$66*C63)/1000000</f>
        <v>61.028502599999996</v>
      </c>
      <c r="D68" s="338">
        <f t="shared" si="32"/>
        <v>79.656279393600002</v>
      </c>
      <c r="E68" s="338">
        <f t="shared" si="32"/>
        <v>105.35491238844</v>
      </c>
      <c r="F68" s="338">
        <f>J68*0.235</f>
        <v>31.712139904797958</v>
      </c>
      <c r="G68" s="338">
        <f>J68*0.245</f>
        <v>33.061592666704257</v>
      </c>
      <c r="H68" s="338">
        <f>J68*0.255</f>
        <v>34.411045428610549</v>
      </c>
      <c r="I68" s="338">
        <f>J68*0.265</f>
        <v>35.760498190516849</v>
      </c>
      <c r="J68" s="338">
        <f t="shared" si="32"/>
        <v>134.94527619062961</v>
      </c>
      <c r="K68" s="338">
        <f t="shared" si="32"/>
        <v>161.2088191911715</v>
      </c>
      <c r="L68" s="338">
        <f t="shared" si="32"/>
        <v>182.55677494466903</v>
      </c>
      <c r="M68" s="338">
        <f t="shared" si="32"/>
        <v>199.33226237201703</v>
      </c>
      <c r="N68" s="338">
        <f t="shared" si="32"/>
        <v>201.32558499573719</v>
      </c>
      <c r="O68" s="338">
        <f t="shared" si="32"/>
        <v>203.33884084569456</v>
      </c>
      <c r="P68" s="338">
        <f t="shared" si="32"/>
        <v>205.37222925415153</v>
      </c>
      <c r="Q68" s="338">
        <f t="shared" si="32"/>
        <v>207.42595154669303</v>
      </c>
    </row>
    <row r="69" spans="1:17" outlineLevel="2">
      <c r="A69" s="240"/>
      <c r="B69" s="254" t="s">
        <v>563</v>
      </c>
      <c r="C69" s="256">
        <v>61</v>
      </c>
      <c r="D69" s="256">
        <v>80</v>
      </c>
      <c r="E69" s="256">
        <v>105</v>
      </c>
      <c r="F69" s="274"/>
      <c r="G69" s="275"/>
      <c r="H69" s="275"/>
      <c r="I69" s="275"/>
      <c r="J69" s="275"/>
      <c r="K69" s="275"/>
      <c r="L69" s="275"/>
      <c r="M69" s="275"/>
      <c r="N69" s="275"/>
      <c r="O69" s="275"/>
      <c r="P69" s="275"/>
      <c r="Q69" s="275"/>
    </row>
    <row r="70" spans="1:17" outlineLevel="1">
      <c r="A70" s="240"/>
      <c r="B70" s="248"/>
      <c r="C70" s="249"/>
      <c r="D70" s="252"/>
      <c r="E70" s="252"/>
      <c r="F70" s="249"/>
      <c r="G70" s="249"/>
      <c r="H70" s="249"/>
      <c r="I70" s="249"/>
      <c r="J70" s="252"/>
      <c r="K70" s="252"/>
      <c r="L70" s="252"/>
      <c r="M70" s="252"/>
      <c r="N70" s="252"/>
      <c r="O70" s="252"/>
      <c r="P70" s="252"/>
      <c r="Q70" s="252"/>
    </row>
    <row r="71" spans="1:17" outlineLevel="1">
      <c r="A71" s="240"/>
      <c r="B71" s="246" t="s">
        <v>573</v>
      </c>
      <c r="C71" s="276"/>
      <c r="D71" s="276"/>
      <c r="E71" s="276"/>
      <c r="F71" s="276"/>
      <c r="G71" s="276"/>
      <c r="H71" s="276"/>
      <c r="I71" s="276"/>
      <c r="J71" s="276"/>
      <c r="K71" s="276"/>
      <c r="L71" s="276"/>
      <c r="M71" s="276"/>
      <c r="N71" s="276"/>
      <c r="O71" s="276"/>
      <c r="P71" s="276"/>
      <c r="Q71" s="276"/>
    </row>
    <row r="72" spans="1:17" outlineLevel="2">
      <c r="A72" s="240"/>
      <c r="B72" s="248"/>
      <c r="C72" s="240"/>
      <c r="D72" s="240"/>
      <c r="E72" s="240"/>
      <c r="F72" s="240"/>
      <c r="G72" s="240"/>
      <c r="H72" s="240"/>
      <c r="I72" s="240"/>
      <c r="J72" s="240"/>
      <c r="K72" s="240"/>
      <c r="L72" s="240"/>
      <c r="M72" s="240"/>
      <c r="N72" s="240"/>
      <c r="O72" s="240"/>
      <c r="P72" s="240"/>
      <c r="Q72" s="240"/>
    </row>
    <row r="73" spans="1:17" outlineLevel="2">
      <c r="A73" s="240"/>
      <c r="B73" s="277" t="s">
        <v>574</v>
      </c>
      <c r="C73" s="278"/>
      <c r="D73" s="278"/>
      <c r="E73" s="278"/>
      <c r="F73" s="278"/>
      <c r="G73" s="278"/>
      <c r="H73" s="278"/>
      <c r="I73" s="278"/>
      <c r="J73" s="278"/>
      <c r="K73" s="278"/>
      <c r="L73" s="279"/>
      <c r="M73" s="279"/>
      <c r="N73" s="279"/>
      <c r="O73" s="279"/>
      <c r="P73" s="279"/>
      <c r="Q73" s="279"/>
    </row>
    <row r="74" spans="1:17" outlineLevel="3">
      <c r="A74" s="240"/>
      <c r="B74" s="277"/>
      <c r="C74" s="278"/>
      <c r="D74" s="278"/>
      <c r="E74" s="278"/>
      <c r="F74" s="278"/>
      <c r="G74" s="278"/>
      <c r="H74" s="278"/>
      <c r="I74" s="278"/>
      <c r="J74" s="278"/>
      <c r="K74" s="278"/>
      <c r="L74" s="279"/>
      <c r="M74" s="279"/>
      <c r="N74" s="279"/>
      <c r="O74" s="279"/>
      <c r="P74" s="279"/>
      <c r="Q74" s="279"/>
    </row>
    <row r="75" spans="1:17" outlineLevel="3">
      <c r="A75" s="240"/>
      <c r="B75" s="277" t="s">
        <v>575</v>
      </c>
      <c r="C75" s="280">
        <f>C76+C78+C77</f>
        <v>90597</v>
      </c>
      <c r="D75" s="280">
        <f>D76+D78+D77</f>
        <v>91502.97</v>
      </c>
      <c r="E75" s="280">
        <f>E76+E78+E77</f>
        <v>92417.999700000015</v>
      </c>
      <c r="F75" s="280"/>
      <c r="G75" s="280"/>
      <c r="H75" s="280"/>
      <c r="I75" s="280"/>
      <c r="J75" s="280">
        <f t="shared" ref="J75:Q75" si="33">J76+J78+J77</f>
        <v>93342.179697</v>
      </c>
      <c r="K75" s="280">
        <f t="shared" si="33"/>
        <v>94275.601493969996</v>
      </c>
      <c r="L75" s="280">
        <f t="shared" si="33"/>
        <v>95218.357508909685</v>
      </c>
      <c r="M75" s="280">
        <f t="shared" si="33"/>
        <v>96170.541083998789</v>
      </c>
      <c r="N75" s="280">
        <f t="shared" si="33"/>
        <v>97132.246494838779</v>
      </c>
      <c r="O75" s="280">
        <f t="shared" si="33"/>
        <v>98103.568959787168</v>
      </c>
      <c r="P75" s="280">
        <f t="shared" si="33"/>
        <v>99084.604649385044</v>
      </c>
      <c r="Q75" s="280">
        <f t="shared" si="33"/>
        <v>100075.45069587888</v>
      </c>
    </row>
    <row r="76" spans="1:17" outlineLevel="3">
      <c r="A76" s="240"/>
      <c r="B76" s="281" t="s">
        <v>576</v>
      </c>
      <c r="C76" s="279">
        <f>20500*(1+0.01)</f>
        <v>20705</v>
      </c>
      <c r="D76" s="282">
        <f t="shared" ref="D76:E78" si="34">C76*(1+0.01)</f>
        <v>20912.05</v>
      </c>
      <c r="E76" s="282">
        <f t="shared" si="34"/>
        <v>21121.1705</v>
      </c>
      <c r="F76" s="282"/>
      <c r="G76" s="282"/>
      <c r="H76" s="282"/>
      <c r="I76" s="282"/>
      <c r="J76" s="282">
        <f>E76*(1+0.01)</f>
        <v>21332.382205000002</v>
      </c>
      <c r="K76" s="282">
        <f t="shared" ref="K76:Q78" si="35">J76*(1+0.01)</f>
        <v>21545.706027050001</v>
      </c>
      <c r="L76" s="282">
        <f t="shared" si="35"/>
        <v>21761.163087320499</v>
      </c>
      <c r="M76" s="282">
        <f t="shared" si="35"/>
        <v>21978.774718193705</v>
      </c>
      <c r="N76" s="282">
        <f t="shared" si="35"/>
        <v>22198.562465375642</v>
      </c>
      <c r="O76" s="282">
        <f t="shared" si="35"/>
        <v>22420.548090029399</v>
      </c>
      <c r="P76" s="282">
        <f t="shared" si="35"/>
        <v>22644.753570929694</v>
      </c>
      <c r="Q76" s="282">
        <f t="shared" si="35"/>
        <v>22871.20110663899</v>
      </c>
    </row>
    <row r="77" spans="1:17" outlineLevel="3">
      <c r="A77" s="240"/>
      <c r="B77" s="281" t="s">
        <v>577</v>
      </c>
      <c r="C77" s="279">
        <f>18100*(1+0.01)</f>
        <v>18281</v>
      </c>
      <c r="D77" s="282">
        <f t="shared" si="34"/>
        <v>18463.810000000001</v>
      </c>
      <c r="E77" s="282">
        <f t="shared" si="34"/>
        <v>18648.448100000001</v>
      </c>
      <c r="F77" s="282"/>
      <c r="G77" s="282"/>
      <c r="H77" s="282"/>
      <c r="I77" s="282"/>
      <c r="J77" s="282">
        <f>E77*(1+0.01)</f>
        <v>18834.932581000001</v>
      </c>
      <c r="K77" s="282">
        <f t="shared" si="35"/>
        <v>19023.28190681</v>
      </c>
      <c r="L77" s="282">
        <f t="shared" si="35"/>
        <v>19213.5147258781</v>
      </c>
      <c r="M77" s="282">
        <f t="shared" si="35"/>
        <v>19405.649873136881</v>
      </c>
      <c r="N77" s="282">
        <f t="shared" si="35"/>
        <v>19599.706371868251</v>
      </c>
      <c r="O77" s="282">
        <f t="shared" si="35"/>
        <v>19795.703435586933</v>
      </c>
      <c r="P77" s="282">
        <f t="shared" si="35"/>
        <v>19993.660469942803</v>
      </c>
      <c r="Q77" s="282">
        <f t="shared" si="35"/>
        <v>20193.597074642232</v>
      </c>
    </row>
    <row r="78" spans="1:17" outlineLevel="3">
      <c r="A78" s="240"/>
      <c r="B78" s="281" t="s">
        <v>578</v>
      </c>
      <c r="C78" s="279">
        <f>51100*(1+0.01)</f>
        <v>51611</v>
      </c>
      <c r="D78" s="282">
        <f t="shared" si="34"/>
        <v>52127.11</v>
      </c>
      <c r="E78" s="282">
        <f t="shared" si="34"/>
        <v>52648.381099999999</v>
      </c>
      <c r="F78" s="282"/>
      <c r="G78" s="282"/>
      <c r="H78" s="282"/>
      <c r="I78" s="282"/>
      <c r="J78" s="282">
        <f>E78*(1+0.01)</f>
        <v>53174.864910999997</v>
      </c>
      <c r="K78" s="282">
        <f t="shared" si="35"/>
        <v>53706.613560109996</v>
      </c>
      <c r="L78" s="282">
        <f t="shared" si="35"/>
        <v>54243.679695711093</v>
      </c>
      <c r="M78" s="282">
        <f t="shared" si="35"/>
        <v>54786.116492668203</v>
      </c>
      <c r="N78" s="282">
        <f t="shared" si="35"/>
        <v>55333.977657594885</v>
      </c>
      <c r="O78" s="282">
        <f t="shared" si="35"/>
        <v>55887.317434170836</v>
      </c>
      <c r="P78" s="282">
        <f t="shared" si="35"/>
        <v>56446.190608512545</v>
      </c>
      <c r="Q78" s="282">
        <f t="shared" si="35"/>
        <v>57010.65251459767</v>
      </c>
    </row>
    <row r="79" spans="1:17" outlineLevel="3">
      <c r="A79" s="240"/>
      <c r="B79" s="277" t="s">
        <v>579</v>
      </c>
      <c r="C79" s="280">
        <f>C80+C82+C81</f>
        <v>91405</v>
      </c>
      <c r="D79" s="280">
        <f>D80+D82+D81</f>
        <v>92319.05</v>
      </c>
      <c r="E79" s="280">
        <f>E80+E82+E81</f>
        <v>93242.2405</v>
      </c>
      <c r="F79" s="280"/>
      <c r="G79" s="280"/>
      <c r="H79" s="280"/>
      <c r="I79" s="280"/>
      <c r="J79" s="280">
        <f t="shared" ref="J79:Q79" si="36">J80+J82+J81</f>
        <v>94174.662905000005</v>
      </c>
      <c r="K79" s="280">
        <f t="shared" si="36"/>
        <v>95116.409534050006</v>
      </c>
      <c r="L79" s="280">
        <f t="shared" si="36"/>
        <v>96067.573629390507</v>
      </c>
      <c r="M79" s="280">
        <f t="shared" si="36"/>
        <v>97028.249365684416</v>
      </c>
      <c r="N79" s="280">
        <f t="shared" si="36"/>
        <v>97998.531859341267</v>
      </c>
      <c r="O79" s="280">
        <f t="shared" si="36"/>
        <v>98978.517177934686</v>
      </c>
      <c r="P79" s="280">
        <f t="shared" si="36"/>
        <v>99968.302349714038</v>
      </c>
      <c r="Q79" s="280">
        <f t="shared" si="36"/>
        <v>100967.98537321118</v>
      </c>
    </row>
    <row r="80" spans="1:17" outlineLevel="3">
      <c r="A80" s="240"/>
      <c r="B80" s="281" t="s">
        <v>576</v>
      </c>
      <c r="C80" s="282">
        <f>11400*(1+0.01)</f>
        <v>11514</v>
      </c>
      <c r="D80" s="282">
        <f t="shared" ref="D80:E82" si="37">C80*(1+0.01)</f>
        <v>11629.14</v>
      </c>
      <c r="E80" s="282">
        <f t="shared" si="37"/>
        <v>11745.431399999999</v>
      </c>
      <c r="F80" s="282"/>
      <c r="G80" s="282"/>
      <c r="H80" s="282"/>
      <c r="I80" s="282"/>
      <c r="J80" s="282">
        <f>E80*(1+0.01)</f>
        <v>11862.885714</v>
      </c>
      <c r="K80" s="282">
        <f t="shared" ref="K80:Q82" si="38">J80*(1+0.01)</f>
        <v>11981.51457114</v>
      </c>
      <c r="L80" s="282">
        <f t="shared" si="38"/>
        <v>12101.3297168514</v>
      </c>
      <c r="M80" s="282">
        <f t="shared" si="38"/>
        <v>12222.343014019914</v>
      </c>
      <c r="N80" s="282">
        <f t="shared" si="38"/>
        <v>12344.566444160113</v>
      </c>
      <c r="O80" s="282">
        <f t="shared" si="38"/>
        <v>12468.012108601713</v>
      </c>
      <c r="P80" s="282">
        <f t="shared" si="38"/>
        <v>12592.692229687731</v>
      </c>
      <c r="Q80" s="282">
        <f t="shared" si="38"/>
        <v>12718.619151984609</v>
      </c>
    </row>
    <row r="81" spans="1:17" outlineLevel="3">
      <c r="A81" s="240"/>
      <c r="B81" s="281" t="s">
        <v>577</v>
      </c>
      <c r="C81" s="282">
        <f>60300*(1+0.01)</f>
        <v>60903</v>
      </c>
      <c r="D81" s="282">
        <f t="shared" si="37"/>
        <v>61512.03</v>
      </c>
      <c r="E81" s="282">
        <f t="shared" si="37"/>
        <v>62127.150300000001</v>
      </c>
      <c r="F81" s="282"/>
      <c r="G81" s="282"/>
      <c r="H81" s="282"/>
      <c r="I81" s="282"/>
      <c r="J81" s="282">
        <f>E81*(1+0.01)</f>
        <v>62748.421803000005</v>
      </c>
      <c r="K81" s="282">
        <f t="shared" si="38"/>
        <v>63375.906021030009</v>
      </c>
      <c r="L81" s="282">
        <f t="shared" si="38"/>
        <v>64009.66508124031</v>
      </c>
      <c r="M81" s="282">
        <f t="shared" si="38"/>
        <v>64649.761732052713</v>
      </c>
      <c r="N81" s="282">
        <f t="shared" si="38"/>
        <v>65296.259349373242</v>
      </c>
      <c r="O81" s="282">
        <f t="shared" si="38"/>
        <v>65949.221942866978</v>
      </c>
      <c r="P81" s="282">
        <f t="shared" si="38"/>
        <v>66608.714162295655</v>
      </c>
      <c r="Q81" s="282">
        <f t="shared" si="38"/>
        <v>67274.801303918619</v>
      </c>
    </row>
    <row r="82" spans="1:17" outlineLevel="3">
      <c r="A82" s="240"/>
      <c r="B82" s="281" t="s">
        <v>578</v>
      </c>
      <c r="C82" s="282">
        <f>18800*(1+0.01)</f>
        <v>18988</v>
      </c>
      <c r="D82" s="282">
        <f t="shared" si="37"/>
        <v>19177.88</v>
      </c>
      <c r="E82" s="282">
        <f t="shared" si="37"/>
        <v>19369.658800000001</v>
      </c>
      <c r="F82" s="282"/>
      <c r="G82" s="282"/>
      <c r="H82" s="282"/>
      <c r="I82" s="282"/>
      <c r="J82" s="282">
        <f>E82*(1+0.01)</f>
        <v>19563.355388</v>
      </c>
      <c r="K82" s="282">
        <f t="shared" si="38"/>
        <v>19758.988941880001</v>
      </c>
      <c r="L82" s="282">
        <f t="shared" si="38"/>
        <v>19956.578831298801</v>
      </c>
      <c r="M82" s="282">
        <f t="shared" si="38"/>
        <v>20156.14461961179</v>
      </c>
      <c r="N82" s="282">
        <f t="shared" si="38"/>
        <v>20357.70606580791</v>
      </c>
      <c r="O82" s="282">
        <f t="shared" si="38"/>
        <v>20561.283126465991</v>
      </c>
      <c r="P82" s="282">
        <f t="shared" si="38"/>
        <v>20766.895957730652</v>
      </c>
      <c r="Q82" s="282">
        <f t="shared" si="38"/>
        <v>20974.564917307958</v>
      </c>
    </row>
    <row r="83" spans="1:17" outlineLevel="3">
      <c r="A83" s="240"/>
      <c r="B83" s="281" t="s">
        <v>580</v>
      </c>
      <c r="C83" s="279">
        <f>29000*(1.01^2)</f>
        <v>29582.9</v>
      </c>
      <c r="D83" s="279">
        <f>C83*1.01</f>
        <v>29878.729000000003</v>
      </c>
      <c r="E83" s="279">
        <f>D83*1.01</f>
        <v>30177.516290000003</v>
      </c>
      <c r="F83" s="279"/>
      <c r="G83" s="279"/>
      <c r="H83" s="279"/>
      <c r="I83" s="279"/>
      <c r="J83" s="279">
        <f>E83*1.01</f>
        <v>30479.291452900005</v>
      </c>
      <c r="K83" s="279">
        <f t="shared" ref="K83:Q83" si="39">J83*1.01</f>
        <v>30784.084367429004</v>
      </c>
      <c r="L83" s="279">
        <f t="shared" si="39"/>
        <v>31091.925211103295</v>
      </c>
      <c r="M83" s="279">
        <f t="shared" si="39"/>
        <v>31402.844463214329</v>
      </c>
      <c r="N83" s="279">
        <f t="shared" si="39"/>
        <v>31716.872907846471</v>
      </c>
      <c r="O83" s="279">
        <f t="shared" si="39"/>
        <v>32034.041636924936</v>
      </c>
      <c r="P83" s="279">
        <f t="shared" si="39"/>
        <v>32354.382053294186</v>
      </c>
      <c r="Q83" s="279">
        <f t="shared" si="39"/>
        <v>32677.925873827127</v>
      </c>
    </row>
    <row r="84" spans="1:17" outlineLevel="3">
      <c r="A84" s="240"/>
      <c r="B84" s="281" t="s">
        <v>581</v>
      </c>
      <c r="C84" s="283">
        <v>0.22</v>
      </c>
      <c r="D84" s="283">
        <f>C84</f>
        <v>0.22</v>
      </c>
      <c r="E84" s="283">
        <f>D84</f>
        <v>0.22</v>
      </c>
      <c r="F84" s="283"/>
      <c r="G84" s="283"/>
      <c r="H84" s="283"/>
      <c r="I84" s="283"/>
      <c r="J84" s="283">
        <f>E84</f>
        <v>0.22</v>
      </c>
      <c r="K84" s="283">
        <f t="shared" ref="K84:Q84" si="40">J84</f>
        <v>0.22</v>
      </c>
      <c r="L84" s="283">
        <f t="shared" si="40"/>
        <v>0.22</v>
      </c>
      <c r="M84" s="283">
        <f t="shared" si="40"/>
        <v>0.22</v>
      </c>
      <c r="N84" s="283">
        <f t="shared" si="40"/>
        <v>0.22</v>
      </c>
      <c r="O84" s="283">
        <f t="shared" si="40"/>
        <v>0.22</v>
      </c>
      <c r="P84" s="283">
        <f t="shared" si="40"/>
        <v>0.22</v>
      </c>
      <c r="Q84" s="283">
        <f t="shared" si="40"/>
        <v>0.22</v>
      </c>
    </row>
    <row r="85" spans="1:17" outlineLevel="3">
      <c r="A85" s="240"/>
      <c r="B85" s="281" t="s">
        <v>582</v>
      </c>
      <c r="C85" s="279">
        <f>24000*(1.01^2)</f>
        <v>24482.400000000001</v>
      </c>
      <c r="D85" s="279">
        <f>C85*1.01</f>
        <v>24727.224000000002</v>
      </c>
      <c r="E85" s="279">
        <f>D85*1.01</f>
        <v>24974.496240000004</v>
      </c>
      <c r="F85" s="279"/>
      <c r="G85" s="279"/>
      <c r="H85" s="279"/>
      <c r="I85" s="279"/>
      <c r="J85" s="279">
        <f>E85*1.01</f>
        <v>25224.241202400004</v>
      </c>
      <c r="K85" s="279">
        <f t="shared" ref="K85:Q85" si="41">J85*1.01</f>
        <v>25476.483614424003</v>
      </c>
      <c r="L85" s="279">
        <f t="shared" si="41"/>
        <v>25731.248450568244</v>
      </c>
      <c r="M85" s="279">
        <f t="shared" si="41"/>
        <v>25988.560935073925</v>
      </c>
      <c r="N85" s="279">
        <f t="shared" si="41"/>
        <v>26248.446544424663</v>
      </c>
      <c r="O85" s="279">
        <f t="shared" si="41"/>
        <v>26510.931009868909</v>
      </c>
      <c r="P85" s="279">
        <f t="shared" si="41"/>
        <v>26776.0403199676</v>
      </c>
      <c r="Q85" s="279">
        <f t="shared" si="41"/>
        <v>27043.800723167278</v>
      </c>
    </row>
    <row r="86" spans="1:17" outlineLevel="3">
      <c r="A86" s="240"/>
      <c r="B86" s="281" t="s">
        <v>583</v>
      </c>
      <c r="C86" s="283"/>
      <c r="D86" s="283"/>
      <c r="E86" s="283"/>
      <c r="F86" s="283"/>
      <c r="G86" s="283"/>
      <c r="H86" s="283"/>
      <c r="I86" s="283"/>
      <c r="J86" s="283"/>
      <c r="K86" s="283">
        <v>0.05</v>
      </c>
      <c r="L86" s="283">
        <v>0.08</v>
      </c>
      <c r="M86" s="283">
        <v>0.1</v>
      </c>
      <c r="N86" s="283">
        <v>0.12</v>
      </c>
      <c r="O86" s="283">
        <v>0.13</v>
      </c>
      <c r="P86" s="283">
        <v>0.14000000000000001</v>
      </c>
      <c r="Q86" s="283">
        <v>0.15</v>
      </c>
    </row>
    <row r="87" spans="1:17" outlineLevel="3">
      <c r="A87" s="240"/>
      <c r="B87" s="279" t="s">
        <v>584</v>
      </c>
      <c r="C87" s="282"/>
      <c r="D87" s="282"/>
      <c r="E87" s="282"/>
      <c r="F87" s="282"/>
      <c r="G87" s="282"/>
      <c r="H87" s="282"/>
      <c r="I87" s="282"/>
      <c r="J87" s="282"/>
      <c r="K87" s="282">
        <f t="shared" ref="K87:Q87" si="42">K85*K86</f>
        <v>1273.8241807212003</v>
      </c>
      <c r="L87" s="282">
        <f t="shared" si="42"/>
        <v>2058.4998760454596</v>
      </c>
      <c r="M87" s="282">
        <f t="shared" si="42"/>
        <v>2598.8560935073929</v>
      </c>
      <c r="N87" s="282">
        <f t="shared" si="42"/>
        <v>3149.8135853309595</v>
      </c>
      <c r="O87" s="282">
        <f t="shared" si="42"/>
        <v>3446.4210312829582</v>
      </c>
      <c r="P87" s="282">
        <f t="shared" si="42"/>
        <v>3748.6456447954642</v>
      </c>
      <c r="Q87" s="282">
        <f t="shared" si="42"/>
        <v>4056.5701084750917</v>
      </c>
    </row>
    <row r="88" spans="1:17" outlineLevel="3">
      <c r="A88" s="240"/>
      <c r="B88" s="284" t="s">
        <v>585</v>
      </c>
      <c r="C88" s="282"/>
      <c r="D88" s="282"/>
      <c r="E88" s="282"/>
      <c r="F88" s="282"/>
      <c r="G88" s="282"/>
      <c r="H88" s="282"/>
      <c r="I88" s="282"/>
      <c r="J88" s="282"/>
      <c r="K88" s="282">
        <v>6</v>
      </c>
      <c r="L88" s="282">
        <f t="shared" ref="L88:Q88" si="43">K88</f>
        <v>6</v>
      </c>
      <c r="M88" s="282">
        <f t="shared" si="43"/>
        <v>6</v>
      </c>
      <c r="N88" s="282">
        <f t="shared" si="43"/>
        <v>6</v>
      </c>
      <c r="O88" s="282">
        <f t="shared" si="43"/>
        <v>6</v>
      </c>
      <c r="P88" s="282">
        <f t="shared" si="43"/>
        <v>6</v>
      </c>
      <c r="Q88" s="282">
        <f t="shared" si="43"/>
        <v>6</v>
      </c>
    </row>
    <row r="89" spans="1:17" outlineLevel="3">
      <c r="A89" s="240"/>
      <c r="B89" s="284" t="s">
        <v>586</v>
      </c>
      <c r="C89" s="285">
        <f>'Onyx Products (exKyprolis)'!C13</f>
        <v>6711.25</v>
      </c>
      <c r="D89" s="285">
        <f>'Onyx Products (exKyprolis)'!D13</f>
        <v>6912.5875000000005</v>
      </c>
      <c r="E89" s="285">
        <f>'Onyx Products (exKyprolis)'!E13</f>
        <v>7327.3427500000016</v>
      </c>
      <c r="F89" s="285"/>
      <c r="G89" s="285"/>
      <c r="H89" s="285"/>
      <c r="I89" s="285"/>
      <c r="J89" s="285">
        <f>'Onyx Products (exKyprolis)'!J13</f>
        <v>7547.1630325000024</v>
      </c>
      <c r="K89" s="285">
        <f>'Onyx Products (exKyprolis)'!K13</f>
        <v>7698.1062931500019</v>
      </c>
      <c r="L89" s="285">
        <f>'Onyx Products (exKyprolis)'!L13</f>
        <v>7852.0684190130023</v>
      </c>
      <c r="M89" s="285">
        <f>'Onyx Products (exKyprolis)'!M13</f>
        <v>8009.1097873932631</v>
      </c>
      <c r="N89" s="285">
        <f>'Onyx Products (exKyprolis)'!N13</f>
        <v>8169.2919831411291</v>
      </c>
      <c r="O89" s="285">
        <f>'Onyx Products (exKyprolis)'!O13</f>
        <v>8332.6778228039511</v>
      </c>
      <c r="P89" s="285">
        <f>'Onyx Products (exKyprolis)'!P13</f>
        <v>8499.3313792600293</v>
      </c>
      <c r="Q89" s="285">
        <f>'Onyx Products (exKyprolis)'!Q13</f>
        <v>8669.3180068452293</v>
      </c>
    </row>
    <row r="90" spans="1:17" outlineLevel="3">
      <c r="A90" s="240"/>
      <c r="B90" s="279" t="s">
        <v>587</v>
      </c>
      <c r="C90" s="285"/>
      <c r="D90" s="285"/>
      <c r="E90" s="285"/>
      <c r="F90" s="285"/>
      <c r="G90" s="285"/>
      <c r="H90" s="285"/>
      <c r="I90" s="285"/>
      <c r="J90" s="285"/>
      <c r="K90" s="285">
        <f t="shared" ref="K90:Q90" si="44">K89*K88</f>
        <v>46188.637758900011</v>
      </c>
      <c r="L90" s="285">
        <f t="shared" si="44"/>
        <v>47112.410514078016</v>
      </c>
      <c r="M90" s="285">
        <f t="shared" si="44"/>
        <v>48054.658724359579</v>
      </c>
      <c r="N90" s="285">
        <f t="shared" si="44"/>
        <v>49015.751898846778</v>
      </c>
      <c r="O90" s="285">
        <f t="shared" si="44"/>
        <v>49996.066936823707</v>
      </c>
      <c r="P90" s="285">
        <f t="shared" si="44"/>
        <v>50995.988275560172</v>
      </c>
      <c r="Q90" s="285">
        <f t="shared" si="44"/>
        <v>52015.90804107138</v>
      </c>
    </row>
    <row r="91" spans="1:17" outlineLevel="3">
      <c r="A91" s="240"/>
      <c r="B91" s="277" t="s">
        <v>588</v>
      </c>
      <c r="C91" s="278"/>
      <c r="D91" s="278"/>
      <c r="E91" s="278"/>
      <c r="F91" s="278"/>
      <c r="G91" s="278"/>
      <c r="H91" s="278"/>
      <c r="I91" s="278"/>
      <c r="J91" s="278"/>
      <c r="K91" s="278">
        <f t="shared" ref="K91:Q91" si="45">(K87*K90)/1000000</f>
        <v>58.836203651859101</v>
      </c>
      <c r="L91" s="278">
        <f t="shared" si="45"/>
        <v>96.980891203432392</v>
      </c>
      <c r="M91" s="278">
        <f t="shared" si="45"/>
        <v>124.88714264722009</v>
      </c>
      <c r="N91" s="278">
        <f t="shared" si="45"/>
        <v>154.39048122619937</v>
      </c>
      <c r="O91" s="278">
        <f t="shared" si="45"/>
        <v>172.30749657249979</v>
      </c>
      <c r="P91" s="278">
        <f t="shared" si="45"/>
        <v>191.16588935121922</v>
      </c>
      <c r="Q91" s="278">
        <f t="shared" si="45"/>
        <v>211.00617772459933</v>
      </c>
    </row>
    <row r="92" spans="1:17" outlineLevel="3">
      <c r="A92" s="240"/>
      <c r="B92" s="277" t="s">
        <v>589</v>
      </c>
      <c r="C92" s="286"/>
      <c r="D92" s="286"/>
      <c r="E92" s="286"/>
      <c r="F92" s="286"/>
      <c r="G92" s="286"/>
      <c r="H92" s="286"/>
      <c r="I92" s="286"/>
      <c r="J92" s="286"/>
      <c r="K92" s="286">
        <f>K91</f>
        <v>58.836203651859101</v>
      </c>
      <c r="L92" s="286">
        <f t="shared" ref="L92:Q92" si="46">K91*0.33</f>
        <v>19.415947205113504</v>
      </c>
      <c r="M92" s="286">
        <f t="shared" si="46"/>
        <v>32.003694097132694</v>
      </c>
      <c r="N92" s="286">
        <f t="shared" si="46"/>
        <v>41.21275707358263</v>
      </c>
      <c r="O92" s="286">
        <f t="shared" si="46"/>
        <v>50.948858804645795</v>
      </c>
      <c r="P92" s="286">
        <f t="shared" si="46"/>
        <v>56.861473868924932</v>
      </c>
      <c r="Q92" s="286">
        <f t="shared" si="46"/>
        <v>63.084743485902344</v>
      </c>
    </row>
    <row r="93" spans="1:17" outlineLevel="3">
      <c r="A93" s="240"/>
      <c r="B93" s="277" t="s">
        <v>590</v>
      </c>
      <c r="C93" s="286"/>
      <c r="D93" s="286"/>
      <c r="E93" s="286"/>
      <c r="F93" s="286"/>
      <c r="G93" s="286"/>
      <c r="H93" s="286"/>
      <c r="I93" s="286"/>
      <c r="J93" s="286"/>
      <c r="K93" s="286">
        <f>CHOOSE($B$2,K94,K95,K96)</f>
        <v>117.6724073037182</v>
      </c>
      <c r="L93" s="286">
        <f t="shared" ref="L93:Q93" si="47">CHOOSE($B$2,L94,L95,L96)</f>
        <v>116.3968384085459</v>
      </c>
      <c r="M93" s="286">
        <f t="shared" si="47"/>
        <v>156.89083674435278</v>
      </c>
      <c r="N93" s="286">
        <f t="shared" si="47"/>
        <v>195.60323829978199</v>
      </c>
      <c r="O93" s="286">
        <f t="shared" si="47"/>
        <v>223.25635537714558</v>
      </c>
      <c r="P93" s="286">
        <f t="shared" si="47"/>
        <v>248.02736322014414</v>
      </c>
      <c r="Q93" s="286">
        <f t="shared" si="47"/>
        <v>274.09092121050168</v>
      </c>
    </row>
    <row r="94" spans="1:17" outlineLevel="4">
      <c r="A94" s="287" t="s">
        <v>591</v>
      </c>
      <c r="B94" s="288" t="s">
        <v>592</v>
      </c>
      <c r="C94" s="289"/>
      <c r="D94" s="289"/>
      <c r="E94" s="289"/>
      <c r="F94" s="289"/>
      <c r="G94" s="289"/>
      <c r="H94" s="289"/>
      <c r="I94" s="289"/>
      <c r="J94" s="289"/>
      <c r="K94" s="290">
        <v>0</v>
      </c>
      <c r="L94" s="290">
        <v>0</v>
      </c>
      <c r="M94" s="290">
        <v>0</v>
      </c>
      <c r="N94" s="290">
        <v>0</v>
      </c>
      <c r="O94" s="290">
        <v>0</v>
      </c>
      <c r="P94" s="290">
        <v>0</v>
      </c>
      <c r="Q94" s="290">
        <v>0</v>
      </c>
    </row>
    <row r="95" spans="1:17" outlineLevel="4">
      <c r="A95" s="291" t="s">
        <v>591</v>
      </c>
      <c r="B95" s="292" t="s">
        <v>593</v>
      </c>
      <c r="C95" s="289"/>
      <c r="D95" s="289"/>
      <c r="E95" s="289"/>
      <c r="F95" s="289"/>
      <c r="G95" s="289"/>
      <c r="H95" s="289"/>
      <c r="I95" s="289"/>
      <c r="J95" s="289"/>
      <c r="K95" s="290">
        <f>SUM(K91:K92)</f>
        <v>117.6724073037182</v>
      </c>
      <c r="L95" s="290">
        <f t="shared" ref="L95:Q95" si="48">SUM(L91:L92)</f>
        <v>116.3968384085459</v>
      </c>
      <c r="M95" s="290">
        <f t="shared" si="48"/>
        <v>156.89083674435278</v>
      </c>
      <c r="N95" s="290">
        <f t="shared" si="48"/>
        <v>195.60323829978199</v>
      </c>
      <c r="O95" s="290">
        <f t="shared" si="48"/>
        <v>223.25635537714558</v>
      </c>
      <c r="P95" s="290">
        <f t="shared" si="48"/>
        <v>248.02736322014414</v>
      </c>
      <c r="Q95" s="290">
        <f t="shared" si="48"/>
        <v>274.09092121050168</v>
      </c>
    </row>
    <row r="96" spans="1:17" outlineLevel="4">
      <c r="A96" s="293" t="s">
        <v>591</v>
      </c>
      <c r="B96" s="294" t="s">
        <v>594</v>
      </c>
      <c r="C96" s="289"/>
      <c r="D96" s="289"/>
      <c r="E96" s="289"/>
      <c r="F96" s="289"/>
      <c r="G96" s="289"/>
      <c r="H96" s="289"/>
      <c r="I96" s="289"/>
      <c r="J96" s="289"/>
      <c r="K96" s="290">
        <f>K95</f>
        <v>117.6724073037182</v>
      </c>
      <c r="L96" s="290">
        <f t="shared" ref="L96:Q96" si="49">L95</f>
        <v>116.3968384085459</v>
      </c>
      <c r="M96" s="290">
        <f t="shared" si="49"/>
        <v>156.89083674435278</v>
      </c>
      <c r="N96" s="290">
        <f t="shared" si="49"/>
        <v>195.60323829978199</v>
      </c>
      <c r="O96" s="290">
        <f t="shared" si="49"/>
        <v>223.25635537714558</v>
      </c>
      <c r="P96" s="290">
        <f t="shared" si="49"/>
        <v>248.02736322014414</v>
      </c>
      <c r="Q96" s="290">
        <f t="shared" si="49"/>
        <v>274.09092121050168</v>
      </c>
    </row>
    <row r="97" spans="1:17" outlineLevel="3">
      <c r="A97" s="240"/>
      <c r="C97" s="286"/>
      <c r="D97" s="286"/>
      <c r="E97" s="286"/>
      <c r="F97" s="286"/>
      <c r="G97" s="286"/>
      <c r="H97" s="286"/>
      <c r="I97" s="286"/>
      <c r="J97" s="286"/>
      <c r="L97" s="286"/>
      <c r="M97" s="286"/>
      <c r="N97" s="286"/>
      <c r="O97" s="286"/>
      <c r="P97" s="286"/>
      <c r="Q97" s="286"/>
    </row>
    <row r="98" spans="1:17" outlineLevel="2">
      <c r="A98" s="240"/>
      <c r="B98" s="277"/>
      <c r="C98" s="286"/>
      <c r="D98" s="286"/>
      <c r="E98" s="286"/>
      <c r="F98" s="286"/>
      <c r="G98" s="286"/>
      <c r="H98" s="286"/>
      <c r="I98" s="286"/>
      <c r="J98" s="286"/>
      <c r="K98" s="286"/>
      <c r="L98" s="286"/>
      <c r="M98" s="286"/>
      <c r="N98" s="286"/>
      <c r="O98" s="286"/>
      <c r="P98" s="286"/>
      <c r="Q98" s="286"/>
    </row>
    <row r="99" spans="1:17" outlineLevel="2">
      <c r="A99" s="240"/>
      <c r="B99" s="277" t="s">
        <v>595</v>
      </c>
      <c r="C99" s="278"/>
      <c r="D99" s="278"/>
      <c r="E99" s="278"/>
      <c r="F99" s="278"/>
      <c r="G99" s="278"/>
      <c r="H99" s="278"/>
      <c r="I99" s="278"/>
      <c r="J99" s="278"/>
      <c r="K99" s="278"/>
      <c r="L99" s="279"/>
      <c r="M99" s="279"/>
      <c r="N99" s="279"/>
      <c r="O99" s="279"/>
      <c r="P99" s="279"/>
      <c r="Q99" s="279"/>
    </row>
    <row r="100" spans="1:17" outlineLevel="3">
      <c r="A100" s="240"/>
      <c r="B100" s="277"/>
      <c r="C100" s="278"/>
      <c r="D100" s="278"/>
      <c r="E100" s="278"/>
      <c r="F100" s="278"/>
      <c r="G100" s="278"/>
      <c r="H100" s="278"/>
      <c r="I100" s="278"/>
      <c r="J100" s="278"/>
      <c r="K100" s="278"/>
      <c r="L100" s="279"/>
      <c r="M100" s="279"/>
      <c r="N100" s="279"/>
      <c r="O100" s="279"/>
      <c r="P100" s="279"/>
      <c r="Q100" s="279"/>
    </row>
    <row r="101" spans="1:17" outlineLevel="3">
      <c r="A101" s="240"/>
      <c r="B101" s="277" t="s">
        <v>596</v>
      </c>
      <c r="C101" s="277">
        <v>44670</v>
      </c>
      <c r="D101" s="277">
        <f>C101*1.01</f>
        <v>45116.7</v>
      </c>
      <c r="E101" s="277">
        <f t="shared" ref="E101:Q101" si="50">D101*1.01</f>
        <v>45567.866999999998</v>
      </c>
      <c r="F101" s="277"/>
      <c r="G101" s="277"/>
      <c r="H101" s="277"/>
      <c r="I101" s="277"/>
      <c r="J101" s="277">
        <f>E101*1.01</f>
        <v>46023.54567</v>
      </c>
      <c r="K101" s="277">
        <f t="shared" si="50"/>
        <v>46483.7811267</v>
      </c>
      <c r="L101" s="277">
        <f t="shared" si="50"/>
        <v>46948.618937967003</v>
      </c>
      <c r="M101" s="277">
        <f t="shared" si="50"/>
        <v>47418.105127346673</v>
      </c>
      <c r="N101" s="277">
        <f t="shared" si="50"/>
        <v>47892.286178620139</v>
      </c>
      <c r="O101" s="277">
        <f t="shared" si="50"/>
        <v>48371.209040406342</v>
      </c>
      <c r="P101" s="277">
        <f t="shared" si="50"/>
        <v>48854.921130810406</v>
      </c>
      <c r="Q101" s="277">
        <f t="shared" si="50"/>
        <v>49343.470342118511</v>
      </c>
    </row>
    <row r="102" spans="1:17" outlineLevel="3">
      <c r="A102" s="240"/>
      <c r="B102" s="279" t="s">
        <v>597</v>
      </c>
      <c r="C102" s="279">
        <f>458403*(1.01^2)</f>
        <v>467616.90029999998</v>
      </c>
      <c r="D102" s="279">
        <f t="shared" ref="D102:Q102" si="51">C102*1.01</f>
        <v>472293.069303</v>
      </c>
      <c r="E102" s="279">
        <f t="shared" si="51"/>
        <v>477015.99999603</v>
      </c>
      <c r="F102" s="279"/>
      <c r="G102" s="279"/>
      <c r="H102" s="279"/>
      <c r="I102" s="279"/>
      <c r="J102" s="279">
        <f>E102*1.01</f>
        <v>481786.15999599028</v>
      </c>
      <c r="K102" s="279">
        <f t="shared" si="51"/>
        <v>486604.02159595018</v>
      </c>
      <c r="L102" s="279">
        <f t="shared" si="51"/>
        <v>491470.06181190966</v>
      </c>
      <c r="M102" s="279">
        <f t="shared" si="51"/>
        <v>496384.76243002876</v>
      </c>
      <c r="N102" s="279">
        <f t="shared" si="51"/>
        <v>501348.61005432904</v>
      </c>
      <c r="O102" s="279">
        <f t="shared" si="51"/>
        <v>506362.09615487233</v>
      </c>
      <c r="P102" s="279">
        <f t="shared" si="51"/>
        <v>511425.71711642103</v>
      </c>
      <c r="Q102" s="279">
        <f t="shared" si="51"/>
        <v>516539.97428758524</v>
      </c>
    </row>
    <row r="103" spans="1:17" outlineLevel="3">
      <c r="A103" s="240"/>
      <c r="B103" s="279" t="s">
        <v>598</v>
      </c>
      <c r="C103" s="279"/>
      <c r="D103" s="279"/>
      <c r="E103" s="279"/>
      <c r="F103" s="279"/>
      <c r="G103" s="279"/>
      <c r="H103" s="279"/>
      <c r="I103" s="279"/>
      <c r="J103" s="279">
        <f>J101*0.8</f>
        <v>36818.836536000003</v>
      </c>
      <c r="K103" s="279">
        <f t="shared" ref="K103:Q103" si="52">K101*0.8</f>
        <v>37187.024901360004</v>
      </c>
      <c r="L103" s="279">
        <f t="shared" si="52"/>
        <v>37558.895150373603</v>
      </c>
      <c r="M103" s="279">
        <f t="shared" si="52"/>
        <v>37934.484101877337</v>
      </c>
      <c r="N103" s="279">
        <f t="shared" si="52"/>
        <v>38313.828942896114</v>
      </c>
      <c r="O103" s="279">
        <f t="shared" si="52"/>
        <v>38696.967232325078</v>
      </c>
      <c r="P103" s="279">
        <f t="shared" si="52"/>
        <v>39083.936904648326</v>
      </c>
      <c r="Q103" s="279">
        <f t="shared" si="52"/>
        <v>39474.776273694813</v>
      </c>
    </row>
    <row r="104" spans="1:17" outlineLevel="3">
      <c r="A104" s="240"/>
      <c r="B104" s="279" t="s">
        <v>599</v>
      </c>
      <c r="C104" s="279"/>
      <c r="D104" s="279"/>
      <c r="E104" s="279"/>
      <c r="F104" s="279"/>
      <c r="G104" s="279"/>
      <c r="H104" s="279"/>
      <c r="I104" s="279"/>
      <c r="J104" s="279">
        <f t="shared" ref="J104:Q104" si="53">J103*0.25</f>
        <v>9204.7091340000006</v>
      </c>
      <c r="K104" s="279">
        <f t="shared" si="53"/>
        <v>9296.756225340001</v>
      </c>
      <c r="L104" s="279">
        <f t="shared" si="53"/>
        <v>9389.7237875934006</v>
      </c>
      <c r="M104" s="279">
        <f t="shared" si="53"/>
        <v>9483.6210254693342</v>
      </c>
      <c r="N104" s="279">
        <f t="shared" si="53"/>
        <v>9578.4572357240286</v>
      </c>
      <c r="O104" s="279">
        <f t="shared" si="53"/>
        <v>9674.2418080812695</v>
      </c>
      <c r="P104" s="279">
        <f t="shared" si="53"/>
        <v>9770.9842261620815</v>
      </c>
      <c r="Q104" s="279">
        <f t="shared" si="53"/>
        <v>9868.6940684237034</v>
      </c>
    </row>
    <row r="105" spans="1:17" outlineLevel="3">
      <c r="A105" s="240"/>
      <c r="B105" s="295" t="s">
        <v>600</v>
      </c>
      <c r="C105" s="279"/>
      <c r="D105" s="279"/>
      <c r="E105" s="279"/>
      <c r="F105" s="279"/>
      <c r="G105" s="279"/>
      <c r="H105" s="279"/>
      <c r="I105" s="279"/>
      <c r="J105" s="279">
        <f t="shared" ref="J105:Q105" si="54">J103*0.05</f>
        <v>1840.9418268000002</v>
      </c>
      <c r="K105" s="279">
        <f t="shared" si="54"/>
        <v>1859.3512450680003</v>
      </c>
      <c r="L105" s="279">
        <f t="shared" si="54"/>
        <v>1877.9447575186803</v>
      </c>
      <c r="M105" s="279">
        <f t="shared" si="54"/>
        <v>1896.7242050938669</v>
      </c>
      <c r="N105" s="279">
        <f t="shared" si="54"/>
        <v>1915.6914471448058</v>
      </c>
      <c r="O105" s="279">
        <f t="shared" si="54"/>
        <v>1934.8483616162539</v>
      </c>
      <c r="P105" s="279">
        <f t="shared" si="54"/>
        <v>1954.1968452324163</v>
      </c>
      <c r="Q105" s="279">
        <f t="shared" si="54"/>
        <v>1973.7388136847408</v>
      </c>
    </row>
    <row r="106" spans="1:17" outlineLevel="3">
      <c r="A106" s="240"/>
      <c r="B106" s="279" t="s">
        <v>601</v>
      </c>
      <c r="C106" s="279"/>
      <c r="D106" s="279"/>
      <c r="E106" s="279"/>
      <c r="F106" s="279"/>
      <c r="G106" s="279"/>
      <c r="H106" s="279"/>
      <c r="I106" s="279"/>
      <c r="J106" s="279">
        <f t="shared" ref="J106:Q106" si="55">0.56*J102</f>
        <v>269800.24959775456</v>
      </c>
      <c r="K106" s="279">
        <f t="shared" si="55"/>
        <v>272498.25209373212</v>
      </c>
      <c r="L106" s="279">
        <f t="shared" si="55"/>
        <v>275223.23461466946</v>
      </c>
      <c r="M106" s="279">
        <f t="shared" si="55"/>
        <v>277975.46696081612</v>
      </c>
      <c r="N106" s="279">
        <f t="shared" si="55"/>
        <v>280755.22163042426</v>
      </c>
      <c r="O106" s="279">
        <f t="shared" si="55"/>
        <v>283562.77384672855</v>
      </c>
      <c r="P106" s="279">
        <f t="shared" si="55"/>
        <v>286398.4015851958</v>
      </c>
      <c r="Q106" s="279">
        <f t="shared" si="55"/>
        <v>289262.38560104778</v>
      </c>
    </row>
    <row r="107" spans="1:17" outlineLevel="3">
      <c r="A107" s="240"/>
      <c r="B107" s="279" t="s">
        <v>602</v>
      </c>
      <c r="C107" s="279"/>
      <c r="D107" s="279"/>
      <c r="E107" s="279"/>
      <c r="F107" s="279"/>
      <c r="G107" s="279"/>
      <c r="H107" s="279"/>
      <c r="I107" s="279"/>
      <c r="J107" s="279">
        <f>J106*0.0175</f>
        <v>4721.5043679607052</v>
      </c>
      <c r="K107" s="279">
        <f t="shared" ref="K107:Q107" si="56">K106*0.0175</f>
        <v>4768.7194116403125</v>
      </c>
      <c r="L107" s="279">
        <f t="shared" si="56"/>
        <v>4816.4066057567161</v>
      </c>
      <c r="M107" s="279">
        <f t="shared" si="56"/>
        <v>4864.5706718142828</v>
      </c>
      <c r="N107" s="279">
        <f t="shared" si="56"/>
        <v>4913.2163785324246</v>
      </c>
      <c r="O107" s="279">
        <f t="shared" si="56"/>
        <v>4962.3485423177499</v>
      </c>
      <c r="P107" s="279">
        <f t="shared" si="56"/>
        <v>5011.9720277409269</v>
      </c>
      <c r="Q107" s="279">
        <f t="shared" si="56"/>
        <v>5062.0917480183361</v>
      </c>
    </row>
    <row r="108" spans="1:17" outlineLevel="3">
      <c r="A108" s="240"/>
      <c r="B108" s="277" t="s">
        <v>603</v>
      </c>
      <c r="C108" s="277"/>
      <c r="D108" s="277"/>
      <c r="E108" s="277"/>
      <c r="F108" s="277"/>
      <c r="G108" s="277"/>
      <c r="H108" s="277"/>
      <c r="I108" s="277"/>
      <c r="J108" s="277">
        <f>J105+J107</f>
        <v>6562.4461947607051</v>
      </c>
      <c r="K108" s="277">
        <f t="shared" ref="K108:Q108" si="57">K105+K107</f>
        <v>6628.0706567083125</v>
      </c>
      <c r="L108" s="277">
        <f t="shared" si="57"/>
        <v>6694.3513632753966</v>
      </c>
      <c r="M108" s="277">
        <f t="shared" si="57"/>
        <v>6761.2948769081495</v>
      </c>
      <c r="N108" s="277">
        <f t="shared" si="57"/>
        <v>6828.90782567723</v>
      </c>
      <c r="O108" s="277">
        <f t="shared" si="57"/>
        <v>6897.1969039340038</v>
      </c>
      <c r="P108" s="277">
        <f t="shared" si="57"/>
        <v>6966.1688729733432</v>
      </c>
      <c r="Q108" s="277">
        <f t="shared" si="57"/>
        <v>7035.8305617030765</v>
      </c>
    </row>
    <row r="109" spans="1:17" outlineLevel="3">
      <c r="A109" s="240"/>
      <c r="B109" s="279" t="s">
        <v>604</v>
      </c>
      <c r="C109" s="296"/>
      <c r="D109" s="296"/>
      <c r="E109" s="296"/>
      <c r="F109" s="296"/>
      <c r="G109" s="296"/>
      <c r="H109" s="296"/>
      <c r="I109" s="296"/>
      <c r="J109" s="296"/>
      <c r="K109" s="297">
        <v>0.1</v>
      </c>
      <c r="L109" s="297">
        <v>0.12</v>
      </c>
      <c r="M109" s="297">
        <v>0.15</v>
      </c>
      <c r="N109" s="297">
        <f>M109</f>
        <v>0.15</v>
      </c>
      <c r="O109" s="297">
        <f>N109</f>
        <v>0.15</v>
      </c>
      <c r="P109" s="297">
        <f>O109</f>
        <v>0.15</v>
      </c>
      <c r="Q109" s="297">
        <f>P109</f>
        <v>0.15</v>
      </c>
    </row>
    <row r="110" spans="1:17" outlineLevel="3">
      <c r="A110" s="240"/>
      <c r="B110" s="284" t="s">
        <v>561</v>
      </c>
      <c r="C110" s="298"/>
      <c r="D110" s="298"/>
      <c r="E110" s="298"/>
      <c r="F110" s="298"/>
      <c r="G110" s="298"/>
      <c r="H110" s="298"/>
      <c r="I110" s="298"/>
      <c r="J110" s="298"/>
      <c r="K110" s="298">
        <f t="shared" ref="K110:Q110" si="58">K109*K108</f>
        <v>662.80706567083132</v>
      </c>
      <c r="L110" s="298">
        <f t="shared" si="58"/>
        <v>803.32216359304755</v>
      </c>
      <c r="M110" s="298">
        <f t="shared" si="58"/>
        <v>1014.1942315362223</v>
      </c>
      <c r="N110" s="298">
        <f t="shared" si="58"/>
        <v>1024.3361738515844</v>
      </c>
      <c r="O110" s="298">
        <f t="shared" si="58"/>
        <v>1034.5795355901005</v>
      </c>
      <c r="P110" s="298">
        <f t="shared" si="58"/>
        <v>1044.9253309460014</v>
      </c>
      <c r="Q110" s="298">
        <f t="shared" si="58"/>
        <v>1055.3745842554615</v>
      </c>
    </row>
    <row r="111" spans="1:17" outlineLevel="3">
      <c r="A111" s="240"/>
      <c r="B111" s="284" t="s">
        <v>585</v>
      </c>
      <c r="C111" s="298"/>
      <c r="D111" s="298"/>
      <c r="E111" s="298"/>
      <c r="F111" s="298"/>
      <c r="G111" s="298"/>
      <c r="H111" s="298"/>
      <c r="I111" s="298"/>
      <c r="J111" s="298"/>
      <c r="K111" s="298">
        <v>5</v>
      </c>
      <c r="L111" s="298">
        <v>8</v>
      </c>
      <c r="M111" s="298">
        <v>9</v>
      </c>
      <c r="N111" s="298">
        <v>10</v>
      </c>
      <c r="O111" s="298">
        <v>10</v>
      </c>
      <c r="P111" s="298">
        <f>O111</f>
        <v>10</v>
      </c>
      <c r="Q111" s="298">
        <f>P111</f>
        <v>10</v>
      </c>
    </row>
    <row r="112" spans="1:17" outlineLevel="3">
      <c r="A112" s="240"/>
      <c r="B112" s="284" t="s">
        <v>605</v>
      </c>
      <c r="C112" s="299"/>
      <c r="D112" s="299"/>
      <c r="E112" s="299"/>
      <c r="F112" s="299"/>
      <c r="G112" s="299"/>
      <c r="H112" s="299"/>
      <c r="I112" s="299"/>
      <c r="J112" s="299">
        <f t="shared" ref="J112:Q112" si="59">J13</f>
        <v>7547.1630325000024</v>
      </c>
      <c r="K112" s="299">
        <f t="shared" si="59"/>
        <v>7698.1062931500019</v>
      </c>
      <c r="L112" s="299">
        <f t="shared" si="59"/>
        <v>7852.0684190130023</v>
      </c>
      <c r="M112" s="299">
        <f t="shared" si="59"/>
        <v>8009.1097873932631</v>
      </c>
      <c r="N112" s="299">
        <f t="shared" si="59"/>
        <v>8169.2919831411291</v>
      </c>
      <c r="O112" s="299">
        <f t="shared" si="59"/>
        <v>8332.6778228039511</v>
      </c>
      <c r="P112" s="299">
        <f t="shared" si="59"/>
        <v>8499.3313792600293</v>
      </c>
      <c r="Q112" s="299">
        <f t="shared" si="59"/>
        <v>8669.3180068452293</v>
      </c>
    </row>
    <row r="113" spans="1:18" outlineLevel="3">
      <c r="A113" s="240"/>
      <c r="B113" s="284" t="s">
        <v>587</v>
      </c>
      <c r="C113" s="299"/>
      <c r="D113" s="299"/>
      <c r="E113" s="299"/>
      <c r="F113" s="299"/>
      <c r="G113" s="299"/>
      <c r="H113" s="299"/>
      <c r="I113" s="299"/>
      <c r="J113" s="299"/>
      <c r="K113" s="299">
        <f t="shared" ref="K113:Q113" si="60">K112*K111</f>
        <v>38490.531465750013</v>
      </c>
      <c r="L113" s="299">
        <f t="shared" si="60"/>
        <v>62816.547352104019</v>
      </c>
      <c r="M113" s="299">
        <f t="shared" si="60"/>
        <v>72081.988086539364</v>
      </c>
      <c r="N113" s="299">
        <f t="shared" si="60"/>
        <v>81692.919831411287</v>
      </c>
      <c r="O113" s="299">
        <f t="shared" si="60"/>
        <v>83326.778228039504</v>
      </c>
      <c r="P113" s="299">
        <f t="shared" si="60"/>
        <v>84993.313792600296</v>
      </c>
      <c r="Q113" s="299">
        <f t="shared" si="60"/>
        <v>86693.18006845229</v>
      </c>
    </row>
    <row r="114" spans="1:18" outlineLevel="3">
      <c r="A114" s="240"/>
      <c r="B114" s="300" t="s">
        <v>606</v>
      </c>
      <c r="C114" s="286"/>
      <c r="D114" s="286"/>
      <c r="E114" s="286"/>
      <c r="F114" s="286"/>
      <c r="G114" s="286"/>
      <c r="H114" s="286"/>
      <c r="I114" s="286"/>
      <c r="J114" s="286"/>
      <c r="K114" s="286">
        <f t="shared" ref="K114:Q114" si="61">(K113*K110)/1000000</f>
        <v>25.511796216924566</v>
      </c>
      <c r="L114" s="286">
        <f t="shared" si="61"/>
        <v>50.461924728337323</v>
      </c>
      <c r="M114" s="286">
        <f t="shared" si="61"/>
        <v>73.105136515030921</v>
      </c>
      <c r="N114" s="286">
        <f t="shared" si="61"/>
        <v>83.681012930872058</v>
      </c>
      <c r="O114" s="286">
        <f t="shared" si="61"/>
        <v>86.208179521384409</v>
      </c>
      <c r="P114" s="286">
        <f t="shared" si="61"/>
        <v>88.811666542930212</v>
      </c>
      <c r="Q114" s="286">
        <f t="shared" si="61"/>
        <v>91.49377887252669</v>
      </c>
    </row>
    <row r="115" spans="1:18" outlineLevel="3">
      <c r="A115" s="240"/>
      <c r="B115" s="277" t="s">
        <v>607</v>
      </c>
      <c r="C115" s="286"/>
      <c r="D115" s="286"/>
      <c r="E115" s="286"/>
      <c r="F115" s="286"/>
      <c r="G115" s="286"/>
      <c r="H115" s="286"/>
      <c r="I115" s="286"/>
      <c r="J115" s="286"/>
      <c r="K115" s="286"/>
      <c r="L115" s="286">
        <f t="shared" ref="L115:Q115" si="62">K114*0.5</f>
        <v>12.755898108462283</v>
      </c>
      <c r="M115" s="286">
        <f t="shared" si="62"/>
        <v>25.230962364168661</v>
      </c>
      <c r="N115" s="286">
        <f t="shared" si="62"/>
        <v>36.55256825751546</v>
      </c>
      <c r="O115" s="286">
        <f t="shared" si="62"/>
        <v>41.840506465436029</v>
      </c>
      <c r="P115" s="286">
        <f t="shared" si="62"/>
        <v>43.104089760692204</v>
      </c>
      <c r="Q115" s="286">
        <f t="shared" si="62"/>
        <v>44.405833271465106</v>
      </c>
    </row>
    <row r="116" spans="1:18" outlineLevel="3">
      <c r="B116" s="277" t="s">
        <v>608</v>
      </c>
      <c r="C116" s="286"/>
      <c r="D116" s="286"/>
      <c r="E116" s="286"/>
      <c r="F116" s="286"/>
      <c r="G116" s="286"/>
      <c r="H116" s="286"/>
      <c r="I116" s="286"/>
      <c r="J116" s="286"/>
      <c r="K116" s="286">
        <f>SUM(K114:K115)</f>
        <v>25.511796216924566</v>
      </c>
      <c r="L116" s="286">
        <f t="shared" ref="L116:Q116" si="63">SUM(L114:L115)</f>
        <v>63.217822836799606</v>
      </c>
      <c r="M116" s="286">
        <f t="shared" si="63"/>
        <v>98.336098879199582</v>
      </c>
      <c r="N116" s="286">
        <f t="shared" si="63"/>
        <v>120.23358118838752</v>
      </c>
      <c r="O116" s="286">
        <f t="shared" si="63"/>
        <v>128.04868598682043</v>
      </c>
      <c r="P116" s="286">
        <f t="shared" si="63"/>
        <v>131.9157563036224</v>
      </c>
      <c r="Q116" s="286">
        <f t="shared" si="63"/>
        <v>135.89961214399179</v>
      </c>
    </row>
    <row r="117" spans="1:18" outlineLevel="2">
      <c r="A117" s="240"/>
      <c r="B117" s="240"/>
      <c r="C117" s="240"/>
      <c r="D117" s="240"/>
      <c r="E117" s="240"/>
      <c r="F117" s="240"/>
      <c r="G117" s="240"/>
      <c r="H117" s="240"/>
      <c r="I117" s="240"/>
      <c r="J117" s="240"/>
      <c r="K117" s="240"/>
      <c r="L117" s="240"/>
      <c r="M117" s="240"/>
      <c r="N117" s="240"/>
      <c r="O117" s="240"/>
      <c r="P117" s="240"/>
      <c r="Q117" s="240"/>
    </row>
    <row r="118" spans="1:18" outlineLevel="1">
      <c r="A118" s="240"/>
      <c r="B118" s="240"/>
      <c r="C118" s="240"/>
      <c r="D118" s="240"/>
      <c r="E118" s="240"/>
      <c r="F118" s="240"/>
      <c r="G118" s="240"/>
      <c r="H118" s="240"/>
      <c r="I118" s="301"/>
      <c r="J118" s="240"/>
      <c r="K118" s="240"/>
      <c r="L118" s="240"/>
      <c r="M118" s="240"/>
      <c r="N118" s="240"/>
      <c r="O118" s="240"/>
      <c r="P118" s="240"/>
      <c r="Q118" s="240"/>
    </row>
    <row r="119" spans="1:18" outlineLevel="1">
      <c r="A119" s="240"/>
      <c r="B119" s="336" t="s">
        <v>609</v>
      </c>
      <c r="C119" s="335">
        <f t="shared" ref="C119:Q119" si="64">C53+C68+C49+C26+C93+C116</f>
        <v>795.00929341593746</v>
      </c>
      <c r="D119" s="335">
        <f t="shared" si="64"/>
        <v>839.63277901924005</v>
      </c>
      <c r="E119" s="335">
        <f t="shared" si="64"/>
        <v>862.19037285268962</v>
      </c>
      <c r="F119" s="335">
        <f t="shared" si="64"/>
        <v>198.43031869155919</v>
      </c>
      <c r="G119" s="335">
        <f t="shared" si="64"/>
        <v>230.01817805844931</v>
      </c>
      <c r="H119" s="335">
        <f t="shared" si="64"/>
        <v>226.24633315857187</v>
      </c>
      <c r="I119" s="335">
        <f t="shared" si="64"/>
        <v>232.49736964466669</v>
      </c>
      <c r="J119" s="335">
        <f t="shared" si="64"/>
        <v>887.19219955324695</v>
      </c>
      <c r="K119" s="335">
        <f t="shared" si="64"/>
        <v>1052.3868767384731</v>
      </c>
      <c r="L119" s="335">
        <f t="shared" si="64"/>
        <v>1097.7539266693811</v>
      </c>
      <c r="M119" s="335">
        <f t="shared" si="64"/>
        <v>1186.5192552992535</v>
      </c>
      <c r="N119" s="335">
        <f t="shared" si="64"/>
        <v>1254.0266304723295</v>
      </c>
      <c r="O119" s="335">
        <f t="shared" si="64"/>
        <v>1296.5044142673896</v>
      </c>
      <c r="P119" s="335">
        <f t="shared" si="64"/>
        <v>1332.3323191263121</v>
      </c>
      <c r="Q119" s="335">
        <f t="shared" si="64"/>
        <v>1373.4454289677351</v>
      </c>
    </row>
    <row r="120" spans="1:18" outlineLevel="1">
      <c r="A120" s="240"/>
      <c r="B120" s="254" t="s">
        <v>610</v>
      </c>
      <c r="C120" s="302">
        <f>C27+C56+C69</f>
        <v>795</v>
      </c>
      <c r="D120" s="302">
        <f>D27+D56+D69</f>
        <v>840</v>
      </c>
      <c r="E120" s="302">
        <f>E27+E56+E69</f>
        <v>862</v>
      </c>
      <c r="F120" s="302">
        <v>198.524</v>
      </c>
      <c r="G120" s="302">
        <v>229.708</v>
      </c>
      <c r="H120" s="240"/>
      <c r="I120" s="240"/>
      <c r="J120" s="240"/>
      <c r="K120" s="303"/>
      <c r="L120" s="303"/>
      <c r="M120" s="303"/>
      <c r="N120" s="303"/>
      <c r="O120" s="303"/>
      <c r="P120" s="303"/>
      <c r="Q120" s="303"/>
      <c r="R120" s="303"/>
    </row>
    <row r="121" spans="1:18" ht="13.5" customHeight="1" outlineLevel="1">
      <c r="B121" s="244" t="s">
        <v>611</v>
      </c>
      <c r="C121" s="304">
        <v>329.98899999999998</v>
      </c>
      <c r="D121" s="304">
        <v>335.471</v>
      </c>
      <c r="E121" s="304">
        <v>326.22300000000001</v>
      </c>
      <c r="F121" s="304">
        <v>66.138999999999996</v>
      </c>
      <c r="G121" s="304">
        <v>75.456000000000003</v>
      </c>
      <c r="H121" s="304">
        <f>H119*H122</f>
        <v>90.498533263428754</v>
      </c>
      <c r="I121" s="304">
        <f>I119*I122</f>
        <v>92.998947857866682</v>
      </c>
      <c r="J121" s="240">
        <f>SUM(F121:I121)</f>
        <v>325.09248112129546</v>
      </c>
      <c r="K121" s="240">
        <f>K119*K122</f>
        <v>375.10064532401515</v>
      </c>
      <c r="L121" s="240">
        <f t="shared" ref="L121:Q121" si="65">L119*L122</f>
        <v>380.29321429571905</v>
      </c>
      <c r="M121" s="240">
        <f t="shared" si="65"/>
        <v>399.17885881337065</v>
      </c>
      <c r="N121" s="240">
        <f t="shared" si="65"/>
        <v>409.34999551599094</v>
      </c>
      <c r="O121" s="240">
        <f t="shared" si="65"/>
        <v>410.25090938689431</v>
      </c>
      <c r="P121" s="240">
        <f t="shared" si="65"/>
        <v>408.26455534749141</v>
      </c>
      <c r="Q121" s="240">
        <f t="shared" si="65"/>
        <v>407.12832844253143</v>
      </c>
    </row>
    <row r="122" spans="1:18" ht="13.5" customHeight="1" outlineLevel="1">
      <c r="B122" s="305" t="s">
        <v>612</v>
      </c>
      <c r="C122" s="306">
        <f>C121/C120</f>
        <v>0.41508050314465406</v>
      </c>
      <c r="D122" s="306">
        <f>D121/D120</f>
        <v>0.39937023809523808</v>
      </c>
      <c r="E122" s="306">
        <f>E121/E120</f>
        <v>0.37844895591647332</v>
      </c>
      <c r="F122" s="306">
        <f>F121/F120</f>
        <v>0.33315367411496843</v>
      </c>
      <c r="G122" s="306">
        <f>G121/G120</f>
        <v>0.32848660037961241</v>
      </c>
      <c r="H122" s="252">
        <v>0.4</v>
      </c>
      <c r="I122" s="252">
        <v>0.4</v>
      </c>
      <c r="J122" s="306">
        <f>J121/J119</f>
        <v>0.36642847095026138</v>
      </c>
      <c r="K122" s="307">
        <f>J122-1%</f>
        <v>0.35642847095026137</v>
      </c>
      <c r="L122" s="307">
        <f t="shared" ref="L122:Q122" si="66">K122-1%</f>
        <v>0.34642847095026136</v>
      </c>
      <c r="M122" s="307">
        <f t="shared" si="66"/>
        <v>0.33642847095026135</v>
      </c>
      <c r="N122" s="307">
        <f t="shared" si="66"/>
        <v>0.32642847095026134</v>
      </c>
      <c r="O122" s="307">
        <f t="shared" si="66"/>
        <v>0.31642847095026133</v>
      </c>
      <c r="P122" s="307">
        <f t="shared" si="66"/>
        <v>0.30642847095026132</v>
      </c>
      <c r="Q122" s="307">
        <f t="shared" si="66"/>
        <v>0.29642847095026131</v>
      </c>
    </row>
    <row r="123" spans="1:18" ht="13.5" customHeight="1" outlineLevel="1">
      <c r="B123" s="244" t="s">
        <v>613</v>
      </c>
      <c r="C123" s="304">
        <f>C119-C121</f>
        <v>465.02029341593749</v>
      </c>
      <c r="D123" s="304">
        <f>D119-D121</f>
        <v>504.16177901924004</v>
      </c>
      <c r="E123" s="304">
        <f>E119-E121</f>
        <v>535.96737285268955</v>
      </c>
      <c r="F123" s="304">
        <f>F120-F121</f>
        <v>132.38499999999999</v>
      </c>
      <c r="G123" s="304">
        <f>G120-G121</f>
        <v>154.25200000000001</v>
      </c>
      <c r="H123" s="304">
        <f>H119-H121</f>
        <v>135.74779989514312</v>
      </c>
      <c r="I123" s="304">
        <f>I119-I121</f>
        <v>139.49842178680001</v>
      </c>
      <c r="J123" s="240">
        <f>SUM(F123:I123)</f>
        <v>561.88322168194316</v>
      </c>
      <c r="K123" s="240">
        <f>K119-K121</f>
        <v>677.28623141445792</v>
      </c>
      <c r="L123" s="240">
        <f t="shared" ref="L123:Q123" si="67">L119-L121</f>
        <v>717.46071237366209</v>
      </c>
      <c r="M123" s="240">
        <f t="shared" si="67"/>
        <v>787.34039648588282</v>
      </c>
      <c r="N123" s="240">
        <f t="shared" si="67"/>
        <v>844.6766349563386</v>
      </c>
      <c r="O123" s="240">
        <f t="shared" si="67"/>
        <v>886.25350488049526</v>
      </c>
      <c r="P123" s="240">
        <f t="shared" si="67"/>
        <v>924.06776377882068</v>
      </c>
      <c r="Q123" s="240">
        <f t="shared" si="67"/>
        <v>966.31710052520361</v>
      </c>
    </row>
    <row r="124" spans="1:18" ht="13.5" customHeight="1" outlineLevel="1">
      <c r="B124" s="305" t="s">
        <v>614</v>
      </c>
      <c r="C124" s="252">
        <f>C123/C120</f>
        <v>0.58493118668671384</v>
      </c>
      <c r="D124" s="252">
        <f>D123/D120</f>
        <v>0.60019259407052383</v>
      </c>
      <c r="E124" s="252">
        <f>E123/E120</f>
        <v>0.62177189426066071</v>
      </c>
      <c r="F124" s="252">
        <f>F123/F120</f>
        <v>0.66684632588503145</v>
      </c>
      <c r="G124" s="252">
        <f>G123/G120</f>
        <v>0.6715133996203877</v>
      </c>
      <c r="H124" s="252">
        <f>H123/H119</f>
        <v>0.6</v>
      </c>
      <c r="I124" s="252">
        <f>I123/I119</f>
        <v>0.6</v>
      </c>
      <c r="J124" s="252">
        <f>J123/J119</f>
        <v>0.63332750441773966</v>
      </c>
      <c r="K124" s="252">
        <f>K123/K119</f>
        <v>0.64357152904973858</v>
      </c>
      <c r="L124" s="252">
        <f t="shared" ref="L124:Q124" si="68">L123/L119</f>
        <v>0.65357152904973859</v>
      </c>
      <c r="M124" s="252">
        <f t="shared" si="68"/>
        <v>0.6635715290497386</v>
      </c>
      <c r="N124" s="252">
        <f t="shared" si="68"/>
        <v>0.6735715290497386</v>
      </c>
      <c r="O124" s="252">
        <f t="shared" si="68"/>
        <v>0.68357152904973861</v>
      </c>
      <c r="P124" s="252">
        <f t="shared" si="68"/>
        <v>0.69357152904973873</v>
      </c>
      <c r="Q124" s="252">
        <f t="shared" si="68"/>
        <v>0.70357152904973863</v>
      </c>
    </row>
    <row r="125" spans="1:18" outlineLevel="1">
      <c r="B125" s="244" t="s">
        <v>615</v>
      </c>
      <c r="C125" s="304">
        <v>23.122</v>
      </c>
      <c r="D125" s="304">
        <v>22.946000000000002</v>
      </c>
      <c r="E125" s="304">
        <v>20.803999999999998</v>
      </c>
      <c r="F125" s="304">
        <v>4.1150000000000002</v>
      </c>
      <c r="G125" s="304">
        <v>4.702</v>
      </c>
      <c r="H125" s="304">
        <v>5</v>
      </c>
      <c r="I125" s="304">
        <v>5</v>
      </c>
      <c r="J125" s="304">
        <f>SUM(F125:I125)</f>
        <v>18.817</v>
      </c>
      <c r="K125" s="304">
        <f>J125*1.05</f>
        <v>19.757850000000001</v>
      </c>
      <c r="L125" s="304">
        <f t="shared" ref="L125:Q125" si="69">K125*1.05</f>
        <v>20.745742500000002</v>
      </c>
      <c r="M125" s="304">
        <f t="shared" si="69"/>
        <v>21.783029625000005</v>
      </c>
      <c r="N125" s="304">
        <f t="shared" si="69"/>
        <v>22.872181106250007</v>
      </c>
      <c r="O125" s="304">
        <f t="shared" si="69"/>
        <v>24.01579016156251</v>
      </c>
      <c r="P125" s="304">
        <f t="shared" si="69"/>
        <v>25.216579669640637</v>
      </c>
      <c r="Q125" s="304">
        <f t="shared" si="69"/>
        <v>26.477408653122669</v>
      </c>
    </row>
    <row r="126" spans="1:18" outlineLevel="1">
      <c r="C126" s="304"/>
      <c r="D126" s="304"/>
      <c r="E126" s="304"/>
      <c r="F126" s="304"/>
      <c r="G126" s="304"/>
      <c r="H126" s="304"/>
      <c r="I126" s="304"/>
      <c r="J126" s="304"/>
      <c r="K126" s="304"/>
      <c r="L126" s="304"/>
      <c r="M126" s="304"/>
      <c r="N126" s="304"/>
      <c r="O126" s="304"/>
      <c r="P126" s="304"/>
      <c r="Q126" s="304"/>
    </row>
    <row r="127" spans="1:18">
      <c r="B127" s="308" t="s">
        <v>616</v>
      </c>
      <c r="C127" s="309"/>
      <c r="D127" s="309"/>
      <c r="E127" s="309"/>
      <c r="F127" s="309"/>
      <c r="G127" s="309"/>
      <c r="H127" s="309"/>
      <c r="I127" s="335">
        <f>I123/2+I125</f>
        <v>74.749210893400004</v>
      </c>
      <c r="J127" s="335">
        <f>I127</f>
        <v>74.749210893400004</v>
      </c>
      <c r="K127" s="335">
        <f>K123/2+K125</f>
        <v>358.40096570722898</v>
      </c>
      <c r="L127" s="335">
        <f t="shared" ref="L127:Q127" si="70">L123/2+L125</f>
        <v>379.47609868683105</v>
      </c>
      <c r="M127" s="335">
        <f t="shared" si="70"/>
        <v>415.45322786794139</v>
      </c>
      <c r="N127" s="335">
        <f t="shared" si="70"/>
        <v>445.21049858441933</v>
      </c>
      <c r="O127" s="335">
        <f t="shared" si="70"/>
        <v>467.14254260181013</v>
      </c>
      <c r="P127" s="335">
        <f t="shared" si="70"/>
        <v>487.25046155905096</v>
      </c>
      <c r="Q127" s="335">
        <f t="shared" si="70"/>
        <v>509.63595891572447</v>
      </c>
    </row>
    <row r="128" spans="1:18">
      <c r="C128" s="304"/>
      <c r="D128" s="310"/>
      <c r="E128" s="310"/>
      <c r="F128" s="311"/>
      <c r="G128" s="311"/>
      <c r="H128" s="310"/>
      <c r="I128" s="310"/>
      <c r="J128" s="310"/>
      <c r="K128" s="310"/>
      <c r="L128" s="310"/>
      <c r="M128" s="310"/>
      <c r="N128" s="310"/>
      <c r="O128" s="310"/>
      <c r="P128" s="310"/>
      <c r="Q128" s="310"/>
    </row>
    <row r="129" spans="2:17">
      <c r="B129" s="507" t="s">
        <v>617</v>
      </c>
      <c r="C129" s="508"/>
      <c r="D129" s="508"/>
      <c r="E129" s="508"/>
      <c r="F129" s="508"/>
      <c r="G129" s="508"/>
      <c r="H129" s="508"/>
      <c r="I129" s="508"/>
      <c r="J129" s="508"/>
      <c r="K129" s="508"/>
      <c r="L129" s="508"/>
      <c r="M129" s="508"/>
      <c r="N129" s="508"/>
      <c r="O129" s="508"/>
      <c r="P129" s="508"/>
      <c r="Q129" s="508"/>
    </row>
    <row r="130" spans="2:17" outlineLevel="1">
      <c r="C130" s="312"/>
      <c r="D130" s="312"/>
      <c r="E130" s="312"/>
      <c r="F130" s="312"/>
      <c r="G130" s="312"/>
      <c r="H130" s="312"/>
      <c r="I130" s="312"/>
      <c r="J130" s="312"/>
      <c r="K130" s="312"/>
      <c r="L130" s="312"/>
      <c r="M130" s="312"/>
      <c r="N130" s="312"/>
      <c r="O130" s="312"/>
      <c r="P130" s="312"/>
      <c r="Q130" s="312"/>
    </row>
    <row r="131" spans="2:17" outlineLevel="1">
      <c r="B131" s="313" t="s">
        <v>116</v>
      </c>
    </row>
    <row r="132" spans="2:17" outlineLevel="1">
      <c r="B132" s="313"/>
    </row>
    <row r="133" spans="2:17" outlineLevel="1">
      <c r="B133" s="305" t="s">
        <v>618</v>
      </c>
      <c r="C133" s="314">
        <v>180185.98708224</v>
      </c>
      <c r="D133" s="314">
        <f>C133*1.02</f>
        <v>183789.7068238848</v>
      </c>
      <c r="E133" s="314">
        <f t="shared" ref="E133:Q133" si="71">D133*1.02</f>
        <v>187465.50096036249</v>
      </c>
      <c r="F133" s="314">
        <f t="shared" ref="F133:F138" si="72">J133/4</f>
        <v>47803.702744892435</v>
      </c>
      <c r="G133" s="314">
        <f>F133</f>
        <v>47803.702744892435</v>
      </c>
      <c r="H133" s="314">
        <f>G133</f>
        <v>47803.702744892435</v>
      </c>
      <c r="I133" s="314">
        <f>H133</f>
        <v>47803.702744892435</v>
      </c>
      <c r="J133" s="314">
        <f>E133*1.02</f>
        <v>191214.81097956974</v>
      </c>
      <c r="K133" s="314">
        <f t="shared" si="71"/>
        <v>195039.10719916114</v>
      </c>
      <c r="L133" s="314">
        <f t="shared" si="71"/>
        <v>198939.88934314437</v>
      </c>
      <c r="M133" s="314">
        <f t="shared" si="71"/>
        <v>202918.68713000725</v>
      </c>
      <c r="N133" s="314">
        <f t="shared" si="71"/>
        <v>206977.0608726074</v>
      </c>
      <c r="O133" s="314">
        <f t="shared" si="71"/>
        <v>211116.60209005955</v>
      </c>
      <c r="P133" s="314">
        <f t="shared" si="71"/>
        <v>215338.93413186073</v>
      </c>
      <c r="Q133" s="314">
        <f t="shared" si="71"/>
        <v>219645.71281449797</v>
      </c>
    </row>
    <row r="134" spans="2:17" outlineLevel="1">
      <c r="B134" s="315" t="s">
        <v>619</v>
      </c>
      <c r="C134" s="314">
        <f>C133*0.225</f>
        <v>40541.847093504002</v>
      </c>
      <c r="D134" s="314">
        <f t="shared" ref="D134:Q134" si="73">D133*0.225</f>
        <v>41352.684035374084</v>
      </c>
      <c r="E134" s="314">
        <f t="shared" si="73"/>
        <v>42179.737716081559</v>
      </c>
      <c r="F134" s="314">
        <f t="shared" si="72"/>
        <v>10755.833117600798</v>
      </c>
      <c r="G134" s="314">
        <f t="shared" ref="G134:I138" si="74">F134</f>
        <v>10755.833117600798</v>
      </c>
      <c r="H134" s="314">
        <f t="shared" si="74"/>
        <v>10755.833117600798</v>
      </c>
      <c r="I134" s="314">
        <f t="shared" si="74"/>
        <v>10755.833117600798</v>
      </c>
      <c r="J134" s="314">
        <f t="shared" si="73"/>
        <v>43023.332470403191</v>
      </c>
      <c r="K134" s="314">
        <f t="shared" si="73"/>
        <v>43883.799119811258</v>
      </c>
      <c r="L134" s="314">
        <f t="shared" si="73"/>
        <v>44761.475102207485</v>
      </c>
      <c r="M134" s="314">
        <f t="shared" si="73"/>
        <v>45656.70460425163</v>
      </c>
      <c r="N134" s="314">
        <f t="shared" si="73"/>
        <v>46569.838696336665</v>
      </c>
      <c r="O134" s="314">
        <f t="shared" si="73"/>
        <v>47501.235470263397</v>
      </c>
      <c r="P134" s="314">
        <f t="shared" si="73"/>
        <v>48451.260179668665</v>
      </c>
      <c r="Q134" s="314">
        <f t="shared" si="73"/>
        <v>49420.285383262046</v>
      </c>
    </row>
    <row r="135" spans="2:17" outlineLevel="1">
      <c r="B135" s="315" t="s">
        <v>620</v>
      </c>
      <c r="C135" s="314">
        <v>35249</v>
      </c>
      <c r="D135" s="314">
        <f>C135*1.02</f>
        <v>35953.980000000003</v>
      </c>
      <c r="E135" s="314">
        <f t="shared" ref="E135:Q135" si="75">D135*1.02</f>
        <v>36673.059600000001</v>
      </c>
      <c r="F135" s="314">
        <f t="shared" si="72"/>
        <v>9351.6301980000007</v>
      </c>
      <c r="G135" s="314">
        <f t="shared" si="74"/>
        <v>9351.6301980000007</v>
      </c>
      <c r="H135" s="314">
        <f t="shared" si="74"/>
        <v>9351.6301980000007</v>
      </c>
      <c r="I135" s="314">
        <f t="shared" si="74"/>
        <v>9351.6301980000007</v>
      </c>
      <c r="J135" s="314">
        <f>E135*1.02</f>
        <v>37406.520792000003</v>
      </c>
      <c r="K135" s="314">
        <f t="shared" si="75"/>
        <v>38154.651207840005</v>
      </c>
      <c r="L135" s="314">
        <f t="shared" si="75"/>
        <v>38917.744231996803</v>
      </c>
      <c r="M135" s="314">
        <f t="shared" si="75"/>
        <v>39696.099116636738</v>
      </c>
      <c r="N135" s="314">
        <f t="shared" si="75"/>
        <v>40490.021098969475</v>
      </c>
      <c r="O135" s="314">
        <f t="shared" si="75"/>
        <v>41299.821520948863</v>
      </c>
      <c r="P135" s="314">
        <f t="shared" si="75"/>
        <v>42125.817951367841</v>
      </c>
      <c r="Q135" s="314">
        <f t="shared" si="75"/>
        <v>42968.334310395199</v>
      </c>
    </row>
    <row r="136" spans="2:17" outlineLevel="1">
      <c r="B136" s="315" t="s">
        <v>621</v>
      </c>
      <c r="C136" s="314">
        <f>C135/2</f>
        <v>17624.5</v>
      </c>
      <c r="D136" s="314">
        <f t="shared" ref="D136:Q136" si="76">D135/2</f>
        <v>17976.990000000002</v>
      </c>
      <c r="E136" s="314">
        <f t="shared" si="76"/>
        <v>18336.5298</v>
      </c>
      <c r="F136" s="314">
        <f t="shared" si="72"/>
        <v>4675.8150990000004</v>
      </c>
      <c r="G136" s="314">
        <f t="shared" si="74"/>
        <v>4675.8150990000004</v>
      </c>
      <c r="H136" s="314">
        <f t="shared" si="74"/>
        <v>4675.8150990000004</v>
      </c>
      <c r="I136" s="314">
        <f t="shared" si="74"/>
        <v>4675.8150990000004</v>
      </c>
      <c r="J136" s="314">
        <f t="shared" si="76"/>
        <v>18703.260396000001</v>
      </c>
      <c r="K136" s="314">
        <f t="shared" si="76"/>
        <v>19077.325603920002</v>
      </c>
      <c r="L136" s="314">
        <f t="shared" si="76"/>
        <v>19458.872115998402</v>
      </c>
      <c r="M136" s="314">
        <f t="shared" si="76"/>
        <v>19848.049558318369</v>
      </c>
      <c r="N136" s="314">
        <f t="shared" si="76"/>
        <v>20245.010549484738</v>
      </c>
      <c r="O136" s="314">
        <f t="shared" si="76"/>
        <v>20649.910760474431</v>
      </c>
      <c r="P136" s="314">
        <f t="shared" si="76"/>
        <v>21062.90897568392</v>
      </c>
      <c r="Q136" s="314">
        <f t="shared" si="76"/>
        <v>21484.1671551976</v>
      </c>
    </row>
    <row r="137" spans="2:17" outlineLevel="1">
      <c r="B137" s="315" t="s">
        <v>622</v>
      </c>
      <c r="C137" s="314">
        <f>C136/4</f>
        <v>4406.125</v>
      </c>
      <c r="D137" s="314">
        <f>D136/4</f>
        <v>4494.2475000000004</v>
      </c>
      <c r="E137" s="314">
        <f t="shared" ref="E137:Q137" si="77">E136/4</f>
        <v>4584.1324500000001</v>
      </c>
      <c r="F137" s="314">
        <f t="shared" si="72"/>
        <v>1168.9537747500001</v>
      </c>
      <c r="G137" s="314">
        <f t="shared" si="74"/>
        <v>1168.9537747500001</v>
      </c>
      <c r="H137" s="314">
        <f t="shared" si="74"/>
        <v>1168.9537747500001</v>
      </c>
      <c r="I137" s="314">
        <f t="shared" si="74"/>
        <v>1168.9537747500001</v>
      </c>
      <c r="J137" s="314">
        <f t="shared" si="77"/>
        <v>4675.8150990000004</v>
      </c>
      <c r="K137" s="314">
        <f t="shared" si="77"/>
        <v>4769.3314009800006</v>
      </c>
      <c r="L137" s="314">
        <f t="shared" si="77"/>
        <v>4864.7180289996004</v>
      </c>
      <c r="M137" s="314">
        <f t="shared" si="77"/>
        <v>4962.0123895795923</v>
      </c>
      <c r="N137" s="314">
        <f t="shared" si="77"/>
        <v>5061.2526373711844</v>
      </c>
      <c r="O137" s="314">
        <f t="shared" si="77"/>
        <v>5162.4776901186078</v>
      </c>
      <c r="P137" s="314">
        <f t="shared" si="77"/>
        <v>5265.7272439209801</v>
      </c>
      <c r="Q137" s="314">
        <f t="shared" si="77"/>
        <v>5371.0417887993999</v>
      </c>
    </row>
    <row r="138" spans="2:17" outlineLevel="1">
      <c r="B138" s="305" t="s">
        <v>623</v>
      </c>
      <c r="C138" s="314">
        <f>SUM(C136:C137)</f>
        <v>22030.625</v>
      </c>
      <c r="D138" s="314">
        <f t="shared" ref="D138:Q138" si="78">SUM(D136:D137)</f>
        <v>22471.237500000003</v>
      </c>
      <c r="E138" s="314">
        <f t="shared" si="78"/>
        <v>22920.662250000001</v>
      </c>
      <c r="F138" s="314">
        <f t="shared" si="72"/>
        <v>5844.7688737500002</v>
      </c>
      <c r="G138" s="314">
        <f t="shared" si="74"/>
        <v>5844.7688737500002</v>
      </c>
      <c r="H138" s="314">
        <f t="shared" si="74"/>
        <v>5844.7688737500002</v>
      </c>
      <c r="I138" s="314">
        <f t="shared" si="74"/>
        <v>5844.7688737500002</v>
      </c>
      <c r="J138" s="314">
        <f t="shared" si="78"/>
        <v>23379.075495000001</v>
      </c>
      <c r="K138" s="314">
        <f t="shared" si="78"/>
        <v>23846.657004900004</v>
      </c>
      <c r="L138" s="314">
        <f t="shared" si="78"/>
        <v>24323.590144998001</v>
      </c>
      <c r="M138" s="314">
        <f t="shared" si="78"/>
        <v>24810.061947897961</v>
      </c>
      <c r="N138" s="314">
        <f t="shared" si="78"/>
        <v>25306.263186855922</v>
      </c>
      <c r="O138" s="314">
        <f t="shared" si="78"/>
        <v>25812.38845059304</v>
      </c>
      <c r="P138" s="314">
        <f t="shared" si="78"/>
        <v>26328.636219604901</v>
      </c>
      <c r="Q138" s="314">
        <f t="shared" si="78"/>
        <v>26855.208943997</v>
      </c>
    </row>
    <row r="139" spans="2:17" outlineLevel="1">
      <c r="B139" s="305" t="s">
        <v>624</v>
      </c>
      <c r="E139" s="307">
        <v>0.105</v>
      </c>
      <c r="F139" s="307">
        <v>0.45</v>
      </c>
      <c r="G139" s="307">
        <v>0.5</v>
      </c>
      <c r="H139" s="307">
        <v>0.55000000000000004</v>
      </c>
      <c r="I139" s="307">
        <v>0.6</v>
      </c>
      <c r="J139" s="307">
        <f>J140/J138</f>
        <v>0.52500000000000002</v>
      </c>
      <c r="K139" s="307">
        <v>0.6</v>
      </c>
      <c r="L139" s="307">
        <v>0.6</v>
      </c>
      <c r="M139" s="307">
        <v>0.6</v>
      </c>
      <c r="N139" s="307">
        <v>0.6</v>
      </c>
      <c r="O139" s="307">
        <v>0.6</v>
      </c>
      <c r="P139" s="307">
        <v>0.6</v>
      </c>
      <c r="Q139" s="307">
        <v>0.6</v>
      </c>
    </row>
    <row r="140" spans="2:17" outlineLevel="1">
      <c r="B140" s="305" t="s">
        <v>561</v>
      </c>
      <c r="E140" s="314">
        <f t="shared" ref="E140:Q140" si="79">E139*E138</f>
        <v>2406.66953625</v>
      </c>
      <c r="F140" s="314">
        <f t="shared" si="79"/>
        <v>2630.1459931875002</v>
      </c>
      <c r="G140" s="314">
        <f t="shared" si="79"/>
        <v>2922.3844368750001</v>
      </c>
      <c r="H140" s="314">
        <f t="shared" si="79"/>
        <v>3214.6228805625005</v>
      </c>
      <c r="I140" s="314">
        <f t="shared" si="79"/>
        <v>3506.8613242500001</v>
      </c>
      <c r="J140" s="314">
        <f>SUM(F140:I140)</f>
        <v>12274.014634875</v>
      </c>
      <c r="K140" s="314">
        <f t="shared" si="79"/>
        <v>14307.994202940003</v>
      </c>
      <c r="L140" s="314">
        <f t="shared" si="79"/>
        <v>14594.1540869988</v>
      </c>
      <c r="M140" s="314">
        <f t="shared" si="79"/>
        <v>14886.037168738776</v>
      </c>
      <c r="N140" s="314">
        <f t="shared" si="79"/>
        <v>15183.757912113553</v>
      </c>
      <c r="O140" s="314">
        <f t="shared" si="79"/>
        <v>15487.433070355823</v>
      </c>
      <c r="P140" s="314">
        <f t="shared" si="79"/>
        <v>15797.181731762939</v>
      </c>
      <c r="Q140" s="314">
        <f t="shared" si="79"/>
        <v>16113.125366398199</v>
      </c>
    </row>
    <row r="141" spans="2:17" outlineLevel="1">
      <c r="B141" s="305" t="s">
        <v>625</v>
      </c>
      <c r="E141" s="244">
        <v>2</v>
      </c>
      <c r="F141" s="244">
        <v>2</v>
      </c>
      <c r="G141" s="244">
        <v>2</v>
      </c>
      <c r="H141" s="244">
        <v>2</v>
      </c>
      <c r="I141" s="244">
        <v>2</v>
      </c>
      <c r="J141" s="244">
        <v>2</v>
      </c>
      <c r="K141" s="244">
        <f t="shared" ref="K141:Q141" si="80">J141</f>
        <v>2</v>
      </c>
      <c r="L141" s="244">
        <f t="shared" si="80"/>
        <v>2</v>
      </c>
      <c r="M141" s="244">
        <f t="shared" si="80"/>
        <v>2</v>
      </c>
      <c r="N141" s="244">
        <f t="shared" si="80"/>
        <v>2</v>
      </c>
      <c r="O141" s="244">
        <f t="shared" si="80"/>
        <v>2</v>
      </c>
      <c r="P141" s="244">
        <f t="shared" si="80"/>
        <v>2</v>
      </c>
      <c r="Q141" s="244">
        <f t="shared" si="80"/>
        <v>2</v>
      </c>
    </row>
    <row r="142" spans="2:17" outlineLevel="1">
      <c r="B142" s="305" t="s">
        <v>626</v>
      </c>
      <c r="E142" s="316">
        <f>9350/1.1</f>
        <v>8500</v>
      </c>
      <c r="F142" s="316">
        <f>J142</f>
        <v>8670</v>
      </c>
      <c r="G142" s="316">
        <f>J142</f>
        <v>8670</v>
      </c>
      <c r="H142" s="316">
        <f>J142</f>
        <v>8670</v>
      </c>
      <c r="I142" s="316">
        <f>J142</f>
        <v>8670</v>
      </c>
      <c r="J142" s="316">
        <f>E142*1.02</f>
        <v>8670</v>
      </c>
      <c r="K142" s="316">
        <f t="shared" ref="K142:Q142" si="81">J142*1.02</f>
        <v>8843.4</v>
      </c>
      <c r="L142" s="316">
        <f t="shared" si="81"/>
        <v>9020.268</v>
      </c>
      <c r="M142" s="316">
        <f t="shared" si="81"/>
        <v>9200.6733600000007</v>
      </c>
      <c r="N142" s="316">
        <f t="shared" si="81"/>
        <v>9384.6868272000011</v>
      </c>
      <c r="O142" s="316">
        <f t="shared" si="81"/>
        <v>9572.3805637440018</v>
      </c>
      <c r="P142" s="316">
        <f t="shared" si="81"/>
        <v>9763.8281750188817</v>
      </c>
      <c r="Q142" s="316">
        <f t="shared" si="81"/>
        <v>9959.1047385192596</v>
      </c>
    </row>
    <row r="143" spans="2:17" outlineLevel="1">
      <c r="E143" s="316"/>
      <c r="F143" s="316"/>
      <c r="G143" s="316"/>
      <c r="H143" s="316"/>
      <c r="I143" s="316"/>
      <c r="J143" s="316"/>
      <c r="K143" s="316"/>
      <c r="L143" s="316"/>
      <c r="M143" s="316"/>
      <c r="N143" s="316"/>
      <c r="O143" s="316"/>
      <c r="P143" s="316"/>
      <c r="Q143" s="316"/>
    </row>
    <row r="144" spans="2:17" outlineLevel="1">
      <c r="B144" s="313" t="s">
        <v>627</v>
      </c>
      <c r="E144" s="317"/>
      <c r="J144" s="316"/>
    </row>
    <row r="145" spans="2:17" outlineLevel="1">
      <c r="B145" s="244" t="s">
        <v>628</v>
      </c>
      <c r="E145" s="316">
        <f>(E142*E141*E140)/1000000</f>
        <v>40.913382116249998</v>
      </c>
      <c r="F145" s="316">
        <f t="shared" ref="F145:Q145" si="82">(F142*F141*F140)/1000000</f>
        <v>45.606731521871254</v>
      </c>
      <c r="G145" s="316">
        <f t="shared" si="82"/>
        <v>50.674146135412499</v>
      </c>
      <c r="H145" s="316">
        <f t="shared" si="82"/>
        <v>55.741560748953759</v>
      </c>
      <c r="I145" s="316">
        <f t="shared" si="82"/>
        <v>60.808975362494998</v>
      </c>
      <c r="J145" s="316">
        <f t="shared" si="82"/>
        <v>212.83141376873252</v>
      </c>
      <c r="K145" s="316">
        <f t="shared" si="82"/>
        <v>253.06263186855924</v>
      </c>
      <c r="L145" s="316">
        <f t="shared" si="82"/>
        <v>263.28636219604897</v>
      </c>
      <c r="M145" s="316">
        <f t="shared" si="82"/>
        <v>273.92313122876936</v>
      </c>
      <c r="N145" s="316">
        <f t="shared" si="82"/>
        <v>284.98962573041172</v>
      </c>
      <c r="O145" s="316">
        <f t="shared" si="82"/>
        <v>296.50320660992031</v>
      </c>
      <c r="P145" s="316">
        <f t="shared" si="82"/>
        <v>308.48193615696107</v>
      </c>
      <c r="Q145" s="316">
        <f t="shared" si="82"/>
        <v>320.94460637770237</v>
      </c>
    </row>
    <row r="146" spans="2:17" outlineLevel="1">
      <c r="B146" s="244" t="s">
        <v>629</v>
      </c>
      <c r="E146" s="316">
        <v>0</v>
      </c>
      <c r="F146" s="316">
        <v>0</v>
      </c>
      <c r="G146" s="316">
        <v>0</v>
      </c>
      <c r="H146" s="316">
        <f>J146*0.4</f>
        <v>17.026513101498605</v>
      </c>
      <c r="I146" s="316">
        <f>J146*0.6</f>
        <v>25.539769652247902</v>
      </c>
      <c r="J146" s="316">
        <f>0.2*J145</f>
        <v>42.566282753746506</v>
      </c>
      <c r="K146" s="316">
        <f>0.5*K145</f>
        <v>126.53131593427962</v>
      </c>
      <c r="L146" s="316">
        <f t="shared" ref="L146:Q146" si="83">0.5*L145</f>
        <v>131.64318109802448</v>
      </c>
      <c r="M146" s="316">
        <f t="shared" si="83"/>
        <v>136.96156561438468</v>
      </c>
      <c r="N146" s="316">
        <f t="shared" si="83"/>
        <v>142.49481286520586</v>
      </c>
      <c r="O146" s="316">
        <f t="shared" si="83"/>
        <v>148.25160330496016</v>
      </c>
      <c r="P146" s="316">
        <f t="shared" si="83"/>
        <v>154.24096807848053</v>
      </c>
      <c r="Q146" s="316">
        <f t="shared" si="83"/>
        <v>160.47230318885119</v>
      </c>
    </row>
    <row r="147" spans="2:17" outlineLevel="1">
      <c r="C147" s="307"/>
    </row>
    <row r="148" spans="2:17" outlineLevel="1">
      <c r="B148" s="313" t="s">
        <v>630</v>
      </c>
      <c r="C148" s="313"/>
      <c r="D148" s="313"/>
      <c r="E148" s="318">
        <f>SUM(E145:E146)</f>
        <v>40.913382116249998</v>
      </c>
      <c r="F148" s="318">
        <f t="shared" ref="F148:Q148" si="84">SUM(F145:F146)</f>
        <v>45.606731521871254</v>
      </c>
      <c r="G148" s="318">
        <f t="shared" si="84"/>
        <v>50.674146135412499</v>
      </c>
      <c r="H148" s="318">
        <f t="shared" si="84"/>
        <v>72.768073850452367</v>
      </c>
      <c r="I148" s="318">
        <f t="shared" si="84"/>
        <v>86.348745014742903</v>
      </c>
      <c r="J148" s="318">
        <f t="shared" si="84"/>
        <v>255.39769652247901</v>
      </c>
      <c r="K148" s="318">
        <f t="shared" si="84"/>
        <v>379.59394780283884</v>
      </c>
      <c r="L148" s="318">
        <f t="shared" si="84"/>
        <v>394.92954329407348</v>
      </c>
      <c r="M148" s="318">
        <f t="shared" si="84"/>
        <v>410.88469684315407</v>
      </c>
      <c r="N148" s="318">
        <f t="shared" si="84"/>
        <v>427.48443859561758</v>
      </c>
      <c r="O148" s="318">
        <f t="shared" si="84"/>
        <v>444.75480991488047</v>
      </c>
      <c r="P148" s="318">
        <f t="shared" si="84"/>
        <v>462.7229042354416</v>
      </c>
      <c r="Q148" s="318">
        <f t="shared" si="84"/>
        <v>481.41690956655356</v>
      </c>
    </row>
    <row r="149" spans="2:17" outlineLevel="1">
      <c r="B149" s="244" t="s">
        <v>631</v>
      </c>
      <c r="E149" s="316"/>
      <c r="F149" s="316"/>
      <c r="G149" s="316"/>
      <c r="H149" s="316"/>
      <c r="I149" s="316"/>
      <c r="J149" s="316">
        <v>5</v>
      </c>
      <c r="K149" s="316">
        <v>25</v>
      </c>
      <c r="L149" s="316">
        <v>50</v>
      </c>
      <c r="M149" s="316">
        <v>75</v>
      </c>
      <c r="N149" s="316">
        <v>100</v>
      </c>
      <c r="O149" s="316">
        <f>N149+5</f>
        <v>105</v>
      </c>
      <c r="P149" s="316">
        <f>O149+5</f>
        <v>110</v>
      </c>
      <c r="Q149" s="316">
        <f>P149+5</f>
        <v>115</v>
      </c>
    </row>
    <row r="150" spans="2:17" outlineLevel="1">
      <c r="E150" s="316"/>
      <c r="F150" s="316"/>
      <c r="G150" s="316"/>
      <c r="H150" s="316"/>
      <c r="I150" s="316"/>
      <c r="J150" s="316"/>
      <c r="K150" s="316"/>
      <c r="L150" s="316"/>
      <c r="M150" s="316"/>
      <c r="N150" s="316"/>
      <c r="O150" s="316"/>
      <c r="P150" s="316"/>
      <c r="Q150" s="316"/>
    </row>
    <row r="151" spans="2:17" outlineLevel="1">
      <c r="B151" s="313" t="s">
        <v>632</v>
      </c>
      <c r="C151" s="319"/>
      <c r="E151" s="318">
        <f>E149+E148</f>
        <v>40.913382116249998</v>
      </c>
      <c r="F151" s="318">
        <f t="shared" ref="F151:Q151" si="85">F149+F148</f>
        <v>45.606731521871254</v>
      </c>
      <c r="G151" s="318">
        <f t="shared" si="85"/>
        <v>50.674146135412499</v>
      </c>
      <c r="H151" s="318">
        <f t="shared" si="85"/>
        <v>72.768073850452367</v>
      </c>
      <c r="I151" s="318">
        <f t="shared" si="85"/>
        <v>86.348745014742903</v>
      </c>
      <c r="J151" s="318">
        <f t="shared" si="85"/>
        <v>260.39769652247901</v>
      </c>
      <c r="K151" s="318">
        <f t="shared" si="85"/>
        <v>404.59394780283884</v>
      </c>
      <c r="L151" s="318">
        <f t="shared" si="85"/>
        <v>444.92954329407348</v>
      </c>
      <c r="M151" s="318">
        <f t="shared" si="85"/>
        <v>485.88469684315407</v>
      </c>
      <c r="N151" s="318">
        <f t="shared" si="85"/>
        <v>527.48443859561758</v>
      </c>
      <c r="O151" s="318">
        <f t="shared" si="85"/>
        <v>549.75480991488052</v>
      </c>
      <c r="P151" s="318">
        <f t="shared" si="85"/>
        <v>572.72290423544155</v>
      </c>
      <c r="Q151" s="318">
        <f t="shared" si="85"/>
        <v>596.41690956655361</v>
      </c>
    </row>
    <row r="152" spans="2:17" outlineLevel="1">
      <c r="B152" s="305" t="s">
        <v>188</v>
      </c>
      <c r="C152" s="320"/>
      <c r="D152" s="320"/>
      <c r="E152" s="321">
        <f>E154/0.2</f>
        <v>41.47</v>
      </c>
      <c r="F152" s="321">
        <f>F154/0.2</f>
        <v>45.885000000000005</v>
      </c>
      <c r="G152" s="321">
        <f>G154/0.2</f>
        <v>50.804999999999993</v>
      </c>
      <c r="H152" s="320"/>
      <c r="I152" s="320"/>
      <c r="J152" s="320"/>
      <c r="K152" s="322"/>
      <c r="L152" s="322"/>
      <c r="M152" s="322"/>
      <c r="N152" s="322"/>
      <c r="O152" s="322"/>
      <c r="P152" s="322"/>
      <c r="Q152" s="322"/>
    </row>
    <row r="153" spans="2:17">
      <c r="B153" s="308" t="s">
        <v>633</v>
      </c>
      <c r="C153" s="309"/>
      <c r="D153" s="309"/>
      <c r="E153" s="335"/>
      <c r="F153" s="335"/>
      <c r="G153" s="335"/>
      <c r="H153" s="335"/>
      <c r="I153" s="335">
        <f>I151*0.2</f>
        <v>17.269749002948583</v>
      </c>
      <c r="J153" s="335">
        <f>I153</f>
        <v>17.269749002948583</v>
      </c>
      <c r="K153" s="335">
        <f t="shared" ref="K153:Q153" si="86">K151*0.2</f>
        <v>80.918789560567774</v>
      </c>
      <c r="L153" s="335">
        <f t="shared" si="86"/>
        <v>88.985908658814708</v>
      </c>
      <c r="M153" s="335">
        <f t="shared" si="86"/>
        <v>97.176939368630826</v>
      </c>
      <c r="N153" s="335">
        <f t="shared" si="86"/>
        <v>105.49688771912352</v>
      </c>
      <c r="O153" s="335">
        <f t="shared" si="86"/>
        <v>109.95096198297611</v>
      </c>
      <c r="P153" s="335">
        <f t="shared" si="86"/>
        <v>114.54458084708831</v>
      </c>
      <c r="Q153" s="335">
        <f t="shared" si="86"/>
        <v>119.28338191331073</v>
      </c>
    </row>
    <row r="154" spans="2:17">
      <c r="B154" s="305" t="s">
        <v>563</v>
      </c>
      <c r="C154" s="307"/>
      <c r="E154" s="316">
        <v>8.2940000000000005</v>
      </c>
      <c r="F154" s="316">
        <v>9.1770000000000014</v>
      </c>
      <c r="G154" s="316">
        <v>10.161</v>
      </c>
      <c r="H154" s="316"/>
      <c r="I154" s="316"/>
    </row>
    <row r="155" spans="2:17">
      <c r="B155" s="305"/>
      <c r="C155" s="307"/>
      <c r="E155" s="316"/>
      <c r="F155" s="316"/>
      <c r="G155" s="316"/>
      <c r="H155" s="316"/>
      <c r="I155" s="316"/>
    </row>
    <row r="156" spans="2:17">
      <c r="B156" s="507" t="s">
        <v>634</v>
      </c>
      <c r="C156" s="508"/>
      <c r="D156" s="508"/>
      <c r="E156" s="508"/>
      <c r="F156" s="508"/>
      <c r="G156" s="508"/>
      <c r="H156" s="508"/>
      <c r="I156" s="508"/>
      <c r="J156" s="508"/>
      <c r="K156" s="508"/>
      <c r="L156" s="508"/>
      <c r="M156" s="508"/>
      <c r="N156" s="508"/>
      <c r="O156" s="508"/>
      <c r="P156" s="508"/>
      <c r="Q156" s="508"/>
    </row>
    <row r="157" spans="2:17" outlineLevel="1">
      <c r="C157" s="307"/>
    </row>
    <row r="158" spans="2:17" outlineLevel="1">
      <c r="B158" s="323" t="s">
        <v>635</v>
      </c>
      <c r="J158" s="323"/>
      <c r="K158" s="323"/>
      <c r="L158" s="324">
        <v>722</v>
      </c>
      <c r="M158" s="324">
        <v>2136</v>
      </c>
      <c r="N158" s="324">
        <v>3407</v>
      </c>
      <c r="O158" s="324">
        <v>4504</v>
      </c>
      <c r="P158" s="324">
        <v>4999</v>
      </c>
      <c r="Q158" s="324">
        <v>6824</v>
      </c>
    </row>
    <row r="159" spans="2:17">
      <c r="B159" s="323"/>
      <c r="J159" s="323"/>
      <c r="K159" s="323"/>
      <c r="L159" s="324"/>
      <c r="M159" s="324"/>
      <c r="N159" s="324"/>
      <c r="O159" s="324"/>
      <c r="P159" s="324"/>
      <c r="Q159" s="324"/>
    </row>
    <row r="160" spans="2:17">
      <c r="B160" s="325" t="s">
        <v>4</v>
      </c>
      <c r="C160" s="326"/>
      <c r="D160" s="326"/>
      <c r="E160" s="326"/>
      <c r="F160" s="326"/>
      <c r="G160" s="326"/>
      <c r="H160" s="326"/>
      <c r="I160" s="326"/>
      <c r="J160" s="327"/>
      <c r="K160" s="327"/>
      <c r="L160" s="328">
        <f t="shared" ref="L160:Q160" si="87">CHOOSE($B$2,L161,L162,L163)</f>
        <v>57.76</v>
      </c>
      <c r="M160" s="328">
        <f t="shared" si="87"/>
        <v>170.88</v>
      </c>
      <c r="N160" s="328">
        <f t="shared" si="87"/>
        <v>272.56</v>
      </c>
      <c r="O160" s="328">
        <f t="shared" si="87"/>
        <v>360.32</v>
      </c>
      <c r="P160" s="328">
        <f t="shared" si="87"/>
        <v>399.92</v>
      </c>
      <c r="Q160" s="328">
        <f t="shared" si="87"/>
        <v>545.91999999999996</v>
      </c>
    </row>
    <row r="161" spans="1:17" outlineLevel="1">
      <c r="A161" s="287" t="s">
        <v>591</v>
      </c>
      <c r="B161" s="288" t="s">
        <v>636</v>
      </c>
      <c r="C161" s="326"/>
      <c r="D161" s="326"/>
      <c r="E161" s="326"/>
      <c r="F161" s="326"/>
      <c r="G161" s="326"/>
      <c r="H161" s="326"/>
      <c r="I161" s="326"/>
      <c r="J161" s="329"/>
      <c r="K161" s="329"/>
      <c r="L161" s="330">
        <f t="shared" ref="L161:Q161" si="88">L162</f>
        <v>57.76</v>
      </c>
      <c r="M161" s="330">
        <f t="shared" si="88"/>
        <v>170.88</v>
      </c>
      <c r="N161" s="330">
        <f t="shared" si="88"/>
        <v>272.56</v>
      </c>
      <c r="O161" s="330">
        <f t="shared" si="88"/>
        <v>360.32</v>
      </c>
      <c r="P161" s="330">
        <f t="shared" si="88"/>
        <v>399.92</v>
      </c>
      <c r="Q161" s="330">
        <f t="shared" si="88"/>
        <v>545.91999999999996</v>
      </c>
    </row>
    <row r="162" spans="1:17" outlineLevel="1">
      <c r="A162" s="291" t="s">
        <v>591</v>
      </c>
      <c r="B162" s="556" t="s">
        <v>674</v>
      </c>
      <c r="C162" s="326"/>
      <c r="D162" s="326"/>
      <c r="E162" s="326"/>
      <c r="F162" s="326"/>
      <c r="G162" s="326"/>
      <c r="H162" s="326"/>
      <c r="I162" s="326"/>
      <c r="J162" s="329"/>
      <c r="K162" s="329"/>
      <c r="L162" s="330">
        <f t="shared" ref="L162:Q162" si="89">0.08*L158</f>
        <v>57.76</v>
      </c>
      <c r="M162" s="330">
        <f t="shared" si="89"/>
        <v>170.88</v>
      </c>
      <c r="N162" s="330">
        <f t="shared" si="89"/>
        <v>272.56</v>
      </c>
      <c r="O162" s="330">
        <f t="shared" si="89"/>
        <v>360.32</v>
      </c>
      <c r="P162" s="330">
        <f t="shared" si="89"/>
        <v>399.92</v>
      </c>
      <c r="Q162" s="330">
        <f t="shared" si="89"/>
        <v>545.91999999999996</v>
      </c>
    </row>
    <row r="163" spans="1:17" outlineLevel="1">
      <c r="A163" s="293" t="s">
        <v>591</v>
      </c>
      <c r="B163" s="294" t="s">
        <v>637</v>
      </c>
      <c r="C163" s="326"/>
      <c r="D163" s="326"/>
      <c r="E163" s="326"/>
      <c r="F163" s="326"/>
      <c r="G163" s="326"/>
      <c r="H163" s="326"/>
      <c r="I163" s="326"/>
      <c r="J163" s="329"/>
      <c r="K163" s="329"/>
      <c r="L163" s="330">
        <f t="shared" ref="L163:Q163" si="90">0.08*L158</f>
        <v>57.76</v>
      </c>
      <c r="M163" s="330">
        <f t="shared" si="90"/>
        <v>170.88</v>
      </c>
      <c r="N163" s="330">
        <f t="shared" si="90"/>
        <v>272.56</v>
      </c>
      <c r="O163" s="330">
        <f t="shared" si="90"/>
        <v>360.32</v>
      </c>
      <c r="P163" s="330">
        <f t="shared" si="90"/>
        <v>399.92</v>
      </c>
      <c r="Q163" s="330">
        <f t="shared" si="90"/>
        <v>545.91999999999996</v>
      </c>
    </row>
    <row r="165" spans="1:17" ht="13.5" thickBot="1">
      <c r="B165" s="331" t="s">
        <v>638</v>
      </c>
      <c r="C165" s="332"/>
      <c r="D165" s="332"/>
      <c r="E165" s="332"/>
      <c r="F165" s="332"/>
      <c r="G165" s="332"/>
      <c r="H165" s="332"/>
      <c r="I165" s="333">
        <f t="shared" ref="I165:Q165" si="91">I127+I153+I160</f>
        <v>92.018959896348591</v>
      </c>
      <c r="J165" s="333">
        <f t="shared" si="91"/>
        <v>92.018959896348591</v>
      </c>
      <c r="K165" s="333">
        <f t="shared" si="91"/>
        <v>439.31975526779672</v>
      </c>
      <c r="L165" s="333">
        <f t="shared" si="91"/>
        <v>526.22200734564581</v>
      </c>
      <c r="M165" s="333">
        <f t="shared" si="91"/>
        <v>683.51016723657222</v>
      </c>
      <c r="N165" s="333">
        <f t="shared" si="91"/>
        <v>823.26738630354293</v>
      </c>
      <c r="O165" s="333">
        <f t="shared" si="91"/>
        <v>937.41350458478632</v>
      </c>
      <c r="P165" s="333">
        <f t="shared" si="91"/>
        <v>1001.7150424061392</v>
      </c>
      <c r="Q165" s="333">
        <f t="shared" si="91"/>
        <v>1174.8393408290353</v>
      </c>
    </row>
    <row r="167" spans="1:17">
      <c r="I167" s="334"/>
      <c r="J167" s="334"/>
      <c r="K167" s="334"/>
      <c r="L167" s="334"/>
      <c r="M167" s="334"/>
      <c r="N167" s="334"/>
      <c r="O167" s="334"/>
      <c r="P167" s="334"/>
      <c r="Q167" s="334"/>
    </row>
    <row r="168" spans="1:17">
      <c r="I168" s="334"/>
      <c r="J168" s="334"/>
      <c r="K168" s="334"/>
      <c r="L168" s="334"/>
      <c r="M168" s="334"/>
      <c r="N168" s="334"/>
      <c r="O168" s="334"/>
      <c r="P168" s="334"/>
      <c r="Q168" s="334"/>
    </row>
    <row r="169" spans="1:17">
      <c r="I169" s="334"/>
      <c r="J169" s="334"/>
      <c r="K169" s="334"/>
      <c r="L169" s="334"/>
      <c r="M169" s="334"/>
      <c r="N169" s="334"/>
      <c r="O169" s="334"/>
      <c r="P169" s="334"/>
      <c r="Q169" s="334"/>
    </row>
    <row r="171" spans="1:17">
      <c r="I171" s="334"/>
      <c r="J171" s="334"/>
      <c r="K171" s="334"/>
      <c r="L171" s="334"/>
      <c r="M171" s="334"/>
      <c r="N171" s="334"/>
      <c r="O171" s="334"/>
      <c r="P171" s="334"/>
      <c r="Q171" s="334"/>
    </row>
  </sheetData>
  <phoneticPr fontId="57" type="noConversion"/>
  <pageMargins left="0.75" right="0.75" top="1" bottom="1" header="0.5" footer="0.5"/>
  <pageSetup scale="31" orientation="portrait" verticalDpi="300" r:id="rId1"/>
  <headerFooter alignWithMargins="0">
    <oddHeader>&amp;R&amp;"Times New Roman,Bold"Morgan Stanley Confidential
&amp;D</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43"/>
  <sheetViews>
    <sheetView workbookViewId="0">
      <selection activeCell="B42" sqref="B42"/>
    </sheetView>
  </sheetViews>
  <sheetFormatPr defaultRowHeight="12.75"/>
  <cols>
    <col min="1" max="1" width="29.5703125" style="644" bestFit="1" customWidth="1"/>
    <col min="2" max="2" width="19.85546875" style="822" customWidth="1"/>
    <col min="3" max="3" width="12" style="644" bestFit="1" customWidth="1"/>
    <col min="4" max="256" width="9.140625" style="644"/>
    <col min="257" max="257" width="29.5703125" style="644" bestFit="1" customWidth="1"/>
    <col min="258" max="258" width="19.85546875" style="644" customWidth="1"/>
    <col min="259" max="259" width="12" style="644" bestFit="1" customWidth="1"/>
    <col min="260" max="512" width="9.140625" style="644"/>
    <col min="513" max="513" width="29.5703125" style="644" bestFit="1" customWidth="1"/>
    <col min="514" max="514" width="19.85546875" style="644" customWidth="1"/>
    <col min="515" max="515" width="12" style="644" bestFit="1" customWidth="1"/>
    <col min="516" max="768" width="9.140625" style="644"/>
    <col min="769" max="769" width="29.5703125" style="644" bestFit="1" customWidth="1"/>
    <col min="770" max="770" width="19.85546875" style="644" customWidth="1"/>
    <col min="771" max="771" width="12" style="644" bestFit="1" customWidth="1"/>
    <col min="772" max="1024" width="9.140625" style="644"/>
    <col min="1025" max="1025" width="29.5703125" style="644" bestFit="1" customWidth="1"/>
    <col min="1026" max="1026" width="19.85546875" style="644" customWidth="1"/>
    <col min="1027" max="1027" width="12" style="644" bestFit="1" customWidth="1"/>
    <col min="1028" max="1280" width="9.140625" style="644"/>
    <col min="1281" max="1281" width="29.5703125" style="644" bestFit="1" customWidth="1"/>
    <col min="1282" max="1282" width="19.85546875" style="644" customWidth="1"/>
    <col min="1283" max="1283" width="12" style="644" bestFit="1" customWidth="1"/>
    <col min="1284" max="1536" width="9.140625" style="644"/>
    <col min="1537" max="1537" width="29.5703125" style="644" bestFit="1" customWidth="1"/>
    <col min="1538" max="1538" width="19.85546875" style="644" customWidth="1"/>
    <col min="1539" max="1539" width="12" style="644" bestFit="1" customWidth="1"/>
    <col min="1540" max="1792" width="9.140625" style="644"/>
    <col min="1793" max="1793" width="29.5703125" style="644" bestFit="1" customWidth="1"/>
    <col min="1794" max="1794" width="19.85546875" style="644" customWidth="1"/>
    <col min="1795" max="1795" width="12" style="644" bestFit="1" customWidth="1"/>
    <col min="1796" max="2048" width="9.140625" style="644"/>
    <col min="2049" max="2049" width="29.5703125" style="644" bestFit="1" customWidth="1"/>
    <col min="2050" max="2050" width="19.85546875" style="644" customWidth="1"/>
    <col min="2051" max="2051" width="12" style="644" bestFit="1" customWidth="1"/>
    <col min="2052" max="2304" width="9.140625" style="644"/>
    <col min="2305" max="2305" width="29.5703125" style="644" bestFit="1" customWidth="1"/>
    <col min="2306" max="2306" width="19.85546875" style="644" customWidth="1"/>
    <col min="2307" max="2307" width="12" style="644" bestFit="1" customWidth="1"/>
    <col min="2308" max="2560" width="9.140625" style="644"/>
    <col min="2561" max="2561" width="29.5703125" style="644" bestFit="1" customWidth="1"/>
    <col min="2562" max="2562" width="19.85546875" style="644" customWidth="1"/>
    <col min="2563" max="2563" width="12" style="644" bestFit="1" customWidth="1"/>
    <col min="2564" max="2816" width="9.140625" style="644"/>
    <col min="2817" max="2817" width="29.5703125" style="644" bestFit="1" customWidth="1"/>
    <col min="2818" max="2818" width="19.85546875" style="644" customWidth="1"/>
    <col min="2819" max="2819" width="12" style="644" bestFit="1" customWidth="1"/>
    <col min="2820" max="3072" width="9.140625" style="644"/>
    <col min="3073" max="3073" width="29.5703125" style="644" bestFit="1" customWidth="1"/>
    <col min="3074" max="3074" width="19.85546875" style="644" customWidth="1"/>
    <col min="3075" max="3075" width="12" style="644" bestFit="1" customWidth="1"/>
    <col min="3076" max="3328" width="9.140625" style="644"/>
    <col min="3329" max="3329" width="29.5703125" style="644" bestFit="1" customWidth="1"/>
    <col min="3330" max="3330" width="19.85546875" style="644" customWidth="1"/>
    <col min="3331" max="3331" width="12" style="644" bestFit="1" customWidth="1"/>
    <col min="3332" max="3584" width="9.140625" style="644"/>
    <col min="3585" max="3585" width="29.5703125" style="644" bestFit="1" customWidth="1"/>
    <col min="3586" max="3586" width="19.85546875" style="644" customWidth="1"/>
    <col min="3587" max="3587" width="12" style="644" bestFit="1" customWidth="1"/>
    <col min="3588" max="3840" width="9.140625" style="644"/>
    <col min="3841" max="3841" width="29.5703125" style="644" bestFit="1" customWidth="1"/>
    <col min="3842" max="3842" width="19.85546875" style="644" customWidth="1"/>
    <col min="3843" max="3843" width="12" style="644" bestFit="1" customWidth="1"/>
    <col min="3844" max="4096" width="9.140625" style="644"/>
    <col min="4097" max="4097" width="29.5703125" style="644" bestFit="1" customWidth="1"/>
    <col min="4098" max="4098" width="19.85546875" style="644" customWidth="1"/>
    <col min="4099" max="4099" width="12" style="644" bestFit="1" customWidth="1"/>
    <col min="4100" max="4352" width="9.140625" style="644"/>
    <col min="4353" max="4353" width="29.5703125" style="644" bestFit="1" customWidth="1"/>
    <col min="4354" max="4354" width="19.85546875" style="644" customWidth="1"/>
    <col min="4355" max="4355" width="12" style="644" bestFit="1" customWidth="1"/>
    <col min="4356" max="4608" width="9.140625" style="644"/>
    <col min="4609" max="4609" width="29.5703125" style="644" bestFit="1" customWidth="1"/>
    <col min="4610" max="4610" width="19.85546875" style="644" customWidth="1"/>
    <col min="4611" max="4611" width="12" style="644" bestFit="1" customWidth="1"/>
    <col min="4612" max="4864" width="9.140625" style="644"/>
    <col min="4865" max="4865" width="29.5703125" style="644" bestFit="1" customWidth="1"/>
    <col min="4866" max="4866" width="19.85546875" style="644" customWidth="1"/>
    <col min="4867" max="4867" width="12" style="644" bestFit="1" customWidth="1"/>
    <col min="4868" max="5120" width="9.140625" style="644"/>
    <col min="5121" max="5121" width="29.5703125" style="644" bestFit="1" customWidth="1"/>
    <col min="5122" max="5122" width="19.85546875" style="644" customWidth="1"/>
    <col min="5123" max="5123" width="12" style="644" bestFit="1" customWidth="1"/>
    <col min="5124" max="5376" width="9.140625" style="644"/>
    <col min="5377" max="5377" width="29.5703125" style="644" bestFit="1" customWidth="1"/>
    <col min="5378" max="5378" width="19.85546875" style="644" customWidth="1"/>
    <col min="5379" max="5379" width="12" style="644" bestFit="1" customWidth="1"/>
    <col min="5380" max="5632" width="9.140625" style="644"/>
    <col min="5633" max="5633" width="29.5703125" style="644" bestFit="1" customWidth="1"/>
    <col min="5634" max="5634" width="19.85546875" style="644" customWidth="1"/>
    <col min="5635" max="5635" width="12" style="644" bestFit="1" customWidth="1"/>
    <col min="5636" max="5888" width="9.140625" style="644"/>
    <col min="5889" max="5889" width="29.5703125" style="644" bestFit="1" customWidth="1"/>
    <col min="5890" max="5890" width="19.85546875" style="644" customWidth="1"/>
    <col min="5891" max="5891" width="12" style="644" bestFit="1" customWidth="1"/>
    <col min="5892" max="6144" width="9.140625" style="644"/>
    <col min="6145" max="6145" width="29.5703125" style="644" bestFit="1" customWidth="1"/>
    <col min="6146" max="6146" width="19.85546875" style="644" customWidth="1"/>
    <col min="6147" max="6147" width="12" style="644" bestFit="1" customWidth="1"/>
    <col min="6148" max="6400" width="9.140625" style="644"/>
    <col min="6401" max="6401" width="29.5703125" style="644" bestFit="1" customWidth="1"/>
    <col min="6402" max="6402" width="19.85546875" style="644" customWidth="1"/>
    <col min="6403" max="6403" width="12" style="644" bestFit="1" customWidth="1"/>
    <col min="6404" max="6656" width="9.140625" style="644"/>
    <col min="6657" max="6657" width="29.5703125" style="644" bestFit="1" customWidth="1"/>
    <col min="6658" max="6658" width="19.85546875" style="644" customWidth="1"/>
    <col min="6659" max="6659" width="12" style="644" bestFit="1" customWidth="1"/>
    <col min="6660" max="6912" width="9.140625" style="644"/>
    <col min="6913" max="6913" width="29.5703125" style="644" bestFit="1" customWidth="1"/>
    <col min="6914" max="6914" width="19.85546875" style="644" customWidth="1"/>
    <col min="6915" max="6915" width="12" style="644" bestFit="1" customWidth="1"/>
    <col min="6916" max="7168" width="9.140625" style="644"/>
    <col min="7169" max="7169" width="29.5703125" style="644" bestFit="1" customWidth="1"/>
    <col min="7170" max="7170" width="19.85546875" style="644" customWidth="1"/>
    <col min="7171" max="7171" width="12" style="644" bestFit="1" customWidth="1"/>
    <col min="7172" max="7424" width="9.140625" style="644"/>
    <col min="7425" max="7425" width="29.5703125" style="644" bestFit="1" customWidth="1"/>
    <col min="7426" max="7426" width="19.85546875" style="644" customWidth="1"/>
    <col min="7427" max="7427" width="12" style="644" bestFit="1" customWidth="1"/>
    <col min="7428" max="7680" width="9.140625" style="644"/>
    <col min="7681" max="7681" width="29.5703125" style="644" bestFit="1" customWidth="1"/>
    <col min="7682" max="7682" width="19.85546875" style="644" customWidth="1"/>
    <col min="7683" max="7683" width="12" style="644" bestFit="1" customWidth="1"/>
    <col min="7684" max="7936" width="9.140625" style="644"/>
    <col min="7937" max="7937" width="29.5703125" style="644" bestFit="1" customWidth="1"/>
    <col min="7938" max="7938" width="19.85546875" style="644" customWidth="1"/>
    <col min="7939" max="7939" width="12" style="644" bestFit="1" customWidth="1"/>
    <col min="7940" max="8192" width="9.140625" style="644"/>
    <col min="8193" max="8193" width="29.5703125" style="644" bestFit="1" customWidth="1"/>
    <col min="8194" max="8194" width="19.85546875" style="644" customWidth="1"/>
    <col min="8195" max="8195" width="12" style="644" bestFit="1" customWidth="1"/>
    <col min="8196" max="8448" width="9.140625" style="644"/>
    <col min="8449" max="8449" width="29.5703125" style="644" bestFit="1" customWidth="1"/>
    <col min="8450" max="8450" width="19.85546875" style="644" customWidth="1"/>
    <col min="8451" max="8451" width="12" style="644" bestFit="1" customWidth="1"/>
    <col min="8452" max="8704" width="9.140625" style="644"/>
    <col min="8705" max="8705" width="29.5703125" style="644" bestFit="1" customWidth="1"/>
    <col min="8706" max="8706" width="19.85546875" style="644" customWidth="1"/>
    <col min="8707" max="8707" width="12" style="644" bestFit="1" customWidth="1"/>
    <col min="8708" max="8960" width="9.140625" style="644"/>
    <col min="8961" max="8961" width="29.5703125" style="644" bestFit="1" customWidth="1"/>
    <col min="8962" max="8962" width="19.85546875" style="644" customWidth="1"/>
    <col min="8963" max="8963" width="12" style="644" bestFit="1" customWidth="1"/>
    <col min="8964" max="9216" width="9.140625" style="644"/>
    <col min="9217" max="9217" width="29.5703125" style="644" bestFit="1" customWidth="1"/>
    <col min="9218" max="9218" width="19.85546875" style="644" customWidth="1"/>
    <col min="9219" max="9219" width="12" style="644" bestFit="1" customWidth="1"/>
    <col min="9220" max="9472" width="9.140625" style="644"/>
    <col min="9473" max="9473" width="29.5703125" style="644" bestFit="1" customWidth="1"/>
    <col min="9474" max="9474" width="19.85546875" style="644" customWidth="1"/>
    <col min="9475" max="9475" width="12" style="644" bestFit="1" customWidth="1"/>
    <col min="9476" max="9728" width="9.140625" style="644"/>
    <col min="9729" max="9729" width="29.5703125" style="644" bestFit="1" customWidth="1"/>
    <col min="9730" max="9730" width="19.85546875" style="644" customWidth="1"/>
    <col min="9731" max="9731" width="12" style="644" bestFit="1" customWidth="1"/>
    <col min="9732" max="9984" width="9.140625" style="644"/>
    <col min="9985" max="9985" width="29.5703125" style="644" bestFit="1" customWidth="1"/>
    <col min="9986" max="9986" width="19.85546875" style="644" customWidth="1"/>
    <col min="9987" max="9987" width="12" style="644" bestFit="1" customWidth="1"/>
    <col min="9988" max="10240" width="9.140625" style="644"/>
    <col min="10241" max="10241" width="29.5703125" style="644" bestFit="1" customWidth="1"/>
    <col min="10242" max="10242" width="19.85546875" style="644" customWidth="1"/>
    <col min="10243" max="10243" width="12" style="644" bestFit="1" customWidth="1"/>
    <col min="10244" max="10496" width="9.140625" style="644"/>
    <col min="10497" max="10497" width="29.5703125" style="644" bestFit="1" customWidth="1"/>
    <col min="10498" max="10498" width="19.85546875" style="644" customWidth="1"/>
    <col min="10499" max="10499" width="12" style="644" bestFit="1" customWidth="1"/>
    <col min="10500" max="10752" width="9.140625" style="644"/>
    <col min="10753" max="10753" width="29.5703125" style="644" bestFit="1" customWidth="1"/>
    <col min="10754" max="10754" width="19.85546875" style="644" customWidth="1"/>
    <col min="10755" max="10755" width="12" style="644" bestFit="1" customWidth="1"/>
    <col min="10756" max="11008" width="9.140625" style="644"/>
    <col min="11009" max="11009" width="29.5703125" style="644" bestFit="1" customWidth="1"/>
    <col min="11010" max="11010" width="19.85546875" style="644" customWidth="1"/>
    <col min="11011" max="11011" width="12" style="644" bestFit="1" customWidth="1"/>
    <col min="11012" max="11264" width="9.140625" style="644"/>
    <col min="11265" max="11265" width="29.5703125" style="644" bestFit="1" customWidth="1"/>
    <col min="11266" max="11266" width="19.85546875" style="644" customWidth="1"/>
    <col min="11267" max="11267" width="12" style="644" bestFit="1" customWidth="1"/>
    <col min="11268" max="11520" width="9.140625" style="644"/>
    <col min="11521" max="11521" width="29.5703125" style="644" bestFit="1" customWidth="1"/>
    <col min="11522" max="11522" width="19.85546875" style="644" customWidth="1"/>
    <col min="11523" max="11523" width="12" style="644" bestFit="1" customWidth="1"/>
    <col min="11524" max="11776" width="9.140625" style="644"/>
    <col min="11777" max="11777" width="29.5703125" style="644" bestFit="1" customWidth="1"/>
    <col min="11778" max="11778" width="19.85546875" style="644" customWidth="1"/>
    <col min="11779" max="11779" width="12" style="644" bestFit="1" customWidth="1"/>
    <col min="11780" max="12032" width="9.140625" style="644"/>
    <col min="12033" max="12033" width="29.5703125" style="644" bestFit="1" customWidth="1"/>
    <col min="12034" max="12034" width="19.85546875" style="644" customWidth="1"/>
    <col min="12035" max="12035" width="12" style="644" bestFit="1" customWidth="1"/>
    <col min="12036" max="12288" width="9.140625" style="644"/>
    <col min="12289" max="12289" width="29.5703125" style="644" bestFit="1" customWidth="1"/>
    <col min="12290" max="12290" width="19.85546875" style="644" customWidth="1"/>
    <col min="12291" max="12291" width="12" style="644" bestFit="1" customWidth="1"/>
    <col min="12292" max="12544" width="9.140625" style="644"/>
    <col min="12545" max="12545" width="29.5703125" style="644" bestFit="1" customWidth="1"/>
    <col min="12546" max="12546" width="19.85546875" style="644" customWidth="1"/>
    <col min="12547" max="12547" width="12" style="644" bestFit="1" customWidth="1"/>
    <col min="12548" max="12800" width="9.140625" style="644"/>
    <col min="12801" max="12801" width="29.5703125" style="644" bestFit="1" customWidth="1"/>
    <col min="12802" max="12802" width="19.85546875" style="644" customWidth="1"/>
    <col min="12803" max="12803" width="12" style="644" bestFit="1" customWidth="1"/>
    <col min="12804" max="13056" width="9.140625" style="644"/>
    <col min="13057" max="13057" width="29.5703125" style="644" bestFit="1" customWidth="1"/>
    <col min="13058" max="13058" width="19.85546875" style="644" customWidth="1"/>
    <col min="13059" max="13059" width="12" style="644" bestFit="1" customWidth="1"/>
    <col min="13060" max="13312" width="9.140625" style="644"/>
    <col min="13313" max="13313" width="29.5703125" style="644" bestFit="1" customWidth="1"/>
    <col min="13314" max="13314" width="19.85546875" style="644" customWidth="1"/>
    <col min="13315" max="13315" width="12" style="644" bestFit="1" customWidth="1"/>
    <col min="13316" max="13568" width="9.140625" style="644"/>
    <col min="13569" max="13569" width="29.5703125" style="644" bestFit="1" customWidth="1"/>
    <col min="13570" max="13570" width="19.85546875" style="644" customWidth="1"/>
    <col min="13571" max="13571" width="12" style="644" bestFit="1" customWidth="1"/>
    <col min="13572" max="13824" width="9.140625" style="644"/>
    <col min="13825" max="13825" width="29.5703125" style="644" bestFit="1" customWidth="1"/>
    <col min="13826" max="13826" width="19.85546875" style="644" customWidth="1"/>
    <col min="13827" max="13827" width="12" style="644" bestFit="1" customWidth="1"/>
    <col min="13828" max="14080" width="9.140625" style="644"/>
    <col min="14081" max="14081" width="29.5703125" style="644" bestFit="1" customWidth="1"/>
    <col min="14082" max="14082" width="19.85546875" style="644" customWidth="1"/>
    <col min="14083" max="14083" width="12" style="644" bestFit="1" customWidth="1"/>
    <col min="14084" max="14336" width="9.140625" style="644"/>
    <col min="14337" max="14337" width="29.5703125" style="644" bestFit="1" customWidth="1"/>
    <col min="14338" max="14338" width="19.85546875" style="644" customWidth="1"/>
    <col min="14339" max="14339" width="12" style="644" bestFit="1" customWidth="1"/>
    <col min="14340" max="14592" width="9.140625" style="644"/>
    <col min="14593" max="14593" width="29.5703125" style="644" bestFit="1" customWidth="1"/>
    <col min="14594" max="14594" width="19.85546875" style="644" customWidth="1"/>
    <col min="14595" max="14595" width="12" style="644" bestFit="1" customWidth="1"/>
    <col min="14596" max="14848" width="9.140625" style="644"/>
    <col min="14849" max="14849" width="29.5703125" style="644" bestFit="1" customWidth="1"/>
    <col min="14850" max="14850" width="19.85546875" style="644" customWidth="1"/>
    <col min="14851" max="14851" width="12" style="644" bestFit="1" customWidth="1"/>
    <col min="14852" max="15104" width="9.140625" style="644"/>
    <col min="15105" max="15105" width="29.5703125" style="644" bestFit="1" customWidth="1"/>
    <col min="15106" max="15106" width="19.85546875" style="644" customWidth="1"/>
    <col min="15107" max="15107" width="12" style="644" bestFit="1" customWidth="1"/>
    <col min="15108" max="15360" width="9.140625" style="644"/>
    <col min="15361" max="15361" width="29.5703125" style="644" bestFit="1" customWidth="1"/>
    <col min="15362" max="15362" width="19.85546875" style="644" customWidth="1"/>
    <col min="15363" max="15363" width="12" style="644" bestFit="1" customWidth="1"/>
    <col min="15364" max="15616" width="9.140625" style="644"/>
    <col min="15617" max="15617" width="29.5703125" style="644" bestFit="1" customWidth="1"/>
    <col min="15618" max="15618" width="19.85546875" style="644" customWidth="1"/>
    <col min="15619" max="15619" width="12" style="644" bestFit="1" customWidth="1"/>
    <col min="15620" max="15872" width="9.140625" style="644"/>
    <col min="15873" max="15873" width="29.5703125" style="644" bestFit="1" customWidth="1"/>
    <col min="15874" max="15874" width="19.85546875" style="644" customWidth="1"/>
    <col min="15875" max="15875" width="12" style="644" bestFit="1" customWidth="1"/>
    <col min="15876" max="16128" width="9.140625" style="644"/>
    <col min="16129" max="16129" width="29.5703125" style="644" bestFit="1" customWidth="1"/>
    <col min="16130" max="16130" width="19.85546875" style="644" customWidth="1"/>
    <col min="16131" max="16131" width="12" style="644" bestFit="1" customWidth="1"/>
    <col min="16132" max="16384" width="9.140625" style="644"/>
  </cols>
  <sheetData>
    <row r="1" spans="1:2">
      <c r="A1" s="644" t="s">
        <v>1293</v>
      </c>
      <c r="B1" s="821">
        <v>6.1</v>
      </c>
    </row>
    <row r="2" spans="1:2">
      <c r="A2" s="644" t="s">
        <v>1294</v>
      </c>
      <c r="B2" s="824">
        <v>43216.458645833336</v>
      </c>
    </row>
    <row r="3" spans="1:2">
      <c r="A3" s="644" t="s">
        <v>1295</v>
      </c>
      <c r="B3" s="822" t="s">
        <v>958</v>
      </c>
    </row>
    <row r="4" spans="1:2">
      <c r="A4" s="644" t="s">
        <v>1296</v>
      </c>
      <c r="B4" s="822" t="s">
        <v>40</v>
      </c>
    </row>
    <row r="5" spans="1:2">
      <c r="A5" s="644" t="s">
        <v>1297</v>
      </c>
      <c r="B5" s="822" t="s">
        <v>1298</v>
      </c>
    </row>
    <row r="6" spans="1:2">
      <c r="A6" s="644" t="s">
        <v>1299</v>
      </c>
    </row>
    <row r="7" spans="1:2">
      <c r="A7" s="644" t="s">
        <v>1300</v>
      </c>
      <c r="B7" s="822" t="s">
        <v>215</v>
      </c>
    </row>
    <row r="8" spans="1:2">
      <c r="A8" s="644" t="s">
        <v>1301</v>
      </c>
      <c r="B8" s="822" t="s">
        <v>1302</v>
      </c>
    </row>
    <row r="9" spans="1:2">
      <c r="A9" s="644" t="s">
        <v>1303</v>
      </c>
      <c r="B9" s="822" t="s">
        <v>1340</v>
      </c>
    </row>
    <row r="10" spans="1:2">
      <c r="A10" s="644" t="s">
        <v>1304</v>
      </c>
    </row>
    <row r="11" spans="1:2">
      <c r="A11" s="644" t="s">
        <v>1305</v>
      </c>
    </row>
    <row r="12" spans="1:2">
      <c r="A12" s="644" t="s">
        <v>1306</v>
      </c>
    </row>
    <row r="13" spans="1:2">
      <c r="A13" s="644" t="s">
        <v>1307</v>
      </c>
    </row>
    <row r="14" spans="1:2">
      <c r="A14" s="644" t="s">
        <v>1308</v>
      </c>
    </row>
    <row r="15" spans="1:2">
      <c r="A15" s="644" t="s">
        <v>1309</v>
      </c>
    </row>
    <row r="16" spans="1:2">
      <c r="A16" s="644" t="s">
        <v>1310</v>
      </c>
    </row>
    <row r="17" spans="1:4">
      <c r="A17" s="644" t="s">
        <v>1311</v>
      </c>
      <c r="B17" s="822" t="s">
        <v>1341</v>
      </c>
    </row>
    <row r="18" spans="1:4">
      <c r="A18" s="644" t="s">
        <v>1312</v>
      </c>
      <c r="B18" s="822" t="s">
        <v>959</v>
      </c>
    </row>
    <row r="19" spans="1:4">
      <c r="A19" s="644" t="s">
        <v>1313</v>
      </c>
      <c r="B19" s="822" t="s">
        <v>214</v>
      </c>
    </row>
    <row r="20" spans="1:4">
      <c r="A20" s="644" t="s">
        <v>1314</v>
      </c>
      <c r="B20" s="823">
        <v>31162100</v>
      </c>
    </row>
    <row r="21" spans="1:4">
      <c r="A21" s="644" t="s">
        <v>1315</v>
      </c>
      <c r="B21" s="822" t="s">
        <v>214</v>
      </c>
    </row>
    <row r="22" spans="1:4">
      <c r="A22" s="644" t="s">
        <v>1316</v>
      </c>
      <c r="B22" s="823">
        <v>2023607</v>
      </c>
    </row>
    <row r="23" spans="1:4">
      <c r="A23" s="644" t="s">
        <v>951</v>
      </c>
      <c r="B23" s="821">
        <v>174.09</v>
      </c>
    </row>
    <row r="24" spans="1:4">
      <c r="A24" s="644" t="s">
        <v>950</v>
      </c>
      <c r="B24" s="822" t="s">
        <v>232</v>
      </c>
      <c r="D24" s="644" t="s">
        <v>699</v>
      </c>
    </row>
    <row r="25" spans="1:4">
      <c r="A25" s="644" t="s">
        <v>1317</v>
      </c>
      <c r="B25" s="822" t="s">
        <v>1344</v>
      </c>
    </row>
    <row r="26" spans="1:4">
      <c r="A26" s="644" t="s">
        <v>1318</v>
      </c>
      <c r="B26" s="822">
        <v>0</v>
      </c>
    </row>
    <row r="27" spans="1:4">
      <c r="A27" s="644" t="s">
        <v>1319</v>
      </c>
      <c r="B27" s="822" t="s">
        <v>1320</v>
      </c>
    </row>
    <row r="28" spans="1:4">
      <c r="A28" s="644" t="s">
        <v>1321</v>
      </c>
      <c r="B28" s="822" t="s">
        <v>1322</v>
      </c>
    </row>
    <row r="29" spans="1:4">
      <c r="A29" s="644" t="s">
        <v>1323</v>
      </c>
    </row>
    <row r="30" spans="1:4">
      <c r="A30" s="644" t="s">
        <v>1324</v>
      </c>
    </row>
    <row r="31" spans="1:4">
      <c r="A31" s="644" t="s">
        <v>1325</v>
      </c>
    </row>
    <row r="32" spans="1:4">
      <c r="A32" s="644" t="s">
        <v>1326</v>
      </c>
      <c r="B32" s="821"/>
    </row>
    <row r="33" spans="1:2">
      <c r="A33" s="644" t="s">
        <v>1327</v>
      </c>
      <c r="B33" s="821"/>
    </row>
    <row r="34" spans="1:2">
      <c r="A34" s="644" t="s">
        <v>1328</v>
      </c>
      <c r="B34" s="821"/>
    </row>
    <row r="35" spans="1:2">
      <c r="A35" s="644" t="s">
        <v>1329</v>
      </c>
      <c r="B35" s="822">
        <v>1000000</v>
      </c>
    </row>
    <row r="36" spans="1:2">
      <c r="A36" s="644" t="s">
        <v>1330</v>
      </c>
      <c r="B36" s="822" t="s">
        <v>1342</v>
      </c>
    </row>
    <row r="37" spans="1:2">
      <c r="A37" s="644" t="s">
        <v>1331</v>
      </c>
      <c r="B37" s="822" t="s">
        <v>1332</v>
      </c>
    </row>
    <row r="38" spans="1:2">
      <c r="A38" s="644" t="s">
        <v>1333</v>
      </c>
      <c r="B38" s="822" t="s">
        <v>1334</v>
      </c>
    </row>
    <row r="39" spans="1:2">
      <c r="A39" s="644" t="s">
        <v>1335</v>
      </c>
      <c r="B39" s="822" t="s">
        <v>1343</v>
      </c>
    </row>
    <row r="40" spans="1:2">
      <c r="A40" s="644" t="s">
        <v>1336</v>
      </c>
      <c r="B40" s="822">
        <v>1500004768</v>
      </c>
    </row>
    <row r="41" spans="1:2">
      <c r="A41" s="644" t="s">
        <v>1337</v>
      </c>
      <c r="B41" s="822">
        <v>1</v>
      </c>
    </row>
    <row r="42" spans="1:2">
      <c r="A42" s="746" t="s">
        <v>1338</v>
      </c>
    </row>
    <row r="43" spans="1:2">
      <c r="A43" s="644" t="s">
        <v>1339</v>
      </c>
    </row>
  </sheetData>
  <pageMargins left="0.75" right="0.75" top="1" bottom="1" header="0.5" footer="0.5"/>
  <pageSetup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workbookViewId="0">
      <selection activeCell="E11" sqref="E11"/>
    </sheetView>
  </sheetViews>
  <sheetFormatPr defaultRowHeight="12.75"/>
  <cols>
    <col min="1" max="1" width="28.5703125" style="644" bestFit="1" customWidth="1"/>
    <col min="2" max="256" width="9.140625" style="644"/>
    <col min="257" max="257" width="28.5703125" style="644" bestFit="1" customWidth="1"/>
    <col min="258" max="512" width="9.140625" style="644"/>
    <col min="513" max="513" width="28.5703125" style="644" bestFit="1" customWidth="1"/>
    <col min="514" max="768" width="9.140625" style="644"/>
    <col min="769" max="769" width="28.5703125" style="644" bestFit="1" customWidth="1"/>
    <col min="770" max="1024" width="9.140625" style="644"/>
    <col min="1025" max="1025" width="28.5703125" style="644" bestFit="1" customWidth="1"/>
    <col min="1026" max="1280" width="9.140625" style="644"/>
    <col min="1281" max="1281" width="28.5703125" style="644" bestFit="1" customWidth="1"/>
    <col min="1282" max="1536" width="9.140625" style="644"/>
    <col min="1537" max="1537" width="28.5703125" style="644" bestFit="1" customWidth="1"/>
    <col min="1538" max="1792" width="9.140625" style="644"/>
    <col min="1793" max="1793" width="28.5703125" style="644" bestFit="1" customWidth="1"/>
    <col min="1794" max="2048" width="9.140625" style="644"/>
    <col min="2049" max="2049" width="28.5703125" style="644" bestFit="1" customWidth="1"/>
    <col min="2050" max="2304" width="9.140625" style="644"/>
    <col min="2305" max="2305" width="28.5703125" style="644" bestFit="1" customWidth="1"/>
    <col min="2306" max="2560" width="9.140625" style="644"/>
    <col min="2561" max="2561" width="28.5703125" style="644" bestFit="1" customWidth="1"/>
    <col min="2562" max="2816" width="9.140625" style="644"/>
    <col min="2817" max="2817" width="28.5703125" style="644" bestFit="1" customWidth="1"/>
    <col min="2818" max="3072" width="9.140625" style="644"/>
    <col min="3073" max="3073" width="28.5703125" style="644" bestFit="1" customWidth="1"/>
    <col min="3074" max="3328" width="9.140625" style="644"/>
    <col min="3329" max="3329" width="28.5703125" style="644" bestFit="1" customWidth="1"/>
    <col min="3330" max="3584" width="9.140625" style="644"/>
    <col min="3585" max="3585" width="28.5703125" style="644" bestFit="1" customWidth="1"/>
    <col min="3586" max="3840" width="9.140625" style="644"/>
    <col min="3841" max="3841" width="28.5703125" style="644" bestFit="1" customWidth="1"/>
    <col min="3842" max="4096" width="9.140625" style="644"/>
    <col min="4097" max="4097" width="28.5703125" style="644" bestFit="1" customWidth="1"/>
    <col min="4098" max="4352" width="9.140625" style="644"/>
    <col min="4353" max="4353" width="28.5703125" style="644" bestFit="1" customWidth="1"/>
    <col min="4354" max="4608" width="9.140625" style="644"/>
    <col min="4609" max="4609" width="28.5703125" style="644" bestFit="1" customWidth="1"/>
    <col min="4610" max="4864" width="9.140625" style="644"/>
    <col min="4865" max="4865" width="28.5703125" style="644" bestFit="1" customWidth="1"/>
    <col min="4866" max="5120" width="9.140625" style="644"/>
    <col min="5121" max="5121" width="28.5703125" style="644" bestFit="1" customWidth="1"/>
    <col min="5122" max="5376" width="9.140625" style="644"/>
    <col min="5377" max="5377" width="28.5703125" style="644" bestFit="1" customWidth="1"/>
    <col min="5378" max="5632" width="9.140625" style="644"/>
    <col min="5633" max="5633" width="28.5703125" style="644" bestFit="1" customWidth="1"/>
    <col min="5634" max="5888" width="9.140625" style="644"/>
    <col min="5889" max="5889" width="28.5703125" style="644" bestFit="1" customWidth="1"/>
    <col min="5890" max="6144" width="9.140625" style="644"/>
    <col min="6145" max="6145" width="28.5703125" style="644" bestFit="1" customWidth="1"/>
    <col min="6146" max="6400" width="9.140625" style="644"/>
    <col min="6401" max="6401" width="28.5703125" style="644" bestFit="1" customWidth="1"/>
    <col min="6402" max="6656" width="9.140625" style="644"/>
    <col min="6657" max="6657" width="28.5703125" style="644" bestFit="1" customWidth="1"/>
    <col min="6658" max="6912" width="9.140625" style="644"/>
    <col min="6913" max="6913" width="28.5703125" style="644" bestFit="1" customWidth="1"/>
    <col min="6914" max="7168" width="9.140625" style="644"/>
    <col min="7169" max="7169" width="28.5703125" style="644" bestFit="1" customWidth="1"/>
    <col min="7170" max="7424" width="9.140625" style="644"/>
    <col min="7425" max="7425" width="28.5703125" style="644" bestFit="1" customWidth="1"/>
    <col min="7426" max="7680" width="9.140625" style="644"/>
    <col min="7681" max="7681" width="28.5703125" style="644" bestFit="1" customWidth="1"/>
    <col min="7682" max="7936" width="9.140625" style="644"/>
    <col min="7937" max="7937" width="28.5703125" style="644" bestFit="1" customWidth="1"/>
    <col min="7938" max="8192" width="9.140625" style="644"/>
    <col min="8193" max="8193" width="28.5703125" style="644" bestFit="1" customWidth="1"/>
    <col min="8194" max="8448" width="9.140625" style="644"/>
    <col min="8449" max="8449" width="28.5703125" style="644" bestFit="1" customWidth="1"/>
    <col min="8450" max="8704" width="9.140625" style="644"/>
    <col min="8705" max="8705" width="28.5703125" style="644" bestFit="1" customWidth="1"/>
    <col min="8706" max="8960" width="9.140625" style="644"/>
    <col min="8961" max="8961" width="28.5703125" style="644" bestFit="1" customWidth="1"/>
    <col min="8962" max="9216" width="9.140625" style="644"/>
    <col min="9217" max="9217" width="28.5703125" style="644" bestFit="1" customWidth="1"/>
    <col min="9218" max="9472" width="9.140625" style="644"/>
    <col min="9473" max="9473" width="28.5703125" style="644" bestFit="1" customWidth="1"/>
    <col min="9474" max="9728" width="9.140625" style="644"/>
    <col min="9729" max="9729" width="28.5703125" style="644" bestFit="1" customWidth="1"/>
    <col min="9730" max="9984" width="9.140625" style="644"/>
    <col min="9985" max="9985" width="28.5703125" style="644" bestFit="1" customWidth="1"/>
    <col min="9986" max="10240" width="9.140625" style="644"/>
    <col min="10241" max="10241" width="28.5703125" style="644" bestFit="1" customWidth="1"/>
    <col min="10242" max="10496" width="9.140625" style="644"/>
    <col min="10497" max="10497" width="28.5703125" style="644" bestFit="1" customWidth="1"/>
    <col min="10498" max="10752" width="9.140625" style="644"/>
    <col min="10753" max="10753" width="28.5703125" style="644" bestFit="1" customWidth="1"/>
    <col min="10754" max="11008" width="9.140625" style="644"/>
    <col min="11009" max="11009" width="28.5703125" style="644" bestFit="1" customWidth="1"/>
    <col min="11010" max="11264" width="9.140625" style="644"/>
    <col min="11265" max="11265" width="28.5703125" style="644" bestFit="1" customWidth="1"/>
    <col min="11266" max="11520" width="9.140625" style="644"/>
    <col min="11521" max="11521" width="28.5703125" style="644" bestFit="1" customWidth="1"/>
    <col min="11522" max="11776" width="9.140625" style="644"/>
    <col min="11777" max="11777" width="28.5703125" style="644" bestFit="1" customWidth="1"/>
    <col min="11778" max="12032" width="9.140625" style="644"/>
    <col min="12033" max="12033" width="28.5703125" style="644" bestFit="1" customWidth="1"/>
    <col min="12034" max="12288" width="9.140625" style="644"/>
    <col min="12289" max="12289" width="28.5703125" style="644" bestFit="1" customWidth="1"/>
    <col min="12290" max="12544" width="9.140625" style="644"/>
    <col min="12545" max="12545" width="28.5703125" style="644" bestFit="1" customWidth="1"/>
    <col min="12546" max="12800" width="9.140625" style="644"/>
    <col min="12801" max="12801" width="28.5703125" style="644" bestFit="1" customWidth="1"/>
    <col min="12802" max="13056" width="9.140625" style="644"/>
    <col min="13057" max="13057" width="28.5703125" style="644" bestFit="1" customWidth="1"/>
    <col min="13058" max="13312" width="9.140625" style="644"/>
    <col min="13313" max="13313" width="28.5703125" style="644" bestFit="1" customWidth="1"/>
    <col min="13314" max="13568" width="9.140625" style="644"/>
    <col min="13569" max="13569" width="28.5703125" style="644" bestFit="1" customWidth="1"/>
    <col min="13570" max="13824" width="9.140625" style="644"/>
    <col min="13825" max="13825" width="28.5703125" style="644" bestFit="1" customWidth="1"/>
    <col min="13826" max="14080" width="9.140625" style="644"/>
    <col min="14081" max="14081" width="28.5703125" style="644" bestFit="1" customWidth="1"/>
    <col min="14082" max="14336" width="9.140625" style="644"/>
    <col min="14337" max="14337" width="28.5703125" style="644" bestFit="1" customWidth="1"/>
    <col min="14338" max="14592" width="9.140625" style="644"/>
    <col min="14593" max="14593" width="28.5703125" style="644" bestFit="1" customWidth="1"/>
    <col min="14594" max="14848" width="9.140625" style="644"/>
    <col min="14849" max="14849" width="28.5703125" style="644" bestFit="1" customWidth="1"/>
    <col min="14850" max="15104" width="9.140625" style="644"/>
    <col min="15105" max="15105" width="28.5703125" style="644" bestFit="1" customWidth="1"/>
    <col min="15106" max="15360" width="9.140625" style="644"/>
    <col min="15361" max="15361" width="28.5703125" style="644" bestFit="1" customWidth="1"/>
    <col min="15362" max="15616" width="9.140625" style="644"/>
    <col min="15617" max="15617" width="28.5703125" style="644" bestFit="1" customWidth="1"/>
    <col min="15618" max="15872" width="9.140625" style="644"/>
    <col min="15873" max="15873" width="28.5703125" style="644" bestFit="1" customWidth="1"/>
    <col min="15874" max="16128" width="9.140625" style="644"/>
    <col min="16129" max="16129" width="28.5703125" style="644" bestFit="1" customWidth="1"/>
    <col min="16130" max="16384" width="9.140625" style="644"/>
  </cols>
  <sheetData>
    <row r="1" spans="1:1">
      <c r="A1" s="825" t="s">
        <v>1345</v>
      </c>
    </row>
    <row r="2" spans="1:1">
      <c r="A2" s="825" t="s">
        <v>1350</v>
      </c>
    </row>
    <row r="3" spans="1:1">
      <c r="A3" s="825" t="s">
        <v>1351</v>
      </c>
    </row>
    <row r="4" spans="1:1">
      <c r="A4" s="825" t="s">
        <v>1352</v>
      </c>
    </row>
    <row r="5" spans="1:1">
      <c r="A5" s="825" t="s">
        <v>1353</v>
      </c>
    </row>
    <row r="6" spans="1:1">
      <c r="A6" s="825" t="s">
        <v>1346</v>
      </c>
    </row>
    <row r="7" spans="1:1">
      <c r="A7" s="825" t="s">
        <v>1354</v>
      </c>
    </row>
    <row r="8" spans="1:1">
      <c r="A8" s="825" t="s">
        <v>1355</v>
      </c>
    </row>
    <row r="9" spans="1:1">
      <c r="A9" s="825" t="s">
        <v>1356</v>
      </c>
    </row>
    <row r="10" spans="1:1">
      <c r="A10" s="825" t="s">
        <v>1347</v>
      </c>
    </row>
    <row r="11" spans="1:1">
      <c r="A11" s="825" t="s">
        <v>1357</v>
      </c>
    </row>
    <row r="12" spans="1:1">
      <c r="A12" s="825" t="s">
        <v>1348</v>
      </c>
    </row>
    <row r="13" spans="1:1">
      <c r="A13" s="825" t="s">
        <v>1349</v>
      </c>
    </row>
  </sheetData>
  <pageMargins left="0.75" right="0.75" top="1" bottom="1" header="0.5" footer="0.5"/>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Links xmlns:lk="thomsonreuters.linking.metadata">
  <Link>
    <GUID>ff914675-c378-4c21-9367-d1f4072e9dec</GUID>
    <SOURCE_ALTADDRESS>$B$5:$T$9</SOURCE_ALTADDRESS>
    <SOURCETYPE>Table</SOURCETYPE>
    <SOURCE_OBJECTNAME>Linking_Range_17</SOURCE_OBJECTNAME>
    <OBJECTTYPE>Native</OBJECTTYPE>
    <SOURCE_SHEETCODE>Sheet1</SOURCE_SHEETCODE>
    <SOURCE_SHEETNAME>DCF</SOURCE_SHEETNAME>
    <SOURCEAPPLICATION>EXCEL_SOURCE</SOURCEAPPLICATION>
    <UPDATEDAT>1/15/2015 3:42:50 PM</UPDATEDAT>
    <SOURCE_ISOUTOFDATE>False</SOURCE_ISOUTOFDATE>
    <SOURCE_WORKBOOKNAME>AMGN_MH.xlsm</SOURCE_WORKBOOKNAME>
    <SOURCE_WORKBOOKPATH>\\MSAD\ROOT\NA\NY\LIB\ER\HEALTH\Biotech\Harrison\Models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/MSResearch/Content/ExternalAssets/2014-12/Images/qN5mNf1rmaZ4SlgMrhxJw--.png</TARGET_BINARYFULLNAME>
    <TARGET_STORYFULLNAME>/MSResearch/Content/ExternalAssets/2014-12/Sections/20141230_110742_Linking_Range_17.xml</TARGET_STORYFULLNAME>
    <TARGET_UUID>fc1cf402-903d-11e4-ad2f-712a6db2d15f</TARGET_UUID>
    <LINKSTATUS>Unknown</LINKSTATUS>
  </Link>
  <Link>
    <GUID>c54b30b5-cc2d-43f0-bc21-4db34f24fcf7</GUID>
    <SOURCETYPE>Chart</SOURCETYPE>
    <SOURCE_OBJECTNAME>MWA_Risk_Reward</SOURCE_OBJECTNAME>
    <SOURCE_SHEETCODE>MWRSSData</SOURCE_SHEETCODE>
    <SOURCE_SHEETNAME>MWA RR</SOURCE_SHEETNAME>
    <OBJECTTYPE>Native</OBJECTTYPE>
    <SOURCEAPPLICATION>EXCEL_SOURCE</SOURCEAPPLICATION>
    <UPDATEDAT>4/21/2015 6:19:05 PM</UPDATEDAT>
    <SOURCE_ISOUTOFDATE>False</SOURCE_ISOUTOFDATE>
    <SOURCE_WORKBOOKNAME>AMGN_MH.xlsm</SOURCE_WORKBOOKNAME>
    <SOURCE_WORKBOOKPATH>\\MSAD\ROOT\NA\NY\LIB\ER\HEALTH\Biotech\Harrison\Models</SOURCE_WORKBOOKPATH>
    <TRANSPARENTBACKGROUND>False</TRANSPARENTBACKGROUND>
    <TRANSPARENTPLOTAREA>False</TRANSPARENTPLOTAREA>
    <TARGETTYPE>Picture</TARGETTYPE>
    <TARGETAPPLICATION>METHODE_TARGET</TARGETAPPLICATION>
    <TABLEBACKGROUND>Existing</TABLEBACKGROUND>
    <TARGET_BINARYFULLNAME>/MSResearch/Content/ExternalAssets/2014-12/Images/L5cBXifK6KxRWhb2PiuWQ--.png</TARGET_BINARYFULLNAME>
    <TARGET_STORYFULLNAME>/MSResearch/Content/ExternalAssets/2014-12/Sections/20141230_105437_MWA_Risk_Reward.xml</TARGET_STORYFULLNAME>
    <TARGET_UUID>27ef388a-903c-11e4-ad2f-712a6db2d15f</TARGET_UUID>
    <HIDEGRIDLINES>False</HIDEGRIDLINES>
    <LINKSTATUS>Unknown</LINKSTATUS>
    <EXTRACTSOURCEMODE>CopyToClipboard</EXTRACTSOURCEMODE>
  </Link>
  <Link>
    <GUID>4124b0fb-93bb-4237-a773-b8b9d43d487a</GUID>
    <SOURCE_ALTADDRESS>$B$2:$N$45</SOURCE_ALTADDRESS>
    <SOURCETYPE>Table</SOURCETYPE>
    <SOURCE_OBJECTNAME>Linking_Range_12</SOURCE_OBJECTNAME>
    <OBJECTTYPE>Native</OBJECTTYPE>
    <SOURCE_SHEETCODE>Sheet26</SOURCE_SHEETCODE>
    <SOURCE_SHEETNAME>Variance</SOURCE_SHEETNAME>
    <SOURCEAPPLICATION>EXCEL_SOURCE</SOURCEAPPLICATION>
    <UPDATEDAT>4/21/2015 6:21:05 PM</UPDATEDAT>
    <SOURCE_ISOUTOFDATE>False</SOURCE_ISOUTOFDATE>
    <SOURCE_WORKBOOKNAME>AMGN_MH.xlsm</SOURCE_WORKBOOKNAME>
    <SOURCE_WORKBOOKPATH>\\MSAD\ROOT\NA\NY\LIB\ER\HEALTH\Biotech\Harrison\Models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/MSResearch/Content/ExternalAssets/2015-01/Images/Zo1ahP8xDkeBVvT-jCGtvQ--.png</TARGET_BINARYFULLNAME>
    <TARGET_STORYFULLNAME>/MSResearch/Content/ExternalAssets/2015-01/Sections/20150127_074555_Linking_Range_12.xml</TARGET_STORYFULLNAME>
    <TARGET_UUID>04647b80-a687-11e4-9d5a-3eb708603406</TARGET_UUID>
    <TRANSPARENTBACKGROUND>False</TRANSPARENTBACKGROUND>
    <TRANSPARENTPLOTAREA>False</TRANSPARENTPLOTAREA>
    <EXTRACTSOURCEMODE>CopyToClipboard</EXTRACTSOURCEMODE>
  </Link>
  <Link>
    <GUID>731c31f9-0d38-4618-b428-9efd8e08d4e1</GUID>
    <SOURCE_ALTADDRESS>$B$1:$DB$105</SOURCE_ALTADDRESS>
    <SOURCETYPE>Table</SOURCETYPE>
    <SOURCE_OBJECTNAME>Linking_Range_11</SOURCE_OBJECTNAME>
    <OBJECTTYPE>Native</OBJECTTYPE>
    <SOURCE_SHEETCODE>Sheet2</SOURCE_SHEETCODE>
    <SOURCE_SHEETNAME>IS</SOURCE_SHEETNAME>
    <SOURCEAPPLICATION>EXCEL_SOURCE</SOURCEAPPLICATION>
    <UPDATEDAT>4/21/2015 6:26:33 PM</UPDATEDAT>
    <SOURCE_ISOUTOFDATE>False</SOURCE_ISOUTOFDATE>
    <SOURCE_WORKBOOKNAME>AMGN_MH.xlsm</SOURCE_WORKBOOKNAME>
    <SOURCE_WORKBOOKPATH>\\MSAD\ROOT\NA\NY\LIB\ER\HEALTH\Biotech\Harrison\Models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/MSResearch/Content/ExternalAssets/2014-12/Images/2lklyG5_WUiHysPS6a2BnQ--.png</TARGET_BINARYFULLNAME>
    <TARGET_STORYFULLNAME>/MSResearch/Content/ExternalAssets/2014-12/Sections/20141230_110125_Linking_Range_11.xml</TARGET_STORYFULLNAME>
    <TARGET_UUID>1baae0fa-903d-11e4-ad2f-712a6db2d15f</TARGET_UUID>
    <TRANSPARENTBACKGROUND>False</TRANSPARENTBACKGROUND>
    <TRANSPARENTPLOTAREA>False</TRANSPARENTPLOTAREA>
    <LINKSTATUS>Unknown</LINKSTATUS>
    <EXTRACTSOURCEMODE>CopyToClipboard</EXTRACTSOURCEMODE>
  </Link>
  <Link>
    <GUID>7091a384-c372-4968-bfc2-1434414ca891</GUID>
    <SOURCE_ALTADDRESS>$B$3:$DB$66</SOURCE_ALTADDRESS>
    <SOURCETYPE>Table</SOURCETYPE>
    <SOURCE_OBJECTNAME>Linking_Range_13</SOURCE_OBJECTNAME>
    <OBJECTTYPE>Native</OBJECTTYPE>
    <SOURCE_SHEETCODE>Sheet4</SOURCE_SHEETCODE>
    <SOURCE_SHEETNAME>REVS</SOURCE_SHEETNAME>
    <SOURCEAPPLICATION>EXCEL_SOURCE</SOURCEAPPLICATION>
    <UPDATEDAT>4/21/2015 6:27:42 PM</UPDATEDAT>
    <SOURCE_ISOUTOFDATE>False</SOURCE_ISOUTOFDATE>
    <SOURCE_WORKBOOKNAME>AMGN_MH.xlsm</SOURCE_WORKBOOKNAME>
    <SOURCE_WORKBOOKPATH>\\MSAD\ROOT\NA\NY\LIB\ER\HEALTH\Biotech\Harrison\Models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/MSResearch/Content/ExternalAssets/2014-12/Images/L_dvtkKkEkCC9pveIJfQEQ--.png</TARGET_BINARYFULLNAME>
    <TARGET_STORYFULLNAME>/MSResearch/Content/ExternalAssets/2014-12/Sections/20141230_110300_Linking_Range_13.xml</TARGET_STORYFULLNAME>
    <TARGET_UUID>53c611d0-903d-11e4-ad2f-712a6db2d15f</TARGET_UUID>
    <TRANSPARENTBACKGROUND>False</TRANSPARENTBACKGROUND>
    <TRANSPARENTPLOTAREA>False</TRANSPARENTPLOTAREA>
    <LINKSTATUS>Unknown</LINKSTATUS>
    <EXTRACTSOURCEMODE>CopyToClipboard</EXTRACTSOURCEMODE>
  </Link>
  <Link>
    <GUID>d322a0ea-e908-42d5-bc67-cb1f65041e70</GUID>
    <SOURCE_ALTADDRESS>$B$1:$AD$38</SOURCE_ALTADDRESS>
    <SOURCETYPE>Table</SOURCETYPE>
    <SOURCE_OBJECTNAME>Linking_Range_16</SOURCE_OBJECTNAME>
    <OBJECTTYPE>Native</OBJECTTYPE>
    <SOURCE_SHEETCODE>Sheet6</SOURCE_SHEETCODE>
    <SOURCE_SHEETNAME>BS</SOURCE_SHEETNAME>
    <SOURCEAPPLICATION>EXCEL_SOURCE</SOURCEAPPLICATION>
    <UPDATEDAT>4/21/2015 6:28:40 PM</UPDATEDAT>
    <SOURCE_ISOUTOFDATE>False</SOURCE_ISOUTOFDATE>
    <SOURCE_WORKBOOKNAME>AMGN_MH.xlsm</SOURCE_WORKBOOKNAME>
    <SOURCE_WORKBOOKPATH>\\MSAD\ROOT\NA\NY\LIB\ER\HEALTH\Biotech\Harrison\Models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/MSResearch/Content/ExternalAssets/2014-12/Images/K2e2qhtwqkGEiRsT6plSng--.png</TARGET_BINARYFULLNAME>
    <TARGET_STORYFULLNAME>/MSResearch/Content/ExternalAssets/2014-12/Sections/20141230_110334_Linking_Range_16.xml</TARGET_STORYFULLNAME>
    <TARGET_UUID>687b789a-903d-11e4-ad2f-712a6db2d15f</TARGET_UUID>
    <TRANSPARENTBACKGROUND>False</TRANSPARENTBACKGROUND>
    <TRANSPARENTPLOTAREA>False</TRANSPARENTPLOTAREA>
    <LINKSTATUS>Unknown</LINKSTATUS>
    <EXTRACTSOURCEMODE>CopyToClipboard</EXTRACTSOURCEMODE>
  </Link>
  <Link>
    <GUID>91e48385-aa76-4872-8c8a-d3da89271079</GUID>
    <SOURCE_ALTADDRESS>$B$1:$AD$49</SOURCE_ALTADDRESS>
    <SOURCETYPE>Table</SOURCETYPE>
    <SOURCE_OBJECTNAME>Linking_Range_15</SOURCE_OBJECTNAME>
    <OBJECTTYPE>Native</OBJECTTYPE>
    <SOURCE_SHEETCODE>Sheet5</SOURCE_SHEETCODE>
    <SOURCE_SHEETNAME>CF</SOURCE_SHEETNAME>
    <SOURCEAPPLICATION>EXCEL_SOURCE</SOURCEAPPLICATION>
    <UPDATEDAT>4/21/2015 6:29:23 PM</UPDATEDAT>
    <SOURCE_ISOUTOFDATE>False</SOURCE_ISOUTOFDATE>
    <SOURCE_WORKBOOKNAME>AMGN_MH.xlsm</SOURCE_WORKBOOKNAME>
    <SOURCE_WORKBOOKPATH>\\MSAD\ROOT\NA\NY\LIB\ER\HEALTH\Biotech\Harrison\Models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/MSResearch/Content/ExternalAssets/2014-12/Images/1OlkDB8UEaEzDWUBYNhMQ--.png</TARGET_BINARYFULLNAME>
    <TARGET_STORYFULLNAME>/MSResearch/Content/ExternalAssets/2014-12/Sections/20141230_110447_Linking_Range_15.xml</TARGET_STORYFULLNAME>
    <TARGET_UUID>940dbd1a-903d-11e4-ad2f-712a6db2d15f</TARGET_UUID>
    <TRANSPARENTBACKGROUND>False</TRANSPARENTBACKGROUND>
    <TRANSPARENTPLOTAREA>False</TRANSPARENTPLOTAREA>
    <LINKSTATUS>Unknown</LINKSTATUS>
    <EXTRACTSOURCEMODE>CopyToClipboard</EXTRACTSOURCEMODE>
  </Link>
</lk:Links>
</file>

<file path=customXml/item2.xml><?xml version="1.0" encoding="utf-8"?>
<lkmtd:Metadata xmlns:lkmtd="thomsonreuters.linking.metadatachange">
  <MetadataChanged>0</MetadataChanged>
</lkmtd:Metadata>
</file>

<file path=customXml/itemProps1.xml><?xml version="1.0" encoding="utf-8"?>
<ds:datastoreItem xmlns:ds="http://schemas.openxmlformats.org/officeDocument/2006/customXml" ds:itemID="{BF0033C3-3350-4F0E-83F9-CC0550C10245}">
  <ds:schemaRefs>
    <ds:schemaRef ds:uri="thomsonreuters.linking.metadata"/>
  </ds:schemaRefs>
</ds:datastoreItem>
</file>

<file path=customXml/itemProps2.xml><?xml version="1.0" encoding="utf-8"?>
<ds:datastoreItem xmlns:ds="http://schemas.openxmlformats.org/officeDocument/2006/customXml" ds:itemID="{1C3BA59B-356C-4D14-B8A9-0C76E5B9A0F4}">
  <ds:schemaRefs>
    <ds:schemaRef ds:uri="thomsonreuters.linking.metadatachang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91</vt:i4>
      </vt:variant>
    </vt:vector>
  </HeadingPairs>
  <TitlesOfParts>
    <vt:vector size="106" baseType="lpstr">
      <vt:lpstr>ImportantDisclosures</vt:lpstr>
      <vt:lpstr>DCF</vt:lpstr>
      <vt:lpstr>IS</vt:lpstr>
      <vt:lpstr>REVS</vt:lpstr>
      <vt:lpstr>BS</vt:lpstr>
      <vt:lpstr>CF</vt:lpstr>
      <vt:lpstr>IMS Model Summary</vt:lpstr>
      <vt:lpstr>Pipeline</vt:lpstr>
      <vt:lpstr>Debt</vt:lpstr>
      <vt:lpstr>Vectibix</vt:lpstr>
      <vt:lpstr>Kyprolis</vt:lpstr>
      <vt:lpstr>AMG334</vt:lpstr>
      <vt:lpstr>Onyx Products (exKyprolis)</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Linking_10</vt:lpstr>
      <vt:lpstr>Linking_38</vt:lpstr>
      <vt:lpstr>Linking_39</vt:lpstr>
      <vt:lpstr>Linking_4</vt:lpstr>
      <vt:lpstr>Linking_40</vt:lpstr>
      <vt:lpstr>Linking_41</vt:lpstr>
      <vt:lpstr>Linking_5</vt:lpstr>
      <vt:lpstr>Linking_6</vt:lpstr>
      <vt:lpstr>Linking_7</vt:lpstr>
      <vt:lpstr>Linking_8</vt:lpstr>
      <vt:lpstr>Linking_9</vt:lpstr>
      <vt:lpstr>'AMG334'!Linking_Range_1</vt:lpstr>
      <vt:lpstr>Linking_Range_1</vt:lpstr>
      <vt:lpstr>Linking_Range_11</vt:lpstr>
      <vt:lpstr>Linking_Range_13</vt:lpstr>
      <vt:lpstr>Linking_Range_14</vt:lpstr>
      <vt:lpstr>Linking_Range_15</vt:lpstr>
      <vt:lpstr>Linking_Range_16</vt:lpstr>
      <vt:lpstr>Linking_Range_17</vt:lpstr>
      <vt:lpstr>Linking_Range_19</vt:lpstr>
      <vt:lpstr>'AMG334'!Linking_Range_2</vt:lpstr>
      <vt:lpstr>'AMG334'!Linking_Range_4</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2013-11-21T14:56:15Z</dcterms:created>
  <dc:creator>Harrison, Matthew (Research)</dc:creator>
  <cp:lastModifiedBy>Jenson, Andrea (Research)</cp:lastModifiedBy>
  <cp:lastPrinted>2018-02-02T03:08:22Z</cp:lastPrinted>
  <dcterms:modified xsi:type="dcterms:W3CDTF">2018-04-26T15:02:48Z</dcterms:modified>
  <dc:title>Amgen Model</dc:title>
</cp:coreProperties>
</file>

<file path=docProps/custom.xml><?xml version="1.0" encoding="utf-8"?>
<Properties xmlns="http://schemas.openxmlformats.org/officeDocument/2006/custom-properties" xmlns:vt="http://schemas.openxmlformats.org/officeDocument/2006/docPropsVTypes">
  <property fmtid="{D5CDD505-2E9C-101B-9397-08002B2CF9AE}" name="LinkingAutoNameNumberLinking_Range_" pid="2">
    <vt:lpwstr>19</vt:lpwstr>
  </property>
  <property fmtid="{D5CDD505-2E9C-101B-9397-08002B2CF9AE}" name="{A44787D4-0540-4523-9961-78E4036D8C6D}" pid="3">
    <vt:lpwstr>{D3C549C9-BE5C-4D09-A9E2-6B15F3947357}</vt:lpwstr>
  </property>
  <property fmtid="{D5CDD505-2E9C-101B-9397-08002B2CF9AE}" name="ERModPubTicket" pid="4">
    <vt:lpwstr>NA</vt:lpwstr>
  </property>
  <property fmtid="{D5CDD505-2E9C-101B-9397-08002B2CF9AE}" name="ERCompanyUploadState" pid="5">
    <vt:lpwstr>P</vt:lpwstr>
  </property>
  <property fmtid="{D5CDD505-2E9C-101B-9397-08002B2CF9AE}" name="ModelId" pid="6">
    <vt:lpwstr>764351</vt:lpwstr>
  </property>
  <property fmtid="{D5CDD505-2E9C-101B-9397-08002B2CF9AE}" name="ERModPubCompanyName" pid="7">
    <vt:lpwstr>Amgen Inc.</vt:lpwstr>
  </property>
  <property fmtid="{D5CDD505-2E9C-101B-9397-08002B2CF9AE}" name="MSDH34TAG" pid="8">
    <vt:lpwstr>.TEZUF76X5TAHATHESADREYAK-00-INB160+*94600-06=9132987c/-4962/-11e8/-adef/-6a0a1ce82510,MD=20180426110329/-0400,ZZ=000Z-c573.</vt:lpwstr>
  </property>
</Properties>
</file>